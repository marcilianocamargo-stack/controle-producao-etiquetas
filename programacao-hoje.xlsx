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E856209B-59A8-4DED-9F55-E7009EEFDF9B}" xr6:coauthVersionLast="47" xr6:coauthVersionMax="47" xr10:uidLastSave="{00000000-0000-0000-0000-000000000000}"/>
  <bookViews>
    <workbookView xWindow="-21720" yWindow="-120" windowWidth="21840" windowHeight="13020" firstSheet="7" activeTab="9" xr2:uid="{00000000-000D-0000-FFFF-FFFF00000000}"/>
  </bookViews>
  <sheets>
    <sheet name="HARMONY EMBALAGENS 1217" sheetId="162" r:id="rId1"/>
    <sheet name="Z4A EMBALAGENS LTDA 1216" sheetId="161" r:id="rId2"/>
    <sheet name="Tolecaixas 1215" sheetId="160" r:id="rId3"/>
    <sheet name="ABAPEL 1213" sheetId="159" r:id="rId4"/>
    <sheet name="IPE - PCBOX 1212" sheetId="158" r:id="rId5"/>
    <sheet name="Z4A EMBALAGENS LTDA 1210 P" sheetId="157" r:id="rId6"/>
    <sheet name="RM Embalagens 1209 P" sheetId="156" r:id="rId7"/>
    <sheet name="IPE - PC BOX 1203P" sheetId="154" r:id="rId8"/>
    <sheet name="ABAPEL 1201" sheetId="153" r:id="rId9"/>
    <sheet name="HARMONY EMBALAGENS 1200" sheetId="152" r:id="rId10"/>
    <sheet name="HARMONY EMBALAGENS 1199 P" sheetId="151" r:id="rId11"/>
    <sheet name="FAVINCO EMBALAGENS 1197 P" sheetId="150" r:id="rId12"/>
    <sheet name="ABAPEL 1196" sheetId="149" r:id="rId13"/>
    <sheet name="CARPELL LTDA 1195 P" sheetId="147" r:id="rId14"/>
    <sheet name="Renovapel 1192 P" sheetId="146" r:id="rId15"/>
    <sheet name="DR EMBALAGENS 1189  P" sheetId="144" r:id="rId16"/>
    <sheet name="FAVINCO EMBALAGENS 1188 R" sheetId="143" r:id="rId17"/>
    <sheet name="PCBOX - IPE 1187 P" sheetId="142" r:id="rId18"/>
    <sheet name="RM Embalagens 1184 P" sheetId="141" r:id="rId19"/>
    <sheet name="CARTOMIL EMBALAGENS LTDA 1183 P" sheetId="140" r:id="rId20"/>
    <sheet name="Z4A EMBALAGENS LTDA 1182P" sheetId="139" r:id="rId21"/>
    <sheet name="HARMONY EMBALAGENS 1180 P" sheetId="137" r:id="rId22"/>
    <sheet name="RM Embalagens 1179 P" sheetId="136" r:id="rId23"/>
    <sheet name="Tolecaixas 1181 P" sheetId="138" r:id="rId24"/>
    <sheet name="ABAPEL 1178 P" sheetId="135" r:id="rId25"/>
    <sheet name="FAVINCO EMBALAGENS 1177 P" sheetId="134" r:id="rId26"/>
    <sheet name="IPE EMBALAGENS 1176 P" sheetId="133" r:id="rId27"/>
    <sheet name="PCBOX EMBALAGENS 1175 P" sheetId="132" r:id="rId28"/>
    <sheet name="ABAPEL 1174 P" sheetId="131" r:id="rId29"/>
    <sheet name="PCBOX EMBALAGENS 1171 P" sheetId="127" r:id="rId30"/>
    <sheet name="HARMONY EMBALAGENS 1169 P" sheetId="125" r:id="rId31"/>
    <sheet name="DR EMBALAGEM 1167 P" sheetId="124" r:id="rId32"/>
    <sheet name="Z4A EMBALAGENS  1166 P" sheetId="123" r:id="rId33"/>
    <sheet name="RM Embalagens 1165 P" sheetId="122" r:id="rId34"/>
    <sheet name="Carpel 1158 P" sheetId="119" r:id="rId35"/>
    <sheet name="ABAPEL 1155 P" sheetId="118" r:id="rId36"/>
    <sheet name="IPE - PCBOX 1154 P" sheetId="117" r:id="rId37"/>
    <sheet name="ABAPEL 1143 P" sheetId="109" r:id="rId38"/>
    <sheet name="HARMONY EMBALAGENS 1138 P" sheetId="102" r:id="rId39"/>
    <sheet name="ABAPEL 1127 P" sheetId="97" r:id="rId40"/>
    <sheet name="ABAPEL 1105 P" sheetId="85" r:id="rId41"/>
    <sheet name="IVAIR SILVA 1122 P" sheetId="91" r:id="rId42"/>
    <sheet name="RENOVAPEL 1115 P" sheetId="88" r:id="rId4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20" i="152" l="1"/>
  <c r="P20" i="152"/>
  <c r="H12" i="158"/>
  <c r="P12" i="158"/>
  <c r="P17" i="150"/>
  <c r="H17" i="150"/>
  <c r="H17" i="135"/>
  <c r="P6" i="143" l="1"/>
  <c r="H6" i="143"/>
  <c r="P8" i="134"/>
  <c r="H8" i="134"/>
  <c r="P17" i="135"/>
</calcChain>
</file>

<file path=xl/sharedStrings.xml><?xml version="1.0" encoding="utf-8"?>
<sst xmlns="http://schemas.openxmlformats.org/spreadsheetml/2006/main" count="7863" uniqueCount="820">
  <si>
    <t>Seq.Prod</t>
  </si>
  <si>
    <t>P.O.</t>
  </si>
  <si>
    <t>Data Pedido</t>
  </si>
  <si>
    <t>Qtde. Prod.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</si>
  <si>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</si>
  <si>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</si>
  <si>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</si>
  <si>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</si>
  <si>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</si>
  <si>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</si>
  <si>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</si>
  <si>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</si>
  <si>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</si>
  <si>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</si>
  <si>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</si>
  <si>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</si>
  <si>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</si>
  <si>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</si>
  <si>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</si>
  <si>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</si>
  <si>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</si>
  <si>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</si>
  <si>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</si>
  <si>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</si>
  <si>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</si>
  <si>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</si>
  <si>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</si>
  <si>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</si>
  <si>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</si>
  <si>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</si>
  <si>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</si>
  <si>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ABAPEL</t>
  </si>
  <si>
    <t>4</t>
  </si>
  <si>
    <t>2</t>
  </si>
  <si>
    <t>x</t>
  </si>
  <si>
    <t>TLQ100</t>
  </si>
  <si>
    <t>P25B</t>
  </si>
  <si>
    <t>Cliente</t>
  </si>
  <si>
    <t>WTL120</t>
  </si>
  <si>
    <t>1</t>
  </si>
  <si>
    <t>TLQ120</t>
  </si>
  <si>
    <t>6</t>
  </si>
  <si>
    <t>TLQ125</t>
  </si>
  <si>
    <t>P35B</t>
  </si>
  <si>
    <t>X</t>
  </si>
  <si>
    <t>P55D</t>
  </si>
  <si>
    <t>P60C</t>
  </si>
  <si>
    <t>642x1829</t>
  </si>
  <si>
    <t>980x1752</t>
  </si>
  <si>
    <t>5</t>
  </si>
  <si>
    <t>P40B</t>
  </si>
  <si>
    <t>283x680x283</t>
  </si>
  <si>
    <t>1266x2611</t>
  </si>
  <si>
    <t>267x671x267</t>
  </si>
  <si>
    <t>1225x2611</t>
  </si>
  <si>
    <t>8</t>
  </si>
  <si>
    <t>OP</t>
  </si>
  <si>
    <t>7</t>
  </si>
  <si>
    <t>1156x1389</t>
  </si>
  <si>
    <t>83x118x83</t>
  </si>
  <si>
    <t>PW40B</t>
  </si>
  <si>
    <t>149x324x149</t>
  </si>
  <si>
    <t>P70D</t>
  </si>
  <si>
    <t>ABAPEL COMERCIO DE EMBALAGENS LTDA</t>
  </si>
  <si>
    <t>940x1860</t>
  </si>
  <si>
    <t>P25C</t>
  </si>
  <si>
    <t>HARMONY EMBALAGENS</t>
  </si>
  <si>
    <t>126x150x126</t>
  </si>
  <si>
    <t>574x2224</t>
  </si>
  <si>
    <t>197x160x197</t>
  </si>
  <si>
    <t>9</t>
  </si>
  <si>
    <t>16</t>
  </si>
  <si>
    <t>11</t>
  </si>
  <si>
    <t>13</t>
  </si>
  <si>
    <t>10/08/2026</t>
  </si>
  <si>
    <t>11/08/2026</t>
  </si>
  <si>
    <t>776x1490</t>
  </si>
  <si>
    <t>108x540x108</t>
  </si>
  <si>
    <t>8.132</t>
  </si>
  <si>
    <t>PROGRAMAÇÃO ONDULADEIRA - ABAPEL COMERCIO DE EMBALAGENS LTDA  —  OF: 001105</t>
  </si>
  <si>
    <t>1020x1220</t>
  </si>
  <si>
    <t>12/08/2026</t>
  </si>
  <si>
    <t>0.0143</t>
  </si>
  <si>
    <t>1181x1930</t>
  </si>
  <si>
    <t>71x245x71</t>
  </si>
  <si>
    <t>006</t>
  </si>
  <si>
    <t>P45C</t>
  </si>
  <si>
    <t>RENOVAPEL RECICLAGEM DE PAPEIS LTDA</t>
  </si>
  <si>
    <t>927x1965</t>
  </si>
  <si>
    <t>131x645x131</t>
  </si>
  <si>
    <t>1195x1828</t>
  </si>
  <si>
    <t>126x200x126</t>
  </si>
  <si>
    <t>982x1845</t>
  </si>
  <si>
    <t>136x690x136</t>
  </si>
  <si>
    <t>964x1850</t>
  </si>
  <si>
    <t>111x250x111</t>
  </si>
  <si>
    <t>1024x1455</t>
  </si>
  <si>
    <t>151x200x151</t>
  </si>
  <si>
    <t>1155x2052</t>
  </si>
  <si>
    <t>124x260x124</t>
  </si>
  <si>
    <t>1115x2168</t>
  </si>
  <si>
    <t>116x305x116</t>
  </si>
  <si>
    <t>800x1820</t>
  </si>
  <si>
    <t>702x1575</t>
  </si>
  <si>
    <t>TLQ140</t>
  </si>
  <si>
    <t>181x320x181</t>
  </si>
  <si>
    <t>P70C</t>
  </si>
  <si>
    <t>752x1815</t>
  </si>
  <si>
    <t>221x290x221</t>
  </si>
  <si>
    <t>PROGRAMAÇÃO ONDULADEIRA - RENOVAPEL RECICLAGEM DE PAPEIS LTDA  —  OF: 001115</t>
  </si>
  <si>
    <t>742x1580</t>
  </si>
  <si>
    <t>151x420x151</t>
  </si>
  <si>
    <t>8.141</t>
  </si>
  <si>
    <t>13/08/2026</t>
  </si>
  <si>
    <t>872x1760</t>
  </si>
  <si>
    <t>176x500x176</t>
  </si>
  <si>
    <t>832x2140</t>
  </si>
  <si>
    <t>206x400x206</t>
  </si>
  <si>
    <t>8.139</t>
  </si>
  <si>
    <t>1088x1396</t>
  </si>
  <si>
    <t>85x898x85</t>
  </si>
  <si>
    <t>8142</t>
  </si>
  <si>
    <t>806x1340</t>
  </si>
  <si>
    <t>83x620x83</t>
  </si>
  <si>
    <t>889x1760</t>
  </si>
  <si>
    <t>147x575x147</t>
  </si>
  <si>
    <t>879x1600</t>
  </si>
  <si>
    <t>142x575x142</t>
  </si>
  <si>
    <t>662x2100</t>
  </si>
  <si>
    <t>181x280x181</t>
  </si>
  <si>
    <t>8145</t>
  </si>
  <si>
    <t>14/08/2026</t>
  </si>
  <si>
    <t>40</t>
  </si>
  <si>
    <t>IVAIR SILVA</t>
  </si>
  <si>
    <t>PROGRAMAÇÃO ONDULADEIRA - IVAIR SILVA  —  OF: 001122</t>
  </si>
  <si>
    <t xml:space="preserve">RM Embalagens </t>
  </si>
  <si>
    <t>966x1500</t>
  </si>
  <si>
    <t>103x740x103</t>
  </si>
  <si>
    <t>786x1450</t>
  </si>
  <si>
    <t>73x620x73</t>
  </si>
  <si>
    <t>8149</t>
  </si>
  <si>
    <t>18/08/2026</t>
  </si>
  <si>
    <t>824x1213</t>
  </si>
  <si>
    <t>17/08/2026</t>
  </si>
  <si>
    <t>1006x2391</t>
  </si>
  <si>
    <t>243x500x243</t>
  </si>
  <si>
    <t>1156x2451</t>
  </si>
  <si>
    <t>243x650x243</t>
  </si>
  <si>
    <t>838x1725</t>
  </si>
  <si>
    <t>8153</t>
  </si>
  <si>
    <t>206x550x206</t>
  </si>
  <si>
    <t>733x2120</t>
  </si>
  <si>
    <t>184x345x184</t>
  </si>
  <si>
    <t>727x1520</t>
  </si>
  <si>
    <t>176x355x176</t>
  </si>
  <si>
    <t>PROGRAMAÇÃO ONDULADEIRA - ABAPEL  —  OF: 001127</t>
  </si>
  <si>
    <t>657x1765</t>
  </si>
  <si>
    <t>261x115x261</t>
  </si>
  <si>
    <t>8162</t>
  </si>
  <si>
    <t>1761x1907</t>
  </si>
  <si>
    <t>270x700x270</t>
  </si>
  <si>
    <t>IPE EMBALAGENS</t>
  </si>
  <si>
    <t>1175x1584</t>
  </si>
  <si>
    <t>465x225x465</t>
  </si>
  <si>
    <t>8166</t>
  </si>
  <si>
    <t>19/08/2026</t>
  </si>
  <si>
    <t>1154x1620</t>
  </si>
  <si>
    <t>166x235x166</t>
  </si>
  <si>
    <t>662x1860</t>
  </si>
  <si>
    <t>8160</t>
  </si>
  <si>
    <t>972x1760</t>
  </si>
  <si>
    <t>176x600x176</t>
  </si>
  <si>
    <t>914x2150</t>
  </si>
  <si>
    <t>1106x1926</t>
  </si>
  <si>
    <t>71x220x71</t>
  </si>
  <si>
    <t>2008</t>
  </si>
  <si>
    <t>20/08/2026</t>
  </si>
  <si>
    <t>826x1279</t>
  </si>
  <si>
    <t>136x131x136</t>
  </si>
  <si>
    <t>1189x1944</t>
  </si>
  <si>
    <t>143x195x143</t>
  </si>
  <si>
    <t>720x1870</t>
  </si>
  <si>
    <t>P25C kraft</t>
  </si>
  <si>
    <t>1020x1739</t>
  </si>
  <si>
    <t>163x174x163</t>
  </si>
  <si>
    <t>1140x1739</t>
  </si>
  <si>
    <t>163x234x163</t>
  </si>
  <si>
    <t>1000x1380</t>
  </si>
  <si>
    <t>744x1545</t>
  </si>
  <si>
    <t>220x284x220</t>
  </si>
  <si>
    <t>1494x1575</t>
  </si>
  <si>
    <t>220x1034x220</t>
  </si>
  <si>
    <t>PROGRAMAÇÃO ONDULADEIRA - HARMONY EMBALAGENS  —  OF: 001138</t>
  </si>
  <si>
    <t>770.0</t>
  </si>
  <si>
    <t>0.2139</t>
  </si>
  <si>
    <t>12.83</t>
  </si>
  <si>
    <t>276.0</t>
  </si>
  <si>
    <t>0.0555</t>
  </si>
  <si>
    <t>1059x1560</t>
  </si>
  <si>
    <t>21/08/2026</t>
  </si>
  <si>
    <t>1409x1930</t>
  </si>
  <si>
    <t>8177</t>
  </si>
  <si>
    <t>PROGRAMAÇÃO ONDULADEIRA - ABAPEL COMERCIO DE EMBALAGENS LTDA  —  OF: 001143</t>
  </si>
  <si>
    <t>24/08/2026</t>
  </si>
  <si>
    <t>1430x1220</t>
  </si>
  <si>
    <t>1144x1320</t>
  </si>
  <si>
    <t>126x310x126</t>
  </si>
  <si>
    <t>8179</t>
  </si>
  <si>
    <t>1258x2070</t>
  </si>
  <si>
    <t>174x890x174</t>
  </si>
  <si>
    <t>667x1700</t>
  </si>
  <si>
    <t>161x325x161</t>
  </si>
  <si>
    <t>206x325x206</t>
  </si>
  <si>
    <t>1040x2060</t>
  </si>
  <si>
    <t>26/08/2026</t>
  </si>
  <si>
    <t>901x1877</t>
  </si>
  <si>
    <t>206x469x206</t>
  </si>
  <si>
    <t>1662</t>
  </si>
  <si>
    <t>PCBOX EMBALAGENS</t>
  </si>
  <si>
    <t>904x3292</t>
  </si>
  <si>
    <t>177x118x294x118x177</t>
  </si>
  <si>
    <t>1666</t>
  </si>
  <si>
    <t>1046x2017</t>
  </si>
  <si>
    <t>206x614x206</t>
  </si>
  <si>
    <t>1858x2037</t>
  </si>
  <si>
    <t>88x874x88</t>
  </si>
  <si>
    <t>1178x2541</t>
  </si>
  <si>
    <t>208x194x354x194x208</t>
  </si>
  <si>
    <t>672x1503</t>
  </si>
  <si>
    <t>151x350x151</t>
  </si>
  <si>
    <t>1669</t>
  </si>
  <si>
    <t>1065x2017</t>
  </si>
  <si>
    <t>75x895x75</t>
  </si>
  <si>
    <t>1108x2363</t>
  </si>
  <si>
    <t>267x554x267</t>
  </si>
  <si>
    <t>1671</t>
  </si>
  <si>
    <t>27/08/2026</t>
  </si>
  <si>
    <t>1568x2603</t>
  </si>
  <si>
    <t>317x914x317</t>
  </si>
  <si>
    <t>1668</t>
  </si>
  <si>
    <t>PROGRAMAÇÃO ONDULADEIRA - IPE EMBALAGENS - PCBOX EMBALAGENS  —  OF: 001154</t>
  </si>
  <si>
    <t>821x1858</t>
  </si>
  <si>
    <t>126x549x126</t>
  </si>
  <si>
    <t>8187</t>
  </si>
  <si>
    <t>873x2126</t>
  </si>
  <si>
    <t>205x443x205</t>
  </si>
  <si>
    <t>919x1448</t>
  </si>
  <si>
    <t>150x599x150</t>
  </si>
  <si>
    <t>1001x2058</t>
  </si>
  <si>
    <t>251x479x251</t>
  </si>
  <si>
    <t>1021x2459</t>
  </si>
  <si>
    <t>201x599x201</t>
  </si>
  <si>
    <t>1144x1318</t>
  </si>
  <si>
    <t>1258x2069</t>
  </si>
  <si>
    <t>667x1699</t>
  </si>
  <si>
    <t>726x1518</t>
  </si>
  <si>
    <t>176x354x176</t>
  </si>
  <si>
    <t>757x1865</t>
  </si>
  <si>
    <t>PROGRAMAÇÃO ONDULADEIRA - ABAPEL COMERCIO DE EMBALAGENS LTDA  —  OF: 001155</t>
  </si>
  <si>
    <t xml:space="preserve"> </t>
  </si>
  <si>
    <t>PC BOX EMBALAGENS</t>
  </si>
  <si>
    <t>195X660X195</t>
  </si>
  <si>
    <t>2537.0</t>
  </si>
  <si>
    <t>0.7047</t>
  </si>
  <si>
    <t>42.28</t>
  </si>
  <si>
    <t>1614.3</t>
  </si>
  <si>
    <t>0.0455</t>
  </si>
  <si>
    <t>1070x2557</t>
  </si>
  <si>
    <t>588.2</t>
  </si>
  <si>
    <t>0.1634</t>
  </si>
  <si>
    <t>9.80</t>
  </si>
  <si>
    <t>357.8</t>
  </si>
  <si>
    <t>0.0229</t>
  </si>
  <si>
    <t>1046x1858</t>
  </si>
  <si>
    <t>1200x1660</t>
  </si>
  <si>
    <t>W55R28</t>
  </si>
  <si>
    <t>28/08/2026</t>
  </si>
  <si>
    <t>Carpel</t>
  </si>
  <si>
    <t>828x1410</t>
  </si>
  <si>
    <t>127x150x127</t>
  </si>
  <si>
    <t>940x1820</t>
  </si>
  <si>
    <t>PROGRAMAÇÃO ONDULADEIRA - Carpel  —  OF: 001158</t>
  </si>
  <si>
    <t>2720.0</t>
  </si>
  <si>
    <t>0.7556</t>
  </si>
  <si>
    <t>45.33</t>
  </si>
  <si>
    <t>938.4</t>
  </si>
  <si>
    <t>0.0476</t>
  </si>
  <si>
    <t>1020x3420</t>
  </si>
  <si>
    <t>201x405x201</t>
  </si>
  <si>
    <t>1019.0</t>
  </si>
  <si>
    <t>0.2831</t>
  </si>
  <si>
    <t>16.98</t>
  </si>
  <si>
    <t>487.6</t>
  </si>
  <si>
    <t>0.0506</t>
  </si>
  <si>
    <t>827x2058</t>
  </si>
  <si>
    <t>31/08/2026</t>
  </si>
  <si>
    <t>P45B</t>
  </si>
  <si>
    <t>437.0</t>
  </si>
  <si>
    <t>0.1214</t>
  </si>
  <si>
    <t>7.28</t>
  </si>
  <si>
    <t>162.8</t>
  </si>
  <si>
    <t>0.0182</t>
  </si>
  <si>
    <t>1100x2205</t>
  </si>
  <si>
    <t>81x1094x81</t>
  </si>
  <si>
    <t>326.5</t>
  </si>
  <si>
    <t>0.0907</t>
  </si>
  <si>
    <t>5.44</t>
  </si>
  <si>
    <t>141.5</t>
  </si>
  <si>
    <t>0.0338</t>
  </si>
  <si>
    <t>1276x1326</t>
  </si>
  <si>
    <t>606.0</t>
  </si>
  <si>
    <t>0.1683</t>
  </si>
  <si>
    <t>10.10</t>
  </si>
  <si>
    <t>307.8</t>
  </si>
  <si>
    <t>1400x2040</t>
  </si>
  <si>
    <t>1136x1280</t>
  </si>
  <si>
    <t>62x155x62</t>
  </si>
  <si>
    <t>507</t>
  </si>
  <si>
    <t>932x1980</t>
  </si>
  <si>
    <t>102x100x102</t>
  </si>
  <si>
    <t>585x2240</t>
  </si>
  <si>
    <t>200x165x200</t>
  </si>
  <si>
    <t>1180x1400</t>
  </si>
  <si>
    <t>145x290x145</t>
  </si>
  <si>
    <t>PROGRAMAÇÃO ONDULADEIRA - RM Embalagens (Daiane Marques Canossa ME)  —  OF: 001165</t>
  </si>
  <si>
    <t>2085</t>
  </si>
  <si>
    <t>Z4A EMBALAGENS LTDA</t>
  </si>
  <si>
    <t>35</t>
  </si>
  <si>
    <t>36086</t>
  </si>
  <si>
    <t>PROGRAMAÇÃO ONDULADEIRA - Z4A EMBALAGENS LTDA  —  OF: 001166</t>
  </si>
  <si>
    <t>1190x1850</t>
  </si>
  <si>
    <t>31082026</t>
  </si>
  <si>
    <t>PROGRAMAÇÃO ONDULADEIRA - DR EMBALAGEM —  OF: 001167</t>
  </si>
  <si>
    <t>DR EMBALAGEM</t>
  </si>
  <si>
    <t>110x1265x110</t>
  </si>
  <si>
    <t>503.1</t>
  </si>
  <si>
    <t>0.1397</t>
  </si>
  <si>
    <t>8.38</t>
  </si>
  <si>
    <t>443.0</t>
  </si>
  <si>
    <t>0.0419</t>
  </si>
  <si>
    <t>1505x1697</t>
  </si>
  <si>
    <t>2 1708</t>
  </si>
  <si>
    <t>1172x1558</t>
  </si>
  <si>
    <t>78x228x78</t>
  </si>
  <si>
    <t>26082026</t>
  </si>
  <si>
    <t>920x1738</t>
  </si>
  <si>
    <t>91x268x91</t>
  </si>
  <si>
    <t>1133x1888</t>
  </si>
  <si>
    <t>968x1478</t>
  </si>
  <si>
    <t>63x348x63</t>
  </si>
  <si>
    <t>1024x2046</t>
  </si>
  <si>
    <t>61x380x61</t>
  </si>
  <si>
    <t>1088x1778</t>
  </si>
  <si>
    <t>88x358x88</t>
  </si>
  <si>
    <t>1196x1938</t>
  </si>
  <si>
    <t>10</t>
  </si>
  <si>
    <t>80x134x80</t>
  </si>
  <si>
    <t>824x1959</t>
  </si>
  <si>
    <t>230x344x230</t>
  </si>
  <si>
    <t>938x1529</t>
  </si>
  <si>
    <t>230x109x120</t>
  </si>
  <si>
    <t>996x2351</t>
  </si>
  <si>
    <t>223x530x223</t>
  </si>
  <si>
    <t>226082026</t>
  </si>
  <si>
    <t>1060x1659</t>
  </si>
  <si>
    <t>153x214x153</t>
  </si>
  <si>
    <t>1174x1991</t>
  </si>
  <si>
    <t>187x780x187</t>
  </si>
  <si>
    <t>1225x2531</t>
  </si>
  <si>
    <t>227x751x227</t>
  </si>
  <si>
    <t>612x1555</t>
  </si>
  <si>
    <t>169x254x169</t>
  </si>
  <si>
    <t>634x1279</t>
  </si>
  <si>
    <t>155x304x155</t>
  </si>
  <si>
    <t>720x1739</t>
  </si>
  <si>
    <t>243x214x243</t>
  </si>
  <si>
    <t>725x1859</t>
  </si>
  <si>
    <t>213x279x213</t>
  </si>
  <si>
    <t>1458x2511</t>
  </si>
  <si>
    <t>309x820x309</t>
  </si>
  <si>
    <t>PROGRAMAÇÃO ONDULADEIRA - HARMONY EMBALAGENS  —  OF: 001169</t>
  </si>
  <si>
    <t>6392</t>
  </si>
  <si>
    <t>135x835x135</t>
  </si>
  <si>
    <t>204.3</t>
  </si>
  <si>
    <t>0.0568</t>
  </si>
  <si>
    <t>3.41</t>
  </si>
  <si>
    <t>133.9</t>
  </si>
  <si>
    <t>0.0391</t>
  </si>
  <si>
    <t>1125x1382</t>
  </si>
  <si>
    <t>535.5</t>
  </si>
  <si>
    <t>0.1488</t>
  </si>
  <si>
    <t>8.93</t>
  </si>
  <si>
    <t>302.0</t>
  </si>
  <si>
    <t>0.0490</t>
  </si>
  <si>
    <t>971x1805</t>
  </si>
  <si>
    <t>P</t>
  </si>
  <si>
    <t>1131x2243</t>
  </si>
  <si>
    <t>275x101x460x275</t>
  </si>
  <si>
    <t>1703</t>
  </si>
  <si>
    <t>01/09/2026</t>
  </si>
  <si>
    <t>1384x2583</t>
  </si>
  <si>
    <t>312x740x312</t>
  </si>
  <si>
    <t>1538x1801</t>
  </si>
  <si>
    <t>PROGRAMAÇÃO ONDULADEIRA - PCBOX EMBALAGENS  —  OF: 001171</t>
  </si>
  <si>
    <t>884x1748</t>
  </si>
  <si>
    <t>8202</t>
  </si>
  <si>
    <t>893x1906</t>
  </si>
  <si>
    <t>8192</t>
  </si>
  <si>
    <t>722x1819</t>
  </si>
  <si>
    <t>176x350x176</t>
  </si>
  <si>
    <t>1190x1287</t>
  </si>
  <si>
    <t>155x275x155</t>
  </si>
  <si>
    <t>722x2148</t>
  </si>
  <si>
    <t>216x270x216</t>
  </si>
  <si>
    <t>1174x1700</t>
  </si>
  <si>
    <t>58x461x58</t>
  </si>
  <si>
    <t>CARTOMIL EMBALAGENS LTDA</t>
  </si>
  <si>
    <t>1130x1751</t>
  </si>
  <si>
    <t>1172x1660</t>
  </si>
  <si>
    <t>W55J0108</t>
  </si>
  <si>
    <t>880x1970</t>
  </si>
  <si>
    <t>1040x2195</t>
  </si>
  <si>
    <t>02/09/2026</t>
  </si>
  <si>
    <t>795x2000</t>
  </si>
  <si>
    <t>110x555x110</t>
  </si>
  <si>
    <t>912x1250</t>
  </si>
  <si>
    <t>14</t>
  </si>
  <si>
    <t>125x196x125</t>
  </si>
  <si>
    <t>8207</t>
  </si>
  <si>
    <t>825x1788</t>
  </si>
  <si>
    <t>205x395x205</t>
  </si>
  <si>
    <t>1119x1798</t>
  </si>
  <si>
    <t>940x1240</t>
  </si>
  <si>
    <t>18</t>
  </si>
  <si>
    <t>972x2460</t>
  </si>
  <si>
    <t>296x360x296</t>
  </si>
  <si>
    <t>1029x1459</t>
  </si>
  <si>
    <t>31</t>
  </si>
  <si>
    <t>1144x1988</t>
  </si>
  <si>
    <t>206x150x206</t>
  </si>
  <si>
    <t>PROGRAMAÇÃO ONDULADEIRA - ABAPEL COMERCIO DE EMBALAGENS LTDA  —  OF: 001174</t>
  </si>
  <si>
    <t>1036x2201</t>
  </si>
  <si>
    <t>222x99x374x99x222</t>
  </si>
  <si>
    <t>1706</t>
  </si>
  <si>
    <t>PCBOX EMBALAGENS LTDA</t>
  </si>
  <si>
    <t>1138x1409</t>
  </si>
  <si>
    <t>147x265x147</t>
  </si>
  <si>
    <t>1705</t>
  </si>
  <si>
    <t>IPE EMBALAGENS LTDA</t>
  </si>
  <si>
    <t>1338x2183</t>
  </si>
  <si>
    <t>292x100x534x100x292</t>
  </si>
  <si>
    <t>292x115x534x115x292</t>
  </si>
  <si>
    <t>724x1923</t>
  </si>
  <si>
    <t>197x310x197</t>
  </si>
  <si>
    <t>PROGRAMAÇÃO ONDULADEIRA - PCBOX EMBALAGENS LTDA - IPE EMBALAGENS LTDA  —  OF: 001175</t>
  </si>
  <si>
    <t>970x1365</t>
  </si>
  <si>
    <t>1698</t>
  </si>
  <si>
    <t>04/09/2026</t>
  </si>
  <si>
    <t>957x2088</t>
  </si>
  <si>
    <t>1553</t>
  </si>
  <si>
    <t>1004x1910</t>
  </si>
  <si>
    <t>65x854x65</t>
  </si>
  <si>
    <t>1608</t>
  </si>
  <si>
    <t>1074x1520</t>
  </si>
  <si>
    <t>65x924x65</t>
  </si>
  <si>
    <t>1074x1910</t>
  </si>
  <si>
    <t>1320x1970</t>
  </si>
  <si>
    <t>675x1683</t>
  </si>
  <si>
    <t>163x329x163</t>
  </si>
  <si>
    <t>1643</t>
  </si>
  <si>
    <t>1044x1865</t>
  </si>
  <si>
    <t>1149x1301</t>
  </si>
  <si>
    <t>1655</t>
  </si>
  <si>
    <t>1212x2521</t>
  </si>
  <si>
    <t>211x194x382x194x211</t>
  </si>
  <si>
    <t>PROGRAMAÇÃO ONDULADEIRA - IPE EMBALAGENS  —  OF: 001176</t>
  </si>
  <si>
    <t>995x2080</t>
  </si>
  <si>
    <t>114x97x114</t>
  </si>
  <si>
    <t>063</t>
  </si>
  <si>
    <t>P50C</t>
  </si>
  <si>
    <t>FAVINCO EMBALAGENS</t>
  </si>
  <si>
    <t>681x1580</t>
  </si>
  <si>
    <t>140x336x140</t>
  </si>
  <si>
    <t>1160x1820</t>
  </si>
  <si>
    <t>88x109x176x109x88</t>
  </si>
  <si>
    <t>062</t>
  </si>
  <si>
    <t>PROGRAMAÇÃO ONDULADEIRA - FAVINCO EMBALAGENS  —  OF: 001177</t>
  </si>
  <si>
    <t>929x1997</t>
  </si>
  <si>
    <t>8211</t>
  </si>
  <si>
    <t>03/09/2026</t>
  </si>
  <si>
    <t>802x1588</t>
  </si>
  <si>
    <t>201x410x171</t>
  </si>
  <si>
    <t>948x1228</t>
  </si>
  <si>
    <t>131x202x131</t>
  </si>
  <si>
    <t>1156x1528</t>
  </si>
  <si>
    <t>154x260x154</t>
  </si>
  <si>
    <t>PROGRAMAÇÃO ONDULADEIRA - ABAPEL COMERCIO DE EMBALAGENS LTDA  —  OF: 001178</t>
  </si>
  <si>
    <t>1020x1880</t>
  </si>
  <si>
    <t>509</t>
  </si>
  <si>
    <t>1048x1940</t>
  </si>
  <si>
    <t>52x410x52</t>
  </si>
  <si>
    <t>1420x1370</t>
  </si>
  <si>
    <t>968x2380</t>
  </si>
  <si>
    <t>956x3140</t>
  </si>
  <si>
    <t>368x200x368</t>
  </si>
  <si>
    <t>1148x1386</t>
  </si>
  <si>
    <t>112x340x112</t>
  </si>
  <si>
    <t>1236x2318</t>
  </si>
  <si>
    <t>706x2490</t>
  </si>
  <si>
    <t>243x200x243</t>
  </si>
  <si>
    <t>704x3150</t>
  </si>
  <si>
    <t>242x200x242</t>
  </si>
  <si>
    <t>PROGRAMAÇÃO ONDULADEIRA - RM Embalagens   —  OF: 001179</t>
  </si>
  <si>
    <t>1142x1331</t>
  </si>
  <si>
    <t>135x291x135</t>
  </si>
  <si>
    <t>03092026</t>
  </si>
  <si>
    <t>778x1918</t>
  </si>
  <si>
    <t>70x618x70</t>
  </si>
  <si>
    <t>1216x1711</t>
  </si>
  <si>
    <t>213x770x213</t>
  </si>
  <si>
    <t>02092026</t>
  </si>
  <si>
    <t>1256x2611</t>
  </si>
  <si>
    <t>283x670x283</t>
  </si>
  <si>
    <t>PROGRAMAÇÃO ONDULADEIRA - HARMONY EMBALAGENS  —  OF: 001180</t>
  </si>
  <si>
    <t>1140x1840</t>
  </si>
  <si>
    <t>04092026</t>
  </si>
  <si>
    <t>Tolecaixas Indústria e Comércio Ltda</t>
  </si>
  <si>
    <t>1190x2150</t>
  </si>
  <si>
    <t>1140x1730</t>
  </si>
  <si>
    <t>850x1910</t>
  </si>
  <si>
    <t>940x2180</t>
  </si>
  <si>
    <t>PROGRAMAÇÃO ONDULADEIRA - Tolecaixas Indústria e Comércio Ltda  —  OF: 001181</t>
  </si>
  <si>
    <t>806x1805</t>
  </si>
  <si>
    <t>2117</t>
  </si>
  <si>
    <t>08/09/2026</t>
  </si>
  <si>
    <t>PROGRAMAÇÃO ONDULADEIRA - Z4A EMBALAGENS LTDA  —  OF: 001182</t>
  </si>
  <si>
    <t>7/2026</t>
  </si>
  <si>
    <t>870x1925</t>
  </si>
  <si>
    <t>W55J09</t>
  </si>
  <si>
    <t>PROGRAMAÇÃO ONDULADEIRA - CARTOMIL EMBALAGENS LTDA  —  OF: 001183</t>
  </si>
  <si>
    <t>1142x1780</t>
  </si>
  <si>
    <t>52x270x52</t>
  </si>
  <si>
    <t>510</t>
  </si>
  <si>
    <t>07/09/2026</t>
  </si>
  <si>
    <t>920x1820</t>
  </si>
  <si>
    <t>942x1340</t>
  </si>
  <si>
    <t>760x1520</t>
  </si>
  <si>
    <t>1460x1558</t>
  </si>
  <si>
    <t>991x1280</t>
  </si>
  <si>
    <t>976x1250</t>
  </si>
  <si>
    <t>1094x1290</t>
  </si>
  <si>
    <t>1310x1610</t>
  </si>
  <si>
    <t>710x2090</t>
  </si>
  <si>
    <t>1568x1640</t>
  </si>
  <si>
    <t>PROGRAMAÇÃO ONDULADEIRA - RM Embalagens  —  OF: 001184</t>
  </si>
  <si>
    <t>792x1780</t>
  </si>
  <si>
    <t>191x390x191</t>
  </si>
  <si>
    <t>8218</t>
  </si>
  <si>
    <t>688x1568</t>
  </si>
  <si>
    <t>154x360x154</t>
  </si>
  <si>
    <t>8214</t>
  </si>
  <si>
    <t>1088x1395</t>
  </si>
  <si>
    <t>792x1779</t>
  </si>
  <si>
    <t>964x1279</t>
  </si>
  <si>
    <t>121x230x121</t>
  </si>
  <si>
    <t>77x155x77</t>
  </si>
  <si>
    <t>1143.0</t>
  </si>
  <si>
    <t>0.1588</t>
  </si>
  <si>
    <t>9.53</t>
  </si>
  <si>
    <t>0.618</t>
  </si>
  <si>
    <t>0.0492</t>
  </si>
  <si>
    <t>947x1544</t>
  </si>
  <si>
    <t>100x102x100</t>
  </si>
  <si>
    <t>259.4</t>
  </si>
  <si>
    <t>0.0360</t>
  </si>
  <si>
    <t>2.16</t>
  </si>
  <si>
    <t>0.604</t>
  </si>
  <si>
    <t>0.0708</t>
  </si>
  <si>
    <t>926x1840</t>
  </si>
  <si>
    <t>1295x1777</t>
  </si>
  <si>
    <t>296x72x539x72x296</t>
  </si>
  <si>
    <t>1715</t>
  </si>
  <si>
    <t>1263x1545</t>
  </si>
  <si>
    <t>271x106x489x106x271</t>
  </si>
  <si>
    <t>1171x1329</t>
  </si>
  <si>
    <t>281x119x509x119x281</t>
  </si>
  <si>
    <t>969x1556</t>
  </si>
  <si>
    <t>206x89x359x89x206</t>
  </si>
  <si>
    <t>1713</t>
  </si>
  <si>
    <t>660x1423</t>
  </si>
  <si>
    <t>150x340x150</t>
  </si>
  <si>
    <t>1712</t>
  </si>
  <si>
    <t>PROGRAMAÇÃO ONDULADEIRA - PCBOX EMBALAGENS LTDA - IPE EMBALAGENS LTDA  —  OF: 001187</t>
  </si>
  <si>
    <t>898x1350</t>
  </si>
  <si>
    <t>148x143x148</t>
  </si>
  <si>
    <t>066</t>
  </si>
  <si>
    <t>09/09/2026</t>
  </si>
  <si>
    <t>932x1410</t>
  </si>
  <si>
    <t>153x150x153</t>
  </si>
  <si>
    <t>PROGRAMAÇÃO ONDULADEIRA - FAVINCO EMBALAGENS  —  OF: 001188</t>
  </si>
  <si>
    <t>1100x2180</t>
  </si>
  <si>
    <t>10092026</t>
  </si>
  <si>
    <t>10/09/2026</t>
  </si>
  <si>
    <t>DR Embalagens</t>
  </si>
  <si>
    <t>1140x1700</t>
  </si>
  <si>
    <t>840x1660</t>
  </si>
  <si>
    <t>PROGRAMAÇÃO ONDULADEIRA - DR Embalagens  —  OF: 001189</t>
  </si>
  <si>
    <t>929x1910</t>
  </si>
  <si>
    <t>89x125x89</t>
  </si>
  <si>
    <t>008</t>
  </si>
  <si>
    <t>Renovapel Reciclagem de Papeis Ltda</t>
  </si>
  <si>
    <t>1001x1790</t>
  </si>
  <si>
    <t>96x135x94</t>
  </si>
  <si>
    <t>1064x1790</t>
  </si>
  <si>
    <t>94x160x94</t>
  </si>
  <si>
    <t>1130x1770</t>
  </si>
  <si>
    <t>216x330x216</t>
  </si>
  <si>
    <t>782x2120</t>
  </si>
  <si>
    <t>PROGRAMAÇÃO ONDULADEIRA - Renovapel Reciclagem de Papeis Ltda  —  OF: 001192</t>
  </si>
  <si>
    <t>1368x1448</t>
  </si>
  <si>
    <t>1264x2488</t>
  </si>
  <si>
    <t>FAVINCO</t>
  </si>
  <si>
    <t>1136x2028</t>
  </si>
  <si>
    <t>932x1700</t>
  </si>
  <si>
    <t>1290</t>
  </si>
  <si>
    <t>11/09/2026</t>
  </si>
  <si>
    <t>CARPELL LTDA</t>
  </si>
  <si>
    <t>1052x1280</t>
  </si>
  <si>
    <t>97x105x97</t>
  </si>
  <si>
    <t>828x1700</t>
  </si>
  <si>
    <t>102x170x102</t>
  </si>
  <si>
    <t>950x1220</t>
  </si>
  <si>
    <t>50x825x50</t>
  </si>
  <si>
    <t>1010x1540</t>
  </si>
  <si>
    <t>1148x2180</t>
  </si>
  <si>
    <t>1200x2020</t>
  </si>
  <si>
    <t>30x530x30</t>
  </si>
  <si>
    <t>1180x2180</t>
  </si>
  <si>
    <t>30x520x30</t>
  </si>
  <si>
    <t>920x1865</t>
  </si>
  <si>
    <t>50x500x50</t>
  </si>
  <si>
    <t>884x1460</t>
  </si>
  <si>
    <t>680x1220</t>
  </si>
  <si>
    <t>920x1970</t>
  </si>
  <si>
    <t>920x1520</t>
  </si>
  <si>
    <t>730x1380</t>
  </si>
  <si>
    <t>729x1920</t>
  </si>
  <si>
    <t>157x395x157</t>
  </si>
  <si>
    <t>729x1300</t>
  </si>
  <si>
    <t>1008x1580</t>
  </si>
  <si>
    <t>730x1480</t>
  </si>
  <si>
    <t>730x1280</t>
  </si>
  <si>
    <t>PROGRAMAÇÃO ONDULADEIRA - CARPELL LTDA  —  OF: 001195</t>
  </si>
  <si>
    <t>930x1997</t>
  </si>
  <si>
    <t>8230</t>
  </si>
  <si>
    <t>912x1249</t>
  </si>
  <si>
    <t>1461x1870</t>
  </si>
  <si>
    <t>308x825x308</t>
  </si>
  <si>
    <t>1008x2198</t>
  </si>
  <si>
    <t>1030x2032</t>
  </si>
  <si>
    <t>1315x1230</t>
  </si>
  <si>
    <t>826x1542</t>
  </si>
  <si>
    <t>873x2125</t>
  </si>
  <si>
    <t>1175x2150</t>
  </si>
  <si>
    <t>70x70x75x70x400x75x335x60</t>
  </si>
  <si>
    <t>PROGRAMAÇÃO ONDULADEIRA - ABAPEL COMERCIO DE EMBALAGENS LTDA  —  OF: 001196</t>
  </si>
  <si>
    <t>1106x1920</t>
  </si>
  <si>
    <t>93x357x93</t>
  </si>
  <si>
    <t>068</t>
  </si>
  <si>
    <t>PROGRAMAÇÃO ONDULADEIRA - FAVINCO EMBALAGENS  —  OF: 001197</t>
  </si>
  <si>
    <t>P50B</t>
  </si>
  <si>
    <t>140x170x140</t>
  </si>
  <si>
    <t>130x265x130</t>
  </si>
  <si>
    <t>1070x1310</t>
  </si>
  <si>
    <t>138x270x138</t>
  </si>
  <si>
    <t>1112x1430</t>
  </si>
  <si>
    <t>295x523x295</t>
  </si>
  <si>
    <t>1133x2430</t>
  </si>
  <si>
    <t>920x1938</t>
  </si>
  <si>
    <t>000</t>
  </si>
  <si>
    <t>14/09/2026</t>
  </si>
  <si>
    <t>PROGRAMAÇÃO ONDULADEIRA - HARMONY EMBALAGENS  —  OF: 001199</t>
  </si>
  <si>
    <t>1022x1598</t>
  </si>
  <si>
    <t>83x168x83</t>
  </si>
  <si>
    <t>14092026</t>
  </si>
  <si>
    <t>1025x1918</t>
  </si>
  <si>
    <t>116x103x116</t>
  </si>
  <si>
    <t>870x1269</t>
  </si>
  <si>
    <t>936x1907</t>
  </si>
  <si>
    <t>908x2118</t>
  </si>
  <si>
    <t>113x218x113</t>
  </si>
  <si>
    <t>980x1518</t>
  </si>
  <si>
    <t>1042x2198</t>
  </si>
  <si>
    <t>1189x2076</t>
  </si>
  <si>
    <t>123x268x123</t>
  </si>
  <si>
    <t>1070x1480</t>
  </si>
  <si>
    <t>1070x1820</t>
  </si>
  <si>
    <t>1020x1640</t>
  </si>
  <si>
    <t>922x1938</t>
  </si>
  <si>
    <t>908x1519</t>
  </si>
  <si>
    <t>214092026</t>
  </si>
  <si>
    <t>1000x1569</t>
  </si>
  <si>
    <t>PROGRAMAÇÃO ONDULADEIRA - HARMONY EMBALAGENS  —  OF: 001200</t>
  </si>
  <si>
    <t>982x2139</t>
  </si>
  <si>
    <t>8237</t>
  </si>
  <si>
    <t>642x2220</t>
  </si>
  <si>
    <t>201x220x201</t>
  </si>
  <si>
    <t>662x2098</t>
  </si>
  <si>
    <t>732x2210</t>
  </si>
  <si>
    <t>231x250x231</t>
  </si>
  <si>
    <t>PROGRAMAÇÃO ONDULADEIRA - ABAPEL COMERCIO DE EMBALAGENS LTDA  —  OF: 001201</t>
  </si>
  <si>
    <t>1100x2020</t>
  </si>
  <si>
    <t>1020x2090</t>
  </si>
  <si>
    <t>932x1581</t>
  </si>
  <si>
    <t>154x148x154</t>
  </si>
  <si>
    <t>1731</t>
  </si>
  <si>
    <t>15/09/2026</t>
  </si>
  <si>
    <t>1120x3020</t>
  </si>
  <si>
    <t>1732</t>
  </si>
  <si>
    <t>686x1617</t>
  </si>
  <si>
    <t>150x270x150</t>
  </si>
  <si>
    <t>1734</t>
  </si>
  <si>
    <t>148x370x148</t>
  </si>
  <si>
    <t>PROGRAMAÇÃO ONDULADEIRA - IPE EMBALAGENS LTDA - PCBOX EMBALAGENS LTDA  —  OF: 001203</t>
  </si>
  <si>
    <t>W55R15</t>
  </si>
  <si>
    <t>1156x1820</t>
  </si>
  <si>
    <t>150x345x150</t>
  </si>
  <si>
    <t>665x1546</t>
  </si>
  <si>
    <t>1038x1955</t>
  </si>
  <si>
    <t>662x2099</t>
  </si>
  <si>
    <t>101x195x101</t>
  </si>
  <si>
    <t>814x2100</t>
  </si>
  <si>
    <t>162x190x162</t>
  </si>
  <si>
    <t>1048x1362</t>
  </si>
  <si>
    <t>1070x1780</t>
  </si>
  <si>
    <t>995x1620</t>
  </si>
  <si>
    <t>87x105x87</t>
  </si>
  <si>
    <t>1136x2024</t>
  </si>
  <si>
    <t>90x185x90</t>
  </si>
  <si>
    <t>1115x2100</t>
  </si>
  <si>
    <t>990x1440</t>
  </si>
  <si>
    <t>80x810x80</t>
  </si>
  <si>
    <t>1062x2080</t>
  </si>
  <si>
    <t>102x317x102</t>
  </si>
  <si>
    <t>1110x1820</t>
  </si>
  <si>
    <t>130x285x130</t>
  </si>
  <si>
    <t>1200x1460</t>
  </si>
  <si>
    <t>90x1000x90</t>
  </si>
  <si>
    <t>980x2150</t>
  </si>
  <si>
    <t>50x610x50</t>
  </si>
  <si>
    <t>856x2120</t>
  </si>
  <si>
    <t>118x600x118</t>
  </si>
  <si>
    <t>966x2380</t>
  </si>
  <si>
    <t>143x662x143</t>
  </si>
  <si>
    <t>1368x1516</t>
  </si>
  <si>
    <t>699x1370</t>
  </si>
  <si>
    <t>166x347x166</t>
  </si>
  <si>
    <t>2095</t>
  </si>
  <si>
    <t>1025x1780</t>
  </si>
  <si>
    <t>2113</t>
  </si>
  <si>
    <t>36</t>
  </si>
  <si>
    <t>36147</t>
  </si>
  <si>
    <t>666x1863</t>
  </si>
  <si>
    <t>23</t>
  </si>
  <si>
    <t>152x342x152</t>
  </si>
  <si>
    <t>36184</t>
  </si>
  <si>
    <t>PROGRAMAÇÃO ONDULADEIRA - Z4A EMBALAGENS LTDA  —  OF: 001210</t>
  </si>
  <si>
    <t>780x1820</t>
  </si>
  <si>
    <t>1096x1443</t>
  </si>
  <si>
    <t>1746</t>
  </si>
  <si>
    <t>17/09/2026</t>
  </si>
  <si>
    <t>1741</t>
  </si>
  <si>
    <t>1152x1483</t>
  </si>
  <si>
    <t>1745</t>
  </si>
  <si>
    <t>694x1543</t>
  </si>
  <si>
    <t>1747</t>
  </si>
  <si>
    <t>PROGRAMAÇÃO ONDULADEIRA - IPE EMBALAGENS LTDA - PCBOX EMBALAGENS LTDA  —  OF: 001212</t>
  </si>
  <si>
    <t>1182x1600</t>
  </si>
  <si>
    <t>193x195x193</t>
  </si>
  <si>
    <t>8248</t>
  </si>
  <si>
    <t>1114x1460</t>
  </si>
  <si>
    <t>176x195x176</t>
  </si>
  <si>
    <t>752x1694</t>
  </si>
  <si>
    <t>186x360x186</t>
  </si>
  <si>
    <t>PROGRAMAÇÃO ONDULADEIRA - ABAPEL COMERCIO DE EMBALAGENS LTDA  —  OF: 001213</t>
  </si>
  <si>
    <t>PROGRAMAÇÃO ONDULADEIRA - RM Embalagens   —  OF: 001209</t>
  </si>
  <si>
    <t>RM Embalagens</t>
  </si>
  <si>
    <t>17092026</t>
  </si>
  <si>
    <t>1080x1380</t>
  </si>
  <si>
    <t>1170x1740</t>
  </si>
  <si>
    <t>980x1270</t>
  </si>
  <si>
    <t>PROGRAMAÇÃO ONDULADEIRA - Tolecaixas Indústria e Comércio Ltda  —  OF: 001215</t>
  </si>
  <si>
    <t>934x1413</t>
  </si>
  <si>
    <t>125x207x125</t>
  </si>
  <si>
    <t>36360</t>
  </si>
  <si>
    <t>16/09/2026</t>
  </si>
  <si>
    <t>1004x1283</t>
  </si>
  <si>
    <t>135x222x135</t>
  </si>
  <si>
    <t>36358</t>
  </si>
  <si>
    <t>PROGRAMAÇÃO ONDULADEIRA - Z4A EMBALAGENS LTDA  —  OF: 001216</t>
  </si>
  <si>
    <t>1124x1478</t>
  </si>
  <si>
    <t>120x128x120</t>
  </si>
  <si>
    <t>18-09-26</t>
  </si>
  <si>
    <t>18/09/2026</t>
  </si>
  <si>
    <t>868x1598</t>
  </si>
  <si>
    <t>78x268x78</t>
  </si>
  <si>
    <t>1169x2132</t>
  </si>
  <si>
    <t>1172x1769</t>
  </si>
  <si>
    <t>1172x2099</t>
  </si>
  <si>
    <t>71x1010x71</t>
  </si>
  <si>
    <t>684x1269</t>
  </si>
  <si>
    <t>153x358x153</t>
  </si>
  <si>
    <t>956x1209</t>
  </si>
  <si>
    <t>996x1289</t>
  </si>
  <si>
    <t>782x2099</t>
  </si>
  <si>
    <t>71x620x71</t>
  </si>
  <si>
    <t>PROGRAMAÇÃO ONDULADEIRA - HARMONY EMBALAGENS  —  OF: 001217</t>
  </si>
  <si>
    <t>1514x2583</t>
  </si>
  <si>
    <t>1464x2403</t>
  </si>
  <si>
    <t>1408x1523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</si>
</sst>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24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3"/>
      <color rgb="FF0F1E2E"/>
      <name val="Calibri"/>
      <family val="2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FF0000"/>
      <name val="Calibri"/>
      <family val="2"/>
    </font>
    <font>
      <sz val="12"/>
      <name val="Calibri"/>
      <family val="2"/>
    </font>
    <font>
      <b/>
      <sz val="12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sz val="11"/>
      <name val="Calibri"/>
      <family val="2"/>
    </font>
    <font>
      <b/>
      <sz val="12"/>
      <color rgb="FFFFFFFF"/>
      <name val="Calibri"/>
      <family val="2"/>
    </font>
    <font>
      <b/>
      <sz val="12"/>
      <color rgb="FFFF0000"/>
      <name val="Calibri"/>
      <family val="2"/>
    </font>
    <font>
      <sz val="11"/>
      <color rgb="FFFF0000"/>
      <name val="Calibri"/>
      <family val="2"/>
    </font>
    <font>
      <sz val="12"/>
      <color rgb="FFFF0000"/>
      <name val="Calibri"/>
      <family val="2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  <font>
      <b/>
      <sz val="11"/>
      <color rgb="FFFF0000"/>
      <name val="Calibri"/>
      <family val="2"/>
    </font>
    <font>
      <sz val="8"/>
      <name val="Calibri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</fills>
  <borders count="2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</borders>
  <cellStyleXfs count="4">
    <xf numFmtId="0" fontId="0" fillId="0" borderId="0"/>
    <xf numFmtId="0" fontId="4" fillId="0" borderId="0"/>
    <xf numFmtId="0" fontId="6" fillId="0" borderId="0"/>
    <xf numFmtId="0" fontId="18" fillId="0" borderId="0"/>
  </cellStyleXfs>
  <cellXfs count="230">
    <xf numFmtId="0" fontId="0" fillId="0" borderId="0" xfId="0" applyFont="1" applyAlignment="1"/>
    <xf numFmtId="0" fontId="4" fillId="0" borderId="0" xfId="1"/>
    <xf numFmtId="0" fontId="3" fillId="4" borderId="1" xfId="1" applyFont="1" applyFill="1" applyBorder="1" applyAlignment="1">
      <alignment horizontal="center" vertical="center" wrapText="1"/>
    </xf>
    <xf numFmtId="0" fontId="6" fillId="0" borderId="0" xfId="2"/>
    <xf numFmtId="0" fontId="7" fillId="4" borderId="1" xfId="2" applyFont="1" applyFill="1" applyBorder="1" applyAlignment="1">
      <alignment horizontal="center" vertical="center" wrapText="1"/>
    </xf>
    <xf numFmtId="0" fontId="4" fillId="3" borderId="1" xfId="1" applyFill="1" applyBorder="1" applyAlignment="1">
      <alignment horizontal="center" vertical="center"/>
    </xf>
    <xf numFmtId="166" fontId="4" fillId="3" borderId="1" xfId="1" applyNumberFormat="1" applyFill="1" applyBorder="1" applyAlignment="1">
      <alignment horizontal="center" vertical="center"/>
    </xf>
    <xf numFmtId="164" fontId="4" fillId="3" borderId="1" xfId="1" applyNumberFormat="1" applyFill="1" applyBorder="1" applyAlignment="1">
      <alignment horizontal="center" vertical="center"/>
    </xf>
    <xf numFmtId="2" fontId="4" fillId="3" borderId="1" xfId="1" applyNumberFormat="1" applyFill="1" applyBorder="1" applyAlignment="1">
      <alignment horizontal="center" vertical="center"/>
    </xf>
    <xf numFmtId="165" fontId="4" fillId="3" borderId="1" xfId="1" applyNumberFormat="1" applyFill="1" applyBorder="1" applyAlignment="1">
      <alignment horizontal="center" vertical="center"/>
    </xf>
    <xf numFmtId="0" fontId="5" fillId="3" borderId="1" xfId="1" applyFont="1" applyFill="1" applyBorder="1" applyAlignment="1">
      <alignment horizontal="center" vertical="center"/>
    </xf>
    <xf numFmtId="0" fontId="5" fillId="2" borderId="1" xfId="1" applyFont="1" applyFill="1" applyBorder="1" applyAlignment="1">
      <alignment horizontal="center" vertical="center"/>
    </xf>
    <xf numFmtId="0" fontId="4" fillId="0" borderId="0" xfId="1" applyAlignment="1">
      <alignment horizontal="center" vertical="center"/>
    </xf>
    <xf numFmtId="14" fontId="4" fillId="3" borderId="1" xfId="1" applyNumberFormat="1" applyFill="1" applyBorder="1" applyAlignment="1">
      <alignment horizontal="center" vertical="center"/>
    </xf>
    <xf numFmtId="0" fontId="9" fillId="3" borderId="1" xfId="2" applyFont="1" applyFill="1" applyBorder="1" applyAlignment="1">
      <alignment horizontal="center" vertical="center"/>
    </xf>
    <xf numFmtId="0" fontId="10" fillId="3" borderId="1" xfId="2" applyFont="1" applyFill="1" applyBorder="1" applyAlignment="1">
      <alignment horizontal="center" vertical="center"/>
    </xf>
    <xf numFmtId="164" fontId="9" fillId="3" borderId="1" xfId="2" applyNumberFormat="1" applyFont="1" applyFill="1" applyBorder="1" applyAlignment="1">
      <alignment horizontal="center" vertical="center"/>
    </xf>
    <xf numFmtId="165" fontId="9" fillId="3" borderId="1" xfId="2" applyNumberFormat="1" applyFont="1" applyFill="1" applyBorder="1" applyAlignment="1">
      <alignment horizontal="center" vertical="center"/>
    </xf>
    <xf numFmtId="166" fontId="9" fillId="3" borderId="1" xfId="2" applyNumberFormat="1" applyFont="1" applyFill="1" applyBorder="1" applyAlignment="1">
      <alignment horizontal="center" vertical="center"/>
    </xf>
    <xf numFmtId="2" fontId="9" fillId="3" borderId="1" xfId="2" applyNumberFormat="1" applyFont="1" applyFill="1" applyBorder="1" applyAlignment="1">
      <alignment horizontal="center" vertical="center"/>
    </xf>
    <xf numFmtId="0" fontId="10" fillId="2" borderId="1" xfId="2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164" fontId="4" fillId="3" borderId="1" xfId="0" applyNumberFormat="1" applyFont="1" applyFill="1" applyBorder="1" applyAlignment="1">
      <alignment horizontal="center" vertical="center"/>
    </xf>
    <xf numFmtId="165" fontId="4" fillId="3" borderId="1" xfId="0" applyNumberFormat="1" applyFont="1" applyFill="1" applyBorder="1" applyAlignment="1">
      <alignment horizontal="center" vertical="center"/>
    </xf>
    <xf numFmtId="166" fontId="4" fillId="3" borderId="1" xfId="0" applyNumberFormat="1" applyFont="1" applyFill="1" applyBorder="1" applyAlignment="1">
      <alignment horizontal="center" vertical="center"/>
    </xf>
    <xf numFmtId="2" fontId="4" fillId="3" borderId="1" xfId="0" applyNumberFormat="1" applyFont="1" applyFill="1" applyBorder="1" applyAlignment="1">
      <alignment horizontal="center" vertical="center"/>
    </xf>
    <xf numFmtId="0" fontId="5" fillId="2" borderId="1" xfId="1" applyFont="1" applyFill="1" applyBorder="1" applyAlignment="1">
      <alignment horizontal="right"/>
    </xf>
    <xf numFmtId="0" fontId="5" fillId="2" borderId="1" xfId="1" applyFont="1" applyFill="1" applyBorder="1" applyAlignment="1">
      <alignment horizontal="left"/>
    </xf>
    <xf numFmtId="0" fontId="4" fillId="3" borderId="1" xfId="1" applyFill="1" applyBorder="1" applyAlignment="1">
      <alignment horizontal="right"/>
    </xf>
    <xf numFmtId="166" fontId="4" fillId="3" borderId="1" xfId="1" applyNumberFormat="1" applyFill="1" applyBorder="1" applyAlignment="1">
      <alignment horizontal="right"/>
    </xf>
    <xf numFmtId="164" fontId="4" fillId="3" borderId="1" xfId="1" applyNumberFormat="1" applyFill="1" applyBorder="1" applyAlignment="1">
      <alignment horizontal="right"/>
    </xf>
    <xf numFmtId="2" fontId="4" fillId="3" borderId="1" xfId="1" applyNumberFormat="1" applyFill="1" applyBorder="1" applyAlignment="1">
      <alignment horizontal="right"/>
    </xf>
    <xf numFmtId="165" fontId="4" fillId="3" borderId="1" xfId="1" applyNumberFormat="1" applyFill="1" applyBorder="1" applyAlignment="1">
      <alignment horizontal="right"/>
    </xf>
    <xf numFmtId="0" fontId="4" fillId="3" borderId="1" xfId="1" applyFill="1" applyBorder="1" applyAlignment="1">
      <alignment horizontal="left"/>
    </xf>
    <xf numFmtId="164" fontId="4" fillId="3" borderId="1" xfId="1" applyNumberFormat="1" applyFill="1" applyBorder="1" applyAlignment="1">
      <alignment horizontal="left"/>
    </xf>
    <xf numFmtId="0" fontId="5" fillId="3" borderId="1" xfId="1" applyFont="1" applyFill="1" applyBorder="1" applyAlignment="1">
      <alignment horizontal="left"/>
    </xf>
    <xf numFmtId="0" fontId="5" fillId="2" borderId="1" xfId="1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164" fontId="6" fillId="3" borderId="1" xfId="0" applyNumberFormat="1" applyFont="1" applyFill="1" applyBorder="1" applyAlignment="1">
      <alignment horizontal="center" vertical="center"/>
    </xf>
    <xf numFmtId="165" fontId="6" fillId="3" borderId="1" xfId="0" applyNumberFormat="1" applyFont="1" applyFill="1" applyBorder="1" applyAlignment="1">
      <alignment horizontal="center" vertical="center"/>
    </xf>
    <xf numFmtId="166" fontId="6" fillId="3" borderId="1" xfId="0" applyNumberFormat="1" applyFont="1" applyFill="1" applyBorder="1" applyAlignment="1">
      <alignment horizontal="center" vertical="center"/>
    </xf>
    <xf numFmtId="2" fontId="6" fillId="3" borderId="1" xfId="0" applyNumberFormat="1" applyFont="1" applyFill="1" applyBorder="1" applyAlignment="1">
      <alignment horizontal="center" vertical="center"/>
    </xf>
    <xf numFmtId="0" fontId="4" fillId="0" borderId="0" xfId="1" applyAlignment="1">
      <alignment horizontal="center"/>
    </xf>
    <xf numFmtId="0" fontId="6" fillId="0" borderId="0" xfId="2" applyAlignment="1">
      <alignment horizontal="center" vertical="center"/>
    </xf>
    <xf numFmtId="0" fontId="13" fillId="2" borderId="1" xfId="2" applyFont="1" applyFill="1" applyBorder="1" applyAlignment="1">
      <alignment horizontal="center" vertical="center"/>
    </xf>
    <xf numFmtId="0" fontId="6" fillId="3" borderId="1" xfId="2" applyFill="1" applyBorder="1" applyAlignment="1">
      <alignment horizontal="center" vertical="center"/>
    </xf>
    <xf numFmtId="166" fontId="6" fillId="3" borderId="1" xfId="2" applyNumberFormat="1" applyFill="1" applyBorder="1" applyAlignment="1">
      <alignment horizontal="center" vertical="center"/>
    </xf>
    <xf numFmtId="164" fontId="6" fillId="3" borderId="1" xfId="2" applyNumberFormat="1" applyFill="1" applyBorder="1" applyAlignment="1">
      <alignment horizontal="center" vertical="center"/>
    </xf>
    <xf numFmtId="2" fontId="6" fillId="3" borderId="1" xfId="2" applyNumberFormat="1" applyFill="1" applyBorder="1" applyAlignment="1">
      <alignment horizontal="center" vertical="center"/>
    </xf>
    <xf numFmtId="165" fontId="6" fillId="3" borderId="1" xfId="2" applyNumberFormat="1" applyFill="1" applyBorder="1" applyAlignment="1">
      <alignment horizontal="center" vertical="center"/>
    </xf>
    <xf numFmtId="0" fontId="13" fillId="3" borderId="1" xfId="2" applyFont="1" applyFill="1" applyBorder="1" applyAlignment="1">
      <alignment horizontal="center" vertical="center"/>
    </xf>
    <xf numFmtId="0" fontId="11" fillId="3" borderId="1" xfId="0" applyFont="1" applyFill="1" applyBorder="1" applyAlignment="1">
      <alignment horizontal="center" vertical="center"/>
    </xf>
    <xf numFmtId="0" fontId="12" fillId="3" borderId="1" xfId="0" applyFont="1" applyFill="1" applyBorder="1" applyAlignment="1">
      <alignment horizontal="center" vertical="center"/>
    </xf>
    <xf numFmtId="164" fontId="11" fillId="3" borderId="1" xfId="0" applyNumberFormat="1" applyFont="1" applyFill="1" applyBorder="1" applyAlignment="1">
      <alignment horizontal="center" vertical="center"/>
    </xf>
    <xf numFmtId="165" fontId="11" fillId="3" borderId="1" xfId="0" applyNumberFormat="1" applyFont="1" applyFill="1" applyBorder="1" applyAlignment="1">
      <alignment horizontal="center" vertical="center"/>
    </xf>
    <xf numFmtId="166" fontId="11" fillId="3" borderId="1" xfId="0" applyNumberFormat="1" applyFont="1" applyFill="1" applyBorder="1" applyAlignment="1">
      <alignment horizontal="center" vertical="center"/>
    </xf>
    <xf numFmtId="2" fontId="11" fillId="3" borderId="1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14" fontId="6" fillId="3" borderId="1" xfId="0" applyNumberFormat="1" applyFont="1" applyFill="1" applyBorder="1" applyAlignment="1">
      <alignment horizontal="center" vertical="center"/>
    </xf>
    <xf numFmtId="0" fontId="11" fillId="3" borderId="1" xfId="1" applyFont="1" applyFill="1" applyBorder="1" applyAlignment="1">
      <alignment horizontal="center" vertical="center"/>
    </xf>
    <xf numFmtId="164" fontId="11" fillId="3" borderId="1" xfId="1" applyNumberFormat="1" applyFont="1" applyFill="1" applyBorder="1" applyAlignment="1">
      <alignment horizontal="center" vertical="center"/>
    </xf>
    <xf numFmtId="165" fontId="11" fillId="3" borderId="1" xfId="1" applyNumberFormat="1" applyFont="1" applyFill="1" applyBorder="1" applyAlignment="1">
      <alignment horizontal="center" vertical="center"/>
    </xf>
    <xf numFmtId="166" fontId="11" fillId="3" borderId="1" xfId="1" applyNumberFormat="1" applyFont="1" applyFill="1" applyBorder="1" applyAlignment="1">
      <alignment horizontal="center" vertical="center"/>
    </xf>
    <xf numFmtId="2" fontId="11" fillId="3" borderId="1" xfId="1" applyNumberFormat="1" applyFont="1" applyFill="1" applyBorder="1" applyAlignment="1">
      <alignment horizontal="center" vertical="center"/>
    </xf>
    <xf numFmtId="0" fontId="11" fillId="0" borderId="0" xfId="1" applyFont="1" applyAlignment="1">
      <alignment horizontal="center" vertical="center"/>
    </xf>
    <xf numFmtId="0" fontId="13" fillId="2" borderId="1" xfId="2" applyFont="1" applyFill="1" applyBorder="1" applyAlignment="1">
      <alignment horizontal="right"/>
    </xf>
    <xf numFmtId="0" fontId="13" fillId="2" borderId="1" xfId="2" applyFont="1" applyFill="1" applyBorder="1" applyAlignment="1">
      <alignment horizontal="left"/>
    </xf>
    <xf numFmtId="0" fontId="6" fillId="3" borderId="1" xfId="2" applyFill="1" applyBorder="1" applyAlignment="1">
      <alignment horizontal="right"/>
    </xf>
    <xf numFmtId="166" fontId="6" fillId="3" borderId="1" xfId="2" applyNumberFormat="1" applyFill="1" applyBorder="1" applyAlignment="1">
      <alignment horizontal="right"/>
    </xf>
    <xf numFmtId="164" fontId="6" fillId="3" borderId="1" xfId="2" applyNumberFormat="1" applyFill="1" applyBorder="1" applyAlignment="1">
      <alignment horizontal="right"/>
    </xf>
    <xf numFmtId="2" fontId="6" fillId="3" borderId="1" xfId="2" applyNumberFormat="1" applyFill="1" applyBorder="1" applyAlignment="1">
      <alignment horizontal="right"/>
    </xf>
    <xf numFmtId="165" fontId="6" fillId="3" borderId="1" xfId="2" applyNumberFormat="1" applyFill="1" applyBorder="1" applyAlignment="1">
      <alignment horizontal="right"/>
    </xf>
    <xf numFmtId="0" fontId="6" fillId="3" borderId="1" xfId="2" applyFill="1" applyBorder="1" applyAlignment="1">
      <alignment horizontal="left"/>
    </xf>
    <xf numFmtId="164" fontId="6" fillId="3" borderId="1" xfId="2" applyNumberFormat="1" applyFill="1" applyBorder="1" applyAlignment="1">
      <alignment horizontal="left"/>
    </xf>
    <xf numFmtId="0" fontId="13" fillId="3" borderId="1" xfId="2" applyFont="1" applyFill="1" applyBorder="1" applyAlignment="1">
      <alignment horizontal="left"/>
    </xf>
    <xf numFmtId="49" fontId="3" fillId="4" borderId="1" xfId="1" applyNumberFormat="1" applyFont="1" applyFill="1" applyBorder="1" applyAlignment="1">
      <alignment horizontal="center" vertical="center"/>
    </xf>
    <xf numFmtId="49" fontId="4" fillId="3" borderId="1" xfId="1" applyNumberFormat="1" applyFill="1" applyBorder="1" applyAlignment="1">
      <alignment horizontal="center" vertical="center"/>
    </xf>
    <xf numFmtId="49" fontId="4" fillId="0" borderId="0" xfId="1" applyNumberFormat="1" applyAlignment="1"/>
    <xf numFmtId="49" fontId="13" fillId="2" borderId="1" xfId="1" applyNumberFormat="1" applyFont="1" applyFill="1" applyBorder="1" applyAlignment="1">
      <alignment horizontal="center" vertical="center"/>
    </xf>
    <xf numFmtId="0" fontId="9" fillId="3" borderId="1" xfId="1" applyFont="1" applyFill="1" applyBorder="1" applyAlignment="1">
      <alignment horizontal="center"/>
    </xf>
    <xf numFmtId="0" fontId="10" fillId="3" borderId="1" xfId="1" applyFont="1" applyFill="1" applyBorder="1" applyAlignment="1">
      <alignment horizontal="center"/>
    </xf>
    <xf numFmtId="164" fontId="9" fillId="3" borderId="1" xfId="1" applyNumberFormat="1" applyFont="1" applyFill="1" applyBorder="1" applyAlignment="1">
      <alignment horizontal="center"/>
    </xf>
    <xf numFmtId="165" fontId="9" fillId="3" borderId="1" xfId="1" applyNumberFormat="1" applyFont="1" applyFill="1" applyBorder="1" applyAlignment="1">
      <alignment horizontal="center"/>
    </xf>
    <xf numFmtId="166" fontId="9" fillId="3" borderId="1" xfId="1" applyNumberFormat="1" applyFont="1" applyFill="1" applyBorder="1" applyAlignment="1">
      <alignment horizontal="center"/>
    </xf>
    <xf numFmtId="2" fontId="9" fillId="3" borderId="1" xfId="1" applyNumberFormat="1" applyFont="1" applyFill="1" applyBorder="1" applyAlignment="1">
      <alignment horizontal="center"/>
    </xf>
    <xf numFmtId="0" fontId="9" fillId="0" borderId="0" xfId="1" applyFont="1" applyAlignment="1">
      <alignment horizontal="center"/>
    </xf>
    <xf numFmtId="0" fontId="4" fillId="0" borderId="0" xfId="1" applyAlignment="1">
      <alignment vertical="center"/>
    </xf>
    <xf numFmtId="0" fontId="14" fillId="4" borderId="1" xfId="2" applyFont="1" applyFill="1" applyBorder="1" applyAlignment="1">
      <alignment horizontal="center" vertical="center" wrapText="1"/>
    </xf>
    <xf numFmtId="0" fontId="9" fillId="3" borderId="1" xfId="1" applyFont="1" applyFill="1" applyBorder="1" applyAlignment="1">
      <alignment horizontal="center" vertical="center"/>
    </xf>
    <xf numFmtId="0" fontId="10" fillId="3" borderId="1" xfId="1" applyFont="1" applyFill="1" applyBorder="1" applyAlignment="1">
      <alignment horizontal="center" vertical="center"/>
    </xf>
    <xf numFmtId="164" fontId="9" fillId="3" borderId="1" xfId="1" applyNumberFormat="1" applyFont="1" applyFill="1" applyBorder="1" applyAlignment="1">
      <alignment horizontal="center" vertical="center"/>
    </xf>
    <xf numFmtId="165" fontId="9" fillId="3" borderId="1" xfId="1" applyNumberFormat="1" applyFont="1" applyFill="1" applyBorder="1" applyAlignment="1">
      <alignment horizontal="center" vertical="center"/>
    </xf>
    <xf numFmtId="166" fontId="9" fillId="3" borderId="1" xfId="1" applyNumberFormat="1" applyFont="1" applyFill="1" applyBorder="1" applyAlignment="1">
      <alignment horizontal="center" vertical="center"/>
    </xf>
    <xf numFmtId="2" fontId="9" fillId="3" borderId="1" xfId="1" applyNumberFormat="1" applyFont="1" applyFill="1" applyBorder="1" applyAlignment="1">
      <alignment horizontal="center" vertical="center"/>
    </xf>
    <xf numFmtId="0" fontId="9" fillId="0" borderId="0" xfId="1" applyFont="1" applyAlignment="1">
      <alignment horizontal="center" vertical="center"/>
    </xf>
    <xf numFmtId="0" fontId="4" fillId="6" borderId="1" xfId="1" applyFill="1" applyBorder="1" applyAlignment="1">
      <alignment horizontal="center" vertical="center"/>
    </xf>
    <xf numFmtId="0" fontId="5" fillId="6" borderId="1" xfId="1" applyFont="1" applyFill="1" applyBorder="1" applyAlignment="1">
      <alignment horizontal="center" vertical="center"/>
    </xf>
    <xf numFmtId="164" fontId="4" fillId="6" borderId="1" xfId="1" applyNumberFormat="1" applyFill="1" applyBorder="1" applyAlignment="1">
      <alignment horizontal="center" vertical="center"/>
    </xf>
    <xf numFmtId="165" fontId="4" fillId="6" borderId="1" xfId="1" applyNumberFormat="1" applyFill="1" applyBorder="1" applyAlignment="1">
      <alignment horizontal="center" vertical="center"/>
    </xf>
    <xf numFmtId="166" fontId="4" fillId="6" borderId="1" xfId="1" applyNumberFormat="1" applyFill="1" applyBorder="1" applyAlignment="1">
      <alignment horizontal="center" vertical="center"/>
    </xf>
    <xf numFmtId="2" fontId="4" fillId="6" borderId="1" xfId="1" applyNumberFormat="1" applyFill="1" applyBorder="1" applyAlignment="1">
      <alignment horizontal="center" vertical="center"/>
    </xf>
    <xf numFmtId="0" fontId="4" fillId="6" borderId="0" xfId="1" applyFill="1" applyAlignment="1">
      <alignment horizontal="center" vertical="center"/>
    </xf>
    <xf numFmtId="0" fontId="16" fillId="0" borderId="0" xfId="1" applyFont="1"/>
    <xf numFmtId="0" fontId="17" fillId="3" borderId="1" xfId="1" applyFont="1" applyFill="1" applyBorder="1" applyAlignment="1">
      <alignment horizontal="center" vertical="center"/>
    </xf>
    <xf numFmtId="0" fontId="10" fillId="2" borderId="1" xfId="1" applyFont="1" applyFill="1" applyBorder="1" applyAlignment="1">
      <alignment horizontal="center" vertical="center"/>
    </xf>
    <xf numFmtId="0" fontId="14" fillId="4" borderId="1" xfId="1" applyFont="1" applyFill="1" applyBorder="1" applyAlignment="1">
      <alignment horizontal="center" vertical="center" wrapText="1"/>
    </xf>
    <xf numFmtId="0" fontId="18" fillId="0" borderId="0" xfId="3"/>
    <xf numFmtId="0" fontId="19" fillId="2" borderId="1" xfId="3" applyFont="1" applyFill="1" applyBorder="1" applyAlignment="1">
      <alignment horizontal="right"/>
    </xf>
    <xf numFmtId="0" fontId="19" fillId="2" borderId="1" xfId="3" applyFont="1" applyFill="1" applyBorder="1" applyAlignment="1">
      <alignment horizontal="left"/>
    </xf>
    <xf numFmtId="0" fontId="18" fillId="3" borderId="1" xfId="3" applyFill="1" applyBorder="1" applyAlignment="1">
      <alignment horizontal="right"/>
    </xf>
    <xf numFmtId="166" fontId="18" fillId="3" borderId="1" xfId="3" applyNumberFormat="1" applyFill="1" applyBorder="1" applyAlignment="1">
      <alignment horizontal="right"/>
    </xf>
    <xf numFmtId="164" fontId="18" fillId="3" borderId="1" xfId="3" applyNumberFormat="1" applyFill="1" applyBorder="1" applyAlignment="1">
      <alignment horizontal="right"/>
    </xf>
    <xf numFmtId="2" fontId="18" fillId="3" borderId="1" xfId="3" applyNumberFormat="1" applyFill="1" applyBorder="1" applyAlignment="1">
      <alignment horizontal="right"/>
    </xf>
    <xf numFmtId="165" fontId="18" fillId="3" borderId="1" xfId="3" applyNumberFormat="1" applyFill="1" applyBorder="1" applyAlignment="1">
      <alignment horizontal="right"/>
    </xf>
    <xf numFmtId="0" fontId="18" fillId="3" borderId="1" xfId="3" applyFill="1" applyBorder="1" applyAlignment="1">
      <alignment horizontal="left"/>
    </xf>
    <xf numFmtId="164" fontId="18" fillId="3" borderId="1" xfId="3" applyNumberFormat="1" applyFill="1" applyBorder="1" applyAlignment="1">
      <alignment horizontal="left"/>
    </xf>
    <xf numFmtId="0" fontId="19" fillId="3" borderId="1" xfId="3" applyFont="1" applyFill="1" applyBorder="1" applyAlignment="1">
      <alignment horizontal="left"/>
    </xf>
    <xf numFmtId="0" fontId="20" fillId="4" borderId="1" xfId="3" applyFont="1" applyFill="1" applyBorder="1" applyAlignment="1">
      <alignment horizontal="center" vertical="center" wrapText="1"/>
    </xf>
    <xf numFmtId="0" fontId="11" fillId="5" borderId="1" xfId="2" applyFont="1" applyFill="1" applyBorder="1" applyAlignment="1">
      <alignment horizontal="center" vertical="center"/>
    </xf>
    <xf numFmtId="0" fontId="12" fillId="5" borderId="1" xfId="2" applyFont="1" applyFill="1" applyBorder="1" applyAlignment="1">
      <alignment horizontal="center" vertical="center"/>
    </xf>
    <xf numFmtId="164" fontId="11" fillId="5" borderId="1" xfId="2" applyNumberFormat="1" applyFont="1" applyFill="1" applyBorder="1" applyAlignment="1">
      <alignment horizontal="center" vertical="center"/>
    </xf>
    <xf numFmtId="165" fontId="11" fillId="5" borderId="1" xfId="2" applyNumberFormat="1" applyFont="1" applyFill="1" applyBorder="1" applyAlignment="1">
      <alignment horizontal="center" vertical="center"/>
    </xf>
    <xf numFmtId="166" fontId="11" fillId="5" borderId="1" xfId="2" applyNumberFormat="1" applyFont="1" applyFill="1" applyBorder="1" applyAlignment="1">
      <alignment horizontal="center" vertical="center"/>
    </xf>
    <xf numFmtId="2" fontId="11" fillId="5" borderId="1" xfId="2" applyNumberFormat="1" applyFont="1" applyFill="1" applyBorder="1" applyAlignment="1">
      <alignment horizontal="center" vertical="center"/>
    </xf>
    <xf numFmtId="0" fontId="4" fillId="7" borderId="1" xfId="1" applyFill="1" applyBorder="1" applyAlignment="1">
      <alignment horizontal="center" vertical="center"/>
    </xf>
    <xf numFmtId="0" fontId="5" fillId="7" borderId="1" xfId="1" applyFont="1" applyFill="1" applyBorder="1" applyAlignment="1">
      <alignment horizontal="center" vertical="center"/>
    </xf>
    <xf numFmtId="164" fontId="4" fillId="7" borderId="1" xfId="1" applyNumberFormat="1" applyFill="1" applyBorder="1" applyAlignment="1">
      <alignment horizontal="center" vertical="center"/>
    </xf>
    <xf numFmtId="165" fontId="4" fillId="7" borderId="1" xfId="1" applyNumberFormat="1" applyFill="1" applyBorder="1" applyAlignment="1">
      <alignment horizontal="center" vertical="center"/>
    </xf>
    <xf numFmtId="166" fontId="4" fillId="7" borderId="1" xfId="1" applyNumberFormat="1" applyFill="1" applyBorder="1" applyAlignment="1">
      <alignment horizontal="center" vertical="center"/>
    </xf>
    <xf numFmtId="2" fontId="4" fillId="7" borderId="1" xfId="1" applyNumberFormat="1" applyFill="1" applyBorder="1" applyAlignment="1">
      <alignment horizontal="center" vertical="center"/>
    </xf>
    <xf numFmtId="0" fontId="4" fillId="7" borderId="0" xfId="1" applyFill="1" applyAlignment="1">
      <alignment horizontal="center" vertical="center"/>
    </xf>
    <xf numFmtId="0" fontId="18" fillId="3" borderId="1" xfId="0" applyFont="1" applyFill="1" applyBorder="1" applyAlignment="1">
      <alignment horizontal="center" vertical="center"/>
    </xf>
    <xf numFmtId="0" fontId="19" fillId="3" borderId="1" xfId="0" applyFont="1" applyFill="1" applyBorder="1" applyAlignment="1">
      <alignment horizontal="center" vertical="center"/>
    </xf>
    <xf numFmtId="164" fontId="18" fillId="3" borderId="1" xfId="0" applyNumberFormat="1" applyFont="1" applyFill="1" applyBorder="1" applyAlignment="1">
      <alignment horizontal="center" vertical="center"/>
    </xf>
    <xf numFmtId="165" fontId="18" fillId="3" borderId="1" xfId="0" applyNumberFormat="1" applyFont="1" applyFill="1" applyBorder="1" applyAlignment="1">
      <alignment horizontal="center" vertical="center"/>
    </xf>
    <xf numFmtId="166" fontId="18" fillId="3" borderId="1" xfId="0" applyNumberFormat="1" applyFont="1" applyFill="1" applyBorder="1" applyAlignment="1">
      <alignment horizontal="center" vertical="center"/>
    </xf>
    <xf numFmtId="2" fontId="18" fillId="3" borderId="1" xfId="0" applyNumberFormat="1" applyFont="1" applyFill="1" applyBorder="1" applyAlignment="1">
      <alignment horizontal="center" vertical="center"/>
    </xf>
    <xf numFmtId="0" fontId="11" fillId="3" borderId="1" xfId="1" applyFont="1" applyFill="1" applyBorder="1" applyAlignment="1">
      <alignment horizontal="left"/>
    </xf>
    <xf numFmtId="0" fontId="12" fillId="3" borderId="1" xfId="1" applyFont="1" applyFill="1" applyBorder="1" applyAlignment="1">
      <alignment horizontal="left"/>
    </xf>
    <xf numFmtId="14" fontId="11" fillId="3" borderId="1" xfId="1" applyNumberFormat="1" applyFont="1" applyFill="1" applyBorder="1" applyAlignment="1">
      <alignment horizontal="left"/>
    </xf>
    <xf numFmtId="164" fontId="11" fillId="3" borderId="1" xfId="1" applyNumberFormat="1" applyFont="1" applyFill="1" applyBorder="1" applyAlignment="1">
      <alignment horizontal="left"/>
    </xf>
    <xf numFmtId="164" fontId="11" fillId="3" borderId="1" xfId="1" applyNumberFormat="1" applyFont="1" applyFill="1" applyBorder="1" applyAlignment="1">
      <alignment horizontal="right"/>
    </xf>
    <xf numFmtId="165" fontId="11" fillId="3" borderId="1" xfId="1" applyNumberFormat="1" applyFont="1" applyFill="1" applyBorder="1" applyAlignment="1">
      <alignment horizontal="right"/>
    </xf>
    <xf numFmtId="166" fontId="11" fillId="3" borderId="1" xfId="1" applyNumberFormat="1" applyFont="1" applyFill="1" applyBorder="1" applyAlignment="1">
      <alignment horizontal="right"/>
    </xf>
    <xf numFmtId="2" fontId="11" fillId="3" borderId="1" xfId="1" applyNumberFormat="1" applyFont="1" applyFill="1" applyBorder="1" applyAlignment="1">
      <alignment horizontal="right"/>
    </xf>
    <xf numFmtId="0" fontId="11" fillId="3" borderId="1" xfId="1" applyFont="1" applyFill="1" applyBorder="1" applyAlignment="1">
      <alignment horizontal="right"/>
    </xf>
    <xf numFmtId="0" fontId="11" fillId="7" borderId="1" xfId="1" applyFont="1" applyFill="1" applyBorder="1" applyAlignment="1">
      <alignment horizontal="left"/>
    </xf>
    <xf numFmtId="0" fontId="11" fillId="0" borderId="0" xfId="1" applyFont="1"/>
    <xf numFmtId="0" fontId="18" fillId="3" borderId="1" xfId="3" applyFill="1" applyBorder="1" applyAlignment="1">
      <alignment horizontal="center" vertical="center"/>
    </xf>
    <xf numFmtId="0" fontId="19" fillId="3" borderId="1" xfId="3" applyFont="1" applyFill="1" applyBorder="1" applyAlignment="1">
      <alignment horizontal="center" vertical="center"/>
    </xf>
    <xf numFmtId="164" fontId="18" fillId="3" borderId="1" xfId="3" applyNumberFormat="1" applyFill="1" applyBorder="1" applyAlignment="1">
      <alignment horizontal="center" vertical="center"/>
    </xf>
    <xf numFmtId="165" fontId="18" fillId="3" borderId="1" xfId="3" applyNumberFormat="1" applyFill="1" applyBorder="1" applyAlignment="1">
      <alignment horizontal="center" vertical="center"/>
    </xf>
    <xf numFmtId="166" fontId="18" fillId="3" borderId="1" xfId="3" applyNumberFormat="1" applyFill="1" applyBorder="1" applyAlignment="1">
      <alignment horizontal="center" vertical="center"/>
    </xf>
    <xf numFmtId="2" fontId="18" fillId="3" borderId="1" xfId="3" applyNumberFormat="1" applyFill="1" applyBorder="1" applyAlignment="1">
      <alignment horizontal="center" vertical="center"/>
    </xf>
    <xf numFmtId="0" fontId="18" fillId="0" borderId="0" xfId="3" applyAlignment="1">
      <alignment horizontal="center" vertical="center"/>
    </xf>
    <xf numFmtId="0" fontId="19" fillId="2" borderId="1" xfId="3" applyFont="1" applyFill="1" applyBorder="1" applyAlignment="1">
      <alignment horizontal="center" vertical="center"/>
    </xf>
    <xf numFmtId="14" fontId="18" fillId="0" borderId="0" xfId="3" applyNumberFormat="1"/>
    <xf numFmtId="3" fontId="18" fillId="0" borderId="0" xfId="3" applyNumberFormat="1"/>
    <xf numFmtId="14" fontId="4" fillId="0" borderId="0" xfId="1" applyNumberFormat="1"/>
    <xf numFmtId="0" fontId="18" fillId="3" borderId="1" xfId="3" applyFill="1" applyBorder="1" applyAlignment="1">
      <alignment horizontal="center"/>
    </xf>
    <xf numFmtId="0" fontId="19" fillId="3" borderId="1" xfId="3" applyFont="1" applyFill="1" applyBorder="1" applyAlignment="1">
      <alignment horizontal="center"/>
    </xf>
    <xf numFmtId="164" fontId="18" fillId="3" borderId="1" xfId="3" applyNumberFormat="1" applyFill="1" applyBorder="1" applyAlignment="1">
      <alignment horizontal="center"/>
    </xf>
    <xf numFmtId="165" fontId="18" fillId="3" borderId="1" xfId="3" applyNumberFormat="1" applyFill="1" applyBorder="1" applyAlignment="1">
      <alignment horizontal="center"/>
    </xf>
    <xf numFmtId="166" fontId="18" fillId="3" borderId="1" xfId="3" applyNumberFormat="1" applyFill="1" applyBorder="1" applyAlignment="1">
      <alignment horizontal="center"/>
    </xf>
    <xf numFmtId="2" fontId="18" fillId="3" borderId="1" xfId="3" applyNumberFormat="1" applyFill="1" applyBorder="1" applyAlignment="1">
      <alignment horizontal="center"/>
    </xf>
    <xf numFmtId="0" fontId="18" fillId="0" borderId="0" xfId="3" applyAlignment="1">
      <alignment horizontal="center"/>
    </xf>
    <xf numFmtId="0" fontId="19" fillId="2" borderId="1" xfId="3" applyFont="1" applyFill="1" applyBorder="1" applyAlignment="1">
      <alignment horizontal="center"/>
    </xf>
    <xf numFmtId="14" fontId="18" fillId="3" borderId="1" xfId="0" applyNumberFormat="1" applyFont="1" applyFill="1" applyBorder="1" applyAlignment="1">
      <alignment horizontal="center" vertical="center"/>
    </xf>
    <xf numFmtId="0" fontId="18" fillId="6" borderId="1" xfId="3" applyFill="1" applyBorder="1" applyAlignment="1">
      <alignment horizontal="center" vertical="center"/>
    </xf>
    <xf numFmtId="0" fontId="19" fillId="6" borderId="1" xfId="3" applyFont="1" applyFill="1" applyBorder="1" applyAlignment="1">
      <alignment horizontal="center" vertical="center"/>
    </xf>
    <xf numFmtId="164" fontId="18" fillId="6" borderId="1" xfId="3" applyNumberFormat="1" applyFill="1" applyBorder="1" applyAlignment="1">
      <alignment horizontal="center" vertical="center"/>
    </xf>
    <xf numFmtId="165" fontId="18" fillId="6" borderId="1" xfId="3" applyNumberFormat="1" applyFill="1" applyBorder="1" applyAlignment="1">
      <alignment horizontal="center" vertical="center"/>
    </xf>
    <xf numFmtId="166" fontId="18" fillId="6" borderId="1" xfId="3" applyNumberFormat="1" applyFill="1" applyBorder="1" applyAlignment="1">
      <alignment horizontal="center" vertical="center"/>
    </xf>
    <xf numFmtId="2" fontId="18" fillId="6" borderId="1" xfId="3" applyNumberFormat="1" applyFill="1" applyBorder="1" applyAlignment="1">
      <alignment horizontal="center" vertical="center"/>
    </xf>
    <xf numFmtId="0" fontId="18" fillId="6" borderId="0" xfId="3" applyFill="1" applyAlignment="1">
      <alignment horizontal="center" vertical="center"/>
    </xf>
    <xf numFmtId="14" fontId="18" fillId="3" borderId="1" xfId="3" applyNumberFormat="1" applyFill="1" applyBorder="1" applyAlignment="1">
      <alignment horizontal="center" vertical="center"/>
    </xf>
    <xf numFmtId="0" fontId="18" fillId="6" borderId="1" xfId="3" applyFill="1" applyBorder="1" applyAlignment="1">
      <alignment horizontal="center"/>
    </xf>
    <xf numFmtId="0" fontId="19" fillId="6" borderId="1" xfId="3" applyFont="1" applyFill="1" applyBorder="1" applyAlignment="1">
      <alignment horizontal="center"/>
    </xf>
    <xf numFmtId="164" fontId="18" fillId="6" borderId="1" xfId="3" applyNumberFormat="1" applyFill="1" applyBorder="1" applyAlignment="1">
      <alignment horizontal="center"/>
    </xf>
    <xf numFmtId="165" fontId="18" fillId="6" borderId="1" xfId="3" applyNumberFormat="1" applyFill="1" applyBorder="1" applyAlignment="1">
      <alignment horizontal="center"/>
    </xf>
    <xf numFmtId="166" fontId="18" fillId="6" borderId="1" xfId="3" applyNumberFormat="1" applyFill="1" applyBorder="1" applyAlignment="1">
      <alignment horizontal="center"/>
    </xf>
    <xf numFmtId="2" fontId="18" fillId="6" borderId="1" xfId="3" applyNumberFormat="1" applyFill="1" applyBorder="1" applyAlignment="1">
      <alignment horizontal="center"/>
    </xf>
    <xf numFmtId="0" fontId="18" fillId="6" borderId="0" xfId="3" applyFill="1" applyAlignment="1">
      <alignment horizontal="center"/>
    </xf>
    <xf numFmtId="0" fontId="4" fillId="5" borderId="1" xfId="1" applyFill="1" applyBorder="1" applyAlignment="1">
      <alignment horizontal="center" vertical="center"/>
    </xf>
    <xf numFmtId="0" fontId="5" fillId="5" borderId="1" xfId="1" applyFont="1" applyFill="1" applyBorder="1" applyAlignment="1">
      <alignment horizontal="center" vertical="center"/>
    </xf>
    <xf numFmtId="164" fontId="4" fillId="5" borderId="1" xfId="1" applyNumberFormat="1" applyFill="1" applyBorder="1" applyAlignment="1">
      <alignment horizontal="center" vertical="center"/>
    </xf>
    <xf numFmtId="165" fontId="4" fillId="5" borderId="1" xfId="1" applyNumberFormat="1" applyFill="1" applyBorder="1" applyAlignment="1">
      <alignment horizontal="center" vertical="center"/>
    </xf>
    <xf numFmtId="166" fontId="4" fillId="5" borderId="1" xfId="1" applyNumberFormat="1" applyFill="1" applyBorder="1" applyAlignment="1">
      <alignment horizontal="center" vertical="center"/>
    </xf>
    <xf numFmtId="2" fontId="4" fillId="5" borderId="1" xfId="1" applyNumberFormat="1" applyFill="1" applyBorder="1" applyAlignment="1">
      <alignment horizontal="center" vertical="center"/>
    </xf>
    <xf numFmtId="14" fontId="18" fillId="3" borderId="1" xfId="3" applyNumberFormat="1" applyFill="1" applyBorder="1" applyAlignment="1">
      <alignment horizontal="center"/>
    </xf>
    <xf numFmtId="0" fontId="18" fillId="5" borderId="0" xfId="3" applyFill="1" applyAlignment="1">
      <alignment horizontal="center"/>
    </xf>
    <xf numFmtId="0" fontId="18" fillId="5" borderId="1" xfId="3" applyFill="1" applyBorder="1" applyAlignment="1">
      <alignment horizontal="center" vertical="center"/>
    </xf>
    <xf numFmtId="0" fontId="19" fillId="5" borderId="1" xfId="3" applyFont="1" applyFill="1" applyBorder="1" applyAlignment="1">
      <alignment horizontal="center" vertical="center"/>
    </xf>
    <xf numFmtId="164" fontId="18" fillId="5" borderId="1" xfId="3" applyNumberFormat="1" applyFill="1" applyBorder="1" applyAlignment="1">
      <alignment horizontal="center" vertical="center"/>
    </xf>
    <xf numFmtId="165" fontId="18" fillId="5" borderId="1" xfId="3" applyNumberFormat="1" applyFill="1" applyBorder="1" applyAlignment="1">
      <alignment horizontal="center" vertical="center"/>
    </xf>
    <xf numFmtId="166" fontId="18" fillId="5" borderId="1" xfId="3" applyNumberFormat="1" applyFill="1" applyBorder="1" applyAlignment="1">
      <alignment horizontal="center" vertical="center"/>
    </xf>
    <xf numFmtId="2" fontId="18" fillId="5" borderId="1" xfId="3" applyNumberFormat="1" applyFill="1" applyBorder="1" applyAlignment="1">
      <alignment horizontal="center" vertical="center"/>
    </xf>
    <xf numFmtId="0" fontId="16" fillId="0" borderId="0" xfId="1" applyFont="1" applyAlignment="1">
      <alignment horizontal="center" vertical="center"/>
    </xf>
    <xf numFmtId="0" fontId="16" fillId="3" borderId="1" xfId="1" applyFont="1" applyFill="1" applyBorder="1" applyAlignment="1">
      <alignment horizontal="center" vertical="center"/>
    </xf>
    <xf numFmtId="166" fontId="16" fillId="3" borderId="1" xfId="1" applyNumberFormat="1" applyFont="1" applyFill="1" applyBorder="1" applyAlignment="1">
      <alignment horizontal="center" vertical="center"/>
    </xf>
    <xf numFmtId="164" fontId="16" fillId="3" borderId="1" xfId="1" applyNumberFormat="1" applyFont="1" applyFill="1" applyBorder="1" applyAlignment="1">
      <alignment horizontal="center" vertical="center"/>
    </xf>
    <xf numFmtId="2" fontId="16" fillId="3" borderId="1" xfId="1" applyNumberFormat="1" applyFont="1" applyFill="1" applyBorder="1" applyAlignment="1">
      <alignment horizontal="center" vertical="center"/>
    </xf>
    <xf numFmtId="165" fontId="16" fillId="3" borderId="1" xfId="1" applyNumberFormat="1" applyFont="1" applyFill="1" applyBorder="1" applyAlignment="1">
      <alignment horizontal="center" vertical="center"/>
    </xf>
    <xf numFmtId="0" fontId="22" fillId="3" borderId="1" xfId="1" applyFont="1" applyFill="1" applyBorder="1" applyAlignment="1">
      <alignment horizontal="center" vertical="center"/>
    </xf>
    <xf numFmtId="0" fontId="16" fillId="0" borderId="0" xfId="3" applyFont="1"/>
    <xf numFmtId="0" fontId="18" fillId="5" borderId="1" xfId="0" applyFont="1" applyFill="1" applyBorder="1" applyAlignment="1">
      <alignment horizontal="center" vertical="center"/>
    </xf>
    <xf numFmtId="0" fontId="19" fillId="5" borderId="1" xfId="0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165" fontId="18" fillId="5" borderId="1" xfId="0" applyNumberFormat="1" applyFont="1" applyFill="1" applyBorder="1" applyAlignment="1">
      <alignment horizontal="center" vertical="center"/>
    </xf>
    <xf numFmtId="166" fontId="18" fillId="5" borderId="1" xfId="0" applyNumberFormat="1" applyFont="1" applyFill="1" applyBorder="1" applyAlignment="1">
      <alignment horizontal="center" vertical="center"/>
    </xf>
    <xf numFmtId="2" fontId="18" fillId="5" borderId="1" xfId="0" applyNumberFormat="1" applyFont="1" applyFill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4" fontId="4" fillId="5" borderId="1" xfId="1" applyNumberFormat="1" applyFill="1" applyBorder="1" applyAlignment="1">
      <alignment horizontal="center" vertical="center"/>
    </xf>
    <xf numFmtId="0" fontId="5" fillId="3" borderId="1" xfId="3" applyFont="1" applyFill="1" applyBorder="1" applyAlignment="1">
      <alignment horizontal="center" vertical="center"/>
    </xf>
    <xf numFmtId="0" fontId="16" fillId="8" borderId="1" xfId="3" applyFont="1" applyFill="1" applyBorder="1" applyAlignment="1">
      <alignment horizontal="center" vertical="center"/>
    </xf>
    <xf numFmtId="14" fontId="18" fillId="3" borderId="1" xfId="3" applyNumberFormat="1" applyFill="1" applyBorder="1" applyAlignment="1">
      <alignment horizontal="left"/>
    </xf>
    <xf numFmtId="14" fontId="0" fillId="0" borderId="0" xfId="0" applyNumberFormat="1" applyFont="1" applyAlignment="1"/>
    <xf numFmtId="0" fontId="21" fillId="0" borderId="0" xfId="3" applyFont="1"/>
    <xf numFmtId="0" fontId="8" fillId="0" borderId="0" xfId="3" applyFont="1"/>
    <xf numFmtId="0" fontId="8" fillId="0" borderId="0" xfId="1" applyFont="1"/>
    <xf numFmtId="0" fontId="2" fillId="0" borderId="0" xfId="1" applyFont="1"/>
    <xf numFmtId="0" fontId="8" fillId="0" borderId="0" xfId="3" applyFont="1" applyAlignment="1">
      <alignment horizontal="center" vertical="center"/>
    </xf>
    <xf numFmtId="0" fontId="15" fillId="0" borderId="0" xfId="1" applyFont="1"/>
    <xf numFmtId="0" fontId="8" fillId="0" borderId="0" xfId="2" applyFont="1"/>
    <xf numFmtId="0" fontId="15" fillId="0" borderId="0" xfId="2" applyFont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8" fillId="0" borderId="0" xfId="1" applyFont="1" applyAlignment="1">
      <alignment horizontal="center" vertical="center"/>
    </xf>
  </cellXfs>
  <cellStyles count="4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haredStrings" Target="sharedString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8C031E-2A12-45DB-84D8-2B63EF3B2F74}">
  <dimension ref="A1:AB14"/>
  <sheetViews>
    <sheetView workbookViewId="0">
      <selection activeCell="AF2" sqref="AF2"/>
    </sheetView>
  </sheetViews>
  <sheetFormatPr defaultRowHeight="14.4" x14ac:dyDescent="0.3"/>
  <cols>
    <col min="1" max="1" width="3.5546875" style="108" customWidth="1"/>
    <col min="2" max="2" width="20.77734375" style="108" hidden="1" customWidth="1"/>
    <col min="3" max="3" width="6" style="108" customWidth="1"/>
    <col min="4" max="4" width="11.77734375" style="108" hidden="1" customWidth="1"/>
    <col min="5" max="5" width="8.77734375" style="108" customWidth="1"/>
    <col min="6" max="6" width="7" style="108" customWidth="1"/>
    <col min="7" max="7" width="8.6640625" style="108" customWidth="1"/>
    <col min="8" max="8" width="5.88671875" style="108" customWidth="1"/>
    <col min="9" max="9" width="6.5546875" style="108" customWidth="1"/>
    <col min="10" max="10" width="6.77734375" style="108" customWidth="1"/>
    <col min="11" max="11" width="13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21875" style="108" customWidth="1"/>
    <col min="17" max="17" width="3.77734375" style="108" customWidth="1"/>
    <col min="18" max="18" width="5.109375" style="108" customWidth="1"/>
    <col min="19" max="19" width="6.33203125" style="108" customWidth="1"/>
    <col min="20" max="20" width="11.77734375" style="108" hidden="1" customWidth="1"/>
    <col min="21" max="21" width="8.77734375" style="108" hidden="1" customWidth="1"/>
    <col min="22" max="23" width="7.5546875" style="108" customWidth="1"/>
    <col min="24" max="24" width="7.44140625" style="108" customWidth="1"/>
    <col min="25" max="25" width="8.109375" style="108" customWidth="1"/>
    <col min="26" max="26" width="7.77734375" style="108" customWidth="1"/>
    <col min="27" max="27" width="4.109375" style="108" customWidth="1"/>
    <col min="28" max="28" width="11.21875" style="108" customWidth="1"/>
    <col min="29" max="16384" width="8.88671875" style="108"/>
  </cols>
  <sheetData>
    <row r="1" spans="1:28" ht="18" customHeight="1" x14ac:dyDescent="0.35">
      <c r="A1" s="220" t="s">
        <v>816</v>
      </c>
      <c r="B1" s="220" t="s">
        <v>27</v>
      </c>
      <c r="C1" s="220" t="s">
        <v>27</v>
      </c>
      <c r="D1" s="220" t="s">
        <v>27</v>
      </c>
      <c r="E1" s="220" t="s">
        <v>27</v>
      </c>
      <c r="F1" s="220" t="s">
        <v>27</v>
      </c>
      <c r="G1" s="220" t="s">
        <v>27</v>
      </c>
      <c r="H1" s="220" t="s">
        <v>27</v>
      </c>
      <c r="I1" s="220" t="s">
        <v>27</v>
      </c>
      <c r="J1" s="220" t="s">
        <v>27</v>
      </c>
      <c r="K1" s="220" t="s">
        <v>27</v>
      </c>
      <c r="L1" s="220" t="s">
        <v>27</v>
      </c>
      <c r="M1" s="220" t="s">
        <v>27</v>
      </c>
      <c r="N1" s="220" t="s">
        <v>27</v>
      </c>
      <c r="O1" s="220" t="s">
        <v>27</v>
      </c>
      <c r="P1" s="220" t="s">
        <v>27</v>
      </c>
      <c r="Q1" s="220" t="s">
        <v>27</v>
      </c>
      <c r="R1" s="220" t="s">
        <v>27</v>
      </c>
      <c r="S1" s="220" t="s">
        <v>27</v>
      </c>
      <c r="T1" s="220" t="s">
        <v>27</v>
      </c>
      <c r="U1" s="220" t="s">
        <v>27</v>
      </c>
      <c r="V1" s="220" t="s">
        <v>27</v>
      </c>
      <c r="W1" s="220" t="s">
        <v>27</v>
      </c>
      <c r="X1" s="220" t="s">
        <v>27</v>
      </c>
      <c r="Y1" s="220" t="s">
        <v>27</v>
      </c>
      <c r="Z1" s="220" t="s">
        <v>27</v>
      </c>
      <c r="AA1" s="220" t="s">
        <v>27</v>
      </c>
      <c r="AB1" s="220" t="s">
        <v>27</v>
      </c>
    </row>
    <row r="2" spans="1:28" ht="59.4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56" customFormat="1" ht="25.05" customHeight="1" x14ac:dyDescent="0.3">
      <c r="A3" s="150">
        <v>1</v>
      </c>
      <c r="B3" s="151" t="s">
        <v>66</v>
      </c>
      <c r="C3" s="150" t="s">
        <v>26</v>
      </c>
      <c r="D3" s="150" t="s">
        <v>803</v>
      </c>
      <c r="E3" s="150" t="s">
        <v>27</v>
      </c>
      <c r="F3" s="150">
        <v>262658</v>
      </c>
      <c r="G3" s="150" t="s">
        <v>802</v>
      </c>
      <c r="H3" s="150">
        <v>300</v>
      </c>
      <c r="I3" s="152">
        <v>1.1539999999999999</v>
      </c>
      <c r="J3" s="152">
        <v>1.9710000000000001</v>
      </c>
      <c r="K3" s="150" t="s">
        <v>367</v>
      </c>
      <c r="L3" s="152">
        <v>682.36</v>
      </c>
      <c r="M3" s="153">
        <v>591.29999999999995</v>
      </c>
      <c r="N3" s="154">
        <v>0.1643</v>
      </c>
      <c r="O3" s="155">
        <v>9.86</v>
      </c>
      <c r="P3" s="150">
        <v>367.1</v>
      </c>
      <c r="Q3" s="150">
        <v>1</v>
      </c>
      <c r="R3" s="150">
        <v>1200</v>
      </c>
      <c r="S3" s="152">
        <v>1.1539999999999999</v>
      </c>
      <c r="T3" s="150">
        <v>46</v>
      </c>
      <c r="U3" s="154">
        <v>3.8300000000000001E-2</v>
      </c>
      <c r="V3" s="150" t="s">
        <v>28</v>
      </c>
      <c r="W3" s="150" t="s">
        <v>29</v>
      </c>
      <c r="X3" s="150" t="s">
        <v>28</v>
      </c>
      <c r="Y3" s="150" t="s">
        <v>28</v>
      </c>
      <c r="Z3" s="150" t="s">
        <v>28</v>
      </c>
      <c r="AA3" s="150" t="s">
        <v>33</v>
      </c>
      <c r="AB3" s="150" t="s">
        <v>366</v>
      </c>
    </row>
    <row r="4" spans="1:28" s="156" customFormat="1" ht="25.05" customHeight="1" x14ac:dyDescent="0.3">
      <c r="A4" s="150">
        <v>2</v>
      </c>
      <c r="B4" s="151" t="s">
        <v>66</v>
      </c>
      <c r="C4" s="150" t="s">
        <v>36</v>
      </c>
      <c r="D4" s="150" t="s">
        <v>803</v>
      </c>
      <c r="E4" s="150" t="s">
        <v>27</v>
      </c>
      <c r="F4" s="150">
        <v>262656</v>
      </c>
      <c r="G4" s="150" t="s">
        <v>802</v>
      </c>
      <c r="H4" s="150">
        <v>1000</v>
      </c>
      <c r="I4" s="152">
        <v>0.76200000000000001</v>
      </c>
      <c r="J4" s="152">
        <v>0.69299999999999995</v>
      </c>
      <c r="K4" s="150" t="s">
        <v>815</v>
      </c>
      <c r="L4" s="152">
        <v>528.06600000000003</v>
      </c>
      <c r="M4" s="153">
        <v>346.5</v>
      </c>
      <c r="N4" s="154">
        <v>4.8099999999999997E-2</v>
      </c>
      <c r="O4" s="155">
        <v>2.89</v>
      </c>
      <c r="P4" s="150">
        <v>166.3</v>
      </c>
      <c r="Q4" s="150">
        <v>2</v>
      </c>
      <c r="R4" s="150">
        <v>1550</v>
      </c>
      <c r="S4" s="152">
        <v>1.524</v>
      </c>
      <c r="T4" s="150">
        <v>26</v>
      </c>
      <c r="U4" s="154">
        <v>1.6799999999999999E-2</v>
      </c>
      <c r="V4" s="150" t="s">
        <v>28</v>
      </c>
      <c r="W4" s="150" t="s">
        <v>28</v>
      </c>
      <c r="X4" s="150" t="s">
        <v>28</v>
      </c>
      <c r="Y4" s="150" t="s">
        <v>27</v>
      </c>
      <c r="Z4" s="150" t="s">
        <v>27</v>
      </c>
      <c r="AA4" s="150" t="s">
        <v>39</v>
      </c>
      <c r="AB4" s="150" t="s">
        <v>814</v>
      </c>
    </row>
    <row r="5" spans="1:28" s="156" customFormat="1" ht="25.05" customHeight="1" x14ac:dyDescent="0.3">
      <c r="A5" s="150">
        <v>3</v>
      </c>
      <c r="B5" s="151" t="s">
        <v>66</v>
      </c>
      <c r="C5" s="150" t="s">
        <v>36</v>
      </c>
      <c r="D5" s="150" t="s">
        <v>803</v>
      </c>
      <c r="E5" s="150" t="s">
        <v>27</v>
      </c>
      <c r="F5" s="150">
        <v>262651</v>
      </c>
      <c r="G5" s="150" t="s">
        <v>802</v>
      </c>
      <c r="H5" s="150">
        <v>400</v>
      </c>
      <c r="I5" s="152">
        <v>0.48799999999999999</v>
      </c>
      <c r="J5" s="152">
        <v>1.2689999999999999</v>
      </c>
      <c r="K5" s="150" t="s">
        <v>34</v>
      </c>
      <c r="L5" s="152">
        <v>247.709</v>
      </c>
      <c r="M5" s="153">
        <v>169.2</v>
      </c>
      <c r="N5" s="154">
        <v>1.5699999999999999E-2</v>
      </c>
      <c r="O5" s="155">
        <v>0.94</v>
      </c>
      <c r="P5" s="150">
        <v>78</v>
      </c>
      <c r="Q5" s="150">
        <v>3</v>
      </c>
      <c r="R5" s="150">
        <v>1500</v>
      </c>
      <c r="S5" s="152">
        <v>1.464</v>
      </c>
      <c r="T5" s="150">
        <v>36</v>
      </c>
      <c r="U5" s="154">
        <v>2.4E-2</v>
      </c>
      <c r="V5" s="150" t="s">
        <v>28</v>
      </c>
      <c r="W5" s="150" t="s">
        <v>28</v>
      </c>
      <c r="X5" s="150" t="s">
        <v>28</v>
      </c>
      <c r="Y5" s="150" t="s">
        <v>27</v>
      </c>
      <c r="Z5" s="150" t="s">
        <v>27</v>
      </c>
      <c r="AA5" s="150" t="s">
        <v>39</v>
      </c>
      <c r="AB5" s="150" t="s">
        <v>813</v>
      </c>
    </row>
    <row r="6" spans="1:28" s="156" customFormat="1" ht="25.05" customHeight="1" x14ac:dyDescent="0.3">
      <c r="A6" s="150">
        <v>4</v>
      </c>
      <c r="B6" s="151" t="s">
        <v>66</v>
      </c>
      <c r="C6" s="150" t="s">
        <v>36</v>
      </c>
      <c r="D6" s="150" t="s">
        <v>803</v>
      </c>
      <c r="E6" s="150" t="s">
        <v>27</v>
      </c>
      <c r="F6" s="150">
        <v>262653</v>
      </c>
      <c r="G6" s="150" t="s">
        <v>802</v>
      </c>
      <c r="H6" s="150">
        <v>400</v>
      </c>
      <c r="I6" s="152">
        <v>0.46800000000000003</v>
      </c>
      <c r="J6" s="152">
        <v>1.1890000000000001</v>
      </c>
      <c r="K6" s="150" t="s">
        <v>34</v>
      </c>
      <c r="L6" s="152">
        <v>222.58099999999999</v>
      </c>
      <c r="M6" s="153">
        <v>158.5</v>
      </c>
      <c r="N6" s="154">
        <v>1.47E-2</v>
      </c>
      <c r="O6" s="155">
        <v>0.88</v>
      </c>
      <c r="P6" s="150">
        <v>70.099999999999994</v>
      </c>
      <c r="Q6" s="150">
        <v>3</v>
      </c>
      <c r="R6" s="150">
        <v>1450</v>
      </c>
      <c r="S6" s="152">
        <v>1.4039999999999999</v>
      </c>
      <c r="T6" s="150">
        <v>46</v>
      </c>
      <c r="U6" s="154">
        <v>3.1699999999999999E-2</v>
      </c>
      <c r="V6" s="150" t="s">
        <v>28</v>
      </c>
      <c r="W6" s="150" t="s">
        <v>28</v>
      </c>
      <c r="X6" s="150" t="s">
        <v>28</v>
      </c>
      <c r="Y6" s="150" t="s">
        <v>27</v>
      </c>
      <c r="Z6" s="150" t="s">
        <v>27</v>
      </c>
      <c r="AA6" s="150" t="s">
        <v>39</v>
      </c>
      <c r="AB6" s="150" t="s">
        <v>812</v>
      </c>
    </row>
    <row r="7" spans="1:28" s="156" customFormat="1" ht="25.05" customHeight="1" x14ac:dyDescent="0.3">
      <c r="A7" s="150">
        <v>5</v>
      </c>
      <c r="B7" s="151" t="s">
        <v>66</v>
      </c>
      <c r="C7" s="150" t="s">
        <v>36</v>
      </c>
      <c r="D7" s="150" t="s">
        <v>803</v>
      </c>
      <c r="E7" s="150" t="s">
        <v>27</v>
      </c>
      <c r="F7" s="150">
        <v>262654</v>
      </c>
      <c r="G7" s="150" t="s">
        <v>802</v>
      </c>
      <c r="H7" s="150">
        <v>600</v>
      </c>
      <c r="I7" s="152">
        <v>0.66400000000000003</v>
      </c>
      <c r="J7" s="152">
        <v>1.2490000000000001</v>
      </c>
      <c r="K7" s="150" t="s">
        <v>811</v>
      </c>
      <c r="L7" s="152">
        <v>497.60199999999998</v>
      </c>
      <c r="M7" s="153">
        <v>374.7</v>
      </c>
      <c r="N7" s="154">
        <v>5.1999999999999998E-2</v>
      </c>
      <c r="O7" s="155">
        <v>3.12</v>
      </c>
      <c r="P7" s="150">
        <v>156.69999999999999</v>
      </c>
      <c r="Q7" s="150">
        <v>2</v>
      </c>
      <c r="R7" s="150">
        <v>1350</v>
      </c>
      <c r="S7" s="152">
        <v>1.3280000000000001</v>
      </c>
      <c r="T7" s="150">
        <v>22</v>
      </c>
      <c r="U7" s="154">
        <v>1.6299999999999999E-2</v>
      </c>
      <c r="V7" s="150" t="s">
        <v>28</v>
      </c>
      <c r="W7" s="150" t="s">
        <v>28</v>
      </c>
      <c r="X7" s="150" t="s">
        <v>28</v>
      </c>
      <c r="Y7" s="150" t="s">
        <v>27</v>
      </c>
      <c r="Z7" s="150" t="s">
        <v>27</v>
      </c>
      <c r="AA7" s="150" t="s">
        <v>33</v>
      </c>
      <c r="AB7" s="150" t="s">
        <v>810</v>
      </c>
    </row>
    <row r="8" spans="1:28" s="156" customFormat="1" ht="25.05" customHeight="1" x14ac:dyDescent="0.3">
      <c r="A8" s="150">
        <v>6</v>
      </c>
      <c r="B8" s="151" t="s">
        <v>66</v>
      </c>
      <c r="C8" s="150" t="s">
        <v>36</v>
      </c>
      <c r="D8" s="150" t="s">
        <v>803</v>
      </c>
      <c r="E8" s="150" t="s">
        <v>27</v>
      </c>
      <c r="F8" s="150">
        <v>262657</v>
      </c>
      <c r="G8" s="150" t="s">
        <v>802</v>
      </c>
      <c r="H8" s="150">
        <v>600</v>
      </c>
      <c r="I8" s="152">
        <v>1.1519999999999999</v>
      </c>
      <c r="J8" s="152">
        <v>0.69299999999999995</v>
      </c>
      <c r="K8" s="150" t="s">
        <v>809</v>
      </c>
      <c r="L8" s="152">
        <v>479.00200000000001</v>
      </c>
      <c r="M8" s="153">
        <v>415.8</v>
      </c>
      <c r="N8" s="154">
        <v>0.11550000000000001</v>
      </c>
      <c r="O8" s="155">
        <v>6.93</v>
      </c>
      <c r="P8" s="150">
        <v>150.9</v>
      </c>
      <c r="Q8" s="150">
        <v>1</v>
      </c>
      <c r="R8" s="150">
        <v>1200</v>
      </c>
      <c r="S8" s="152">
        <v>1.1519999999999999</v>
      </c>
      <c r="T8" s="150">
        <v>48</v>
      </c>
      <c r="U8" s="154">
        <v>0.04</v>
      </c>
      <c r="V8" s="150" t="s">
        <v>28</v>
      </c>
      <c r="W8" s="150" t="s">
        <v>28</v>
      </c>
      <c r="X8" s="150" t="s">
        <v>28</v>
      </c>
      <c r="Y8" s="150" t="s">
        <v>27</v>
      </c>
      <c r="Z8" s="150" t="s">
        <v>27</v>
      </c>
      <c r="AA8" s="150" t="s">
        <v>39</v>
      </c>
      <c r="AB8" s="150" t="s">
        <v>808</v>
      </c>
    </row>
    <row r="9" spans="1:28" s="156" customFormat="1" ht="25.05" customHeight="1" x14ac:dyDescent="0.3">
      <c r="A9" s="150">
        <v>7</v>
      </c>
      <c r="B9" s="151" t="s">
        <v>66</v>
      </c>
      <c r="C9" s="150" t="s">
        <v>36</v>
      </c>
      <c r="D9" s="150" t="s">
        <v>803</v>
      </c>
      <c r="E9" s="150" t="s">
        <v>27</v>
      </c>
      <c r="F9" s="150">
        <v>262655</v>
      </c>
      <c r="G9" s="150" t="s">
        <v>802</v>
      </c>
      <c r="H9" s="150">
        <v>2500</v>
      </c>
      <c r="I9" s="152">
        <v>0.38400000000000001</v>
      </c>
      <c r="J9" s="152">
        <v>0.58299999999999996</v>
      </c>
      <c r="K9" s="150" t="s">
        <v>34</v>
      </c>
      <c r="L9" s="152">
        <v>559.67999999999995</v>
      </c>
      <c r="M9" s="153">
        <v>485.8</v>
      </c>
      <c r="N9" s="154">
        <v>4.4999999999999998E-2</v>
      </c>
      <c r="O9" s="155">
        <v>2.7</v>
      </c>
      <c r="P9" s="150">
        <v>176.3</v>
      </c>
      <c r="Q9" s="150">
        <v>3</v>
      </c>
      <c r="R9" s="150">
        <v>1200</v>
      </c>
      <c r="S9" s="152">
        <v>1.1519999999999999</v>
      </c>
      <c r="T9" s="150">
        <v>48</v>
      </c>
      <c r="U9" s="154">
        <v>0.04</v>
      </c>
      <c r="V9" s="150" t="s">
        <v>28</v>
      </c>
      <c r="W9" s="150" t="s">
        <v>28</v>
      </c>
      <c r="X9" s="150" t="s">
        <v>28</v>
      </c>
      <c r="Y9" s="150" t="s">
        <v>27</v>
      </c>
      <c r="Z9" s="150" t="s">
        <v>27</v>
      </c>
      <c r="AA9" s="150" t="s">
        <v>39</v>
      </c>
      <c r="AB9" s="150" t="s">
        <v>807</v>
      </c>
    </row>
    <row r="10" spans="1:28" s="156" customFormat="1" ht="25.05" customHeight="1" x14ac:dyDescent="0.3">
      <c r="A10" s="150">
        <v>8</v>
      </c>
      <c r="B10" s="151" t="s">
        <v>66</v>
      </c>
      <c r="C10" s="150" t="s">
        <v>36</v>
      </c>
      <c r="D10" s="150" t="s">
        <v>803</v>
      </c>
      <c r="E10" s="150" t="s">
        <v>27</v>
      </c>
      <c r="F10" s="150">
        <v>262652</v>
      </c>
      <c r="G10" s="150" t="s">
        <v>802</v>
      </c>
      <c r="H10" s="150">
        <v>400</v>
      </c>
      <c r="I10" s="152">
        <v>0.52800000000000002</v>
      </c>
      <c r="J10" s="152">
        <v>1.149</v>
      </c>
      <c r="K10" s="150" t="s">
        <v>34</v>
      </c>
      <c r="L10" s="152">
        <v>242.66900000000001</v>
      </c>
      <c r="M10" s="153">
        <v>229.8</v>
      </c>
      <c r="N10" s="154">
        <v>3.1899999999999998E-2</v>
      </c>
      <c r="O10" s="155">
        <v>1.92</v>
      </c>
      <c r="P10" s="150">
        <v>76.400000000000006</v>
      </c>
      <c r="Q10" s="150">
        <v>2</v>
      </c>
      <c r="R10" s="150">
        <v>1100</v>
      </c>
      <c r="S10" s="152">
        <v>1.056</v>
      </c>
      <c r="T10" s="150">
        <v>44</v>
      </c>
      <c r="U10" s="154">
        <v>0.04</v>
      </c>
      <c r="V10" s="150" t="s">
        <v>28</v>
      </c>
      <c r="W10" s="150" t="s">
        <v>28</v>
      </c>
      <c r="X10" s="150" t="s">
        <v>28</v>
      </c>
      <c r="Y10" s="150" t="s">
        <v>27</v>
      </c>
      <c r="Z10" s="150" t="s">
        <v>27</v>
      </c>
      <c r="AA10" s="150" t="s">
        <v>39</v>
      </c>
      <c r="AB10" s="150" t="s">
        <v>806</v>
      </c>
    </row>
    <row r="11" spans="1:28" s="156" customFormat="1" ht="25.05" customHeight="1" x14ac:dyDescent="0.3">
      <c r="A11" s="150">
        <v>9</v>
      </c>
      <c r="B11" s="151" t="s">
        <v>66</v>
      </c>
      <c r="C11" s="150" t="s">
        <v>36</v>
      </c>
      <c r="D11" s="150" t="s">
        <v>803</v>
      </c>
      <c r="E11" s="150" t="s">
        <v>27</v>
      </c>
      <c r="F11" s="150">
        <v>262660</v>
      </c>
      <c r="G11" s="150" t="s">
        <v>802</v>
      </c>
      <c r="H11" s="150">
        <v>1500</v>
      </c>
      <c r="I11" s="152">
        <v>0.42399999999999999</v>
      </c>
      <c r="J11" s="152">
        <v>0.78900000000000003</v>
      </c>
      <c r="K11" s="150" t="s">
        <v>805</v>
      </c>
      <c r="L11" s="152">
        <v>501.80399999999997</v>
      </c>
      <c r="M11" s="153">
        <v>591.79999999999995</v>
      </c>
      <c r="N11" s="154">
        <v>8.2199999999999995E-2</v>
      </c>
      <c r="O11" s="155">
        <v>4.93</v>
      </c>
      <c r="P11" s="150">
        <v>158.1</v>
      </c>
      <c r="Q11" s="150">
        <v>2</v>
      </c>
      <c r="R11" s="150">
        <v>900</v>
      </c>
      <c r="S11" s="152">
        <v>0.84799999999999998</v>
      </c>
      <c r="T11" s="150">
        <v>52</v>
      </c>
      <c r="U11" s="154">
        <v>5.7799999999999997E-2</v>
      </c>
      <c r="V11" s="150" t="s">
        <v>28</v>
      </c>
      <c r="W11" s="150" t="s">
        <v>28</v>
      </c>
      <c r="X11" s="150" t="s">
        <v>28</v>
      </c>
      <c r="Y11" s="150" t="s">
        <v>27</v>
      </c>
      <c r="Z11" s="150" t="s">
        <v>27</v>
      </c>
      <c r="AA11" s="150" t="s">
        <v>39</v>
      </c>
      <c r="AB11" s="150" t="s">
        <v>804</v>
      </c>
    </row>
    <row r="12" spans="1:28" s="156" customFormat="1" ht="25.05" customHeight="1" x14ac:dyDescent="0.3">
      <c r="A12" s="150">
        <v>10</v>
      </c>
      <c r="B12" s="151" t="s">
        <v>66</v>
      </c>
      <c r="C12" s="150" t="s">
        <v>36</v>
      </c>
      <c r="D12" s="150" t="s">
        <v>803</v>
      </c>
      <c r="E12" s="150" t="s">
        <v>27</v>
      </c>
      <c r="F12" s="150">
        <v>262659</v>
      </c>
      <c r="G12" s="150" t="s">
        <v>802</v>
      </c>
      <c r="H12" s="150">
        <v>3000</v>
      </c>
      <c r="I12" s="152">
        <v>0.36799999999999999</v>
      </c>
      <c r="J12" s="152">
        <v>0.72899999999999998</v>
      </c>
      <c r="K12" s="150" t="s">
        <v>801</v>
      </c>
      <c r="L12" s="152">
        <v>804.81600000000003</v>
      </c>
      <c r="M12" s="153">
        <v>1093.5</v>
      </c>
      <c r="N12" s="154">
        <v>0.15190000000000001</v>
      </c>
      <c r="O12" s="155">
        <v>9.11</v>
      </c>
      <c r="P12" s="150">
        <v>253.5</v>
      </c>
      <c r="Q12" s="150">
        <v>2</v>
      </c>
      <c r="R12" s="150">
        <v>800</v>
      </c>
      <c r="S12" s="152">
        <v>0.73599999999999999</v>
      </c>
      <c r="T12" s="150">
        <v>64</v>
      </c>
      <c r="U12" s="154">
        <v>0.08</v>
      </c>
      <c r="V12" s="150" t="s">
        <v>28</v>
      </c>
      <c r="W12" s="150" t="s">
        <v>28</v>
      </c>
      <c r="X12" s="150" t="s">
        <v>28</v>
      </c>
      <c r="Y12" s="150" t="s">
        <v>27</v>
      </c>
      <c r="Z12" s="150" t="s">
        <v>27</v>
      </c>
      <c r="AA12" s="150" t="s">
        <v>33</v>
      </c>
      <c r="AB12" s="150" t="s">
        <v>800</v>
      </c>
    </row>
    <row r="13" spans="1:28" s="156" customFormat="1" ht="25.05" customHeight="1" x14ac:dyDescent="0.3">
      <c r="A13" s="157" t="s">
        <v>27</v>
      </c>
      <c r="B13" s="157" t="s">
        <v>27</v>
      </c>
      <c r="C13" s="157" t="s">
        <v>27</v>
      </c>
      <c r="D13" s="157" t="s">
        <v>27</v>
      </c>
      <c r="E13" s="157" t="s">
        <v>27</v>
      </c>
      <c r="F13" s="157" t="s">
        <v>27</v>
      </c>
      <c r="G13" s="157" t="s">
        <v>27</v>
      </c>
      <c r="H13" s="157">
        <v>10700</v>
      </c>
      <c r="I13" s="157" t="s">
        <v>27</v>
      </c>
      <c r="J13" s="157" t="s">
        <v>27</v>
      </c>
      <c r="K13" s="157" t="s">
        <v>27</v>
      </c>
      <c r="L13" s="157" t="s">
        <v>27</v>
      </c>
      <c r="M13" s="157" t="s">
        <v>27</v>
      </c>
      <c r="N13" s="157" t="s">
        <v>27</v>
      </c>
      <c r="O13" s="157" t="s">
        <v>27</v>
      </c>
      <c r="P13" s="157">
        <v>1653.5</v>
      </c>
      <c r="Q13" s="157" t="s">
        <v>27</v>
      </c>
      <c r="R13" s="157" t="s">
        <v>27</v>
      </c>
      <c r="S13" s="157" t="s">
        <v>27</v>
      </c>
      <c r="T13" s="157" t="s">
        <v>27</v>
      </c>
      <c r="U13" s="157" t="s">
        <v>27</v>
      </c>
      <c r="V13" s="157" t="s">
        <v>27</v>
      </c>
      <c r="W13" s="157" t="s">
        <v>27</v>
      </c>
      <c r="X13" s="157" t="s">
        <v>27</v>
      </c>
      <c r="Y13" s="157" t="s">
        <v>27</v>
      </c>
      <c r="Z13" s="157" t="s">
        <v>27</v>
      </c>
      <c r="AA13" s="157" t="s">
        <v>27</v>
      </c>
      <c r="AB13" s="157" t="s">
        <v>27</v>
      </c>
    </row>
    <row r="14" spans="1:28" s="156" customForma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77729-461D-4869-88D8-71569C5BCEE0}">
  <dimension ref="A1:AB5"/>
  <sheetViews>
    <sheetView workbookViewId="0">
      <selection activeCell="J8" sqref="J8"/>
    </sheetView>
  </sheetViews>
  <sheetFormatPr defaultRowHeight="14.4" x14ac:dyDescent="0.3"/>
  <cols>
    <col min="1" max="1" width="3.21875" style="108" customWidth="1"/>
    <col min="2" max="2" width="20.77734375" style="108" hidden="1" customWidth="1"/>
    <col min="3" max="3" width="5.6640625" style="108" customWidth="1"/>
    <col min="4" max="4" width="11.77734375" style="108" hidden="1" customWidth="1"/>
    <col min="5" max="5" width="9.109375" style="108" customWidth="1"/>
    <col min="6" max="6" width="7.21875" style="108" customWidth="1"/>
    <col min="7" max="7" width="6.21875" style="108" customWidth="1"/>
    <col min="8" max="8" width="6" style="108" customWidth="1"/>
    <col min="9" max="9" width="6.5546875" style="108" customWidth="1"/>
    <col min="10" max="10" width="6.44140625" style="108" customWidth="1"/>
    <col min="11" max="11" width="12.1093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5.77734375" style="108" customWidth="1"/>
    <col min="17" max="17" width="3.6640625" style="108" customWidth="1"/>
    <col min="18" max="18" width="5.6640625" style="108" customWidth="1"/>
    <col min="19" max="19" width="5.33203125" style="108" customWidth="1"/>
    <col min="20" max="20" width="11.77734375" style="108" hidden="1" customWidth="1"/>
    <col min="21" max="21" width="8.77734375" style="108" hidden="1" customWidth="1"/>
    <col min="22" max="22" width="7.109375" style="108" customWidth="1"/>
    <col min="23" max="23" width="6.88671875" style="108" customWidth="1"/>
    <col min="24" max="24" width="7.21875" style="108" customWidth="1"/>
    <col min="25" max="25" width="7.33203125" style="108" customWidth="1"/>
    <col min="26" max="26" width="7.5546875" style="108" customWidth="1"/>
    <col min="27" max="27" width="3.5546875" style="108" customWidth="1"/>
    <col min="28" max="28" width="9.77734375" style="108" customWidth="1"/>
    <col min="29" max="16384" width="8.88671875" style="108"/>
  </cols>
  <sheetData>
    <row r="1" spans="1:28" ht="18" customHeight="1" x14ac:dyDescent="0.35">
      <c r="A1" s="220" t="s">
        <v>799</v>
      </c>
      <c r="B1" s="220" t="s">
        <v>27</v>
      </c>
      <c r="C1" s="220" t="s">
        <v>27</v>
      </c>
      <c r="D1" s="220" t="s">
        <v>27</v>
      </c>
      <c r="E1" s="220" t="s">
        <v>27</v>
      </c>
      <c r="F1" s="220" t="s">
        <v>27</v>
      </c>
      <c r="G1" s="220" t="s">
        <v>27</v>
      </c>
      <c r="H1" s="220" t="s">
        <v>27</v>
      </c>
      <c r="I1" s="220" t="s">
        <v>27</v>
      </c>
      <c r="J1" s="220" t="s">
        <v>27</v>
      </c>
      <c r="K1" s="220" t="s">
        <v>27</v>
      </c>
      <c r="L1" s="220" t="s">
        <v>27</v>
      </c>
      <c r="M1" s="220" t="s">
        <v>27</v>
      </c>
      <c r="N1" s="220" t="s">
        <v>27</v>
      </c>
      <c r="O1" s="220" t="s">
        <v>27</v>
      </c>
      <c r="P1" s="220" t="s">
        <v>27</v>
      </c>
      <c r="Q1" s="220" t="s">
        <v>27</v>
      </c>
      <c r="R1" s="220" t="s">
        <v>27</v>
      </c>
      <c r="S1" s="220" t="s">
        <v>27</v>
      </c>
      <c r="T1" s="220" t="s">
        <v>27</v>
      </c>
      <c r="U1" s="220" t="s">
        <v>27</v>
      </c>
      <c r="V1" s="220" t="s">
        <v>27</v>
      </c>
      <c r="W1" s="220" t="s">
        <v>27</v>
      </c>
      <c r="X1" s="220" t="s">
        <v>27</v>
      </c>
      <c r="Y1" s="220" t="s">
        <v>27</v>
      </c>
      <c r="Z1" s="220" t="s">
        <v>27</v>
      </c>
      <c r="AA1" s="220" t="s">
        <v>27</v>
      </c>
      <c r="AB1" s="220" t="s">
        <v>27</v>
      </c>
    </row>
    <row r="2" spans="1:28" ht="60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x14ac:dyDescent="0.3">
      <c r="A3" s="116">
        <v>1</v>
      </c>
      <c r="B3" s="118" t="s">
        <v>326</v>
      </c>
      <c r="C3" s="116" t="s">
        <v>296</v>
      </c>
      <c r="D3" s="116" t="s">
        <v>795</v>
      </c>
      <c r="E3" s="116" t="s">
        <v>27</v>
      </c>
      <c r="F3" s="116">
        <v>262649</v>
      </c>
      <c r="G3" s="116" t="s">
        <v>798</v>
      </c>
      <c r="H3" s="116">
        <v>2600</v>
      </c>
      <c r="I3" s="117">
        <v>0.49199999999999999</v>
      </c>
      <c r="J3" s="117">
        <v>1.2629999999999999</v>
      </c>
      <c r="K3" s="116" t="s">
        <v>797</v>
      </c>
      <c r="L3" s="113">
        <v>1615.63</v>
      </c>
      <c r="M3" s="115">
        <v>1641.9</v>
      </c>
      <c r="N3" s="112">
        <v>0.22800000000000001</v>
      </c>
      <c r="O3" s="114">
        <v>13.68</v>
      </c>
      <c r="P3" s="111">
        <v>589.70000000000005</v>
      </c>
      <c r="Q3" s="111">
        <v>2</v>
      </c>
      <c r="R3" s="111">
        <v>1050</v>
      </c>
      <c r="S3" s="113">
        <v>0.98399999999999999</v>
      </c>
      <c r="T3" s="111">
        <v>66</v>
      </c>
      <c r="U3" s="112">
        <v>6.2899999999999998E-2</v>
      </c>
      <c r="V3" s="111" t="s">
        <v>42</v>
      </c>
      <c r="W3" s="111" t="s">
        <v>29</v>
      </c>
      <c r="X3" s="111" t="s">
        <v>28</v>
      </c>
      <c r="Y3" s="111" t="s">
        <v>27</v>
      </c>
      <c r="Z3" s="111" t="s">
        <v>27</v>
      </c>
      <c r="AA3" s="111" t="s">
        <v>32</v>
      </c>
      <c r="AB3" s="111" t="s">
        <v>796</v>
      </c>
    </row>
    <row r="4" spans="1:28" x14ac:dyDescent="0.3">
      <c r="A4" s="116">
        <v>2</v>
      </c>
      <c r="B4" s="118" t="s">
        <v>326</v>
      </c>
      <c r="C4" s="116" t="s">
        <v>296</v>
      </c>
      <c r="D4" s="116" t="s">
        <v>795</v>
      </c>
      <c r="E4" s="116" t="s">
        <v>27</v>
      </c>
      <c r="F4" s="116">
        <v>262650</v>
      </c>
      <c r="G4" s="116" t="s">
        <v>794</v>
      </c>
      <c r="H4" s="116">
        <v>2300</v>
      </c>
      <c r="I4" s="117">
        <v>0.45700000000000002</v>
      </c>
      <c r="J4" s="117">
        <v>1.393</v>
      </c>
      <c r="K4" s="116" t="s">
        <v>793</v>
      </c>
      <c r="L4" s="113">
        <v>1464.182</v>
      </c>
      <c r="M4" s="115">
        <v>1602</v>
      </c>
      <c r="N4" s="112">
        <v>0.2225</v>
      </c>
      <c r="O4" s="114">
        <v>13.35</v>
      </c>
      <c r="P4" s="111">
        <v>534.4</v>
      </c>
      <c r="Q4" s="111">
        <v>2</v>
      </c>
      <c r="R4" s="111">
        <v>950</v>
      </c>
      <c r="S4" s="113">
        <v>0.91400000000000003</v>
      </c>
      <c r="T4" s="111">
        <v>36</v>
      </c>
      <c r="U4" s="112">
        <v>3.7900000000000003E-2</v>
      </c>
      <c r="V4" s="111" t="s">
        <v>42</v>
      </c>
      <c r="W4" s="111" t="s">
        <v>29</v>
      </c>
      <c r="X4" s="111" t="s">
        <v>28</v>
      </c>
      <c r="Y4" s="111" t="s">
        <v>27</v>
      </c>
      <c r="Z4" s="111" t="s">
        <v>27</v>
      </c>
      <c r="AA4" s="111" t="s">
        <v>30</v>
      </c>
      <c r="AB4" s="111" t="s">
        <v>792</v>
      </c>
    </row>
    <row r="5" spans="1:28" x14ac:dyDescent="0.3">
      <c r="A5" s="110" t="s">
        <v>27</v>
      </c>
      <c r="B5" s="110" t="s">
        <v>27</v>
      </c>
      <c r="C5" s="110" t="s">
        <v>27</v>
      </c>
      <c r="D5" s="110" t="s">
        <v>27</v>
      </c>
      <c r="E5" s="110" t="s">
        <v>27</v>
      </c>
      <c r="F5" s="110" t="s">
        <v>27</v>
      </c>
      <c r="G5" s="110" t="s">
        <v>27</v>
      </c>
      <c r="H5" s="110">
        <v>4900</v>
      </c>
      <c r="I5" s="110" t="s">
        <v>27</v>
      </c>
      <c r="J5" s="110" t="s">
        <v>27</v>
      </c>
      <c r="K5" s="110" t="s">
        <v>27</v>
      </c>
      <c r="L5" s="109" t="s">
        <v>27</v>
      </c>
      <c r="M5" s="109" t="s">
        <v>27</v>
      </c>
      <c r="N5" s="109" t="s">
        <v>27</v>
      </c>
      <c r="O5" s="109" t="s">
        <v>27</v>
      </c>
      <c r="P5" s="109">
        <v>1124.0999999999999</v>
      </c>
      <c r="Q5" s="109" t="s">
        <v>27</v>
      </c>
      <c r="R5" s="109" t="s">
        <v>27</v>
      </c>
      <c r="S5" s="109" t="s">
        <v>27</v>
      </c>
      <c r="T5" s="109" t="s">
        <v>27</v>
      </c>
      <c r="U5" s="109" t="s">
        <v>27</v>
      </c>
      <c r="V5" s="109" t="s">
        <v>27</v>
      </c>
      <c r="W5" s="109" t="s">
        <v>27</v>
      </c>
      <c r="X5" s="109" t="s">
        <v>27</v>
      </c>
      <c r="Y5" s="109" t="s">
        <v>27</v>
      </c>
      <c r="Z5" s="109" t="s">
        <v>27</v>
      </c>
      <c r="AA5" s="109" t="s">
        <v>27</v>
      </c>
      <c r="AB5" s="10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6A221D-BD7D-4C5D-A432-527A12F5B88A}">
  <dimension ref="A1:AB9"/>
  <sheetViews>
    <sheetView workbookViewId="0">
      <selection activeCell="H14" sqref="H14"/>
    </sheetView>
  </sheetViews>
  <sheetFormatPr defaultRowHeight="14.4" x14ac:dyDescent="0.3"/>
  <cols>
    <col min="1" max="1" width="3.77734375" style="108" customWidth="1"/>
    <col min="2" max="2" width="20.77734375" style="108" hidden="1" customWidth="1"/>
    <col min="3" max="3" width="7.109375" style="108" customWidth="1"/>
    <col min="4" max="4" width="11.77734375" style="108" hidden="1" customWidth="1"/>
    <col min="5" max="5" width="8.44140625" style="108" customWidth="1"/>
    <col min="6" max="6" width="6.77734375" style="108" customWidth="1"/>
    <col min="7" max="7" width="8.77734375" style="108" customWidth="1"/>
    <col min="8" max="8" width="6.21875" style="108" customWidth="1"/>
    <col min="9" max="9" width="5.77734375" style="108" customWidth="1"/>
    <col min="10" max="11" width="6.777343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6.77734375" style="108" customWidth="1"/>
    <col min="17" max="17" width="4" style="108" customWidth="1"/>
    <col min="18" max="18" width="6.33203125" style="108" customWidth="1"/>
    <col min="19" max="19" width="6.44140625" style="108" customWidth="1"/>
    <col min="20" max="20" width="11.77734375" style="108" hidden="1" customWidth="1"/>
    <col min="21" max="21" width="8.77734375" style="108" hidden="1" customWidth="1"/>
    <col min="22" max="22" width="7.88671875" style="108" customWidth="1"/>
    <col min="23" max="23" width="7.77734375" style="108" customWidth="1"/>
    <col min="24" max="24" width="8.109375" style="108" customWidth="1"/>
    <col min="25" max="25" width="9.44140625" style="108" customWidth="1"/>
    <col min="26" max="26" width="9.6640625" style="108" customWidth="1"/>
    <col min="27" max="27" width="4.109375" style="108" customWidth="1"/>
    <col min="28" max="28" width="11.44140625" style="108" customWidth="1"/>
    <col min="29" max="16384" width="8.88671875" style="108"/>
  </cols>
  <sheetData>
    <row r="1" spans="1:28" ht="18" customHeight="1" x14ac:dyDescent="0.35">
      <c r="A1" s="220" t="s">
        <v>791</v>
      </c>
      <c r="B1" s="220" t="s">
        <v>27</v>
      </c>
      <c r="C1" s="220" t="s">
        <v>27</v>
      </c>
      <c r="D1" s="220" t="s">
        <v>27</v>
      </c>
      <c r="E1" s="220" t="s">
        <v>27</v>
      </c>
      <c r="F1" s="220" t="s">
        <v>27</v>
      </c>
      <c r="G1" s="220" t="s">
        <v>27</v>
      </c>
      <c r="H1" s="220" t="s">
        <v>27</v>
      </c>
      <c r="I1" s="220" t="s">
        <v>27</v>
      </c>
      <c r="J1" s="220" t="s">
        <v>27</v>
      </c>
      <c r="K1" s="220" t="s">
        <v>27</v>
      </c>
      <c r="L1" s="220" t="s">
        <v>27</v>
      </c>
      <c r="M1" s="220" t="s">
        <v>27</v>
      </c>
      <c r="N1" s="220" t="s">
        <v>27</v>
      </c>
      <c r="O1" s="220" t="s">
        <v>27</v>
      </c>
      <c r="P1" s="220" t="s">
        <v>27</v>
      </c>
      <c r="Q1" s="220" t="s">
        <v>27</v>
      </c>
      <c r="R1" s="220" t="s">
        <v>27</v>
      </c>
      <c r="S1" s="220" t="s">
        <v>27</v>
      </c>
      <c r="T1" s="220" t="s">
        <v>27</v>
      </c>
      <c r="U1" s="220" t="s">
        <v>27</v>
      </c>
      <c r="V1" s="220" t="s">
        <v>27</v>
      </c>
      <c r="W1" s="220" t="s">
        <v>27</v>
      </c>
      <c r="X1" s="220" t="s">
        <v>27</v>
      </c>
      <c r="Y1" s="220" t="s">
        <v>27</v>
      </c>
      <c r="Z1" s="220" t="s">
        <v>27</v>
      </c>
      <c r="AA1" s="220" t="s">
        <v>27</v>
      </c>
      <c r="AB1" s="220" t="s">
        <v>27</v>
      </c>
    </row>
    <row r="2" spans="1:28" ht="47.4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ht="25.05" customHeight="1" x14ac:dyDescent="0.3">
      <c r="A3" s="116">
        <v>1</v>
      </c>
      <c r="B3" s="118" t="s">
        <v>526</v>
      </c>
      <c r="C3" s="116" t="s">
        <v>60</v>
      </c>
      <c r="D3" s="116" t="s">
        <v>770</v>
      </c>
      <c r="E3" s="116" t="s">
        <v>27</v>
      </c>
      <c r="F3" s="116">
        <v>262645</v>
      </c>
      <c r="G3" s="116" t="s">
        <v>787</v>
      </c>
      <c r="H3" s="116">
        <v>2740</v>
      </c>
      <c r="I3" s="117">
        <v>0.48</v>
      </c>
      <c r="J3" s="117">
        <v>1.25</v>
      </c>
      <c r="K3" s="116" t="s">
        <v>34</v>
      </c>
      <c r="L3" s="113">
        <v>1644</v>
      </c>
      <c r="M3" s="115">
        <v>1141.7</v>
      </c>
      <c r="N3" s="112">
        <v>0.1057</v>
      </c>
      <c r="O3" s="114">
        <v>6.34</v>
      </c>
      <c r="P3" s="111">
        <v>600.1</v>
      </c>
      <c r="Q3" s="111">
        <v>3</v>
      </c>
      <c r="R3" s="111">
        <v>1500</v>
      </c>
      <c r="S3" s="113">
        <v>1.44</v>
      </c>
      <c r="T3" s="111">
        <v>60</v>
      </c>
      <c r="U3" s="112">
        <v>0.04</v>
      </c>
      <c r="V3" s="111" t="s">
        <v>38</v>
      </c>
      <c r="W3" s="111" t="s">
        <v>29</v>
      </c>
      <c r="X3" s="111" t="s">
        <v>35</v>
      </c>
      <c r="Y3" s="111" t="s">
        <v>27</v>
      </c>
      <c r="Z3" s="111" t="s">
        <v>27</v>
      </c>
      <c r="AA3" s="111" t="s">
        <v>32</v>
      </c>
      <c r="AB3" s="111" t="s">
        <v>790</v>
      </c>
    </row>
    <row r="4" spans="1:28" ht="25.05" customHeight="1" x14ac:dyDescent="0.3">
      <c r="A4" s="116">
        <v>2</v>
      </c>
      <c r="B4" s="118" t="s">
        <v>526</v>
      </c>
      <c r="C4" s="116" t="s">
        <v>60</v>
      </c>
      <c r="D4" s="116" t="s">
        <v>770</v>
      </c>
      <c r="E4" s="116" t="s">
        <v>27</v>
      </c>
      <c r="F4" s="116">
        <v>262644</v>
      </c>
      <c r="G4" s="116" t="s">
        <v>787</v>
      </c>
      <c r="H4" s="116">
        <v>1662</v>
      </c>
      <c r="I4" s="117">
        <v>0.43</v>
      </c>
      <c r="J4" s="117">
        <v>1.1499999999999999</v>
      </c>
      <c r="K4" s="116" t="s">
        <v>34</v>
      </c>
      <c r="L4" s="113">
        <v>821.85900000000004</v>
      </c>
      <c r="M4" s="115">
        <v>637.1</v>
      </c>
      <c r="N4" s="112">
        <v>5.8999999999999997E-2</v>
      </c>
      <c r="O4" s="114">
        <v>3.54</v>
      </c>
      <c r="P4" s="111">
        <v>300</v>
      </c>
      <c r="Q4" s="111">
        <v>3</v>
      </c>
      <c r="R4" s="111">
        <v>1350</v>
      </c>
      <c r="S4" s="113">
        <v>1.29</v>
      </c>
      <c r="T4" s="111">
        <v>60</v>
      </c>
      <c r="U4" s="112">
        <v>4.4400000000000002E-2</v>
      </c>
      <c r="V4" s="111" t="s">
        <v>38</v>
      </c>
      <c r="W4" s="111" t="s">
        <v>29</v>
      </c>
      <c r="X4" s="111" t="s">
        <v>35</v>
      </c>
      <c r="Y4" s="111" t="s">
        <v>27</v>
      </c>
      <c r="Z4" s="111" t="s">
        <v>27</v>
      </c>
      <c r="AA4" s="111" t="s">
        <v>33</v>
      </c>
      <c r="AB4" s="111" t="s">
        <v>789</v>
      </c>
    </row>
    <row r="5" spans="1:28" ht="25.05" customHeight="1" x14ac:dyDescent="0.3">
      <c r="A5" s="116">
        <v>5</v>
      </c>
      <c r="B5" s="118" t="s">
        <v>526</v>
      </c>
      <c r="C5" s="116" t="s">
        <v>60</v>
      </c>
      <c r="D5" s="116" t="s">
        <v>770</v>
      </c>
      <c r="E5" s="116" t="s">
        <v>27</v>
      </c>
      <c r="F5" s="116">
        <v>262646</v>
      </c>
      <c r="G5" s="116" t="s">
        <v>787</v>
      </c>
      <c r="H5" s="116">
        <v>1140</v>
      </c>
      <c r="I5" s="117">
        <v>0.53</v>
      </c>
      <c r="J5" s="117">
        <v>1.36</v>
      </c>
      <c r="K5" s="116" t="s">
        <v>34</v>
      </c>
      <c r="L5" s="113">
        <v>821.71199999999999</v>
      </c>
      <c r="M5" s="115">
        <v>775.2</v>
      </c>
      <c r="N5" s="112">
        <v>0.1077</v>
      </c>
      <c r="O5" s="114">
        <v>6.46</v>
      </c>
      <c r="P5" s="111">
        <v>299.89999999999998</v>
      </c>
      <c r="Q5" s="111">
        <v>2</v>
      </c>
      <c r="R5" s="111">
        <v>1100</v>
      </c>
      <c r="S5" s="113">
        <v>1.06</v>
      </c>
      <c r="T5" s="111">
        <v>40</v>
      </c>
      <c r="U5" s="112">
        <v>3.6400000000000002E-2</v>
      </c>
      <c r="V5" s="111" t="s">
        <v>38</v>
      </c>
      <c r="W5" s="111" t="s">
        <v>29</v>
      </c>
      <c r="X5" s="111" t="s">
        <v>35</v>
      </c>
      <c r="Y5" s="111" t="s">
        <v>27</v>
      </c>
      <c r="Z5" s="111" t="s">
        <v>27</v>
      </c>
      <c r="AA5" s="111" t="s">
        <v>33</v>
      </c>
      <c r="AB5" s="111" t="s">
        <v>788</v>
      </c>
    </row>
    <row r="6" spans="1:28" ht="25.05" customHeight="1" x14ac:dyDescent="0.3">
      <c r="A6" s="116">
        <v>3</v>
      </c>
      <c r="B6" s="118" t="s">
        <v>526</v>
      </c>
      <c r="C6" s="116" t="s">
        <v>50</v>
      </c>
      <c r="D6" s="116" t="s">
        <v>770</v>
      </c>
      <c r="E6" s="116" t="s">
        <v>27</v>
      </c>
      <c r="F6" s="116">
        <v>262647</v>
      </c>
      <c r="G6" s="116" t="s">
        <v>787</v>
      </c>
      <c r="H6" s="116">
        <v>3052</v>
      </c>
      <c r="I6" s="117">
        <v>0.39</v>
      </c>
      <c r="J6" s="117">
        <v>0.71</v>
      </c>
      <c r="K6" s="116" t="s">
        <v>34</v>
      </c>
      <c r="L6" s="113">
        <v>845.09900000000005</v>
      </c>
      <c r="M6" s="115">
        <v>722.3</v>
      </c>
      <c r="N6" s="112">
        <v>6.6900000000000001E-2</v>
      </c>
      <c r="O6" s="114">
        <v>4.01</v>
      </c>
      <c r="P6" s="111">
        <v>300</v>
      </c>
      <c r="Q6" s="111">
        <v>3</v>
      </c>
      <c r="R6" s="111">
        <v>1200</v>
      </c>
      <c r="S6" s="113">
        <v>1.17</v>
      </c>
      <c r="T6" s="111">
        <v>30</v>
      </c>
      <c r="U6" s="112">
        <v>2.5000000000000001E-2</v>
      </c>
      <c r="V6" s="111" t="s">
        <v>29</v>
      </c>
      <c r="W6" s="111" t="s">
        <v>28</v>
      </c>
      <c r="X6" s="111" t="s">
        <v>29</v>
      </c>
      <c r="Y6" s="111" t="s">
        <v>27</v>
      </c>
      <c r="Z6" s="111" t="s">
        <v>27</v>
      </c>
      <c r="AA6" s="111" t="s">
        <v>39</v>
      </c>
      <c r="AB6" s="111" t="s">
        <v>527</v>
      </c>
    </row>
    <row r="7" spans="1:28" ht="25.05" customHeight="1" x14ac:dyDescent="0.3">
      <c r="A7" s="116">
        <v>4</v>
      </c>
      <c r="B7" s="118" t="s">
        <v>526</v>
      </c>
      <c r="C7" s="116" t="s">
        <v>50</v>
      </c>
      <c r="D7" s="116" t="s">
        <v>770</v>
      </c>
      <c r="E7" s="116" t="s">
        <v>27</v>
      </c>
      <c r="F7" s="116">
        <v>262648</v>
      </c>
      <c r="G7" s="116" t="s">
        <v>787</v>
      </c>
      <c r="H7" s="116">
        <v>3317</v>
      </c>
      <c r="I7" s="117">
        <v>0.56000000000000005</v>
      </c>
      <c r="J7" s="117">
        <v>0.91</v>
      </c>
      <c r="K7" s="116" t="s">
        <v>34</v>
      </c>
      <c r="L7" s="113">
        <v>1690.3430000000001</v>
      </c>
      <c r="M7" s="115">
        <v>1509.2</v>
      </c>
      <c r="N7" s="112">
        <v>0.20960000000000001</v>
      </c>
      <c r="O7" s="114">
        <v>12.58</v>
      </c>
      <c r="P7" s="111">
        <v>600.1</v>
      </c>
      <c r="Q7" s="111">
        <v>2</v>
      </c>
      <c r="R7" s="111">
        <v>1150</v>
      </c>
      <c r="S7" s="113">
        <v>1.1200000000000001</v>
      </c>
      <c r="T7" s="111">
        <v>30</v>
      </c>
      <c r="U7" s="112">
        <v>2.6100000000000002E-2</v>
      </c>
      <c r="V7" s="111" t="s">
        <v>29</v>
      </c>
      <c r="W7" s="111" t="s">
        <v>28</v>
      </c>
      <c r="X7" s="111" t="s">
        <v>29</v>
      </c>
      <c r="Y7" s="111" t="s">
        <v>27</v>
      </c>
      <c r="Z7" s="111" t="s">
        <v>27</v>
      </c>
      <c r="AA7" s="111" t="s">
        <v>30</v>
      </c>
      <c r="AB7" s="111" t="s">
        <v>524</v>
      </c>
    </row>
    <row r="8" spans="1:28" ht="25.05" customHeight="1" x14ac:dyDescent="0.3">
      <c r="A8" s="110" t="s">
        <v>27</v>
      </c>
      <c r="B8" s="110" t="s">
        <v>27</v>
      </c>
      <c r="C8" s="110" t="s">
        <v>27</v>
      </c>
      <c r="D8" s="110" t="s">
        <v>27</v>
      </c>
      <c r="E8" s="110" t="s">
        <v>27</v>
      </c>
      <c r="F8" s="110" t="s">
        <v>27</v>
      </c>
      <c r="G8" s="110" t="s">
        <v>27</v>
      </c>
      <c r="H8" s="110">
        <v>11911</v>
      </c>
      <c r="I8" s="110" t="s">
        <v>27</v>
      </c>
      <c r="J8" s="110" t="s">
        <v>27</v>
      </c>
      <c r="K8" s="110" t="s">
        <v>27</v>
      </c>
      <c r="L8" s="109" t="s">
        <v>27</v>
      </c>
      <c r="M8" s="109" t="s">
        <v>27</v>
      </c>
      <c r="N8" s="109" t="s">
        <v>27</v>
      </c>
      <c r="O8" s="109" t="s">
        <v>27</v>
      </c>
      <c r="P8" s="109">
        <v>2100</v>
      </c>
      <c r="Q8" s="109" t="s">
        <v>27</v>
      </c>
      <c r="R8" s="109" t="s">
        <v>27</v>
      </c>
      <c r="S8" s="109" t="s">
        <v>27</v>
      </c>
      <c r="T8" s="109" t="s">
        <v>27</v>
      </c>
      <c r="U8" s="109" t="s">
        <v>27</v>
      </c>
      <c r="V8" s="109" t="s">
        <v>27</v>
      </c>
      <c r="W8" s="109" t="s">
        <v>27</v>
      </c>
      <c r="X8" s="109" t="s">
        <v>27</v>
      </c>
      <c r="Y8" s="109" t="s">
        <v>27</v>
      </c>
      <c r="Z8" s="109" t="s">
        <v>27</v>
      </c>
      <c r="AA8" s="109" t="s">
        <v>27</v>
      </c>
      <c r="AB8" s="109" t="s">
        <v>27</v>
      </c>
    </row>
    <row r="9" spans="1:28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DEA62-D4C1-4F97-B5A0-F9D378B5F3A6}">
  <dimension ref="A1:AB6"/>
  <sheetViews>
    <sheetView workbookViewId="0">
      <selection activeCell="P12" sqref="P12"/>
    </sheetView>
  </sheetViews>
  <sheetFormatPr defaultRowHeight="14.4" x14ac:dyDescent="0.3"/>
  <cols>
    <col min="1" max="1" width="4.5546875" style="108" customWidth="1"/>
    <col min="2" max="2" width="20.77734375" style="108" hidden="1" customWidth="1"/>
    <col min="3" max="3" width="5.88671875" style="108" customWidth="1"/>
    <col min="4" max="4" width="11.77734375" style="108" hidden="1" customWidth="1"/>
    <col min="5" max="5" width="8.109375" style="108" customWidth="1"/>
    <col min="6" max="6" width="7.21875" style="108" customWidth="1"/>
    <col min="7" max="7" width="5" style="108" customWidth="1"/>
    <col min="8" max="8" width="6.33203125" style="108" customWidth="1"/>
    <col min="9" max="9" width="6.44140625" style="108" customWidth="1"/>
    <col min="10" max="10" width="6.21875" style="108" customWidth="1"/>
    <col min="11" max="11" width="12.55468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6.33203125" style="108" customWidth="1"/>
    <col min="17" max="17" width="4.77734375" style="108" customWidth="1"/>
    <col min="18" max="18" width="6.21875" style="108" customWidth="1"/>
    <col min="19" max="19" width="6.44140625" style="108" customWidth="1"/>
    <col min="20" max="20" width="11.77734375" style="108" hidden="1" customWidth="1"/>
    <col min="21" max="21" width="8.77734375" style="108" hidden="1" customWidth="1"/>
    <col min="22" max="22" width="7.44140625" style="108" customWidth="1"/>
    <col min="23" max="23" width="8.109375" style="108" customWidth="1"/>
    <col min="24" max="24" width="7.44140625" style="108" customWidth="1"/>
    <col min="25" max="25" width="7.21875" style="108" customWidth="1"/>
    <col min="26" max="26" width="6.88671875" style="108" customWidth="1"/>
    <col min="27" max="27" width="4.88671875" style="108" customWidth="1"/>
    <col min="28" max="28" width="11.109375" style="108" customWidth="1"/>
    <col min="29" max="16384" width="8.88671875" style="108"/>
  </cols>
  <sheetData>
    <row r="1" spans="1:28" ht="18" customHeight="1" x14ac:dyDescent="0.35">
      <c r="A1" s="220" t="s">
        <v>784</v>
      </c>
      <c r="B1" s="220" t="s">
        <v>27</v>
      </c>
      <c r="C1" s="220" t="s">
        <v>27</v>
      </c>
      <c r="D1" s="220" t="s">
        <v>27</v>
      </c>
      <c r="E1" s="220" t="s">
        <v>27</v>
      </c>
      <c r="F1" s="220" t="s">
        <v>27</v>
      </c>
      <c r="G1" s="220" t="s">
        <v>27</v>
      </c>
      <c r="H1" s="220" t="s">
        <v>27</v>
      </c>
      <c r="I1" s="220" t="s">
        <v>27</v>
      </c>
      <c r="J1" s="220" t="s">
        <v>27</v>
      </c>
      <c r="K1" s="220" t="s">
        <v>27</v>
      </c>
      <c r="L1" s="220" t="s">
        <v>27</v>
      </c>
      <c r="M1" s="220" t="s">
        <v>27</v>
      </c>
      <c r="N1" s="220" t="s">
        <v>27</v>
      </c>
      <c r="O1" s="220" t="s">
        <v>27</v>
      </c>
      <c r="P1" s="220" t="s">
        <v>27</v>
      </c>
      <c r="Q1" s="220" t="s">
        <v>27</v>
      </c>
      <c r="R1" s="220" t="s">
        <v>27</v>
      </c>
      <c r="S1" s="220" t="s">
        <v>27</v>
      </c>
      <c r="T1" s="220" t="s">
        <v>27</v>
      </c>
      <c r="U1" s="220" t="s">
        <v>27</v>
      </c>
      <c r="V1" s="220" t="s">
        <v>27</v>
      </c>
      <c r="W1" s="220" t="s">
        <v>27</v>
      </c>
      <c r="X1" s="220" t="s">
        <v>27</v>
      </c>
      <c r="Y1" s="220" t="s">
        <v>27</v>
      </c>
      <c r="Z1" s="220" t="s">
        <v>27</v>
      </c>
      <c r="AA1" s="220" t="s">
        <v>27</v>
      </c>
      <c r="AB1" s="220" t="s">
        <v>27</v>
      </c>
    </row>
    <row r="2" spans="1:28" ht="52.8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56" customFormat="1" x14ac:dyDescent="0.3">
      <c r="A3" s="150">
        <v>1</v>
      </c>
      <c r="B3" s="151" t="s">
        <v>63</v>
      </c>
      <c r="C3" s="150" t="s">
        <v>65</v>
      </c>
      <c r="D3" s="150" t="s">
        <v>770</v>
      </c>
      <c r="E3" s="150" t="s">
        <v>27</v>
      </c>
      <c r="F3" s="150">
        <v>262640</v>
      </c>
      <c r="G3" s="150" t="s">
        <v>779</v>
      </c>
      <c r="H3" s="150">
        <v>800</v>
      </c>
      <c r="I3" s="152">
        <v>0.73199999999999998</v>
      </c>
      <c r="J3" s="152">
        <v>1.6739999999999999</v>
      </c>
      <c r="K3" s="150" t="s">
        <v>783</v>
      </c>
      <c r="L3" s="152">
        <v>980.29399999999998</v>
      </c>
      <c r="M3" s="153">
        <v>669.6</v>
      </c>
      <c r="N3" s="154">
        <v>9.2999999999999999E-2</v>
      </c>
      <c r="O3" s="155">
        <v>5.58</v>
      </c>
      <c r="P3" s="150">
        <v>317.60000000000002</v>
      </c>
      <c r="Q3" s="150">
        <v>2</v>
      </c>
      <c r="R3" s="150">
        <v>1500</v>
      </c>
      <c r="S3" s="152">
        <v>1.464</v>
      </c>
      <c r="T3" s="150">
        <v>36</v>
      </c>
      <c r="U3" s="154">
        <v>2.4E-2</v>
      </c>
      <c r="V3" s="150" t="s">
        <v>28</v>
      </c>
      <c r="W3" s="150" t="s">
        <v>28</v>
      </c>
      <c r="X3" s="150" t="s">
        <v>28</v>
      </c>
      <c r="Y3" s="150" t="s">
        <v>27</v>
      </c>
      <c r="Z3" s="150" t="s">
        <v>27</v>
      </c>
      <c r="AA3" s="150" t="s">
        <v>30</v>
      </c>
      <c r="AB3" s="150" t="s">
        <v>782</v>
      </c>
    </row>
    <row r="4" spans="1:28" s="156" customFormat="1" x14ac:dyDescent="0.3">
      <c r="A4" s="150">
        <v>2</v>
      </c>
      <c r="B4" s="151" t="s">
        <v>63</v>
      </c>
      <c r="C4" s="150" t="s">
        <v>65</v>
      </c>
      <c r="D4" s="150" t="s">
        <v>770</v>
      </c>
      <c r="E4" s="150" t="s">
        <v>27</v>
      </c>
      <c r="F4" s="150">
        <v>262641</v>
      </c>
      <c r="G4" s="150" t="s">
        <v>779</v>
      </c>
      <c r="H4" s="150">
        <v>1150</v>
      </c>
      <c r="I4" s="152">
        <v>0.54700000000000004</v>
      </c>
      <c r="J4" s="152">
        <v>1.44</v>
      </c>
      <c r="K4" s="150" t="s">
        <v>781</v>
      </c>
      <c r="L4" s="152">
        <v>905.83199999999999</v>
      </c>
      <c r="M4" s="153">
        <v>828</v>
      </c>
      <c r="N4" s="154">
        <v>0.115</v>
      </c>
      <c r="O4" s="155">
        <v>6.9</v>
      </c>
      <c r="P4" s="150">
        <v>293.5</v>
      </c>
      <c r="Q4" s="150">
        <v>2</v>
      </c>
      <c r="R4" s="150">
        <v>1150</v>
      </c>
      <c r="S4" s="152">
        <v>1.0940000000000001</v>
      </c>
      <c r="T4" s="150">
        <v>56</v>
      </c>
      <c r="U4" s="154">
        <v>4.87E-2</v>
      </c>
      <c r="V4" s="150" t="s">
        <v>28</v>
      </c>
      <c r="W4" s="150" t="s">
        <v>28</v>
      </c>
      <c r="X4" s="150" t="s">
        <v>28</v>
      </c>
      <c r="Y4" s="150" t="s">
        <v>27</v>
      </c>
      <c r="Z4" s="150" t="s">
        <v>27</v>
      </c>
      <c r="AA4" s="150" t="s">
        <v>33</v>
      </c>
      <c r="AB4" s="150" t="s">
        <v>780</v>
      </c>
    </row>
    <row r="5" spans="1:28" s="156" customFormat="1" x14ac:dyDescent="0.3">
      <c r="A5" s="150">
        <v>3</v>
      </c>
      <c r="B5" s="151" t="s">
        <v>63</v>
      </c>
      <c r="C5" s="150" t="s">
        <v>36</v>
      </c>
      <c r="D5" s="150" t="s">
        <v>770</v>
      </c>
      <c r="E5" s="150" t="s">
        <v>27</v>
      </c>
      <c r="F5" s="150">
        <v>262642</v>
      </c>
      <c r="G5" s="150" t="s">
        <v>779</v>
      </c>
      <c r="H5" s="150">
        <v>1000</v>
      </c>
      <c r="I5" s="152">
        <v>0.58099999999999996</v>
      </c>
      <c r="J5" s="152">
        <v>1.58</v>
      </c>
      <c r="K5" s="150" t="s">
        <v>778</v>
      </c>
      <c r="L5" s="152">
        <v>917.98</v>
      </c>
      <c r="M5" s="153">
        <v>790</v>
      </c>
      <c r="N5" s="154">
        <v>0.10970000000000001</v>
      </c>
      <c r="O5" s="155">
        <v>6.58</v>
      </c>
      <c r="P5" s="150">
        <v>289.2</v>
      </c>
      <c r="Q5" s="150">
        <v>2</v>
      </c>
      <c r="R5" s="150">
        <v>1200</v>
      </c>
      <c r="S5" s="152">
        <v>1.1619999999999999</v>
      </c>
      <c r="T5" s="150">
        <v>38</v>
      </c>
      <c r="U5" s="154">
        <v>3.1699999999999999E-2</v>
      </c>
      <c r="V5" s="150" t="s">
        <v>28</v>
      </c>
      <c r="W5" s="150" t="s">
        <v>28</v>
      </c>
      <c r="X5" s="150" t="s">
        <v>28</v>
      </c>
      <c r="Y5" s="150" t="s">
        <v>27</v>
      </c>
      <c r="Z5" s="150" t="s">
        <v>27</v>
      </c>
      <c r="AA5" s="150" t="s">
        <v>33</v>
      </c>
      <c r="AB5" s="150" t="s">
        <v>777</v>
      </c>
    </row>
    <row r="6" spans="1:28" s="156" customFormat="1" x14ac:dyDescent="0.3">
      <c r="A6" s="157" t="s">
        <v>27</v>
      </c>
      <c r="B6" s="157" t="s">
        <v>27</v>
      </c>
      <c r="C6" s="157" t="s">
        <v>27</v>
      </c>
      <c r="D6" s="157" t="s">
        <v>27</v>
      </c>
      <c r="E6" s="157" t="s">
        <v>27</v>
      </c>
      <c r="F6" s="157" t="s">
        <v>27</v>
      </c>
      <c r="G6" s="157" t="s">
        <v>27</v>
      </c>
      <c r="H6" s="157">
        <v>2950</v>
      </c>
      <c r="I6" s="157" t="s">
        <v>27</v>
      </c>
      <c r="J6" s="157" t="s">
        <v>27</v>
      </c>
      <c r="K6" s="157" t="s">
        <v>27</v>
      </c>
      <c r="L6" s="157" t="s">
        <v>27</v>
      </c>
      <c r="M6" s="157" t="s">
        <v>27</v>
      </c>
      <c r="N6" s="157" t="s">
        <v>27</v>
      </c>
      <c r="O6" s="157" t="s">
        <v>27</v>
      </c>
      <c r="P6" s="157">
        <v>900.3</v>
      </c>
      <c r="Q6" s="157" t="s">
        <v>27</v>
      </c>
      <c r="R6" s="157" t="s">
        <v>27</v>
      </c>
      <c r="S6" s="157" t="s">
        <v>27</v>
      </c>
      <c r="T6" s="157" t="s">
        <v>27</v>
      </c>
      <c r="U6" s="157" t="s">
        <v>27</v>
      </c>
      <c r="V6" s="157" t="s">
        <v>27</v>
      </c>
      <c r="W6" s="157" t="s">
        <v>27</v>
      </c>
      <c r="X6" s="157" t="s">
        <v>27</v>
      </c>
      <c r="Y6" s="157" t="s">
        <v>27</v>
      </c>
      <c r="Z6" s="157" t="s">
        <v>27</v>
      </c>
      <c r="AA6" s="157" t="s">
        <v>27</v>
      </c>
      <c r="AB6" s="157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ADB3A-C171-49AE-8471-729057A3A740}">
  <dimension ref="A1:AB12"/>
  <sheetViews>
    <sheetView workbookViewId="0">
      <selection activeCell="K17" sqref="K17"/>
    </sheetView>
  </sheetViews>
  <sheetFormatPr defaultRowHeight="14.4" x14ac:dyDescent="0.3"/>
  <cols>
    <col min="1" max="1" width="3.33203125" style="108" customWidth="1"/>
    <col min="2" max="2" width="20.77734375" style="108" hidden="1" customWidth="1"/>
    <col min="3" max="3" width="7.77734375" style="108" customWidth="1"/>
    <col min="4" max="4" width="11.77734375" style="108" hidden="1" customWidth="1"/>
    <col min="5" max="5" width="9.6640625" style="108" customWidth="1"/>
    <col min="6" max="6" width="7.109375" style="108" customWidth="1"/>
    <col min="7" max="7" width="5.77734375" style="108" customWidth="1"/>
    <col min="8" max="8" width="6" style="108" customWidth="1"/>
    <col min="9" max="9" width="7.21875" style="108" customWidth="1"/>
    <col min="10" max="10" width="6.5546875" style="108" customWidth="1"/>
    <col min="11" max="11" width="13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44140625" style="108" customWidth="1"/>
    <col min="17" max="17" width="4.21875" style="108" customWidth="1"/>
    <col min="18" max="18" width="6.44140625" style="108" customWidth="1"/>
    <col min="19" max="19" width="5.77734375" style="108" customWidth="1"/>
    <col min="20" max="20" width="11.77734375" style="108" hidden="1" customWidth="1"/>
    <col min="21" max="21" width="8.77734375" style="108" hidden="1" customWidth="1"/>
    <col min="22" max="22" width="7.77734375" style="108" customWidth="1"/>
    <col min="23" max="23" width="7.6640625" style="108" customWidth="1"/>
    <col min="24" max="24" width="7.44140625" style="108" customWidth="1"/>
    <col min="25" max="25" width="7.77734375" style="108" customWidth="1"/>
    <col min="26" max="26" width="7.44140625" style="108" customWidth="1"/>
    <col min="27" max="27" width="4.88671875" style="108" customWidth="1"/>
    <col min="28" max="28" width="11.33203125" style="108" customWidth="1"/>
    <col min="29" max="16384" width="8.88671875" style="108"/>
  </cols>
  <sheetData>
    <row r="1" spans="1:28" ht="18" customHeight="1" x14ac:dyDescent="0.35">
      <c r="A1" s="220" t="s">
        <v>776</v>
      </c>
      <c r="B1" s="220" t="s">
        <v>27</v>
      </c>
      <c r="C1" s="220" t="s">
        <v>27</v>
      </c>
      <c r="D1" s="220" t="s">
        <v>27</v>
      </c>
      <c r="E1" s="220" t="s">
        <v>27</v>
      </c>
      <c r="F1" s="220" t="s">
        <v>27</v>
      </c>
      <c r="G1" s="220" t="s">
        <v>27</v>
      </c>
      <c r="H1" s="220" t="s">
        <v>27</v>
      </c>
      <c r="I1" s="220" t="s">
        <v>27</v>
      </c>
      <c r="J1" s="220" t="s">
        <v>27</v>
      </c>
      <c r="K1" s="220" t="s">
        <v>27</v>
      </c>
      <c r="L1" s="220" t="s">
        <v>27</v>
      </c>
      <c r="M1" s="220" t="s">
        <v>27</v>
      </c>
      <c r="N1" s="220" t="s">
        <v>27</v>
      </c>
      <c r="O1" s="220" t="s">
        <v>27</v>
      </c>
      <c r="P1" s="220" t="s">
        <v>27</v>
      </c>
      <c r="Q1" s="220" t="s">
        <v>27</v>
      </c>
      <c r="R1" s="220" t="s">
        <v>27</v>
      </c>
      <c r="S1" s="220" t="s">
        <v>27</v>
      </c>
      <c r="T1" s="220" t="s">
        <v>27</v>
      </c>
      <c r="U1" s="220" t="s">
        <v>27</v>
      </c>
      <c r="V1" s="220" t="s">
        <v>27</v>
      </c>
      <c r="W1" s="220" t="s">
        <v>27</v>
      </c>
      <c r="X1" s="220" t="s">
        <v>27</v>
      </c>
      <c r="Y1" s="220" t="s">
        <v>27</v>
      </c>
      <c r="Z1" s="220" t="s">
        <v>27</v>
      </c>
      <c r="AA1" s="220" t="s">
        <v>27</v>
      </c>
      <c r="AB1" s="220" t="s">
        <v>27</v>
      </c>
    </row>
    <row r="2" spans="1:28" ht="61.2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customFormat="1" ht="25.05" customHeight="1" x14ac:dyDescent="0.3">
      <c r="A3">
        <v>1</v>
      </c>
      <c r="B3" t="s">
        <v>444</v>
      </c>
      <c r="C3" t="s">
        <v>45</v>
      </c>
      <c r="D3" s="219">
        <v>46283</v>
      </c>
      <c r="F3">
        <v>262665</v>
      </c>
      <c r="G3">
        <v>1749</v>
      </c>
      <c r="H3">
        <v>500</v>
      </c>
      <c r="I3">
        <v>1.494</v>
      </c>
      <c r="J3">
        <v>2.5630000000000002</v>
      </c>
      <c r="K3" t="s">
        <v>34</v>
      </c>
      <c r="L3">
        <v>1914.5609999999999</v>
      </c>
      <c r="M3">
        <v>1281.5</v>
      </c>
      <c r="N3">
        <v>0.35599999999999998</v>
      </c>
      <c r="O3">
        <v>21.36</v>
      </c>
      <c r="P3">
        <v>1087.5</v>
      </c>
      <c r="Q3">
        <v>1</v>
      </c>
      <c r="R3">
        <v>1550</v>
      </c>
      <c r="S3">
        <v>1.494</v>
      </c>
      <c r="T3">
        <v>56</v>
      </c>
      <c r="U3">
        <v>3.61E-2</v>
      </c>
      <c r="V3" t="s">
        <v>35</v>
      </c>
      <c r="W3" t="s">
        <v>40</v>
      </c>
      <c r="X3" t="s">
        <v>35</v>
      </c>
      <c r="Y3" t="s">
        <v>35</v>
      </c>
      <c r="Z3" t="s">
        <v>35</v>
      </c>
      <c r="AA3">
        <v>3</v>
      </c>
      <c r="AB3" t="s">
        <v>817</v>
      </c>
    </row>
    <row r="4" spans="1:28" customFormat="1" ht="25.05" customHeight="1" x14ac:dyDescent="0.3">
      <c r="A4">
        <v>2</v>
      </c>
      <c r="B4" t="s">
        <v>444</v>
      </c>
      <c r="C4" t="s">
        <v>45</v>
      </c>
      <c r="D4" s="219">
        <v>46283</v>
      </c>
      <c r="F4">
        <v>262666</v>
      </c>
      <c r="G4">
        <v>1749</v>
      </c>
      <c r="H4">
        <v>500</v>
      </c>
      <c r="I4">
        <v>1.444</v>
      </c>
      <c r="J4">
        <v>2.383</v>
      </c>
      <c r="K4" t="s">
        <v>34</v>
      </c>
      <c r="L4">
        <v>1720.5260000000001</v>
      </c>
      <c r="M4">
        <v>1191.5</v>
      </c>
      <c r="N4">
        <v>0.33100000000000002</v>
      </c>
      <c r="O4">
        <v>19.86</v>
      </c>
      <c r="P4">
        <v>977.3</v>
      </c>
      <c r="Q4">
        <v>1</v>
      </c>
      <c r="R4">
        <v>1500</v>
      </c>
      <c r="S4">
        <v>1.444</v>
      </c>
      <c r="T4">
        <v>56</v>
      </c>
      <c r="U4">
        <v>3.73E-2</v>
      </c>
      <c r="V4" t="s">
        <v>35</v>
      </c>
      <c r="W4" t="s">
        <v>40</v>
      </c>
      <c r="X4" t="s">
        <v>35</v>
      </c>
      <c r="Y4" t="s">
        <v>35</v>
      </c>
      <c r="Z4" t="s">
        <v>35</v>
      </c>
      <c r="AA4">
        <v>3</v>
      </c>
      <c r="AB4" t="s">
        <v>818</v>
      </c>
    </row>
    <row r="5" spans="1:28" customFormat="1" ht="25.05" customHeight="1" x14ac:dyDescent="0.3">
      <c r="A5">
        <v>3</v>
      </c>
      <c r="B5" t="s">
        <v>444</v>
      </c>
      <c r="C5" t="s">
        <v>45</v>
      </c>
      <c r="D5" s="219">
        <v>46283</v>
      </c>
      <c r="F5">
        <v>262667</v>
      </c>
      <c r="G5">
        <v>1751</v>
      </c>
      <c r="H5">
        <v>400</v>
      </c>
      <c r="I5">
        <v>1.3879999999999999</v>
      </c>
      <c r="J5">
        <v>1.5029999999999999</v>
      </c>
      <c r="K5" t="s">
        <v>34</v>
      </c>
      <c r="L5">
        <v>834.46600000000001</v>
      </c>
      <c r="M5">
        <v>601.20000000000005</v>
      </c>
      <c r="N5">
        <v>0.16700000000000001</v>
      </c>
      <c r="O5">
        <v>10.02</v>
      </c>
      <c r="P5">
        <v>474</v>
      </c>
      <c r="Q5">
        <v>1</v>
      </c>
      <c r="R5">
        <v>1450</v>
      </c>
      <c r="S5">
        <v>1.3879999999999999</v>
      </c>
      <c r="T5">
        <v>62</v>
      </c>
      <c r="U5">
        <v>4.2799999999999998E-2</v>
      </c>
      <c r="V5" t="s">
        <v>35</v>
      </c>
      <c r="W5" t="s">
        <v>40</v>
      </c>
      <c r="X5" t="s">
        <v>35</v>
      </c>
      <c r="Y5" t="s">
        <v>35</v>
      </c>
      <c r="Z5" t="s">
        <v>35</v>
      </c>
      <c r="AA5">
        <v>3</v>
      </c>
      <c r="AB5" t="s">
        <v>819</v>
      </c>
    </row>
    <row r="6" spans="1:28" ht="25.05" customHeight="1" x14ac:dyDescent="0.3">
      <c r="A6">
        <v>4</v>
      </c>
      <c r="B6" s="118" t="s">
        <v>444</v>
      </c>
      <c r="C6" s="116" t="s">
        <v>45</v>
      </c>
      <c r="D6" s="116" t="s">
        <v>770</v>
      </c>
      <c r="E6" s="116" t="s">
        <v>27</v>
      </c>
      <c r="F6" s="116">
        <v>262639</v>
      </c>
      <c r="G6" s="116" t="s">
        <v>775</v>
      </c>
      <c r="H6" s="116">
        <v>300</v>
      </c>
      <c r="I6" s="117">
        <v>0.67400000000000004</v>
      </c>
      <c r="J6" s="117">
        <v>1.5229999999999999</v>
      </c>
      <c r="K6" t="s">
        <v>34</v>
      </c>
      <c r="L6" s="113">
        <v>307.95100000000002</v>
      </c>
      <c r="M6" s="115">
        <v>228.4</v>
      </c>
      <c r="N6" s="112">
        <v>3.1699999999999999E-2</v>
      </c>
      <c r="O6" s="114">
        <v>1.9</v>
      </c>
      <c r="P6" s="111">
        <v>174.9</v>
      </c>
      <c r="Q6" s="111">
        <v>2</v>
      </c>
      <c r="R6" s="111">
        <v>1400</v>
      </c>
      <c r="S6" s="113">
        <v>1.3480000000000001</v>
      </c>
      <c r="T6" s="111">
        <v>52</v>
      </c>
      <c r="U6" s="112">
        <v>3.7100000000000001E-2</v>
      </c>
      <c r="V6" s="111" t="s">
        <v>35</v>
      </c>
      <c r="W6" s="111" t="s">
        <v>40</v>
      </c>
      <c r="X6" s="111" t="s">
        <v>35</v>
      </c>
      <c r="Y6" s="111" t="s">
        <v>35</v>
      </c>
      <c r="Z6" s="111" t="s">
        <v>35</v>
      </c>
      <c r="AA6" s="111" t="s">
        <v>33</v>
      </c>
      <c r="AB6" s="111" t="s">
        <v>774</v>
      </c>
    </row>
    <row r="7" spans="1:28" ht="25.05" customHeight="1" x14ac:dyDescent="0.3">
      <c r="A7">
        <v>5</v>
      </c>
      <c r="B7" s="118" t="s">
        <v>444</v>
      </c>
      <c r="C7" s="116" t="s">
        <v>45</v>
      </c>
      <c r="D7" s="116" t="s">
        <v>770</v>
      </c>
      <c r="E7" s="116" t="s">
        <v>27</v>
      </c>
      <c r="F7" s="116">
        <v>262637</v>
      </c>
      <c r="G7" s="116" t="s">
        <v>773</v>
      </c>
      <c r="H7" s="116">
        <v>500</v>
      </c>
      <c r="I7" s="117">
        <v>0.56599999999999995</v>
      </c>
      <c r="J7" s="117">
        <v>1.4630000000000001</v>
      </c>
      <c r="K7" t="s">
        <v>34</v>
      </c>
      <c r="L7" s="113">
        <v>414.029</v>
      </c>
      <c r="M7" s="115">
        <v>365.8</v>
      </c>
      <c r="N7" s="112">
        <v>5.0799999999999998E-2</v>
      </c>
      <c r="O7" s="114">
        <v>3.05</v>
      </c>
      <c r="P7" s="111">
        <v>235.2</v>
      </c>
      <c r="Q7" s="111">
        <v>2</v>
      </c>
      <c r="R7" s="111">
        <v>1200</v>
      </c>
      <c r="S7" s="113">
        <v>1.1319999999999999</v>
      </c>
      <c r="T7" s="111">
        <v>68</v>
      </c>
      <c r="U7" s="112">
        <v>5.67E-2</v>
      </c>
      <c r="V7" s="111" t="s">
        <v>35</v>
      </c>
      <c r="W7" s="111" t="s">
        <v>40</v>
      </c>
      <c r="X7" s="111" t="s">
        <v>35</v>
      </c>
      <c r="Y7" s="111" t="s">
        <v>35</v>
      </c>
      <c r="Z7" s="111" t="s">
        <v>35</v>
      </c>
      <c r="AA7" s="111" t="s">
        <v>33</v>
      </c>
      <c r="AB7" s="111" t="s">
        <v>772</v>
      </c>
    </row>
    <row r="8" spans="1:28" ht="25.05" customHeight="1" x14ac:dyDescent="0.3">
      <c r="A8">
        <v>6</v>
      </c>
      <c r="B8" s="118" t="s">
        <v>448</v>
      </c>
      <c r="C8" s="116" t="s">
        <v>45</v>
      </c>
      <c r="D8" s="116" t="s">
        <v>770</v>
      </c>
      <c r="E8" s="116" t="s">
        <v>27</v>
      </c>
      <c r="F8" s="116">
        <v>262635</v>
      </c>
      <c r="G8" s="116" t="s">
        <v>771</v>
      </c>
      <c r="H8" s="116">
        <v>5000</v>
      </c>
      <c r="I8" s="117">
        <v>0.55900000000000005</v>
      </c>
      <c r="J8" s="117">
        <v>1.389</v>
      </c>
      <c r="K8" t="s">
        <v>34</v>
      </c>
      <c r="L8" s="113">
        <v>3882.2550000000001</v>
      </c>
      <c r="M8" s="115">
        <v>3472.5</v>
      </c>
      <c r="N8" s="112">
        <v>0.48230000000000001</v>
      </c>
      <c r="O8" s="114">
        <v>28.94</v>
      </c>
      <c r="P8" s="111">
        <v>2205.1</v>
      </c>
      <c r="Q8" s="111">
        <v>2</v>
      </c>
      <c r="R8" s="111">
        <v>1150</v>
      </c>
      <c r="S8" s="113">
        <v>1.1180000000000001</v>
      </c>
      <c r="T8" s="111">
        <v>32</v>
      </c>
      <c r="U8" s="112">
        <v>2.7799999999999998E-2</v>
      </c>
      <c r="V8" s="111" t="s">
        <v>35</v>
      </c>
      <c r="W8" s="111" t="s">
        <v>40</v>
      </c>
      <c r="X8" s="111" t="s">
        <v>35</v>
      </c>
      <c r="Y8" s="111" t="s">
        <v>35</v>
      </c>
      <c r="Z8" s="111" t="s">
        <v>35</v>
      </c>
      <c r="AA8" s="111" t="s">
        <v>73</v>
      </c>
      <c r="AB8" s="111" t="s">
        <v>445</v>
      </c>
    </row>
    <row r="9" spans="1:28" ht="25.05" customHeight="1" x14ac:dyDescent="0.3">
      <c r="A9">
        <v>7</v>
      </c>
      <c r="B9" s="118" t="s">
        <v>448</v>
      </c>
      <c r="C9" s="116" t="s">
        <v>45</v>
      </c>
      <c r="D9" s="116" t="s">
        <v>770</v>
      </c>
      <c r="E9" s="116" t="s">
        <v>27</v>
      </c>
      <c r="F9" s="116">
        <v>262636</v>
      </c>
      <c r="G9" s="116" t="s">
        <v>771</v>
      </c>
      <c r="H9" s="116">
        <v>5000</v>
      </c>
      <c r="I9" s="117">
        <v>0.55900000000000005</v>
      </c>
      <c r="J9" s="117">
        <v>1.389</v>
      </c>
      <c r="K9" t="s">
        <v>34</v>
      </c>
      <c r="L9" s="113">
        <v>3882.2550000000001</v>
      </c>
      <c r="M9" s="115">
        <v>3472.5</v>
      </c>
      <c r="N9" s="112">
        <v>0.48230000000000001</v>
      </c>
      <c r="O9" s="114">
        <v>28.94</v>
      </c>
      <c r="P9" s="111">
        <v>2205.1</v>
      </c>
      <c r="Q9" s="111">
        <v>2</v>
      </c>
      <c r="R9" s="111">
        <v>1150</v>
      </c>
      <c r="S9" s="113">
        <v>1.1180000000000001</v>
      </c>
      <c r="T9" s="111">
        <v>32</v>
      </c>
      <c r="U9" s="112">
        <v>2.7799999999999998E-2</v>
      </c>
      <c r="V9" s="111" t="s">
        <v>35</v>
      </c>
      <c r="W9" s="111" t="s">
        <v>40</v>
      </c>
      <c r="X9" s="111" t="s">
        <v>35</v>
      </c>
      <c r="Y9" s="111" t="s">
        <v>35</v>
      </c>
      <c r="Z9" s="111" t="s">
        <v>35</v>
      </c>
      <c r="AA9" s="111" t="s">
        <v>73</v>
      </c>
      <c r="AB9" s="111" t="s">
        <v>445</v>
      </c>
    </row>
    <row r="10" spans="1:28" ht="25.05" customHeight="1" x14ac:dyDescent="0.3">
      <c r="A10">
        <v>8</v>
      </c>
      <c r="B10" s="118" t="s">
        <v>444</v>
      </c>
      <c r="C10" s="116" t="s">
        <v>26</v>
      </c>
      <c r="D10" s="116" t="s">
        <v>770</v>
      </c>
      <c r="E10" s="116" t="s">
        <v>27</v>
      </c>
      <c r="F10" s="116">
        <v>262638</v>
      </c>
      <c r="G10" s="116" t="s">
        <v>769</v>
      </c>
      <c r="H10" s="116">
        <v>200</v>
      </c>
      <c r="I10" s="117">
        <v>0.53800000000000003</v>
      </c>
      <c r="J10" s="117">
        <v>1.423</v>
      </c>
      <c r="K10" t="s">
        <v>34</v>
      </c>
      <c r="L10" s="113">
        <v>153.11500000000001</v>
      </c>
      <c r="M10" s="115">
        <v>142.30000000000001</v>
      </c>
      <c r="N10" s="112">
        <v>1.9800000000000002E-2</v>
      </c>
      <c r="O10" s="114">
        <v>1.19</v>
      </c>
      <c r="P10" s="111">
        <v>82.4</v>
      </c>
      <c r="Q10" s="111">
        <v>2</v>
      </c>
      <c r="R10" s="111">
        <v>1100</v>
      </c>
      <c r="S10" s="113">
        <v>1.0760000000000001</v>
      </c>
      <c r="T10" s="111">
        <v>24</v>
      </c>
      <c r="U10" s="112">
        <v>2.18E-2</v>
      </c>
      <c r="V10" s="111" t="s">
        <v>28</v>
      </c>
      <c r="W10" s="111" t="s">
        <v>29</v>
      </c>
      <c r="X10" s="111" t="s">
        <v>28</v>
      </c>
      <c r="Y10" s="111" t="s">
        <v>28</v>
      </c>
      <c r="Z10" s="111" t="s">
        <v>28</v>
      </c>
      <c r="AA10" s="111" t="s">
        <v>39</v>
      </c>
      <c r="AB10" s="111" t="s">
        <v>768</v>
      </c>
    </row>
    <row r="11" spans="1:28" ht="25.05" customHeight="1" x14ac:dyDescent="0.3">
      <c r="A11">
        <v>9</v>
      </c>
      <c r="B11" s="118" t="s">
        <v>444</v>
      </c>
      <c r="C11" s="116" t="s">
        <v>36</v>
      </c>
      <c r="D11" s="218">
        <v>46282</v>
      </c>
      <c r="E11" s="116"/>
      <c r="F11" s="116">
        <v>262643</v>
      </c>
      <c r="G11" s="116">
        <v>1748</v>
      </c>
      <c r="H11" s="116">
        <v>600</v>
      </c>
      <c r="I11" s="117">
        <v>0.94899999999999995</v>
      </c>
      <c r="J11" s="117">
        <v>1.536</v>
      </c>
      <c r="K11" t="s">
        <v>34</v>
      </c>
      <c r="L11" s="113">
        <v>874.59799999999996</v>
      </c>
      <c r="M11" s="115">
        <v>921.6</v>
      </c>
      <c r="N11" s="112">
        <v>0.25600000000000001</v>
      </c>
      <c r="O11" s="114">
        <v>15.36</v>
      </c>
      <c r="P11" s="111">
        <v>275.5</v>
      </c>
      <c r="Q11" s="111">
        <v>1</v>
      </c>
      <c r="R11" s="111">
        <v>1000</v>
      </c>
      <c r="S11" s="113">
        <v>0.94899999999999995</v>
      </c>
      <c r="T11" s="111">
        <v>51</v>
      </c>
      <c r="U11" s="112">
        <v>5.0999999999999997E-2</v>
      </c>
      <c r="V11" s="111" t="s">
        <v>28</v>
      </c>
      <c r="W11" s="111" t="s">
        <v>28</v>
      </c>
      <c r="X11" s="111" t="s">
        <v>28</v>
      </c>
      <c r="Y11" s="111"/>
      <c r="Z11" s="111"/>
      <c r="AA11" s="111">
        <v>2</v>
      </c>
      <c r="AB11" s="111" t="s">
        <v>586</v>
      </c>
    </row>
    <row r="12" spans="1:28" ht="25.05" customHeight="1" x14ac:dyDescent="0.3">
      <c r="A12" s="110" t="s">
        <v>27</v>
      </c>
      <c r="B12" s="110" t="s">
        <v>27</v>
      </c>
      <c r="C12" s="110" t="s">
        <v>27</v>
      </c>
      <c r="D12" s="110" t="s">
        <v>27</v>
      </c>
      <c r="E12" s="110" t="s">
        <v>27</v>
      </c>
      <c r="F12" s="110" t="s">
        <v>27</v>
      </c>
      <c r="G12" s="110" t="s">
        <v>27</v>
      </c>
      <c r="H12" s="110">
        <f>SUM(H3:H11)</f>
        <v>13000</v>
      </c>
      <c r="I12" s="110" t="s">
        <v>27</v>
      </c>
      <c r="J12" s="110" t="s">
        <v>27</v>
      </c>
      <c r="K12" s="110" t="s">
        <v>27</v>
      </c>
      <c r="L12" s="109" t="s">
        <v>27</v>
      </c>
      <c r="M12" s="109" t="s">
        <v>27</v>
      </c>
      <c r="N12" s="109" t="s">
        <v>27</v>
      </c>
      <c r="O12" s="109" t="s">
        <v>27</v>
      </c>
      <c r="P12" s="109">
        <f>SUM(P3:P11)</f>
        <v>7717</v>
      </c>
      <c r="Q12" s="109" t="s">
        <v>27</v>
      </c>
      <c r="R12" s="109" t="s">
        <v>27</v>
      </c>
      <c r="S12" s="109" t="s">
        <v>27</v>
      </c>
      <c r="T12" s="109" t="s">
        <v>27</v>
      </c>
      <c r="U12" s="109" t="s">
        <v>27</v>
      </c>
      <c r="V12" s="109" t="s">
        <v>27</v>
      </c>
      <c r="W12" s="109" t="s">
        <v>27</v>
      </c>
      <c r="X12" s="109" t="s">
        <v>27</v>
      </c>
      <c r="Y12" s="109" t="s">
        <v>27</v>
      </c>
      <c r="Z12" s="109" t="s">
        <v>27</v>
      </c>
      <c r="AA12" s="109" t="s">
        <v>27</v>
      </c>
      <c r="AB12" s="109" t="s">
        <v>27</v>
      </c>
    </row>
  </sheetData>
  <mergeCells count="1">
    <mergeCell ref="A1:AB1"/>
  </mergeCells>
  <phoneticPr fontId="23" type="noConversion"/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5B5AC-557E-4203-8DD1-DFBBC7E9A9E0}">
  <sheetPr>
    <pageSetUpPr fitToPage="1"/>
  </sheetPr>
  <dimension ref="A1:AB7"/>
  <sheetViews>
    <sheetView workbookViewId="0">
      <selection sqref="A1:AB7"/>
    </sheetView>
  </sheetViews>
  <sheetFormatPr defaultRowHeight="14.4" x14ac:dyDescent="0.3"/>
  <cols>
    <col min="1" max="1" width="2.77734375" style="108" customWidth="1"/>
    <col min="2" max="2" width="20.77734375" style="108" hidden="1" customWidth="1"/>
    <col min="3" max="3" width="7.77734375" style="108" customWidth="1"/>
    <col min="4" max="4" width="11.77734375" style="108" hidden="1" customWidth="1"/>
    <col min="5" max="5" width="8.77734375" style="108" customWidth="1"/>
    <col min="6" max="6" width="7.109375" style="108" customWidth="1"/>
    <col min="7" max="8" width="6.21875" style="108" customWidth="1"/>
    <col min="9" max="10" width="6" style="108" customWidth="1"/>
    <col min="11" max="11" width="13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88671875" style="108" customWidth="1"/>
    <col min="17" max="17" width="3.88671875" style="108" customWidth="1"/>
    <col min="18" max="18" width="5.88671875" style="108" customWidth="1"/>
    <col min="19" max="19" width="6.109375" style="108" customWidth="1"/>
    <col min="20" max="20" width="11.77734375" style="108" hidden="1" customWidth="1"/>
    <col min="21" max="21" width="8.77734375" style="108" hidden="1" customWidth="1"/>
    <col min="22" max="22" width="7.21875" style="108" customWidth="1"/>
    <col min="23" max="23" width="7.77734375" style="108" customWidth="1"/>
    <col min="24" max="24" width="7.109375" style="108" customWidth="1"/>
    <col min="25" max="25" width="7.5546875" style="108" customWidth="1"/>
    <col min="26" max="26" width="8" style="108" customWidth="1"/>
    <col min="27" max="27" width="4.109375" style="108" customWidth="1"/>
    <col min="28" max="28" width="9.44140625" style="108" customWidth="1"/>
    <col min="29" max="16384" width="8.88671875" style="108"/>
  </cols>
  <sheetData>
    <row r="1" spans="1:28" ht="18" customHeight="1" x14ac:dyDescent="0.35">
      <c r="A1" s="221" t="s">
        <v>766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56.4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x14ac:dyDescent="0.3">
      <c r="A3" s="116">
        <v>1</v>
      </c>
      <c r="B3" s="118" t="s">
        <v>326</v>
      </c>
      <c r="C3" s="116" t="s">
        <v>46</v>
      </c>
      <c r="D3" s="116" t="s">
        <v>489</v>
      </c>
      <c r="E3" s="116" t="s">
        <v>27</v>
      </c>
      <c r="F3" s="116">
        <v>262633</v>
      </c>
      <c r="G3" s="116" t="s">
        <v>765</v>
      </c>
      <c r="H3" s="116">
        <v>7200</v>
      </c>
      <c r="I3" s="117">
        <v>0.64600000000000002</v>
      </c>
      <c r="J3" s="117">
        <v>1.843</v>
      </c>
      <c r="K3" s="116" t="s">
        <v>764</v>
      </c>
      <c r="L3" s="113">
        <v>8572.1620000000003</v>
      </c>
      <c r="M3" s="115">
        <v>6634.8</v>
      </c>
      <c r="N3" s="112">
        <v>0.92149999999999999</v>
      </c>
      <c r="O3" s="114">
        <v>55.29</v>
      </c>
      <c r="P3" s="111">
        <v>3771.8</v>
      </c>
      <c r="Q3" s="111">
        <v>2</v>
      </c>
      <c r="R3" s="111">
        <v>1350</v>
      </c>
      <c r="S3" s="113">
        <v>1.292</v>
      </c>
      <c r="T3" s="111">
        <v>58</v>
      </c>
      <c r="U3" s="112">
        <v>4.2999999999999997E-2</v>
      </c>
      <c r="V3" s="111" t="s">
        <v>42</v>
      </c>
      <c r="W3" s="111" t="s">
        <v>42</v>
      </c>
      <c r="X3" s="111" t="s">
        <v>42</v>
      </c>
      <c r="Y3" s="111" t="s">
        <v>27</v>
      </c>
      <c r="Z3" s="111" t="s">
        <v>27</v>
      </c>
      <c r="AA3" s="111" t="s">
        <v>763</v>
      </c>
      <c r="AB3" s="111" t="s">
        <v>762</v>
      </c>
    </row>
    <row r="4" spans="1:28" x14ac:dyDescent="0.3">
      <c r="A4" s="116">
        <v>2</v>
      </c>
      <c r="B4" s="118" t="s">
        <v>326</v>
      </c>
      <c r="C4" s="116" t="s">
        <v>46</v>
      </c>
      <c r="D4" s="116" t="s">
        <v>422</v>
      </c>
      <c r="E4" s="116" t="s">
        <v>27</v>
      </c>
      <c r="F4" s="116">
        <v>262630</v>
      </c>
      <c r="G4" s="116" t="s">
        <v>761</v>
      </c>
      <c r="H4" s="116">
        <v>11100</v>
      </c>
      <c r="I4" s="117">
        <v>0.622</v>
      </c>
      <c r="J4" s="117">
        <v>1.8089999999999999</v>
      </c>
      <c r="K4" s="116" t="s">
        <v>61</v>
      </c>
      <c r="L4" s="113">
        <v>12489.698</v>
      </c>
      <c r="M4" s="115">
        <v>10039.9</v>
      </c>
      <c r="N4" s="112">
        <v>1.3944000000000001</v>
      </c>
      <c r="O4" s="114">
        <v>83.67</v>
      </c>
      <c r="P4" s="111">
        <v>5495.5</v>
      </c>
      <c r="Q4" s="111">
        <v>2</v>
      </c>
      <c r="R4" s="111">
        <v>1300</v>
      </c>
      <c r="S4" s="113">
        <v>1.244</v>
      </c>
      <c r="T4" s="111">
        <v>56</v>
      </c>
      <c r="U4" s="112">
        <v>4.3099999999999999E-2</v>
      </c>
      <c r="V4" s="111" t="s">
        <v>42</v>
      </c>
      <c r="W4" s="111" t="s">
        <v>42</v>
      </c>
      <c r="X4" s="111" t="s">
        <v>42</v>
      </c>
      <c r="Y4" s="111" t="s">
        <v>27</v>
      </c>
      <c r="Z4" s="111" t="s">
        <v>27</v>
      </c>
      <c r="AA4" s="111" t="s">
        <v>760</v>
      </c>
      <c r="AB4" s="111" t="s">
        <v>47</v>
      </c>
    </row>
    <row r="5" spans="1:28" x14ac:dyDescent="0.3">
      <c r="A5" s="116">
        <v>3</v>
      </c>
      <c r="B5" s="118" t="s">
        <v>326</v>
      </c>
      <c r="C5" s="116" t="s">
        <v>46</v>
      </c>
      <c r="D5" s="116" t="s">
        <v>489</v>
      </c>
      <c r="E5" s="116" t="s">
        <v>27</v>
      </c>
      <c r="F5" s="116">
        <v>262632</v>
      </c>
      <c r="G5" s="116" t="s">
        <v>759</v>
      </c>
      <c r="H5" s="116">
        <v>3600</v>
      </c>
      <c r="I5" s="117">
        <v>0.33500000000000002</v>
      </c>
      <c r="J5" s="117">
        <v>0.88</v>
      </c>
      <c r="K5" s="116" t="s">
        <v>34</v>
      </c>
      <c r="L5" s="113">
        <v>1061.28</v>
      </c>
      <c r="M5" s="115">
        <v>1056</v>
      </c>
      <c r="N5" s="112">
        <v>9.7799999999999998E-2</v>
      </c>
      <c r="O5" s="114">
        <v>5.87</v>
      </c>
      <c r="P5" s="111">
        <v>467</v>
      </c>
      <c r="Q5" s="111">
        <v>3</v>
      </c>
      <c r="R5" s="111">
        <v>1050</v>
      </c>
      <c r="S5" s="113">
        <v>1.0049999999999999</v>
      </c>
      <c r="T5" s="111">
        <v>45</v>
      </c>
      <c r="U5" s="112">
        <v>4.2900000000000001E-2</v>
      </c>
      <c r="V5" s="111" t="s">
        <v>42</v>
      </c>
      <c r="W5" s="111" t="s">
        <v>42</v>
      </c>
      <c r="X5" s="111" t="s">
        <v>42</v>
      </c>
      <c r="Y5" s="111" t="s">
        <v>27</v>
      </c>
      <c r="Z5" s="111" t="s">
        <v>27</v>
      </c>
      <c r="AA5" s="111" t="s">
        <v>33</v>
      </c>
      <c r="AB5" s="111" t="s">
        <v>758</v>
      </c>
    </row>
    <row r="6" spans="1:28" x14ac:dyDescent="0.3">
      <c r="A6" s="116">
        <v>4</v>
      </c>
      <c r="B6" s="118" t="s">
        <v>326</v>
      </c>
      <c r="C6" s="116" t="s">
        <v>46</v>
      </c>
      <c r="D6" s="116" t="s">
        <v>422</v>
      </c>
      <c r="E6" s="116" t="s">
        <v>27</v>
      </c>
      <c r="F6" s="116">
        <v>262631</v>
      </c>
      <c r="G6" s="116" t="s">
        <v>757</v>
      </c>
      <c r="H6" s="116">
        <v>5550</v>
      </c>
      <c r="I6" s="117">
        <v>0.32</v>
      </c>
      <c r="J6" s="117">
        <v>0.86599999999999999</v>
      </c>
      <c r="K6" s="116" t="s">
        <v>34</v>
      </c>
      <c r="L6" s="113">
        <v>1538.0160000000001</v>
      </c>
      <c r="M6" s="115">
        <v>1602.1</v>
      </c>
      <c r="N6" s="112">
        <v>0.14829999999999999</v>
      </c>
      <c r="O6" s="114">
        <v>8.9</v>
      </c>
      <c r="P6" s="111">
        <v>676.7</v>
      </c>
      <c r="Q6" s="111">
        <v>3</v>
      </c>
      <c r="R6" s="111">
        <v>1000</v>
      </c>
      <c r="S6" s="113">
        <v>0.96</v>
      </c>
      <c r="T6" s="111">
        <v>40</v>
      </c>
      <c r="U6" s="112">
        <v>0.04</v>
      </c>
      <c r="V6" s="111" t="s">
        <v>42</v>
      </c>
      <c r="W6" s="111" t="s">
        <v>42</v>
      </c>
      <c r="X6" s="111" t="s">
        <v>42</v>
      </c>
      <c r="Y6" s="111" t="s">
        <v>27</v>
      </c>
      <c r="Z6" s="111" t="s">
        <v>27</v>
      </c>
      <c r="AA6" s="111" t="s">
        <v>30</v>
      </c>
      <c r="AB6" s="111" t="s">
        <v>48</v>
      </c>
    </row>
    <row r="7" spans="1:28" x14ac:dyDescent="0.3">
      <c r="A7" s="110" t="s">
        <v>27</v>
      </c>
      <c r="B7" s="110" t="s">
        <v>27</v>
      </c>
      <c r="C7" s="110" t="s">
        <v>27</v>
      </c>
      <c r="D7" s="110" t="s">
        <v>27</v>
      </c>
      <c r="E7" s="110" t="s">
        <v>27</v>
      </c>
      <c r="F7" s="110" t="s">
        <v>27</v>
      </c>
      <c r="G7" s="110" t="s">
        <v>27</v>
      </c>
      <c r="H7" s="110">
        <v>27450</v>
      </c>
      <c r="I7" s="110" t="s">
        <v>27</v>
      </c>
      <c r="J7" s="110" t="s">
        <v>27</v>
      </c>
      <c r="K7" s="110" t="s">
        <v>27</v>
      </c>
      <c r="L7" s="109" t="s">
        <v>27</v>
      </c>
      <c r="M7" s="109" t="s">
        <v>27</v>
      </c>
      <c r="N7" s="109" t="s">
        <v>27</v>
      </c>
      <c r="O7" s="109" t="s">
        <v>27</v>
      </c>
      <c r="P7" s="109">
        <v>10410.9</v>
      </c>
      <c r="Q7" s="109" t="s">
        <v>27</v>
      </c>
      <c r="R7" s="109" t="s">
        <v>27</v>
      </c>
      <c r="S7" s="109" t="s">
        <v>27</v>
      </c>
      <c r="T7" s="109" t="s">
        <v>27</v>
      </c>
      <c r="U7" s="109" t="s">
        <v>27</v>
      </c>
      <c r="V7" s="109" t="s">
        <v>27</v>
      </c>
      <c r="W7" s="109" t="s">
        <v>27</v>
      </c>
      <c r="X7" s="109" t="s">
        <v>27</v>
      </c>
      <c r="Y7" s="109" t="s">
        <v>27</v>
      </c>
      <c r="Z7" s="109" t="s">
        <v>27</v>
      </c>
      <c r="AA7" s="109" t="s">
        <v>27</v>
      </c>
      <c r="AB7" s="10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8" orientation="landscape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2FEA0-9E29-45AE-8927-1BAD28B275F4}">
  <sheetPr>
    <pageSetUpPr fitToPage="1"/>
  </sheetPr>
  <dimension ref="A1:AB13"/>
  <sheetViews>
    <sheetView workbookViewId="0">
      <selection activeCell="AC4" sqref="AC4"/>
    </sheetView>
  </sheetViews>
  <sheetFormatPr defaultRowHeight="14.4" x14ac:dyDescent="0.3"/>
  <cols>
    <col min="1" max="1" width="4.88671875" style="108" customWidth="1"/>
    <col min="2" max="2" width="17.109375" style="108" hidden="1" customWidth="1"/>
    <col min="3" max="3" width="5.88671875" style="108" customWidth="1"/>
    <col min="4" max="4" width="11.77734375" style="108" hidden="1" customWidth="1"/>
    <col min="5" max="5" width="9.21875" style="108" customWidth="1"/>
    <col min="6" max="6" width="7.44140625" style="108" customWidth="1"/>
    <col min="7" max="7" width="3.21875" style="108" customWidth="1"/>
    <col min="8" max="8" width="5.88671875" style="108" customWidth="1"/>
    <col min="9" max="9" width="6.88671875" style="108" customWidth="1"/>
    <col min="10" max="10" width="6.33203125" style="108" customWidth="1"/>
    <col min="11" max="11" width="13.218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" style="108" customWidth="1"/>
    <col min="17" max="17" width="4" style="108" customWidth="1"/>
    <col min="18" max="18" width="6.5546875" style="108" customWidth="1"/>
    <col min="19" max="19" width="6.6640625" style="108" customWidth="1"/>
    <col min="20" max="20" width="11.77734375" style="108" hidden="1" customWidth="1"/>
    <col min="21" max="21" width="8.77734375" style="108" hidden="1" customWidth="1"/>
    <col min="22" max="22" width="8.33203125" style="108" customWidth="1"/>
    <col min="23" max="23" width="8.21875" style="108" customWidth="1"/>
    <col min="24" max="25" width="7.6640625" style="108" customWidth="1"/>
    <col min="26" max="26" width="7.88671875" style="108" customWidth="1"/>
    <col min="27" max="27" width="3.88671875" style="108" customWidth="1"/>
    <col min="28" max="28" width="11" style="108" customWidth="1"/>
    <col min="29" max="16384" width="8.88671875" style="108"/>
  </cols>
  <sheetData>
    <row r="1" spans="1:28" ht="18" customHeight="1" x14ac:dyDescent="0.35">
      <c r="A1" s="221" t="s">
        <v>785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57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ht="25.05" customHeight="1" x14ac:dyDescent="0.3">
      <c r="A3" s="116">
        <v>1</v>
      </c>
      <c r="B3" s="118" t="s">
        <v>786</v>
      </c>
      <c r="C3" s="116" t="s">
        <v>26</v>
      </c>
      <c r="D3" s="116" t="s">
        <v>625</v>
      </c>
      <c r="E3" s="116" t="s">
        <v>27</v>
      </c>
      <c r="F3" s="116">
        <v>262624</v>
      </c>
      <c r="G3" s="116" t="s">
        <v>32</v>
      </c>
      <c r="H3" s="116">
        <v>2000</v>
      </c>
      <c r="I3" s="117">
        <v>0.67900000000000005</v>
      </c>
      <c r="J3" s="117">
        <v>1.35</v>
      </c>
      <c r="K3" s="116" t="s">
        <v>756</v>
      </c>
      <c r="L3" s="113">
        <v>1833.3</v>
      </c>
      <c r="M3" s="115">
        <v>1350</v>
      </c>
      <c r="N3" s="112">
        <v>0.1875</v>
      </c>
      <c r="O3" s="114">
        <v>11.25</v>
      </c>
      <c r="P3" s="111">
        <v>986.3</v>
      </c>
      <c r="Q3" s="111">
        <v>2</v>
      </c>
      <c r="R3" s="111">
        <v>1400</v>
      </c>
      <c r="S3" s="113">
        <v>1.3580000000000001</v>
      </c>
      <c r="T3" s="111">
        <v>42</v>
      </c>
      <c r="U3" s="112">
        <v>0.03</v>
      </c>
      <c r="V3" s="111" t="s">
        <v>28</v>
      </c>
      <c r="W3" s="111" t="s">
        <v>29</v>
      </c>
      <c r="X3" s="111" t="s">
        <v>28</v>
      </c>
      <c r="Y3" s="111" t="s">
        <v>28</v>
      </c>
      <c r="Z3" s="111" t="s">
        <v>28</v>
      </c>
      <c r="AA3" s="111" t="s">
        <v>72</v>
      </c>
      <c r="AB3" s="111" t="s">
        <v>755</v>
      </c>
    </row>
    <row r="4" spans="1:28" ht="25.05" customHeight="1" x14ac:dyDescent="0.3">
      <c r="A4" s="116">
        <v>2</v>
      </c>
      <c r="B4" s="118" t="s">
        <v>786</v>
      </c>
      <c r="C4" s="116" t="s">
        <v>26</v>
      </c>
      <c r="D4" s="116" t="s">
        <v>625</v>
      </c>
      <c r="E4" s="116" t="s">
        <v>27</v>
      </c>
      <c r="F4" s="116">
        <v>262629</v>
      </c>
      <c r="G4" s="116" t="s">
        <v>32</v>
      </c>
      <c r="H4" s="116">
        <v>300</v>
      </c>
      <c r="I4" s="117">
        <v>1.3480000000000001</v>
      </c>
      <c r="J4" s="117">
        <v>1.496</v>
      </c>
      <c r="K4" s="116" t="s">
        <v>34</v>
      </c>
      <c r="L4" s="113">
        <v>604.98199999999997</v>
      </c>
      <c r="M4" s="115">
        <v>448.8</v>
      </c>
      <c r="N4" s="112">
        <v>0.12470000000000001</v>
      </c>
      <c r="O4" s="114">
        <v>7.48</v>
      </c>
      <c r="P4" s="111">
        <v>325.5</v>
      </c>
      <c r="Q4" s="111">
        <v>1</v>
      </c>
      <c r="R4" s="111">
        <v>1400</v>
      </c>
      <c r="S4" s="113">
        <v>1.3480000000000001</v>
      </c>
      <c r="T4" s="111">
        <v>52</v>
      </c>
      <c r="U4" s="112">
        <v>3.7100000000000001E-2</v>
      </c>
      <c r="V4" s="111" t="s">
        <v>28</v>
      </c>
      <c r="W4" s="111" t="s">
        <v>29</v>
      </c>
      <c r="X4" s="111" t="s">
        <v>28</v>
      </c>
      <c r="Y4" s="111" t="s">
        <v>28</v>
      </c>
      <c r="Z4" s="111" t="s">
        <v>28</v>
      </c>
      <c r="AA4" s="111" t="s">
        <v>33</v>
      </c>
      <c r="AB4" s="111" t="s">
        <v>754</v>
      </c>
    </row>
    <row r="5" spans="1:28" ht="25.05" customHeight="1" x14ac:dyDescent="0.3">
      <c r="A5" s="116">
        <v>3</v>
      </c>
      <c r="B5" s="118" t="s">
        <v>786</v>
      </c>
      <c r="C5" s="116" t="s">
        <v>26</v>
      </c>
      <c r="D5" s="116" t="s">
        <v>625</v>
      </c>
      <c r="E5" s="116" t="s">
        <v>27</v>
      </c>
      <c r="F5" s="116">
        <v>262627</v>
      </c>
      <c r="G5" s="116" t="s">
        <v>32</v>
      </c>
      <c r="H5" s="116">
        <v>250</v>
      </c>
      <c r="I5" s="117">
        <v>0.94799999999999995</v>
      </c>
      <c r="J5" s="117">
        <v>2.36</v>
      </c>
      <c r="K5" s="116" t="s">
        <v>753</v>
      </c>
      <c r="L5" s="113">
        <v>559.32000000000005</v>
      </c>
      <c r="M5" s="115">
        <v>590</v>
      </c>
      <c r="N5" s="112">
        <v>0.16389999999999999</v>
      </c>
      <c r="O5" s="114">
        <v>9.83</v>
      </c>
      <c r="P5" s="111">
        <v>300.89999999999998</v>
      </c>
      <c r="Q5" s="111">
        <v>1</v>
      </c>
      <c r="R5" s="111">
        <v>1000</v>
      </c>
      <c r="S5" s="113">
        <v>0.94799999999999995</v>
      </c>
      <c r="T5" s="111">
        <v>52</v>
      </c>
      <c r="U5" s="112">
        <v>5.1999999999999998E-2</v>
      </c>
      <c r="V5" s="111" t="s">
        <v>28</v>
      </c>
      <c r="W5" s="111" t="s">
        <v>29</v>
      </c>
      <c r="X5" s="111" t="s">
        <v>28</v>
      </c>
      <c r="Y5" s="111" t="s">
        <v>28</v>
      </c>
      <c r="Z5" s="111" t="s">
        <v>28</v>
      </c>
      <c r="AA5" s="111" t="s">
        <v>33</v>
      </c>
      <c r="AB5" s="111" t="s">
        <v>752</v>
      </c>
    </row>
    <row r="6" spans="1:28" ht="25.05" customHeight="1" x14ac:dyDescent="0.3">
      <c r="A6" s="116">
        <v>4</v>
      </c>
      <c r="B6" s="118" t="s">
        <v>786</v>
      </c>
      <c r="C6" s="116" t="s">
        <v>26</v>
      </c>
      <c r="D6" s="116" t="s">
        <v>625</v>
      </c>
      <c r="E6" s="116" t="s">
        <v>27</v>
      </c>
      <c r="F6" s="116">
        <v>262628</v>
      </c>
      <c r="G6" s="116" t="s">
        <v>32</v>
      </c>
      <c r="H6" s="116">
        <v>320</v>
      </c>
      <c r="I6" s="117">
        <v>0.83599999999999997</v>
      </c>
      <c r="J6" s="117">
        <v>2.1</v>
      </c>
      <c r="K6" s="116" t="s">
        <v>751</v>
      </c>
      <c r="L6" s="113">
        <v>561.79200000000003</v>
      </c>
      <c r="M6" s="115">
        <v>672</v>
      </c>
      <c r="N6" s="112">
        <v>0.1867</v>
      </c>
      <c r="O6" s="114">
        <v>11.2</v>
      </c>
      <c r="P6" s="111">
        <v>302.2</v>
      </c>
      <c r="Q6" s="111">
        <v>1</v>
      </c>
      <c r="R6" s="111">
        <v>900</v>
      </c>
      <c r="S6" s="113">
        <v>0.83599999999999997</v>
      </c>
      <c r="T6" s="111">
        <v>64</v>
      </c>
      <c r="U6" s="112">
        <v>7.1099999999999997E-2</v>
      </c>
      <c r="V6" s="111" t="s">
        <v>28</v>
      </c>
      <c r="W6" s="111" t="s">
        <v>29</v>
      </c>
      <c r="X6" s="111" t="s">
        <v>28</v>
      </c>
      <c r="Y6" s="111" t="s">
        <v>28</v>
      </c>
      <c r="Z6" s="111" t="s">
        <v>28</v>
      </c>
      <c r="AA6" s="111" t="s">
        <v>33</v>
      </c>
      <c r="AB6" s="111" t="s">
        <v>750</v>
      </c>
    </row>
    <row r="7" spans="1:28" ht="25.05" customHeight="1" x14ac:dyDescent="0.3">
      <c r="A7" s="116">
        <v>5</v>
      </c>
      <c r="B7" s="118" t="s">
        <v>786</v>
      </c>
      <c r="C7" s="116" t="s">
        <v>36</v>
      </c>
      <c r="D7" s="116" t="s">
        <v>625</v>
      </c>
      <c r="E7" s="116" t="s">
        <v>27</v>
      </c>
      <c r="F7" s="116">
        <v>262621</v>
      </c>
      <c r="G7" s="116" t="s">
        <v>32</v>
      </c>
      <c r="H7" s="116">
        <v>1000</v>
      </c>
      <c r="I7" s="117">
        <v>0.71</v>
      </c>
      <c r="J7" s="117">
        <v>0.96</v>
      </c>
      <c r="K7" s="116" t="s">
        <v>749</v>
      </c>
      <c r="L7" s="113">
        <v>681.6</v>
      </c>
      <c r="M7" s="115">
        <v>480</v>
      </c>
      <c r="N7" s="112">
        <v>6.6699999999999995E-2</v>
      </c>
      <c r="O7" s="114">
        <v>4</v>
      </c>
      <c r="P7" s="111">
        <v>214.7</v>
      </c>
      <c r="Q7" s="111">
        <v>2</v>
      </c>
      <c r="R7" s="111">
        <v>1450</v>
      </c>
      <c r="S7" s="113">
        <v>1.42</v>
      </c>
      <c r="T7" s="111">
        <v>30</v>
      </c>
      <c r="U7" s="112">
        <v>2.07E-2</v>
      </c>
      <c r="V7" s="111" t="s">
        <v>28</v>
      </c>
      <c r="W7" s="111" t="s">
        <v>28</v>
      </c>
      <c r="X7" s="111" t="s">
        <v>28</v>
      </c>
      <c r="Y7" s="111" t="s">
        <v>27</v>
      </c>
      <c r="Z7" s="111" t="s">
        <v>27</v>
      </c>
      <c r="AA7" s="111" t="s">
        <v>39</v>
      </c>
      <c r="AB7" s="111" t="s">
        <v>748</v>
      </c>
    </row>
    <row r="8" spans="1:28" ht="25.05" customHeight="1" x14ac:dyDescent="0.3">
      <c r="A8" s="116">
        <v>6</v>
      </c>
      <c r="B8" s="118" t="s">
        <v>786</v>
      </c>
      <c r="C8" s="116" t="s">
        <v>36</v>
      </c>
      <c r="D8" s="116" t="s">
        <v>625</v>
      </c>
      <c r="E8" s="116" t="s">
        <v>27</v>
      </c>
      <c r="F8" s="116">
        <v>262622</v>
      </c>
      <c r="G8" s="116" t="s">
        <v>32</v>
      </c>
      <c r="H8" s="116">
        <v>550</v>
      </c>
      <c r="I8" s="117">
        <v>1.18</v>
      </c>
      <c r="J8" s="117">
        <v>1.44</v>
      </c>
      <c r="K8" s="116" t="s">
        <v>747</v>
      </c>
      <c r="L8" s="113">
        <v>934.56</v>
      </c>
      <c r="M8" s="115">
        <v>792</v>
      </c>
      <c r="N8" s="112">
        <v>0.22</v>
      </c>
      <c r="O8" s="114">
        <v>13.2</v>
      </c>
      <c r="P8" s="111">
        <v>294.39999999999998</v>
      </c>
      <c r="Q8" s="111">
        <v>1</v>
      </c>
      <c r="R8" s="111">
        <v>1200</v>
      </c>
      <c r="S8" s="113">
        <v>1.18</v>
      </c>
      <c r="T8" s="111">
        <v>20</v>
      </c>
      <c r="U8" s="112">
        <v>1.67E-2</v>
      </c>
      <c r="V8" s="111" t="s">
        <v>28</v>
      </c>
      <c r="W8" s="111" t="s">
        <v>28</v>
      </c>
      <c r="X8" s="111" t="s">
        <v>28</v>
      </c>
      <c r="Y8" s="111" t="s">
        <v>27</v>
      </c>
      <c r="Z8" s="111" t="s">
        <v>27</v>
      </c>
      <c r="AA8" s="111" t="s">
        <v>33</v>
      </c>
      <c r="AB8" s="111" t="s">
        <v>746</v>
      </c>
    </row>
    <row r="9" spans="1:28" ht="25.05" customHeight="1" x14ac:dyDescent="0.3">
      <c r="A9" s="116">
        <v>7</v>
      </c>
      <c r="B9" s="118" t="s">
        <v>786</v>
      </c>
      <c r="C9" s="116" t="s">
        <v>296</v>
      </c>
      <c r="D9" s="116" t="s">
        <v>625</v>
      </c>
      <c r="E9" s="116" t="s">
        <v>27</v>
      </c>
      <c r="F9" s="116">
        <v>262626</v>
      </c>
      <c r="G9" s="116" t="s">
        <v>32</v>
      </c>
      <c r="H9" s="116">
        <v>5500</v>
      </c>
      <c r="I9" s="117">
        <v>0.54500000000000004</v>
      </c>
      <c r="J9" s="117">
        <v>1.8</v>
      </c>
      <c r="K9" s="116" t="s">
        <v>745</v>
      </c>
      <c r="L9" s="113">
        <v>5395.5</v>
      </c>
      <c r="M9" s="115">
        <v>4950</v>
      </c>
      <c r="N9" s="112">
        <v>0.6875</v>
      </c>
      <c r="O9" s="114">
        <v>41.25</v>
      </c>
      <c r="P9" s="111">
        <v>1969.4</v>
      </c>
      <c r="Q9" s="111">
        <v>2</v>
      </c>
      <c r="R9" s="111">
        <v>1150</v>
      </c>
      <c r="S9" s="113">
        <v>1.0900000000000001</v>
      </c>
      <c r="T9" s="111">
        <v>60</v>
      </c>
      <c r="U9" s="112">
        <v>5.2200000000000003E-2</v>
      </c>
      <c r="V9" s="111" t="s">
        <v>42</v>
      </c>
      <c r="W9" s="111" t="s">
        <v>29</v>
      </c>
      <c r="X9" s="111" t="s">
        <v>28</v>
      </c>
      <c r="Y9" s="111" t="s">
        <v>27</v>
      </c>
      <c r="Z9" s="111" t="s">
        <v>27</v>
      </c>
      <c r="AA9" s="111" t="s">
        <v>57</v>
      </c>
      <c r="AB9" s="111" t="s">
        <v>744</v>
      </c>
    </row>
    <row r="10" spans="1:28" ht="25.05" customHeight="1" x14ac:dyDescent="0.3">
      <c r="A10" s="116">
        <v>8</v>
      </c>
      <c r="B10" s="118" t="s">
        <v>786</v>
      </c>
      <c r="C10" s="116" t="s">
        <v>296</v>
      </c>
      <c r="D10" s="116" t="s">
        <v>625</v>
      </c>
      <c r="E10" s="116" t="s">
        <v>27</v>
      </c>
      <c r="F10" s="116">
        <v>262620</v>
      </c>
      <c r="G10" s="116" t="s">
        <v>32</v>
      </c>
      <c r="H10" s="116">
        <v>5000</v>
      </c>
      <c r="I10" s="117">
        <v>0.52100000000000002</v>
      </c>
      <c r="J10" s="117">
        <v>1.03</v>
      </c>
      <c r="K10" s="116" t="s">
        <v>743</v>
      </c>
      <c r="L10" s="113">
        <v>2683.15</v>
      </c>
      <c r="M10" s="115">
        <v>2575</v>
      </c>
      <c r="N10" s="112">
        <v>0.35759999999999997</v>
      </c>
      <c r="O10" s="114">
        <v>21.46</v>
      </c>
      <c r="P10" s="111">
        <v>979.3</v>
      </c>
      <c r="Q10" s="111">
        <v>2</v>
      </c>
      <c r="R10" s="111">
        <v>1100</v>
      </c>
      <c r="S10" s="113">
        <v>1.042</v>
      </c>
      <c r="T10" s="111">
        <v>58</v>
      </c>
      <c r="U10" s="112">
        <v>5.2699999999999997E-2</v>
      </c>
      <c r="V10" s="111" t="s">
        <v>42</v>
      </c>
      <c r="W10" s="111" t="s">
        <v>29</v>
      </c>
      <c r="X10" s="111" t="s">
        <v>28</v>
      </c>
      <c r="Y10" s="111" t="s">
        <v>27</v>
      </c>
      <c r="Z10" s="111" t="s">
        <v>27</v>
      </c>
      <c r="AA10" s="111" t="s">
        <v>32</v>
      </c>
      <c r="AB10" s="111" t="s">
        <v>742</v>
      </c>
    </row>
    <row r="11" spans="1:28" ht="25.05" customHeight="1" x14ac:dyDescent="0.3">
      <c r="A11" s="116">
        <v>9</v>
      </c>
      <c r="B11" s="118" t="s">
        <v>786</v>
      </c>
      <c r="C11" s="116" t="s">
        <v>36</v>
      </c>
      <c r="D11" s="116" t="s">
        <v>625</v>
      </c>
      <c r="E11" s="116" t="s">
        <v>27</v>
      </c>
      <c r="F11" s="116">
        <v>262623</v>
      </c>
      <c r="G11" s="116" t="s">
        <v>32</v>
      </c>
      <c r="H11" s="116">
        <v>700</v>
      </c>
      <c r="I11" s="117">
        <v>0.97</v>
      </c>
      <c r="J11" s="117">
        <v>1.42</v>
      </c>
      <c r="K11" s="116" t="s">
        <v>741</v>
      </c>
      <c r="L11" s="113">
        <v>964.18</v>
      </c>
      <c r="M11" s="115">
        <v>994</v>
      </c>
      <c r="N11" s="112">
        <v>0.27610000000000001</v>
      </c>
      <c r="O11" s="114">
        <v>16.57</v>
      </c>
      <c r="P11" s="111">
        <v>303.7</v>
      </c>
      <c r="Q11" s="111">
        <v>1</v>
      </c>
      <c r="R11" s="111">
        <v>1000</v>
      </c>
      <c r="S11" s="113">
        <v>0.97</v>
      </c>
      <c r="T11" s="111">
        <v>30</v>
      </c>
      <c r="U11" s="112">
        <v>0.03</v>
      </c>
      <c r="V11" s="111" t="s">
        <v>28</v>
      </c>
      <c r="W11" s="111" t="s">
        <v>28</v>
      </c>
      <c r="X11" s="111" t="s">
        <v>28</v>
      </c>
      <c r="Y11" s="111" t="s">
        <v>27</v>
      </c>
      <c r="Z11" s="111" t="s">
        <v>27</v>
      </c>
      <c r="AA11" s="111" t="s">
        <v>33</v>
      </c>
      <c r="AB11" s="111" t="s">
        <v>740</v>
      </c>
    </row>
    <row r="12" spans="1:28" ht="25.05" customHeight="1" x14ac:dyDescent="0.3">
      <c r="A12" s="116">
        <v>10</v>
      </c>
      <c r="B12" s="118" t="s">
        <v>786</v>
      </c>
      <c r="C12" s="116" t="s">
        <v>36</v>
      </c>
      <c r="D12" s="116" t="s">
        <v>625</v>
      </c>
      <c r="E12" s="116" t="s">
        <v>27</v>
      </c>
      <c r="F12" s="116">
        <v>262625</v>
      </c>
      <c r="G12" s="116" t="s">
        <v>32</v>
      </c>
      <c r="H12" s="116">
        <v>4000</v>
      </c>
      <c r="I12" s="117">
        <v>0.30399999999999999</v>
      </c>
      <c r="J12" s="117">
        <v>0.98</v>
      </c>
      <c r="K12" s="116" t="s">
        <v>319</v>
      </c>
      <c r="L12" s="113">
        <v>1191.68</v>
      </c>
      <c r="M12" s="115">
        <v>1960</v>
      </c>
      <c r="N12" s="112">
        <v>0.2722</v>
      </c>
      <c r="O12" s="114">
        <v>16.329999999999998</v>
      </c>
      <c r="P12" s="111">
        <v>375.4</v>
      </c>
      <c r="Q12" s="111">
        <v>2</v>
      </c>
      <c r="R12" s="111">
        <v>650</v>
      </c>
      <c r="S12" s="113">
        <v>0.60799999999999998</v>
      </c>
      <c r="T12" s="111">
        <v>42</v>
      </c>
      <c r="U12" s="112">
        <v>6.4600000000000005E-2</v>
      </c>
      <c r="V12" s="111" t="s">
        <v>28</v>
      </c>
      <c r="W12" s="111" t="s">
        <v>28</v>
      </c>
      <c r="X12" s="111" t="s">
        <v>28</v>
      </c>
      <c r="Y12" s="111" t="s">
        <v>27</v>
      </c>
      <c r="Z12" s="111" t="s">
        <v>27</v>
      </c>
      <c r="AA12" s="111" t="s">
        <v>33</v>
      </c>
      <c r="AB12" s="111" t="s">
        <v>318</v>
      </c>
    </row>
    <row r="13" spans="1:28" ht="25.05" customHeight="1" x14ac:dyDescent="0.3">
      <c r="A13" s="110" t="s">
        <v>27</v>
      </c>
      <c r="B13" s="110" t="s">
        <v>27</v>
      </c>
      <c r="C13" s="110" t="s">
        <v>27</v>
      </c>
      <c r="D13" s="110" t="s">
        <v>27</v>
      </c>
      <c r="E13" s="110" t="s">
        <v>27</v>
      </c>
      <c r="F13" s="110" t="s">
        <v>27</v>
      </c>
      <c r="G13" s="110" t="s">
        <v>27</v>
      </c>
      <c r="H13" s="110">
        <v>19620</v>
      </c>
      <c r="I13" s="110" t="s">
        <v>27</v>
      </c>
      <c r="J13" s="110" t="s">
        <v>27</v>
      </c>
      <c r="K13" s="110" t="s">
        <v>27</v>
      </c>
      <c r="L13" s="109" t="s">
        <v>27</v>
      </c>
      <c r="M13" s="109" t="s">
        <v>27</v>
      </c>
      <c r="N13" s="109" t="s">
        <v>27</v>
      </c>
      <c r="O13" s="109" t="s">
        <v>27</v>
      </c>
      <c r="P13" s="109">
        <v>6051.8</v>
      </c>
      <c r="Q13" s="109" t="s">
        <v>27</v>
      </c>
      <c r="R13" s="109" t="s">
        <v>27</v>
      </c>
      <c r="S13" s="109" t="s">
        <v>27</v>
      </c>
      <c r="T13" s="109" t="s">
        <v>27</v>
      </c>
      <c r="U13" s="109" t="s">
        <v>27</v>
      </c>
      <c r="V13" s="109" t="s">
        <v>27</v>
      </c>
      <c r="W13" s="109" t="s">
        <v>27</v>
      </c>
      <c r="X13" s="109" t="s">
        <v>27</v>
      </c>
      <c r="Y13" s="109" t="s">
        <v>27</v>
      </c>
      <c r="Z13" s="109" t="s">
        <v>27</v>
      </c>
      <c r="AA13" s="109" t="s">
        <v>27</v>
      </c>
      <c r="AB13" s="10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6" orientation="landscape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CC649A-4A24-4BCE-A798-0B107F907AA7}">
  <sheetPr>
    <pageSetUpPr fitToPage="1"/>
  </sheetPr>
  <dimension ref="A1:AB7"/>
  <sheetViews>
    <sheetView workbookViewId="0">
      <selection activeCell="AD9" sqref="AD9"/>
    </sheetView>
  </sheetViews>
  <sheetFormatPr defaultRowHeight="14.4" x14ac:dyDescent="0.3"/>
  <cols>
    <col min="1" max="1" width="4.6640625" style="1" customWidth="1"/>
    <col min="2" max="2" width="20.77734375" style="1" hidden="1" customWidth="1"/>
    <col min="3" max="3" width="5.6640625" style="1" customWidth="1"/>
    <col min="4" max="4" width="11.77734375" style="1" hidden="1" customWidth="1"/>
    <col min="5" max="5" width="8.44140625" style="1" customWidth="1"/>
    <col min="6" max="6" width="7.6640625" style="1" customWidth="1"/>
    <col min="7" max="7" width="7.77734375" style="1" customWidth="1"/>
    <col min="8" max="8" width="6.44140625" style="1" customWidth="1"/>
    <col min="9" max="9" width="6.109375" style="1" customWidth="1"/>
    <col min="10" max="10" width="7.77734375" style="1" customWidth="1"/>
    <col min="11" max="11" width="13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1" customWidth="1"/>
    <col min="17" max="17" width="4.44140625" style="1" customWidth="1"/>
    <col min="18" max="18" width="5.4414062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2" width="7.44140625" style="1" customWidth="1"/>
    <col min="23" max="23" width="7.6640625" style="1" customWidth="1"/>
    <col min="24" max="24" width="7.5546875" style="1" customWidth="1"/>
    <col min="25" max="25" width="7.44140625" style="1" customWidth="1"/>
    <col min="26" max="26" width="7.21875" style="1" customWidth="1"/>
    <col min="27" max="27" width="3.77734375" style="1" customWidth="1"/>
    <col min="28" max="28" width="10" style="1" customWidth="1"/>
    <col min="29" max="16384" width="8.88671875" style="1"/>
  </cols>
  <sheetData>
    <row r="1" spans="1:28" ht="18" customHeight="1" x14ac:dyDescent="0.35">
      <c r="A1" s="222" t="s">
        <v>723</v>
      </c>
      <c r="B1" s="222" t="s">
        <v>27</v>
      </c>
      <c r="C1" s="222" t="s">
        <v>27</v>
      </c>
      <c r="D1" s="222" t="s">
        <v>27</v>
      </c>
      <c r="E1" s="222" t="s">
        <v>27</v>
      </c>
      <c r="F1" s="222" t="s">
        <v>27</v>
      </c>
      <c r="G1" s="222" t="s">
        <v>27</v>
      </c>
      <c r="H1" s="222" t="s">
        <v>27</v>
      </c>
      <c r="I1" s="222" t="s">
        <v>27</v>
      </c>
      <c r="J1" s="222" t="s">
        <v>27</v>
      </c>
      <c r="K1" s="222" t="s">
        <v>27</v>
      </c>
      <c r="L1" s="222" t="s">
        <v>27</v>
      </c>
      <c r="M1" s="222" t="s">
        <v>27</v>
      </c>
      <c r="N1" s="222" t="s">
        <v>27</v>
      </c>
      <c r="O1" s="222" t="s">
        <v>27</v>
      </c>
      <c r="P1" s="222" t="s">
        <v>27</v>
      </c>
      <c r="Q1" s="222" t="s">
        <v>27</v>
      </c>
      <c r="R1" s="222" t="s">
        <v>27</v>
      </c>
      <c r="S1" s="222" t="s">
        <v>27</v>
      </c>
      <c r="T1" s="222" t="s">
        <v>27</v>
      </c>
      <c r="U1" s="222" t="s">
        <v>27</v>
      </c>
      <c r="V1" s="222" t="s">
        <v>27</v>
      </c>
      <c r="W1" s="222" t="s">
        <v>27</v>
      </c>
      <c r="X1" s="222" t="s">
        <v>27</v>
      </c>
      <c r="Y1" s="222" t="s">
        <v>27</v>
      </c>
      <c r="Z1" s="222" t="s">
        <v>27</v>
      </c>
      <c r="AA1" s="222" t="s">
        <v>27</v>
      </c>
      <c r="AB1" s="222" t="s">
        <v>27</v>
      </c>
    </row>
    <row r="2" spans="1:28" ht="51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444</v>
      </c>
      <c r="C3" s="5" t="s">
        <v>26</v>
      </c>
      <c r="D3" s="5" t="s">
        <v>716</v>
      </c>
      <c r="E3" s="5" t="s">
        <v>27</v>
      </c>
      <c r="F3" s="5">
        <v>262607</v>
      </c>
      <c r="G3" s="5" t="s">
        <v>721</v>
      </c>
      <c r="H3" s="5">
        <v>800</v>
      </c>
      <c r="I3" s="7">
        <v>0.66600000000000004</v>
      </c>
      <c r="J3" s="7">
        <v>1.597</v>
      </c>
      <c r="K3" s="5" t="s">
        <v>722</v>
      </c>
      <c r="L3" s="7">
        <v>850.88199999999995</v>
      </c>
      <c r="M3" s="9">
        <v>638.79999999999995</v>
      </c>
      <c r="N3" s="6">
        <v>8.8700000000000001E-2</v>
      </c>
      <c r="O3" s="8">
        <v>5.32</v>
      </c>
      <c r="P3" s="5">
        <v>457.8</v>
      </c>
      <c r="Q3" s="5">
        <v>2</v>
      </c>
      <c r="R3" s="5">
        <v>1400</v>
      </c>
      <c r="S3" s="7">
        <v>1.3320000000000001</v>
      </c>
      <c r="T3" s="5">
        <v>68</v>
      </c>
      <c r="U3" s="6">
        <v>4.8599999999999997E-2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49</v>
      </c>
      <c r="AB3" s="5" t="s">
        <v>719</v>
      </c>
    </row>
    <row r="4" spans="1:28" s="12" customFormat="1" ht="25.05" customHeight="1" x14ac:dyDescent="0.3">
      <c r="A4" s="5">
        <v>2</v>
      </c>
      <c r="B4" s="10" t="s">
        <v>444</v>
      </c>
      <c r="C4" s="5" t="s">
        <v>36</v>
      </c>
      <c r="D4" s="5" t="s">
        <v>716</v>
      </c>
      <c r="E4" s="5" t="s">
        <v>27</v>
      </c>
      <c r="F4" s="5">
        <v>262608</v>
      </c>
      <c r="G4" s="5" t="s">
        <v>721</v>
      </c>
      <c r="H4" s="5">
        <v>800</v>
      </c>
      <c r="I4" s="7">
        <v>0.56999999999999995</v>
      </c>
      <c r="J4" s="7">
        <v>1.355</v>
      </c>
      <c r="K4" s="5" t="s">
        <v>720</v>
      </c>
      <c r="L4" s="7">
        <v>617.88</v>
      </c>
      <c r="M4" s="9">
        <v>542</v>
      </c>
      <c r="N4" s="6">
        <v>7.5300000000000006E-2</v>
      </c>
      <c r="O4" s="8">
        <v>4.5199999999999996</v>
      </c>
      <c r="P4" s="5">
        <v>194.6</v>
      </c>
      <c r="Q4" s="5">
        <v>2</v>
      </c>
      <c r="R4" s="5">
        <v>1400</v>
      </c>
      <c r="S4" s="7">
        <v>1.1399999999999999</v>
      </c>
      <c r="T4" s="5">
        <v>260</v>
      </c>
      <c r="U4" s="6">
        <v>0.1857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49</v>
      </c>
      <c r="AB4" s="5" t="s">
        <v>719</v>
      </c>
    </row>
    <row r="5" spans="1:28" s="12" customFormat="1" ht="25.05" customHeight="1" x14ac:dyDescent="0.3">
      <c r="A5" s="5">
        <v>4</v>
      </c>
      <c r="B5" s="10" t="s">
        <v>444</v>
      </c>
      <c r="C5" s="5" t="s">
        <v>36</v>
      </c>
      <c r="D5" s="5" t="s">
        <v>716</v>
      </c>
      <c r="E5" s="5" t="s">
        <v>27</v>
      </c>
      <c r="F5" s="5">
        <v>262605</v>
      </c>
      <c r="G5" s="5" t="s">
        <v>718</v>
      </c>
      <c r="H5" s="5">
        <v>800</v>
      </c>
      <c r="I5" s="7">
        <v>1.1000000000000001</v>
      </c>
      <c r="J5" s="7">
        <v>3</v>
      </c>
      <c r="K5" s="5" t="s">
        <v>34</v>
      </c>
      <c r="L5" s="7">
        <v>2640</v>
      </c>
      <c r="M5" s="9">
        <v>2400</v>
      </c>
      <c r="N5" s="6">
        <v>0.66669999999999996</v>
      </c>
      <c r="O5" s="8">
        <v>40</v>
      </c>
      <c r="P5" s="5">
        <v>831.6</v>
      </c>
      <c r="Q5" s="5">
        <v>1</v>
      </c>
      <c r="R5" s="5">
        <v>1150</v>
      </c>
      <c r="S5" s="7">
        <v>1.1000000000000001</v>
      </c>
      <c r="T5" s="5">
        <v>50</v>
      </c>
      <c r="U5" s="6">
        <v>4.3499999999999997E-2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33</v>
      </c>
      <c r="AB5" s="5" t="s">
        <v>717</v>
      </c>
    </row>
    <row r="6" spans="1:28" s="103" customFormat="1" ht="25.05" customHeight="1" x14ac:dyDescent="0.3">
      <c r="A6" s="185">
        <v>5</v>
      </c>
      <c r="B6" s="186" t="s">
        <v>448</v>
      </c>
      <c r="C6" s="185" t="s">
        <v>36</v>
      </c>
      <c r="D6" s="185" t="s">
        <v>716</v>
      </c>
      <c r="E6" s="185" t="s">
        <v>27</v>
      </c>
      <c r="F6" s="185">
        <v>262604</v>
      </c>
      <c r="G6" s="185" t="s">
        <v>715</v>
      </c>
      <c r="H6" s="185">
        <v>3000</v>
      </c>
      <c r="I6" s="187">
        <v>0.45600000000000002</v>
      </c>
      <c r="J6" s="187">
        <v>1.5609999999999999</v>
      </c>
      <c r="K6" s="185" t="s">
        <v>714</v>
      </c>
      <c r="L6" s="187">
        <v>2135.4479999999999</v>
      </c>
      <c r="M6" s="188">
        <v>2341.5</v>
      </c>
      <c r="N6" s="189">
        <v>0.32519999999999999</v>
      </c>
      <c r="O6" s="190">
        <v>19.510000000000002</v>
      </c>
      <c r="P6" s="185">
        <v>672.7</v>
      </c>
      <c r="Q6" s="185">
        <v>2</v>
      </c>
      <c r="R6" s="185">
        <v>950</v>
      </c>
      <c r="S6" s="187">
        <v>0.91200000000000003</v>
      </c>
      <c r="T6" s="185">
        <v>38</v>
      </c>
      <c r="U6" s="189">
        <v>0.04</v>
      </c>
      <c r="V6" s="185" t="s">
        <v>28</v>
      </c>
      <c r="W6" s="185" t="s">
        <v>28</v>
      </c>
      <c r="X6" s="185" t="s">
        <v>28</v>
      </c>
      <c r="Y6" s="185" t="s">
        <v>27</v>
      </c>
      <c r="Z6" s="185" t="s">
        <v>27</v>
      </c>
      <c r="AA6" s="185" t="s">
        <v>32</v>
      </c>
      <c r="AB6" s="185" t="s">
        <v>713</v>
      </c>
    </row>
    <row r="7" spans="1:28" s="12" customFormat="1" ht="25.05" customHeight="1" x14ac:dyDescent="0.3">
      <c r="A7" s="11" t="s">
        <v>27</v>
      </c>
      <c r="B7" s="11" t="s">
        <v>27</v>
      </c>
      <c r="C7" s="11" t="s">
        <v>27</v>
      </c>
      <c r="D7" s="11" t="s">
        <v>27</v>
      </c>
      <c r="E7" s="11" t="s">
        <v>27</v>
      </c>
      <c r="F7" s="11" t="s">
        <v>27</v>
      </c>
      <c r="G7" s="11" t="s">
        <v>27</v>
      </c>
      <c r="H7" s="11">
        <v>6200</v>
      </c>
      <c r="I7" s="11" t="s">
        <v>27</v>
      </c>
      <c r="J7" s="11" t="s">
        <v>27</v>
      </c>
      <c r="K7" s="11" t="s">
        <v>27</v>
      </c>
      <c r="L7" s="11" t="s">
        <v>27</v>
      </c>
      <c r="M7" s="11" t="s">
        <v>27</v>
      </c>
      <c r="N7" s="11" t="s">
        <v>27</v>
      </c>
      <c r="O7" s="11" t="s">
        <v>27</v>
      </c>
      <c r="P7" s="11">
        <v>2351.3000000000002</v>
      </c>
      <c r="Q7" s="11" t="s">
        <v>27</v>
      </c>
      <c r="R7" s="11" t="s">
        <v>27</v>
      </c>
      <c r="S7" s="11" t="s">
        <v>27</v>
      </c>
      <c r="T7" s="11" t="s">
        <v>27</v>
      </c>
      <c r="U7" s="11" t="s">
        <v>27</v>
      </c>
      <c r="V7" s="11" t="s">
        <v>27</v>
      </c>
      <c r="W7" s="11" t="s">
        <v>27</v>
      </c>
      <c r="X7" s="11" t="s">
        <v>27</v>
      </c>
      <c r="Y7" s="11" t="s">
        <v>27</v>
      </c>
      <c r="Z7" s="11" t="s">
        <v>27</v>
      </c>
      <c r="AA7" s="11" t="s">
        <v>27</v>
      </c>
      <c r="AB7" s="11" t="s">
        <v>27</v>
      </c>
    </row>
  </sheetData>
  <mergeCells count="1">
    <mergeCell ref="A1:AB1"/>
  </mergeCells>
  <pageMargins left="0.28000000000000003" right="0.2" top="1.74" bottom="0.78740157499999996" header="0.31496062000000002" footer="0.31496062000000002"/>
  <pageSetup paperSize="9" orientation="landscape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AF4CA-00D7-4A30-8F64-AC13CDBB2809}">
  <dimension ref="A1:AB7"/>
  <sheetViews>
    <sheetView workbookViewId="0">
      <selection activeCell="AC18" sqref="AC18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" style="1" customWidth="1"/>
    <col min="6" max="6" width="7.6640625" style="1" customWidth="1"/>
    <col min="7" max="7" width="5.6640625" style="1" customWidth="1"/>
    <col min="8" max="8" width="5.88671875" style="1" customWidth="1"/>
    <col min="9" max="9" width="6.5546875" style="1" customWidth="1"/>
    <col min="10" max="10" width="6.88671875" style="1" customWidth="1"/>
    <col min="11" max="11" width="13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" style="1" customWidth="1"/>
    <col min="17" max="17" width="4.33203125" style="1" customWidth="1"/>
    <col min="18" max="18" width="5.7773437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8.33203125" style="1" customWidth="1"/>
    <col min="24" max="24" width="7.6640625" style="1" customWidth="1"/>
    <col min="25" max="25" width="8" style="1" customWidth="1"/>
    <col min="26" max="26" width="8.109375" style="1" customWidth="1"/>
    <col min="27" max="27" width="4.21875" style="1" customWidth="1"/>
    <col min="28" max="28" width="9.44140625" style="1" customWidth="1"/>
    <col min="29" max="16384" width="8.88671875" style="1"/>
  </cols>
  <sheetData>
    <row r="1" spans="1:28" ht="18" customHeight="1" x14ac:dyDescent="0.35">
      <c r="A1" s="223" t="s">
        <v>710</v>
      </c>
      <c r="B1" s="223" t="s">
        <v>27</v>
      </c>
      <c r="C1" s="223" t="s">
        <v>27</v>
      </c>
      <c r="D1" s="223" t="s">
        <v>27</v>
      </c>
      <c r="E1" s="223" t="s">
        <v>27</v>
      </c>
      <c r="F1" s="223" t="s">
        <v>27</v>
      </c>
      <c r="G1" s="223" t="s">
        <v>27</v>
      </c>
      <c r="H1" s="223" t="s">
        <v>27</v>
      </c>
      <c r="I1" s="223" t="s">
        <v>27</v>
      </c>
      <c r="J1" s="223" t="s">
        <v>27</v>
      </c>
      <c r="K1" s="223" t="s">
        <v>27</v>
      </c>
      <c r="L1" s="223" t="s">
        <v>27</v>
      </c>
      <c r="M1" s="223" t="s">
        <v>27</v>
      </c>
      <c r="N1" s="223" t="s">
        <v>27</v>
      </c>
      <c r="O1" s="223" t="s">
        <v>27</v>
      </c>
      <c r="P1" s="223" t="s">
        <v>27</v>
      </c>
      <c r="Q1" s="223" t="s">
        <v>27</v>
      </c>
      <c r="R1" s="223" t="s">
        <v>27</v>
      </c>
      <c r="S1" s="223" t="s">
        <v>27</v>
      </c>
      <c r="T1" s="223" t="s">
        <v>27</v>
      </c>
      <c r="U1" s="223" t="s">
        <v>27</v>
      </c>
      <c r="V1" s="223" t="s">
        <v>27</v>
      </c>
      <c r="W1" s="223" t="s">
        <v>27</v>
      </c>
      <c r="X1" s="223" t="s">
        <v>27</v>
      </c>
      <c r="Y1" s="223" t="s">
        <v>27</v>
      </c>
      <c r="Z1" s="223" t="s">
        <v>27</v>
      </c>
      <c r="AA1" s="223" t="s">
        <v>27</v>
      </c>
      <c r="AB1" s="223" t="s">
        <v>27</v>
      </c>
    </row>
    <row r="2" spans="1:28" ht="5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63</v>
      </c>
      <c r="C3" s="5" t="s">
        <v>26</v>
      </c>
      <c r="D3" s="5" t="s">
        <v>680</v>
      </c>
      <c r="E3" s="5" t="s">
        <v>27</v>
      </c>
      <c r="F3" s="5">
        <v>262601</v>
      </c>
      <c r="G3" s="5" t="s">
        <v>704</v>
      </c>
      <c r="H3" s="5">
        <v>1000</v>
      </c>
      <c r="I3" s="7">
        <v>0.71199999999999997</v>
      </c>
      <c r="J3" s="7">
        <v>2.19</v>
      </c>
      <c r="K3" s="5" t="s">
        <v>709</v>
      </c>
      <c r="L3" s="7">
        <v>1559.28</v>
      </c>
      <c r="M3" s="9">
        <v>1095</v>
      </c>
      <c r="N3" s="6">
        <v>0.15210000000000001</v>
      </c>
      <c r="O3" s="8">
        <v>9.1300000000000008</v>
      </c>
      <c r="P3" s="5">
        <v>838.9</v>
      </c>
      <c r="Q3" s="5">
        <v>2</v>
      </c>
      <c r="R3" s="5">
        <v>1450</v>
      </c>
      <c r="S3" s="7">
        <v>1.4239999999999999</v>
      </c>
      <c r="T3" s="5">
        <v>26</v>
      </c>
      <c r="U3" s="6">
        <v>1.7899999999999999E-2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41</v>
      </c>
      <c r="AB3" s="5" t="s">
        <v>708</v>
      </c>
    </row>
    <row r="4" spans="1:28" s="12" customFormat="1" ht="25.05" customHeight="1" x14ac:dyDescent="0.3">
      <c r="A4" s="5">
        <v>2</v>
      </c>
      <c r="B4" s="10" t="s">
        <v>63</v>
      </c>
      <c r="C4" s="5" t="s">
        <v>26</v>
      </c>
      <c r="D4" s="5" t="s">
        <v>680</v>
      </c>
      <c r="E4" s="5" t="s">
        <v>27</v>
      </c>
      <c r="F4" s="5">
        <v>262600</v>
      </c>
      <c r="G4" s="5" t="s">
        <v>704</v>
      </c>
      <c r="H4" s="5">
        <v>900</v>
      </c>
      <c r="I4" s="7">
        <v>0.64200000000000002</v>
      </c>
      <c r="J4" s="7">
        <v>2.0779999999999998</v>
      </c>
      <c r="K4" s="5" t="s">
        <v>129</v>
      </c>
      <c r="L4" s="7">
        <v>1200.6679999999999</v>
      </c>
      <c r="M4" s="9">
        <v>935.1</v>
      </c>
      <c r="N4" s="6">
        <v>0.12989999999999999</v>
      </c>
      <c r="O4" s="8">
        <v>7.79</v>
      </c>
      <c r="P4" s="5">
        <v>646</v>
      </c>
      <c r="Q4" s="5">
        <v>2</v>
      </c>
      <c r="R4" s="5">
        <v>1350</v>
      </c>
      <c r="S4" s="7">
        <v>1.284</v>
      </c>
      <c r="T4" s="5">
        <v>66</v>
      </c>
      <c r="U4" s="6">
        <v>4.8899999999999999E-2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49</v>
      </c>
      <c r="AB4" s="5" t="s">
        <v>707</v>
      </c>
    </row>
    <row r="5" spans="1:28" s="12" customFormat="1" ht="25.05" customHeight="1" x14ac:dyDescent="0.3">
      <c r="A5" s="5">
        <v>3</v>
      </c>
      <c r="B5" s="10" t="s">
        <v>63</v>
      </c>
      <c r="C5" s="5" t="s">
        <v>26</v>
      </c>
      <c r="D5" s="5" t="s">
        <v>680</v>
      </c>
      <c r="E5" s="5" t="s">
        <v>27</v>
      </c>
      <c r="F5" s="5">
        <v>262599</v>
      </c>
      <c r="G5" s="5" t="s">
        <v>704</v>
      </c>
      <c r="H5" s="5">
        <v>450</v>
      </c>
      <c r="I5" s="7">
        <v>0.622</v>
      </c>
      <c r="J5" s="7">
        <v>2.2000000000000002</v>
      </c>
      <c r="K5" s="5" t="s">
        <v>706</v>
      </c>
      <c r="L5" s="7">
        <v>615.78</v>
      </c>
      <c r="M5" s="9">
        <v>495</v>
      </c>
      <c r="N5" s="6">
        <v>6.88E-2</v>
      </c>
      <c r="O5" s="8">
        <v>4.13</v>
      </c>
      <c r="P5" s="5">
        <v>331.3</v>
      </c>
      <c r="Q5" s="5">
        <v>2</v>
      </c>
      <c r="R5" s="5">
        <v>1300</v>
      </c>
      <c r="S5" s="7">
        <v>1.244</v>
      </c>
      <c r="T5" s="5">
        <v>56</v>
      </c>
      <c r="U5" s="6">
        <v>4.3099999999999999E-2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30</v>
      </c>
      <c r="AB5" s="5" t="s">
        <v>705</v>
      </c>
    </row>
    <row r="6" spans="1:28" s="12" customFormat="1" ht="25.05" customHeight="1" x14ac:dyDescent="0.3">
      <c r="A6" s="5">
        <v>4</v>
      </c>
      <c r="B6" s="10" t="s">
        <v>63</v>
      </c>
      <c r="C6" s="5" t="s">
        <v>26</v>
      </c>
      <c r="D6" s="5" t="s">
        <v>680</v>
      </c>
      <c r="E6" s="5" t="s">
        <v>27</v>
      </c>
      <c r="F6" s="5">
        <v>262598</v>
      </c>
      <c r="G6" s="5" t="s">
        <v>704</v>
      </c>
      <c r="H6" s="5">
        <v>550</v>
      </c>
      <c r="I6" s="7">
        <v>0.96199999999999997</v>
      </c>
      <c r="J6" s="7">
        <v>2.1190000000000002</v>
      </c>
      <c r="K6" s="5" t="s">
        <v>150</v>
      </c>
      <c r="L6" s="7">
        <v>1121.163</v>
      </c>
      <c r="M6" s="9">
        <v>1165.5</v>
      </c>
      <c r="N6" s="6">
        <v>0.32369999999999999</v>
      </c>
      <c r="O6" s="8">
        <v>19.420000000000002</v>
      </c>
      <c r="P6" s="5">
        <v>603.20000000000005</v>
      </c>
      <c r="Q6" s="5">
        <v>1</v>
      </c>
      <c r="R6" s="5">
        <v>1000</v>
      </c>
      <c r="S6" s="7">
        <v>0.96199999999999997</v>
      </c>
      <c r="T6" s="5">
        <v>38</v>
      </c>
      <c r="U6" s="6">
        <v>3.7999999999999999E-2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30</v>
      </c>
      <c r="AB6" s="5" t="s">
        <v>703</v>
      </c>
    </row>
    <row r="7" spans="1:28" s="12" customFormat="1" ht="25.05" customHeight="1" x14ac:dyDescent="0.3">
      <c r="A7" s="11" t="s">
        <v>27</v>
      </c>
      <c r="B7" s="11" t="s">
        <v>27</v>
      </c>
      <c r="C7" s="11" t="s">
        <v>27</v>
      </c>
      <c r="D7" s="11" t="s">
        <v>27</v>
      </c>
      <c r="E7" s="11" t="s">
        <v>27</v>
      </c>
      <c r="F7" s="11" t="s">
        <v>27</v>
      </c>
      <c r="G7" s="11" t="s">
        <v>27</v>
      </c>
      <c r="H7" s="11">
        <v>2900</v>
      </c>
      <c r="I7" s="11" t="s">
        <v>27</v>
      </c>
      <c r="J7" s="11" t="s">
        <v>27</v>
      </c>
      <c r="K7" s="11" t="s">
        <v>27</v>
      </c>
      <c r="L7" s="11" t="s">
        <v>27</v>
      </c>
      <c r="M7" s="11" t="s">
        <v>27</v>
      </c>
      <c r="N7" s="11" t="s">
        <v>27</v>
      </c>
      <c r="O7" s="11" t="s">
        <v>27</v>
      </c>
      <c r="P7" s="11">
        <v>2419.3000000000002</v>
      </c>
      <c r="Q7" s="11" t="s">
        <v>27</v>
      </c>
      <c r="R7" s="11" t="s">
        <v>27</v>
      </c>
      <c r="S7" s="11" t="s">
        <v>27</v>
      </c>
      <c r="T7" s="11" t="s">
        <v>27</v>
      </c>
      <c r="U7" s="11" t="s">
        <v>27</v>
      </c>
      <c r="V7" s="11" t="s">
        <v>27</v>
      </c>
      <c r="W7" s="11" t="s">
        <v>27</v>
      </c>
      <c r="X7" s="11" t="s">
        <v>27</v>
      </c>
      <c r="Y7" s="11" t="s">
        <v>27</v>
      </c>
      <c r="Z7" s="11" t="s">
        <v>27</v>
      </c>
      <c r="AA7" s="11" t="s">
        <v>27</v>
      </c>
      <c r="AB7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B73F0-D53E-458D-8A18-622E142F07EE}">
  <sheetPr>
    <pageSetUpPr fitToPage="1"/>
  </sheetPr>
  <dimension ref="A1:AB20"/>
  <sheetViews>
    <sheetView tabSelected="1" zoomScale="77" zoomScaleNormal="77" workbookViewId="0">
      <selection activeCell="AJ10" sqref="AJ10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109375" style="1" customWidth="1"/>
    <col min="4" max="4" width="11.77734375" style="1" hidden="1" customWidth="1"/>
    <col min="5" max="5" width="9.5546875" style="1" customWidth="1"/>
    <col min="6" max="6" width="7.5546875" style="1" customWidth="1"/>
    <col min="7" max="7" width="10.88671875" style="1" customWidth="1"/>
    <col min="8" max="8" width="7.5546875" style="1" customWidth="1"/>
    <col min="9" max="9" width="7" style="1" customWidth="1"/>
    <col min="10" max="10" width="6.6640625" style="1" customWidth="1"/>
    <col min="11" max="11" width="1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4.21875" style="1" customWidth="1"/>
    <col min="18" max="18" width="6.33203125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8" style="1" customWidth="1"/>
    <col min="24" max="24" width="7.77734375" style="1" customWidth="1"/>
    <col min="25" max="25" width="7.33203125" style="1" customWidth="1"/>
    <col min="26" max="26" width="7.21875" style="1" customWidth="1"/>
    <col min="27" max="27" width="5.554687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223" t="s">
        <v>702</v>
      </c>
      <c r="B1" s="223" t="s">
        <v>27</v>
      </c>
      <c r="C1" s="223" t="s">
        <v>27</v>
      </c>
      <c r="D1" s="223" t="s">
        <v>27</v>
      </c>
      <c r="E1" s="223" t="s">
        <v>27</v>
      </c>
      <c r="F1" s="223" t="s">
        <v>27</v>
      </c>
      <c r="G1" s="223" t="s">
        <v>27</v>
      </c>
      <c r="H1" s="223" t="s">
        <v>27</v>
      </c>
      <c r="I1" s="223" t="s">
        <v>27</v>
      </c>
      <c r="J1" s="223" t="s">
        <v>27</v>
      </c>
      <c r="K1" s="223" t="s">
        <v>27</v>
      </c>
      <c r="L1" s="223" t="s">
        <v>27</v>
      </c>
      <c r="M1" s="223" t="s">
        <v>27</v>
      </c>
      <c r="N1" s="223" t="s">
        <v>27</v>
      </c>
      <c r="O1" s="223" t="s">
        <v>27</v>
      </c>
      <c r="P1" s="223" t="s">
        <v>27</v>
      </c>
      <c r="Q1" s="223" t="s">
        <v>27</v>
      </c>
      <c r="R1" s="223" t="s">
        <v>27</v>
      </c>
      <c r="S1" s="223" t="s">
        <v>27</v>
      </c>
      <c r="T1" s="223" t="s">
        <v>27</v>
      </c>
      <c r="U1" s="223" t="s">
        <v>27</v>
      </c>
      <c r="V1" s="223" t="s">
        <v>27</v>
      </c>
      <c r="W1" s="223" t="s">
        <v>27</v>
      </c>
      <c r="X1" s="223" t="s">
        <v>27</v>
      </c>
      <c r="Y1" s="223" t="s">
        <v>27</v>
      </c>
      <c r="Z1" s="223" t="s">
        <v>27</v>
      </c>
      <c r="AA1" s="223" t="s">
        <v>27</v>
      </c>
      <c r="AB1" s="223" t="s">
        <v>27</v>
      </c>
    </row>
    <row r="2" spans="1:28" ht="42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66</v>
      </c>
      <c r="C3" s="5" t="s">
        <v>26</v>
      </c>
      <c r="D3" s="5" t="s">
        <v>680</v>
      </c>
      <c r="E3" s="5" t="s">
        <v>27</v>
      </c>
      <c r="F3" s="5">
        <v>262591</v>
      </c>
      <c r="G3" s="5" t="s">
        <v>684</v>
      </c>
      <c r="H3" s="5">
        <v>1250</v>
      </c>
      <c r="I3" s="7">
        <v>0.49</v>
      </c>
      <c r="J3" s="7">
        <v>1.5489999999999999</v>
      </c>
      <c r="K3" s="5" t="s">
        <v>34</v>
      </c>
      <c r="L3" s="7">
        <v>948.76199999999994</v>
      </c>
      <c r="M3" s="9">
        <v>645.4</v>
      </c>
      <c r="N3" s="6">
        <v>5.9799999999999999E-2</v>
      </c>
      <c r="O3" s="8">
        <v>3.59</v>
      </c>
      <c r="P3" s="5">
        <v>510.4</v>
      </c>
      <c r="Q3" s="5">
        <v>3</v>
      </c>
      <c r="R3" s="5">
        <v>1500</v>
      </c>
      <c r="S3" s="7">
        <v>1.47</v>
      </c>
      <c r="T3" s="5">
        <v>30</v>
      </c>
      <c r="U3" s="6">
        <v>0.02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32</v>
      </c>
      <c r="AB3" s="5" t="s">
        <v>701</v>
      </c>
    </row>
    <row r="4" spans="1:28" s="199" customFormat="1" ht="25.05" customHeight="1" x14ac:dyDescent="0.3">
      <c r="A4" s="5">
        <v>2</v>
      </c>
      <c r="B4" s="205" t="s">
        <v>66</v>
      </c>
      <c r="C4" s="200" t="s">
        <v>62</v>
      </c>
      <c r="D4" s="200" t="s">
        <v>680</v>
      </c>
      <c r="E4" s="200" t="s">
        <v>27</v>
      </c>
      <c r="F4" s="200">
        <v>262597</v>
      </c>
      <c r="G4" s="200" t="s">
        <v>700</v>
      </c>
      <c r="H4" s="200">
        <v>600</v>
      </c>
      <c r="I4" s="202">
        <v>1.236</v>
      </c>
      <c r="J4" s="202">
        <v>2.5910000000000002</v>
      </c>
      <c r="K4" s="200" t="s">
        <v>522</v>
      </c>
      <c r="L4" s="202">
        <v>1921.4860000000001</v>
      </c>
      <c r="M4" s="204">
        <v>1554.6</v>
      </c>
      <c r="N4" s="201">
        <v>0.43180000000000002</v>
      </c>
      <c r="O4" s="203">
        <v>25.91</v>
      </c>
      <c r="P4" s="200">
        <v>1214.4000000000001</v>
      </c>
      <c r="Q4" s="200">
        <v>1</v>
      </c>
      <c r="R4" s="200">
        <v>1300</v>
      </c>
      <c r="S4" s="202">
        <v>1.236</v>
      </c>
      <c r="T4" s="200">
        <v>64</v>
      </c>
      <c r="U4" s="201">
        <v>4.9200000000000001E-2</v>
      </c>
      <c r="V4" s="200" t="s">
        <v>29</v>
      </c>
      <c r="W4" s="200" t="s">
        <v>40</v>
      </c>
      <c r="X4" s="200" t="s">
        <v>28</v>
      </c>
      <c r="Y4" s="200" t="s">
        <v>28</v>
      </c>
      <c r="Z4" s="200" t="s">
        <v>29</v>
      </c>
      <c r="AA4" s="200" t="s">
        <v>32</v>
      </c>
      <c r="AB4" s="200" t="s">
        <v>521</v>
      </c>
    </row>
    <row r="5" spans="1:28" s="199" customFormat="1" ht="25.05" customHeight="1" x14ac:dyDescent="0.3">
      <c r="A5" s="5">
        <v>3</v>
      </c>
      <c r="B5" s="205" t="s">
        <v>66</v>
      </c>
      <c r="C5" s="200" t="s">
        <v>62</v>
      </c>
      <c r="D5" s="200" t="s">
        <v>680</v>
      </c>
      <c r="E5" s="200" t="s">
        <v>27</v>
      </c>
      <c r="F5" s="200">
        <v>262596</v>
      </c>
      <c r="G5" s="200" t="s">
        <v>700</v>
      </c>
      <c r="H5" s="200">
        <v>2000</v>
      </c>
      <c r="I5" s="202">
        <v>1.196</v>
      </c>
      <c r="J5" s="202">
        <v>1.6910000000000001</v>
      </c>
      <c r="K5" s="200" t="s">
        <v>519</v>
      </c>
      <c r="L5" s="202">
        <v>4044.8719999999998</v>
      </c>
      <c r="M5" s="204">
        <v>3382</v>
      </c>
      <c r="N5" s="201">
        <v>0.93940000000000001</v>
      </c>
      <c r="O5" s="203">
        <v>56.37</v>
      </c>
      <c r="P5" s="200">
        <v>2556.4</v>
      </c>
      <c r="Q5" s="200">
        <v>1</v>
      </c>
      <c r="R5" s="200">
        <v>1250</v>
      </c>
      <c r="S5" s="202">
        <v>1.196</v>
      </c>
      <c r="T5" s="200">
        <v>54</v>
      </c>
      <c r="U5" s="201">
        <v>4.3200000000000002E-2</v>
      </c>
      <c r="V5" s="200" t="s">
        <v>29</v>
      </c>
      <c r="W5" s="200" t="s">
        <v>40</v>
      </c>
      <c r="X5" s="200" t="s">
        <v>28</v>
      </c>
      <c r="Y5" s="200" t="s">
        <v>28</v>
      </c>
      <c r="Z5" s="200" t="s">
        <v>29</v>
      </c>
      <c r="AA5" s="200" t="s">
        <v>72</v>
      </c>
      <c r="AB5" s="200" t="s">
        <v>518</v>
      </c>
    </row>
    <row r="6" spans="1:28" s="199" customFormat="1" ht="25.05" customHeight="1" x14ac:dyDescent="0.3">
      <c r="A6" s="5">
        <v>4</v>
      </c>
      <c r="B6" s="205" t="s">
        <v>66</v>
      </c>
      <c r="C6" s="200" t="s">
        <v>45</v>
      </c>
      <c r="D6" s="200" t="s">
        <v>680</v>
      </c>
      <c r="E6" s="200" t="s">
        <v>27</v>
      </c>
      <c r="F6" s="200">
        <v>262595</v>
      </c>
      <c r="G6" s="200" t="s">
        <v>700</v>
      </c>
      <c r="H6" s="200">
        <v>1400</v>
      </c>
      <c r="I6" s="202">
        <v>1.2050000000000001</v>
      </c>
      <c r="J6" s="202">
        <v>2.5910000000000002</v>
      </c>
      <c r="K6" s="200" t="s">
        <v>53</v>
      </c>
      <c r="L6" s="202">
        <v>4371.0169999999998</v>
      </c>
      <c r="M6" s="204">
        <v>3627.4</v>
      </c>
      <c r="N6" s="201">
        <v>1.0076000000000001</v>
      </c>
      <c r="O6" s="203">
        <v>60.46</v>
      </c>
      <c r="P6" s="200">
        <v>2482.6999999999998</v>
      </c>
      <c r="Q6" s="200">
        <v>1</v>
      </c>
      <c r="R6" s="200">
        <v>1250</v>
      </c>
      <c r="S6" s="202">
        <v>1.2050000000000001</v>
      </c>
      <c r="T6" s="200">
        <v>45</v>
      </c>
      <c r="U6" s="201">
        <v>3.5999999999999997E-2</v>
      </c>
      <c r="V6" s="200" t="s">
        <v>35</v>
      </c>
      <c r="W6" s="200" t="s">
        <v>40</v>
      </c>
      <c r="X6" s="200" t="s">
        <v>35</v>
      </c>
      <c r="Y6" s="200" t="s">
        <v>35</v>
      </c>
      <c r="Z6" s="200" t="s">
        <v>35</v>
      </c>
      <c r="AA6" s="200" t="s">
        <v>55</v>
      </c>
      <c r="AB6" s="200" t="s">
        <v>54</v>
      </c>
    </row>
    <row r="7" spans="1:28" s="12" customFormat="1" ht="25.05" customHeight="1" x14ac:dyDescent="0.3">
      <c r="A7" s="5">
        <v>6</v>
      </c>
      <c r="B7" s="10" t="s">
        <v>66</v>
      </c>
      <c r="C7" s="5" t="s">
        <v>26</v>
      </c>
      <c r="D7" s="5" t="s">
        <v>680</v>
      </c>
      <c r="E7" s="5" t="s">
        <v>27</v>
      </c>
      <c r="F7" s="5">
        <v>262589</v>
      </c>
      <c r="G7" s="5" t="s">
        <v>684</v>
      </c>
      <c r="H7" s="5">
        <v>1250</v>
      </c>
      <c r="I7" s="7">
        <v>0.88800000000000001</v>
      </c>
      <c r="J7" s="7">
        <v>1.4990000000000001</v>
      </c>
      <c r="K7" s="5" t="s">
        <v>34</v>
      </c>
      <c r="L7" s="7">
        <v>1663.89</v>
      </c>
      <c r="M7" s="9">
        <v>1873.8</v>
      </c>
      <c r="N7" s="6">
        <v>0.52049999999999996</v>
      </c>
      <c r="O7" s="8">
        <v>31.23</v>
      </c>
      <c r="P7" s="5">
        <v>895.2</v>
      </c>
      <c r="Q7" s="5">
        <v>1</v>
      </c>
      <c r="R7" s="5">
        <v>950</v>
      </c>
      <c r="S7" s="7">
        <v>0.88800000000000001</v>
      </c>
      <c r="T7" s="5">
        <v>62</v>
      </c>
      <c r="U7" s="6">
        <v>6.5299999999999997E-2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57</v>
      </c>
      <c r="AB7" s="5" t="s">
        <v>699</v>
      </c>
    </row>
    <row r="8" spans="1:28" s="12" customFormat="1" ht="25.05" customHeight="1" x14ac:dyDescent="0.3">
      <c r="A8" s="5">
        <v>7</v>
      </c>
      <c r="B8" s="10" t="s">
        <v>66</v>
      </c>
      <c r="C8" s="5" t="s">
        <v>26</v>
      </c>
      <c r="D8" s="5" t="s">
        <v>680</v>
      </c>
      <c r="E8" s="5" t="s">
        <v>27</v>
      </c>
      <c r="F8" s="5">
        <v>262590</v>
      </c>
      <c r="G8" s="5" t="s">
        <v>684</v>
      </c>
      <c r="H8" s="5">
        <v>5000</v>
      </c>
      <c r="I8" s="7">
        <v>0.90200000000000002</v>
      </c>
      <c r="J8" s="7">
        <v>0.95899999999999996</v>
      </c>
      <c r="K8" s="5" t="s">
        <v>34</v>
      </c>
      <c r="L8" s="7">
        <v>4325.09</v>
      </c>
      <c r="M8" s="9">
        <v>4795</v>
      </c>
      <c r="N8" s="6">
        <v>1.3319000000000001</v>
      </c>
      <c r="O8" s="8">
        <v>79.92</v>
      </c>
      <c r="P8" s="5">
        <v>2326.9</v>
      </c>
      <c r="Q8" s="5">
        <v>1</v>
      </c>
      <c r="R8" s="5">
        <v>950</v>
      </c>
      <c r="S8" s="7">
        <v>0.90200000000000002</v>
      </c>
      <c r="T8" s="5">
        <v>48</v>
      </c>
      <c r="U8" s="6">
        <v>5.0500000000000003E-2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73</v>
      </c>
      <c r="AB8" s="5" t="s">
        <v>698</v>
      </c>
    </row>
    <row r="9" spans="1:28" s="12" customFormat="1" ht="25.05" customHeight="1" x14ac:dyDescent="0.3">
      <c r="A9" s="5">
        <v>8</v>
      </c>
      <c r="B9" s="10" t="s">
        <v>66</v>
      </c>
      <c r="C9" s="5" t="s">
        <v>36</v>
      </c>
      <c r="D9" s="5" t="s">
        <v>680</v>
      </c>
      <c r="E9" s="5" t="s">
        <v>27</v>
      </c>
      <c r="F9" s="5">
        <v>262588</v>
      </c>
      <c r="G9" s="5" t="s">
        <v>684</v>
      </c>
      <c r="H9" s="5">
        <v>3000</v>
      </c>
      <c r="I9" s="7">
        <v>0.5</v>
      </c>
      <c r="J9" s="7">
        <v>0.81</v>
      </c>
      <c r="K9" s="5" t="s">
        <v>34</v>
      </c>
      <c r="L9" s="7">
        <v>1215</v>
      </c>
      <c r="M9" s="9">
        <v>810</v>
      </c>
      <c r="N9" s="6">
        <v>7.4999999999999997E-2</v>
      </c>
      <c r="O9" s="8">
        <v>4.5</v>
      </c>
      <c r="P9" s="5">
        <v>382.7</v>
      </c>
      <c r="Q9" s="5">
        <v>3</v>
      </c>
      <c r="R9" s="5">
        <v>1550</v>
      </c>
      <c r="S9" s="7">
        <v>1.5</v>
      </c>
      <c r="T9" s="5">
        <v>50</v>
      </c>
      <c r="U9" s="6">
        <v>3.2300000000000002E-2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33</v>
      </c>
      <c r="AB9" s="5" t="s">
        <v>697</v>
      </c>
    </row>
    <row r="10" spans="1:28" s="12" customFormat="1" ht="25.05" customHeight="1" x14ac:dyDescent="0.3">
      <c r="A10" s="5">
        <v>9</v>
      </c>
      <c r="B10" s="10" t="s">
        <v>66</v>
      </c>
      <c r="C10" s="5" t="s">
        <v>36</v>
      </c>
      <c r="D10" s="5" t="s">
        <v>680</v>
      </c>
      <c r="E10" s="5" t="s">
        <v>27</v>
      </c>
      <c r="F10" s="5">
        <v>262586</v>
      </c>
      <c r="G10" s="5" t="s">
        <v>684</v>
      </c>
      <c r="H10" s="5">
        <v>3000</v>
      </c>
      <c r="I10" s="7">
        <v>0.35</v>
      </c>
      <c r="J10" s="7">
        <v>0.6</v>
      </c>
      <c r="K10" s="5" t="s">
        <v>34</v>
      </c>
      <c r="L10" s="7">
        <v>630</v>
      </c>
      <c r="M10" s="9">
        <v>600</v>
      </c>
      <c r="N10" s="6">
        <v>5.5599999999999997E-2</v>
      </c>
      <c r="O10" s="8">
        <v>3.33</v>
      </c>
      <c r="P10" s="5">
        <v>198.4</v>
      </c>
      <c r="Q10" s="5">
        <v>3</v>
      </c>
      <c r="R10" s="5">
        <v>1100</v>
      </c>
      <c r="S10" s="7">
        <v>1.05</v>
      </c>
      <c r="T10" s="5">
        <v>50</v>
      </c>
      <c r="U10" s="6">
        <v>4.5499999999999999E-2</v>
      </c>
      <c r="V10" s="5" t="s">
        <v>28</v>
      </c>
      <c r="W10" s="5" t="s">
        <v>28</v>
      </c>
      <c r="X10" s="5" t="s">
        <v>28</v>
      </c>
      <c r="Y10" s="5" t="s">
        <v>27</v>
      </c>
      <c r="Z10" s="5" t="s">
        <v>27</v>
      </c>
      <c r="AA10" s="5" t="s">
        <v>39</v>
      </c>
      <c r="AB10" s="5" t="s">
        <v>696</v>
      </c>
    </row>
    <row r="11" spans="1:28" s="12" customFormat="1" ht="25.05" customHeight="1" x14ac:dyDescent="0.3">
      <c r="A11" s="5">
        <v>10</v>
      </c>
      <c r="B11" s="10" t="s">
        <v>66</v>
      </c>
      <c r="C11" s="5" t="s">
        <v>36</v>
      </c>
      <c r="D11" s="5" t="s">
        <v>680</v>
      </c>
      <c r="E11" s="5" t="s">
        <v>27</v>
      </c>
      <c r="F11" s="5">
        <v>262587</v>
      </c>
      <c r="G11" s="5" t="s">
        <v>684</v>
      </c>
      <c r="H11" s="5">
        <v>2000</v>
      </c>
      <c r="I11" s="7">
        <v>0.35</v>
      </c>
      <c r="J11" s="7">
        <v>0.73</v>
      </c>
      <c r="K11" s="5" t="s">
        <v>34</v>
      </c>
      <c r="L11" s="7">
        <v>511</v>
      </c>
      <c r="M11" s="9">
        <v>486.7</v>
      </c>
      <c r="N11" s="6">
        <v>4.5100000000000001E-2</v>
      </c>
      <c r="O11" s="8">
        <v>2.7</v>
      </c>
      <c r="P11" s="5">
        <v>161</v>
      </c>
      <c r="Q11" s="5">
        <v>3</v>
      </c>
      <c r="R11" s="5">
        <v>1100</v>
      </c>
      <c r="S11" s="7">
        <v>1.05</v>
      </c>
      <c r="T11" s="5">
        <v>50</v>
      </c>
      <c r="U11" s="6">
        <v>4.5499999999999999E-2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39</v>
      </c>
      <c r="AB11" s="5" t="s">
        <v>695</v>
      </c>
    </row>
    <row r="12" spans="1:28" s="12" customFormat="1" ht="25.05" customHeight="1" x14ac:dyDescent="0.3">
      <c r="A12" s="5">
        <v>11</v>
      </c>
      <c r="B12" s="10" t="s">
        <v>66</v>
      </c>
      <c r="C12" s="5" t="s">
        <v>43</v>
      </c>
      <c r="D12" s="5" t="s">
        <v>680</v>
      </c>
      <c r="E12" s="5" t="s">
        <v>27</v>
      </c>
      <c r="F12" s="5">
        <v>262583</v>
      </c>
      <c r="G12" s="5" t="s">
        <v>684</v>
      </c>
      <c r="H12" s="5">
        <v>450</v>
      </c>
      <c r="I12" s="7">
        <v>0.51400000000000001</v>
      </c>
      <c r="J12" s="7">
        <v>1.169</v>
      </c>
      <c r="K12" s="5" t="s">
        <v>694</v>
      </c>
      <c r="L12" s="7">
        <v>270.39</v>
      </c>
      <c r="M12" s="9">
        <v>263</v>
      </c>
      <c r="N12" s="6">
        <v>3.6499999999999998E-2</v>
      </c>
      <c r="O12" s="8">
        <v>2.19</v>
      </c>
      <c r="P12" s="5">
        <v>93.3</v>
      </c>
      <c r="Q12" s="5">
        <v>2</v>
      </c>
      <c r="R12" s="5">
        <v>1050</v>
      </c>
      <c r="S12" s="7">
        <v>1.028</v>
      </c>
      <c r="T12" s="5">
        <v>22</v>
      </c>
      <c r="U12" s="6">
        <v>2.1000000000000001E-2</v>
      </c>
      <c r="V12" s="5" t="s">
        <v>29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39</v>
      </c>
      <c r="AB12" s="5" t="s">
        <v>693</v>
      </c>
    </row>
    <row r="13" spans="1:28" s="12" customFormat="1" ht="25.05" customHeight="1" x14ac:dyDescent="0.3">
      <c r="A13" s="5">
        <v>12</v>
      </c>
      <c r="B13" s="10" t="s">
        <v>66</v>
      </c>
      <c r="C13" s="5" t="s">
        <v>43</v>
      </c>
      <c r="D13" s="5" t="s">
        <v>680</v>
      </c>
      <c r="E13" s="5" t="s">
        <v>27</v>
      </c>
      <c r="F13" s="5">
        <v>262592</v>
      </c>
      <c r="G13" s="5" t="s">
        <v>684</v>
      </c>
      <c r="H13" s="5">
        <v>270</v>
      </c>
      <c r="I13" s="7">
        <v>1.022</v>
      </c>
      <c r="J13" s="7">
        <v>1.089</v>
      </c>
      <c r="K13" s="5" t="s">
        <v>34</v>
      </c>
      <c r="L13" s="7">
        <v>300.49900000000002</v>
      </c>
      <c r="M13" s="9">
        <v>294</v>
      </c>
      <c r="N13" s="6">
        <v>8.1699999999999995E-2</v>
      </c>
      <c r="O13" s="8">
        <v>4.9000000000000004</v>
      </c>
      <c r="P13" s="5">
        <v>103.7</v>
      </c>
      <c r="Q13" s="5">
        <v>1</v>
      </c>
      <c r="R13" s="5">
        <v>1050</v>
      </c>
      <c r="S13" s="7">
        <v>1.022</v>
      </c>
      <c r="T13" s="5">
        <v>28</v>
      </c>
      <c r="U13" s="6">
        <v>2.6700000000000002E-2</v>
      </c>
      <c r="V13" s="5" t="s">
        <v>29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39</v>
      </c>
      <c r="AB13" s="5" t="s">
        <v>692</v>
      </c>
    </row>
    <row r="14" spans="1:28" s="12" customFormat="1" ht="25.05" customHeight="1" x14ac:dyDescent="0.3">
      <c r="A14" s="5">
        <v>13</v>
      </c>
      <c r="B14" s="10" t="s">
        <v>66</v>
      </c>
      <c r="C14" s="5" t="s">
        <v>36</v>
      </c>
      <c r="D14" s="5" t="s">
        <v>680</v>
      </c>
      <c r="E14" s="5" t="s">
        <v>27</v>
      </c>
      <c r="F14" s="5">
        <v>262593</v>
      </c>
      <c r="G14" s="5" t="s">
        <v>684</v>
      </c>
      <c r="H14" s="5">
        <v>500</v>
      </c>
      <c r="I14" s="7">
        <v>0.96</v>
      </c>
      <c r="J14" s="7">
        <v>0.749</v>
      </c>
      <c r="K14" s="5" t="s">
        <v>34</v>
      </c>
      <c r="L14" s="7">
        <v>359.52</v>
      </c>
      <c r="M14" s="9">
        <v>374.5</v>
      </c>
      <c r="N14" s="6">
        <v>0.104</v>
      </c>
      <c r="O14" s="8">
        <v>6.24</v>
      </c>
      <c r="P14" s="5">
        <v>113.2</v>
      </c>
      <c r="Q14" s="5">
        <v>1</v>
      </c>
      <c r="R14" s="5">
        <v>1000</v>
      </c>
      <c r="S14" s="7">
        <v>0.96</v>
      </c>
      <c r="T14" s="5">
        <v>40</v>
      </c>
      <c r="U14" s="6">
        <v>0.04</v>
      </c>
      <c r="V14" s="5" t="s">
        <v>28</v>
      </c>
      <c r="W14" s="5" t="s">
        <v>28</v>
      </c>
      <c r="X14" s="5" t="s">
        <v>28</v>
      </c>
      <c r="Y14" s="5" t="s">
        <v>27</v>
      </c>
      <c r="Z14" s="5" t="s">
        <v>27</v>
      </c>
      <c r="AA14" s="5" t="s">
        <v>39</v>
      </c>
      <c r="AB14" s="5" t="s">
        <v>691</v>
      </c>
    </row>
    <row r="15" spans="1:28" s="12" customFormat="1" ht="25.05" customHeight="1" x14ac:dyDescent="0.3">
      <c r="A15" s="5">
        <v>14</v>
      </c>
      <c r="B15" s="10" t="s">
        <v>66</v>
      </c>
      <c r="C15" s="5" t="s">
        <v>43</v>
      </c>
      <c r="D15" s="5" t="s">
        <v>680</v>
      </c>
      <c r="E15" s="5" t="s">
        <v>27</v>
      </c>
      <c r="F15" s="5">
        <v>262584</v>
      </c>
      <c r="G15" s="5" t="s">
        <v>684</v>
      </c>
      <c r="H15" s="5">
        <v>550</v>
      </c>
      <c r="I15" s="7">
        <v>0.44400000000000001</v>
      </c>
      <c r="J15" s="7">
        <v>1.0489999999999999</v>
      </c>
      <c r="K15" s="5" t="s">
        <v>690</v>
      </c>
      <c r="L15" s="7">
        <v>256.166</v>
      </c>
      <c r="M15" s="9">
        <v>288.5</v>
      </c>
      <c r="N15" s="6">
        <v>4.0099999999999997E-2</v>
      </c>
      <c r="O15" s="8">
        <v>2.4</v>
      </c>
      <c r="P15" s="5">
        <v>88.4</v>
      </c>
      <c r="Q15" s="5">
        <v>2</v>
      </c>
      <c r="R15" s="5">
        <v>950</v>
      </c>
      <c r="S15" s="7">
        <v>0.88800000000000001</v>
      </c>
      <c r="T15" s="5">
        <v>62</v>
      </c>
      <c r="U15" s="6">
        <v>6.5299999999999997E-2</v>
      </c>
      <c r="V15" s="5" t="s">
        <v>29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39</v>
      </c>
      <c r="AB15" s="5" t="s">
        <v>689</v>
      </c>
    </row>
    <row r="16" spans="1:28" s="12" customFormat="1" ht="25.05" customHeight="1" x14ac:dyDescent="0.3">
      <c r="A16" s="5">
        <v>15</v>
      </c>
      <c r="B16" s="10" t="s">
        <v>66</v>
      </c>
      <c r="C16" s="5" t="s">
        <v>36</v>
      </c>
      <c r="D16" s="5" t="s">
        <v>680</v>
      </c>
      <c r="E16" s="5" t="s">
        <v>27</v>
      </c>
      <c r="F16" s="5">
        <v>262585</v>
      </c>
      <c r="G16" s="5" t="s">
        <v>684</v>
      </c>
      <c r="H16" s="5">
        <v>550</v>
      </c>
      <c r="I16" s="7">
        <v>0.91600000000000004</v>
      </c>
      <c r="J16" s="7">
        <v>0.629</v>
      </c>
      <c r="K16" s="5" t="s">
        <v>34</v>
      </c>
      <c r="L16" s="7">
        <v>316.89</v>
      </c>
      <c r="M16" s="9">
        <v>345.9</v>
      </c>
      <c r="N16" s="6">
        <v>9.6100000000000005E-2</v>
      </c>
      <c r="O16" s="8">
        <v>5.77</v>
      </c>
      <c r="P16" s="5">
        <v>99.8</v>
      </c>
      <c r="Q16" s="5">
        <v>1</v>
      </c>
      <c r="R16" s="5">
        <v>950</v>
      </c>
      <c r="S16" s="7">
        <v>0.91600000000000004</v>
      </c>
      <c r="T16" s="5">
        <v>34</v>
      </c>
      <c r="U16" s="6">
        <v>3.5799999999999998E-2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39</v>
      </c>
      <c r="AB16" s="5" t="s">
        <v>688</v>
      </c>
    </row>
    <row r="17" spans="1:28" s="12" customFormat="1" ht="25.05" customHeight="1" x14ac:dyDescent="0.3">
      <c r="A17" s="5">
        <v>16</v>
      </c>
      <c r="B17" s="10" t="s">
        <v>66</v>
      </c>
      <c r="C17" s="5" t="s">
        <v>36</v>
      </c>
      <c r="D17" s="5" t="s">
        <v>680</v>
      </c>
      <c r="E17" s="5" t="s">
        <v>27</v>
      </c>
      <c r="F17" s="5">
        <v>262594</v>
      </c>
      <c r="G17" s="5" t="s">
        <v>684</v>
      </c>
      <c r="H17" s="5">
        <v>600</v>
      </c>
      <c r="I17" s="7">
        <v>0.85</v>
      </c>
      <c r="J17" s="7">
        <v>1.2490000000000001</v>
      </c>
      <c r="K17" s="5" t="s">
        <v>34</v>
      </c>
      <c r="L17" s="7">
        <v>636.99</v>
      </c>
      <c r="M17" s="9">
        <v>749.4</v>
      </c>
      <c r="N17" s="6">
        <v>0.2082</v>
      </c>
      <c r="O17" s="8">
        <v>12.49</v>
      </c>
      <c r="P17" s="5">
        <v>200.7</v>
      </c>
      <c r="Q17" s="5">
        <v>1</v>
      </c>
      <c r="R17" s="5">
        <v>900</v>
      </c>
      <c r="S17" s="7">
        <v>0.85</v>
      </c>
      <c r="T17" s="5">
        <v>50</v>
      </c>
      <c r="U17" s="6">
        <v>5.5599999999999997E-2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33</v>
      </c>
      <c r="AB17" s="5" t="s">
        <v>687</v>
      </c>
    </row>
    <row r="18" spans="1:28" s="12" customFormat="1" ht="25.05" customHeight="1" x14ac:dyDescent="0.3">
      <c r="A18" s="5">
        <v>17</v>
      </c>
      <c r="B18" s="10" t="s">
        <v>66</v>
      </c>
      <c r="C18" s="5" t="s">
        <v>50</v>
      </c>
      <c r="D18" s="5" t="s">
        <v>680</v>
      </c>
      <c r="E18" s="5" t="s">
        <v>27</v>
      </c>
      <c r="F18" s="5">
        <v>262581</v>
      </c>
      <c r="G18" s="5" t="s">
        <v>684</v>
      </c>
      <c r="H18" s="5">
        <v>1000</v>
      </c>
      <c r="I18" s="7">
        <v>0.33500000000000002</v>
      </c>
      <c r="J18" s="7">
        <v>0.94899999999999995</v>
      </c>
      <c r="K18" s="5" t="s">
        <v>686</v>
      </c>
      <c r="L18" s="7">
        <v>317.91500000000002</v>
      </c>
      <c r="M18" s="9">
        <v>474.5</v>
      </c>
      <c r="N18" s="6">
        <v>6.59E-2</v>
      </c>
      <c r="O18" s="8">
        <v>3.95</v>
      </c>
      <c r="P18" s="5">
        <v>112.9</v>
      </c>
      <c r="Q18" s="5">
        <v>2</v>
      </c>
      <c r="R18" s="5">
        <v>700</v>
      </c>
      <c r="S18" s="7">
        <v>0.67</v>
      </c>
      <c r="T18" s="5">
        <v>30</v>
      </c>
      <c r="U18" s="6">
        <v>4.2900000000000001E-2</v>
      </c>
      <c r="V18" s="5" t="s">
        <v>29</v>
      </c>
      <c r="W18" s="5" t="s">
        <v>28</v>
      </c>
      <c r="X18" s="5" t="s">
        <v>29</v>
      </c>
      <c r="Y18" s="5" t="s">
        <v>27</v>
      </c>
      <c r="Z18" s="5" t="s">
        <v>27</v>
      </c>
      <c r="AA18" s="5" t="s">
        <v>39</v>
      </c>
      <c r="AB18" s="5" t="s">
        <v>685</v>
      </c>
    </row>
    <row r="19" spans="1:28" s="12" customFormat="1" ht="25.05" customHeight="1" x14ac:dyDescent="0.3">
      <c r="A19" s="5">
        <v>18</v>
      </c>
      <c r="B19" s="10" t="s">
        <v>66</v>
      </c>
      <c r="C19" s="5" t="s">
        <v>36</v>
      </c>
      <c r="D19" s="5" t="s">
        <v>680</v>
      </c>
      <c r="E19" s="5" t="s">
        <v>27</v>
      </c>
      <c r="F19" s="5">
        <v>262582</v>
      </c>
      <c r="G19" s="5" t="s">
        <v>684</v>
      </c>
      <c r="H19" s="5">
        <v>1300</v>
      </c>
      <c r="I19" s="7">
        <v>0.33400000000000002</v>
      </c>
      <c r="J19" s="7">
        <v>0.78900000000000003</v>
      </c>
      <c r="K19" s="5" t="s">
        <v>683</v>
      </c>
      <c r="L19" s="7">
        <v>342.584</v>
      </c>
      <c r="M19" s="9">
        <v>512.9</v>
      </c>
      <c r="N19" s="6">
        <v>7.1199999999999999E-2</v>
      </c>
      <c r="O19" s="8">
        <v>4.2699999999999996</v>
      </c>
      <c r="P19" s="5">
        <v>107.9</v>
      </c>
      <c r="Q19" s="5">
        <v>2</v>
      </c>
      <c r="R19" s="5">
        <v>700</v>
      </c>
      <c r="S19" s="7">
        <v>0.66800000000000004</v>
      </c>
      <c r="T19" s="5">
        <v>32</v>
      </c>
      <c r="U19" s="6">
        <v>4.5699999999999998E-2</v>
      </c>
      <c r="V19" s="5" t="s">
        <v>28</v>
      </c>
      <c r="W19" s="5" t="s">
        <v>28</v>
      </c>
      <c r="X19" s="5" t="s">
        <v>28</v>
      </c>
      <c r="Y19" s="5" t="s">
        <v>27</v>
      </c>
      <c r="Z19" s="5" t="s">
        <v>27</v>
      </c>
      <c r="AA19" s="5" t="s">
        <v>39</v>
      </c>
      <c r="AB19" s="5" t="s">
        <v>682</v>
      </c>
    </row>
    <row r="20" spans="1:28" s="12" customFormat="1" ht="25.05" customHeight="1" x14ac:dyDescent="0.3">
      <c r="A20" s="11" t="s">
        <v>27</v>
      </c>
      <c r="B20" s="11" t="s">
        <v>27</v>
      </c>
      <c r="C20" s="11" t="s">
        <v>27</v>
      </c>
      <c r="D20" s="11" t="s">
        <v>27</v>
      </c>
      <c r="E20" s="11" t="s">
        <v>27</v>
      </c>
      <c r="F20" s="11" t="s">
        <v>27</v>
      </c>
      <c r="G20" s="11" t="s">
        <v>27</v>
      </c>
      <c r="H20" s="11">
        <f>SUM(H3:H19)</f>
        <v>24720</v>
      </c>
      <c r="I20" s="11" t="s">
        <v>27</v>
      </c>
      <c r="J20" s="11" t="s">
        <v>27</v>
      </c>
      <c r="K20" s="11" t="s">
        <v>27</v>
      </c>
      <c r="L20" s="11" t="s">
        <v>27</v>
      </c>
      <c r="M20" s="11" t="s">
        <v>27</v>
      </c>
      <c r="N20" s="11" t="s">
        <v>27</v>
      </c>
      <c r="O20" s="11" t="s">
        <v>27</v>
      </c>
      <c r="P20" s="11">
        <f>SUM(P3:P19)</f>
        <v>11648</v>
      </c>
      <c r="Q20" s="11" t="s">
        <v>27</v>
      </c>
      <c r="R20" s="11" t="s">
        <v>27</v>
      </c>
      <c r="S20" s="11" t="s">
        <v>27</v>
      </c>
      <c r="T20" s="11" t="s">
        <v>27</v>
      </c>
      <c r="U20" s="11" t="s">
        <v>27</v>
      </c>
      <c r="V20" s="11" t="s">
        <v>27</v>
      </c>
      <c r="W20" s="11" t="s">
        <v>27</v>
      </c>
      <c r="X20" s="11" t="s">
        <v>27</v>
      </c>
      <c r="Y20" s="11" t="s">
        <v>27</v>
      </c>
      <c r="Z20" s="11" t="s">
        <v>27</v>
      </c>
      <c r="AA20" s="11" t="s">
        <v>27</v>
      </c>
      <c r="AB20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82" orientation="landscape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C03CE4-617A-4EF9-89C8-ADAA1610BB0C}">
  <sheetPr>
    <pageSetUpPr fitToPage="1"/>
  </sheetPr>
  <dimension ref="A1:AB4"/>
  <sheetViews>
    <sheetView workbookViewId="0">
      <selection sqref="A1:AB5"/>
    </sheetView>
  </sheetViews>
  <sheetFormatPr defaultRowHeight="14.4" x14ac:dyDescent="0.3"/>
  <cols>
    <col min="1" max="1" width="5.44140625" style="108" customWidth="1"/>
    <col min="2" max="2" width="20.77734375" style="108" hidden="1" customWidth="1"/>
    <col min="3" max="3" width="7.77734375" style="108" customWidth="1"/>
    <col min="4" max="4" width="11.77734375" style="108" hidden="1" customWidth="1"/>
    <col min="5" max="5" width="10.77734375" style="108" customWidth="1"/>
    <col min="6" max="6" width="7.21875" style="108" customWidth="1"/>
    <col min="7" max="7" width="5.44140625" style="108" customWidth="1"/>
    <col min="8" max="8" width="6.44140625" style="108" customWidth="1"/>
    <col min="9" max="9" width="6.33203125" style="108" customWidth="1"/>
    <col min="10" max="10" width="7" style="108" customWidth="1"/>
    <col min="11" max="11" width="12.4414062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6.6640625" style="108" customWidth="1"/>
    <col min="17" max="17" width="4.44140625" style="108" customWidth="1"/>
    <col min="18" max="18" width="6.109375" style="108" customWidth="1"/>
    <col min="19" max="19" width="6.44140625" style="108" customWidth="1"/>
    <col min="20" max="20" width="11.77734375" style="108" hidden="1" customWidth="1"/>
    <col min="21" max="21" width="8.77734375" style="108" hidden="1" customWidth="1"/>
    <col min="22" max="24" width="8.33203125" style="108" customWidth="1"/>
    <col min="25" max="25" width="7.44140625" style="108" customWidth="1"/>
    <col min="26" max="26" width="7.88671875" style="108" customWidth="1"/>
    <col min="27" max="27" width="5.21875" style="108" customWidth="1"/>
    <col min="28" max="28" width="10.33203125" style="108" customWidth="1"/>
    <col min="29" max="16384" width="8.88671875" style="108"/>
  </cols>
  <sheetData>
    <row r="1" spans="1:28" ht="18" customHeight="1" x14ac:dyDescent="0.35">
      <c r="A1" s="221" t="s">
        <v>681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60.6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ht="19.2" customHeight="1" x14ac:dyDescent="0.3">
      <c r="A3" s="116">
        <v>1</v>
      </c>
      <c r="B3" s="118" t="s">
        <v>66</v>
      </c>
      <c r="C3" s="116" t="s">
        <v>26</v>
      </c>
      <c r="D3" s="116" t="s">
        <v>680</v>
      </c>
      <c r="E3" s="116" t="s">
        <v>27</v>
      </c>
      <c r="F3" s="116">
        <v>262580</v>
      </c>
      <c r="G3" s="116" t="s">
        <v>679</v>
      </c>
      <c r="H3" s="116">
        <v>5100</v>
      </c>
      <c r="I3" s="117">
        <v>0.9</v>
      </c>
      <c r="J3" s="117">
        <v>0.95899999999999996</v>
      </c>
      <c r="K3" s="116" t="s">
        <v>34</v>
      </c>
      <c r="L3" s="113">
        <v>4401.8100000000004</v>
      </c>
      <c r="M3" s="115">
        <v>4890.8999999999996</v>
      </c>
      <c r="N3" s="112">
        <v>1.3586</v>
      </c>
      <c r="O3" s="114">
        <v>81.52</v>
      </c>
      <c r="P3" s="111">
        <v>2610.3000000000002</v>
      </c>
      <c r="Q3" s="111">
        <v>1</v>
      </c>
      <c r="R3" s="111">
        <v>950</v>
      </c>
      <c r="S3" s="113">
        <v>0.9</v>
      </c>
      <c r="T3" s="111">
        <v>50</v>
      </c>
      <c r="U3" s="112">
        <v>5.2600000000000001E-2</v>
      </c>
      <c r="V3" s="111" t="s">
        <v>28</v>
      </c>
      <c r="W3" s="111" t="s">
        <v>29</v>
      </c>
      <c r="X3" s="111" t="s">
        <v>28</v>
      </c>
      <c r="Y3" s="111" t="s">
        <v>28</v>
      </c>
      <c r="Z3" s="111" t="s">
        <v>28</v>
      </c>
      <c r="AA3" s="111" t="s">
        <v>426</v>
      </c>
      <c r="AB3" s="111" t="s">
        <v>678</v>
      </c>
    </row>
    <row r="4" spans="1:28" x14ac:dyDescent="0.3">
      <c r="A4" s="110" t="s">
        <v>27</v>
      </c>
      <c r="B4" s="110" t="s">
        <v>27</v>
      </c>
      <c r="C4" s="110" t="s">
        <v>27</v>
      </c>
      <c r="D4" s="110" t="s">
        <v>27</v>
      </c>
      <c r="E4" s="110" t="s">
        <v>27</v>
      </c>
      <c r="F4" s="110" t="s">
        <v>27</v>
      </c>
      <c r="G4" s="110" t="s">
        <v>27</v>
      </c>
      <c r="H4" s="110">
        <v>5100</v>
      </c>
      <c r="I4" s="110" t="s">
        <v>27</v>
      </c>
      <c r="J4" s="110" t="s">
        <v>27</v>
      </c>
      <c r="K4" s="110" t="s">
        <v>27</v>
      </c>
      <c r="L4" s="109" t="s">
        <v>27</v>
      </c>
      <c r="M4" s="109" t="s">
        <v>27</v>
      </c>
      <c r="N4" s="109" t="s">
        <v>27</v>
      </c>
      <c r="O4" s="109" t="s">
        <v>27</v>
      </c>
      <c r="P4" s="109">
        <v>2610.3000000000002</v>
      </c>
      <c r="Q4" s="109" t="s">
        <v>27</v>
      </c>
      <c r="R4" s="109" t="s">
        <v>27</v>
      </c>
      <c r="S4" s="109" t="s">
        <v>27</v>
      </c>
      <c r="T4" s="109" t="s">
        <v>27</v>
      </c>
      <c r="U4" s="109" t="s">
        <v>27</v>
      </c>
      <c r="V4" s="109" t="s">
        <v>27</v>
      </c>
      <c r="W4" s="109" t="s">
        <v>27</v>
      </c>
      <c r="X4" s="109" t="s">
        <v>27</v>
      </c>
      <c r="Y4" s="109" t="s">
        <v>27</v>
      </c>
      <c r="Z4" s="109" t="s">
        <v>27</v>
      </c>
      <c r="AA4" s="109" t="s">
        <v>27</v>
      </c>
      <c r="AB4" s="10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2" orientation="landscape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716D2-EB8A-4484-83AF-D7868E55628C}">
  <sheetPr>
    <pageSetUpPr fitToPage="1"/>
  </sheetPr>
  <dimension ref="A1:AB17"/>
  <sheetViews>
    <sheetView zoomScale="89" zoomScaleNormal="89" workbookViewId="0">
      <selection activeCell="AD3" sqref="AD3"/>
    </sheetView>
  </sheetViews>
  <sheetFormatPr defaultRowHeight="14.4" x14ac:dyDescent="0.3"/>
  <cols>
    <col min="1" max="1" width="4.44140625" style="108" customWidth="1"/>
    <col min="2" max="2" width="20.77734375" style="108" hidden="1" customWidth="1"/>
    <col min="3" max="3" width="7.77734375" style="108" customWidth="1"/>
    <col min="4" max="4" width="11.77734375" style="108" hidden="1" customWidth="1"/>
    <col min="5" max="5" width="9.6640625" style="108" customWidth="1"/>
    <col min="6" max="6" width="8.44140625" style="108" customWidth="1"/>
    <col min="7" max="7" width="4.44140625" style="108" customWidth="1"/>
    <col min="8" max="8" width="7.33203125" style="108" customWidth="1"/>
    <col min="9" max="9" width="6.109375" style="108" customWidth="1"/>
    <col min="10" max="10" width="6.44140625" style="108" customWidth="1"/>
    <col min="11" max="11" width="13.777343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109375" style="108" customWidth="1"/>
    <col min="17" max="17" width="3.88671875" style="108" customWidth="1"/>
    <col min="18" max="18" width="6.5546875" style="108" customWidth="1"/>
    <col min="19" max="19" width="6.77734375" style="108" customWidth="1"/>
    <col min="20" max="20" width="11.77734375" style="108" hidden="1" customWidth="1"/>
    <col min="21" max="21" width="8.77734375" style="108" hidden="1" customWidth="1"/>
    <col min="22" max="23" width="8.109375" style="108" customWidth="1"/>
    <col min="24" max="24" width="8.6640625" style="108" customWidth="1"/>
    <col min="25" max="26" width="11.77734375" style="108" customWidth="1"/>
    <col min="27" max="27" width="10.77734375" style="108" customWidth="1"/>
    <col min="28" max="28" width="16.77734375" style="108" customWidth="1"/>
    <col min="29" max="16384" width="8.88671875" style="108"/>
  </cols>
  <sheetData>
    <row r="1" spans="1:28" ht="18" customHeight="1" x14ac:dyDescent="0.35">
      <c r="A1" s="221" t="s">
        <v>669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41.4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67" customFormat="1" ht="25.05" customHeight="1" x14ac:dyDescent="0.3">
      <c r="A3" s="161">
        <v>1</v>
      </c>
      <c r="B3" s="162" t="s">
        <v>480</v>
      </c>
      <c r="C3" s="161" t="s">
        <v>62</v>
      </c>
      <c r="D3" s="161" t="s">
        <v>602</v>
      </c>
      <c r="E3" s="161" t="s">
        <v>27</v>
      </c>
      <c r="F3" s="161">
        <v>262575</v>
      </c>
      <c r="G3" s="161" t="s">
        <v>668</v>
      </c>
      <c r="H3" s="161">
        <v>600</v>
      </c>
      <c r="I3" s="163">
        <v>0.54300000000000004</v>
      </c>
      <c r="J3" s="163">
        <v>0.95</v>
      </c>
      <c r="K3" s="161" t="s">
        <v>667</v>
      </c>
      <c r="L3" s="163">
        <v>309.51</v>
      </c>
      <c r="M3" s="164">
        <v>285</v>
      </c>
      <c r="N3" s="165">
        <v>3.9600000000000003E-2</v>
      </c>
      <c r="O3" s="166">
        <v>2.38</v>
      </c>
      <c r="P3" s="161">
        <v>193.8</v>
      </c>
      <c r="Q3" s="161">
        <v>2</v>
      </c>
      <c r="R3" s="161">
        <v>1150</v>
      </c>
      <c r="S3" s="163">
        <v>1.0860000000000001</v>
      </c>
      <c r="T3" s="161">
        <v>64</v>
      </c>
      <c r="U3" s="165">
        <v>5.57E-2</v>
      </c>
      <c r="V3" s="161" t="s">
        <v>29</v>
      </c>
      <c r="W3" s="161" t="s">
        <v>40</v>
      </c>
      <c r="X3" s="161" t="s">
        <v>28</v>
      </c>
      <c r="Y3" s="161" t="s">
        <v>28</v>
      </c>
      <c r="Z3" s="161" t="s">
        <v>29</v>
      </c>
      <c r="AA3" s="161" t="s">
        <v>39</v>
      </c>
      <c r="AB3" s="161" t="s">
        <v>666</v>
      </c>
    </row>
    <row r="4" spans="1:28" s="167" customFormat="1" ht="25.05" customHeight="1" x14ac:dyDescent="0.3">
      <c r="A4" s="161">
        <v>2</v>
      </c>
      <c r="B4" s="162" t="s">
        <v>480</v>
      </c>
      <c r="C4" s="161" t="s">
        <v>62</v>
      </c>
      <c r="D4" s="191">
        <v>46279</v>
      </c>
      <c r="E4" s="161"/>
      <c r="F4" s="161">
        <v>262579</v>
      </c>
      <c r="G4" s="161">
        <v>69</v>
      </c>
      <c r="H4" s="161">
        <v>300</v>
      </c>
      <c r="I4" s="163">
        <v>1.113</v>
      </c>
      <c r="J4" s="163">
        <v>2.41</v>
      </c>
      <c r="K4" s="161" t="s">
        <v>676</v>
      </c>
      <c r="L4" s="163">
        <v>804.69899999999996</v>
      </c>
      <c r="M4" s="164">
        <v>723</v>
      </c>
      <c r="N4" s="165">
        <v>0.20080000000000001</v>
      </c>
      <c r="O4" s="166">
        <v>12.05</v>
      </c>
      <c r="P4" s="161">
        <v>503.7</v>
      </c>
      <c r="Q4" s="161">
        <v>1</v>
      </c>
      <c r="R4" s="161">
        <v>1150</v>
      </c>
      <c r="S4" s="163">
        <v>1.113</v>
      </c>
      <c r="T4" s="161">
        <v>37</v>
      </c>
      <c r="U4" s="165">
        <v>3.2199999999999999E-2</v>
      </c>
      <c r="V4" s="161" t="s">
        <v>29</v>
      </c>
      <c r="W4" s="161" t="s">
        <v>40</v>
      </c>
      <c r="X4" s="161" t="s">
        <v>28</v>
      </c>
      <c r="Y4" s="161" t="s">
        <v>28</v>
      </c>
      <c r="Z4" s="161" t="s">
        <v>29</v>
      </c>
      <c r="AA4" s="161">
        <v>2</v>
      </c>
      <c r="AB4" s="161" t="s">
        <v>677</v>
      </c>
    </row>
    <row r="5" spans="1:28" s="167" customFormat="1" ht="25.05" customHeight="1" x14ac:dyDescent="0.3">
      <c r="A5" s="161">
        <v>3</v>
      </c>
      <c r="B5" s="162" t="s">
        <v>480</v>
      </c>
      <c r="C5" s="161" t="s">
        <v>670</v>
      </c>
      <c r="D5" s="191">
        <v>46279</v>
      </c>
      <c r="E5" s="161"/>
      <c r="F5" s="161">
        <v>262577</v>
      </c>
      <c r="G5" s="161">
        <v>69</v>
      </c>
      <c r="H5" s="161">
        <v>1000</v>
      </c>
      <c r="I5" s="163">
        <v>0.52500000000000002</v>
      </c>
      <c r="J5" s="163">
        <v>1.29</v>
      </c>
      <c r="K5" s="161" t="s">
        <v>672</v>
      </c>
      <c r="L5" s="163">
        <v>677.25</v>
      </c>
      <c r="M5" s="164">
        <v>645</v>
      </c>
      <c r="N5" s="165">
        <v>8.9599999999999999E-2</v>
      </c>
      <c r="O5" s="166">
        <v>5.38</v>
      </c>
      <c r="P5" s="161">
        <v>262.8</v>
      </c>
      <c r="Q5" s="161">
        <v>2</v>
      </c>
      <c r="R5" s="161">
        <v>1100</v>
      </c>
      <c r="S5" s="163">
        <v>1.05</v>
      </c>
      <c r="T5" s="161">
        <v>50</v>
      </c>
      <c r="U5" s="165">
        <v>4.5499999999999999E-2</v>
      </c>
      <c r="V5" s="161" t="s">
        <v>40</v>
      </c>
      <c r="W5" s="161" t="s">
        <v>29</v>
      </c>
      <c r="X5" s="161" t="s">
        <v>29</v>
      </c>
      <c r="Y5" s="161"/>
      <c r="Z5" s="161"/>
      <c r="AA5" s="161">
        <v>2</v>
      </c>
      <c r="AB5" s="161" t="s">
        <v>673</v>
      </c>
    </row>
    <row r="6" spans="1:28" s="167" customFormat="1" ht="25.05" customHeight="1" x14ac:dyDescent="0.3">
      <c r="A6" s="161">
        <v>4</v>
      </c>
      <c r="B6" s="162" t="s">
        <v>480</v>
      </c>
      <c r="C6" s="161" t="s">
        <v>670</v>
      </c>
      <c r="D6" s="191">
        <v>46279</v>
      </c>
      <c r="E6" s="161"/>
      <c r="F6" s="161">
        <v>262576</v>
      </c>
      <c r="G6" s="161">
        <v>69</v>
      </c>
      <c r="H6" s="161">
        <v>500</v>
      </c>
      <c r="I6" s="163">
        <v>0.45</v>
      </c>
      <c r="J6" s="163">
        <v>1.59</v>
      </c>
      <c r="K6" s="161" t="s">
        <v>671</v>
      </c>
      <c r="L6" s="163">
        <v>357.75</v>
      </c>
      <c r="M6" s="164">
        <v>397.5</v>
      </c>
      <c r="N6" s="165">
        <v>5.5199999999999999E-2</v>
      </c>
      <c r="O6" s="166">
        <v>3.31</v>
      </c>
      <c r="P6" s="161">
        <v>138.80000000000001</v>
      </c>
      <c r="Q6" s="161">
        <v>2</v>
      </c>
      <c r="R6" s="161">
        <v>1150</v>
      </c>
      <c r="S6" s="163">
        <v>0.9</v>
      </c>
      <c r="T6" s="161">
        <v>250</v>
      </c>
      <c r="U6" s="165">
        <v>0.21740000000000001</v>
      </c>
      <c r="V6" s="161" t="s">
        <v>40</v>
      </c>
      <c r="W6" s="161" t="s">
        <v>29</v>
      </c>
      <c r="X6" s="161" t="s">
        <v>29</v>
      </c>
      <c r="Y6" s="161"/>
      <c r="Z6" s="161"/>
      <c r="AA6" s="161">
        <v>1</v>
      </c>
      <c r="AB6" s="161" t="s">
        <v>666</v>
      </c>
    </row>
    <row r="7" spans="1:28" s="167" customFormat="1" ht="25.05" customHeight="1" x14ac:dyDescent="0.3">
      <c r="A7" s="161">
        <v>5</v>
      </c>
      <c r="B7" s="162" t="s">
        <v>480</v>
      </c>
      <c r="C7" s="161" t="s">
        <v>670</v>
      </c>
      <c r="D7" s="191">
        <v>46279</v>
      </c>
      <c r="E7" s="161"/>
      <c r="F7" s="161">
        <v>262578</v>
      </c>
      <c r="G7" s="161">
        <v>69</v>
      </c>
      <c r="H7" s="161">
        <v>600</v>
      </c>
      <c r="I7" s="163">
        <v>0.54600000000000004</v>
      </c>
      <c r="J7" s="163">
        <v>1.41</v>
      </c>
      <c r="K7" s="161" t="s">
        <v>674</v>
      </c>
      <c r="L7" s="163">
        <v>461.916</v>
      </c>
      <c r="M7" s="164">
        <v>423</v>
      </c>
      <c r="N7" s="165">
        <v>5.8700000000000002E-2</v>
      </c>
      <c r="O7" s="166">
        <v>3.52</v>
      </c>
      <c r="P7" s="161">
        <v>179.2</v>
      </c>
      <c r="Q7" s="161">
        <v>2</v>
      </c>
      <c r="R7" s="161">
        <v>1150</v>
      </c>
      <c r="S7" s="163">
        <v>1.0920000000000001</v>
      </c>
      <c r="T7" s="161">
        <v>58</v>
      </c>
      <c r="U7" s="165">
        <v>5.04E-2</v>
      </c>
      <c r="V7" s="161" t="s">
        <v>40</v>
      </c>
      <c r="W7" s="161" t="s">
        <v>29</v>
      </c>
      <c r="X7" s="161" t="s">
        <v>29</v>
      </c>
      <c r="Y7" s="161"/>
      <c r="Z7" s="161"/>
      <c r="AA7" s="161">
        <v>1</v>
      </c>
      <c r="AB7" s="161" t="s">
        <v>675</v>
      </c>
    </row>
    <row r="8" spans="1:28" s="167" customFormat="1" ht="25.05" customHeight="1" x14ac:dyDescent="0.3">
      <c r="A8" s="161">
        <v>6</v>
      </c>
      <c r="B8" s="162" t="s">
        <v>480</v>
      </c>
      <c r="C8" s="161" t="s">
        <v>36</v>
      </c>
      <c r="D8" s="191">
        <v>46282</v>
      </c>
      <c r="E8" s="161"/>
      <c r="F8" s="161">
        <v>262634</v>
      </c>
      <c r="G8" s="161">
        <v>74</v>
      </c>
      <c r="H8" s="161">
        <v>5000</v>
      </c>
      <c r="I8" s="163">
        <v>0.76</v>
      </c>
      <c r="J8" s="163">
        <v>0.9</v>
      </c>
      <c r="K8" s="161" t="s">
        <v>34</v>
      </c>
      <c r="L8" s="163">
        <v>3420</v>
      </c>
      <c r="M8" s="164">
        <v>2250</v>
      </c>
      <c r="N8" s="165">
        <v>0.3125</v>
      </c>
      <c r="O8" s="166">
        <v>18.75</v>
      </c>
      <c r="P8" s="161">
        <v>1077.3</v>
      </c>
      <c r="Q8" s="161">
        <v>2</v>
      </c>
      <c r="R8" s="161">
        <v>1550</v>
      </c>
      <c r="S8" s="163">
        <v>1.52</v>
      </c>
      <c r="T8" s="161">
        <v>30</v>
      </c>
      <c r="U8" s="165">
        <v>1.9400000000000001E-2</v>
      </c>
      <c r="V8" s="161" t="s">
        <v>28</v>
      </c>
      <c r="W8" s="161" t="s">
        <v>28</v>
      </c>
      <c r="X8" s="161" t="s">
        <v>28</v>
      </c>
      <c r="Y8" s="161"/>
      <c r="Z8" s="161"/>
      <c r="AA8" s="161">
        <v>7</v>
      </c>
      <c r="AB8" s="161" t="s">
        <v>767</v>
      </c>
    </row>
    <row r="9" spans="1:28" s="167" customFormat="1" ht="25.05" customHeight="1" x14ac:dyDescent="0.3">
      <c r="A9" s="161">
        <v>7</v>
      </c>
      <c r="B9" s="162" t="s">
        <v>480</v>
      </c>
      <c r="C9" s="161" t="s">
        <v>36</v>
      </c>
      <c r="D9" s="191">
        <v>46280</v>
      </c>
      <c r="E9" s="161"/>
      <c r="F9" s="161">
        <v>262603</v>
      </c>
      <c r="G9" s="161">
        <v>70</v>
      </c>
      <c r="H9" s="161">
        <v>600</v>
      </c>
      <c r="I9" s="163">
        <v>0.69</v>
      </c>
      <c r="J9" s="163">
        <v>1</v>
      </c>
      <c r="K9" s="161" t="s">
        <v>34</v>
      </c>
      <c r="L9" s="163">
        <v>414</v>
      </c>
      <c r="M9" s="164">
        <v>300</v>
      </c>
      <c r="N9" s="165">
        <v>4.1700000000000001E-2</v>
      </c>
      <c r="O9" s="166">
        <v>2.5</v>
      </c>
      <c r="P9" s="161">
        <v>130.4</v>
      </c>
      <c r="Q9" s="161">
        <v>2</v>
      </c>
      <c r="R9" s="161">
        <v>1400</v>
      </c>
      <c r="S9" s="163">
        <v>1.38</v>
      </c>
      <c r="T9" s="161">
        <v>20</v>
      </c>
      <c r="U9" s="165">
        <v>1.43E-2</v>
      </c>
      <c r="V9" s="161" t="s">
        <v>28</v>
      </c>
      <c r="W9" s="161" t="s">
        <v>28</v>
      </c>
      <c r="X9" s="161" t="s">
        <v>28</v>
      </c>
      <c r="Y9" s="161"/>
      <c r="Z9" s="161"/>
      <c r="AA9" s="161">
        <v>1</v>
      </c>
      <c r="AB9" s="161" t="s">
        <v>712</v>
      </c>
    </row>
    <row r="10" spans="1:28" s="167" customFormat="1" ht="25.05" customHeight="1" x14ac:dyDescent="0.3">
      <c r="A10" s="161">
        <v>8</v>
      </c>
      <c r="B10" s="162" t="s">
        <v>480</v>
      </c>
      <c r="C10" s="161" t="s">
        <v>36</v>
      </c>
      <c r="D10" s="191">
        <v>46281</v>
      </c>
      <c r="E10" s="161"/>
      <c r="F10" s="161">
        <v>262616</v>
      </c>
      <c r="G10" s="161">
        <v>72</v>
      </c>
      <c r="H10" s="161">
        <v>1000</v>
      </c>
      <c r="I10" s="163">
        <v>0.35</v>
      </c>
      <c r="J10" s="163">
        <v>0.88</v>
      </c>
      <c r="K10" s="161" t="s">
        <v>34</v>
      </c>
      <c r="L10" s="163">
        <v>308</v>
      </c>
      <c r="M10" s="164">
        <v>293.3</v>
      </c>
      <c r="N10" s="165">
        <v>2.7199999999999998E-2</v>
      </c>
      <c r="O10" s="166">
        <v>1.63</v>
      </c>
      <c r="P10" s="161">
        <v>97</v>
      </c>
      <c r="Q10" s="161">
        <v>3</v>
      </c>
      <c r="R10" s="161">
        <v>1100</v>
      </c>
      <c r="S10" s="163">
        <v>1.05</v>
      </c>
      <c r="T10" s="161">
        <v>50</v>
      </c>
      <c r="U10" s="165">
        <v>4.5499999999999999E-2</v>
      </c>
      <c r="V10" s="161" t="s">
        <v>28</v>
      </c>
      <c r="W10" s="161" t="s">
        <v>28</v>
      </c>
      <c r="X10" s="161" t="s">
        <v>28</v>
      </c>
      <c r="Y10" s="161"/>
      <c r="Z10" s="161"/>
      <c r="AA10" s="161">
        <v>1</v>
      </c>
      <c r="AB10" s="161" t="s">
        <v>734</v>
      </c>
    </row>
    <row r="11" spans="1:28" s="167" customFormat="1" ht="25.05" customHeight="1" x14ac:dyDescent="0.3">
      <c r="A11" s="161">
        <v>9</v>
      </c>
      <c r="B11" s="162" t="s">
        <v>480</v>
      </c>
      <c r="C11" s="161" t="s">
        <v>36</v>
      </c>
      <c r="D11" s="191">
        <v>46280</v>
      </c>
      <c r="E11" s="161"/>
      <c r="F11" s="161">
        <v>262602</v>
      </c>
      <c r="G11" s="161">
        <v>70</v>
      </c>
      <c r="H11" s="161">
        <v>1250</v>
      </c>
      <c r="I11" s="163">
        <v>0.54</v>
      </c>
      <c r="J11" s="163">
        <v>1</v>
      </c>
      <c r="K11" s="161" t="s">
        <v>34</v>
      </c>
      <c r="L11" s="163">
        <v>675</v>
      </c>
      <c r="M11" s="164">
        <v>625</v>
      </c>
      <c r="N11" s="165">
        <v>8.6800000000000002E-2</v>
      </c>
      <c r="O11" s="166">
        <v>5.21</v>
      </c>
      <c r="P11" s="161">
        <v>212.6</v>
      </c>
      <c r="Q11" s="161">
        <v>2</v>
      </c>
      <c r="R11" s="161">
        <v>1100</v>
      </c>
      <c r="S11" s="163">
        <v>1.08</v>
      </c>
      <c r="T11" s="161">
        <v>20</v>
      </c>
      <c r="U11" s="165">
        <v>1.8200000000000001E-2</v>
      </c>
      <c r="V11" s="161" t="s">
        <v>28</v>
      </c>
      <c r="W11" s="161" t="s">
        <v>28</v>
      </c>
      <c r="X11" s="161" t="s">
        <v>28</v>
      </c>
      <c r="Y11" s="161"/>
      <c r="Z11" s="161"/>
      <c r="AA11" s="161">
        <v>1</v>
      </c>
      <c r="AB11" s="161" t="s">
        <v>711</v>
      </c>
    </row>
    <row r="12" spans="1:28" s="167" customFormat="1" ht="25.05" customHeight="1" x14ac:dyDescent="0.3">
      <c r="A12" s="161">
        <v>10</v>
      </c>
      <c r="B12" s="162" t="s">
        <v>480</v>
      </c>
      <c r="C12" s="161" t="s">
        <v>36</v>
      </c>
      <c r="D12" s="191">
        <v>46281</v>
      </c>
      <c r="E12" s="161"/>
      <c r="F12" s="161">
        <v>262615</v>
      </c>
      <c r="G12" s="161">
        <v>71</v>
      </c>
      <c r="H12" s="161">
        <v>3000</v>
      </c>
      <c r="I12" s="163">
        <v>0.51400000000000001</v>
      </c>
      <c r="J12" s="163">
        <v>1.3420000000000001</v>
      </c>
      <c r="K12" s="161" t="s">
        <v>732</v>
      </c>
      <c r="L12" s="163">
        <v>1379.576</v>
      </c>
      <c r="M12" s="164">
        <v>1342</v>
      </c>
      <c r="N12" s="165">
        <v>0.18640000000000001</v>
      </c>
      <c r="O12" s="166">
        <v>11.18</v>
      </c>
      <c r="P12" s="161">
        <v>434.6</v>
      </c>
      <c r="Q12" s="161">
        <v>2</v>
      </c>
      <c r="R12" s="161">
        <v>1050</v>
      </c>
      <c r="S12" s="163">
        <v>1.028</v>
      </c>
      <c r="T12" s="161">
        <v>22</v>
      </c>
      <c r="U12" s="165">
        <v>2.1000000000000001E-2</v>
      </c>
      <c r="V12" s="161" t="s">
        <v>28</v>
      </c>
      <c r="W12" s="161" t="s">
        <v>28</v>
      </c>
      <c r="X12" s="161" t="s">
        <v>28</v>
      </c>
      <c r="Y12" s="161"/>
      <c r="Z12" s="161"/>
      <c r="AA12" s="161">
        <v>3</v>
      </c>
      <c r="AB12" s="161" t="s">
        <v>733</v>
      </c>
    </row>
    <row r="13" spans="1:28" s="167" customFormat="1" ht="25.05" customHeight="1" x14ac:dyDescent="0.3">
      <c r="A13" s="161">
        <v>11</v>
      </c>
      <c r="B13" s="162" t="s">
        <v>480</v>
      </c>
      <c r="C13" s="161" t="s">
        <v>36</v>
      </c>
      <c r="D13" s="191">
        <v>46281</v>
      </c>
      <c r="E13" s="161"/>
      <c r="F13" s="161">
        <v>262617</v>
      </c>
      <c r="G13" s="161">
        <v>72</v>
      </c>
      <c r="H13" s="161">
        <v>3200</v>
      </c>
      <c r="I13" s="163">
        <v>0.32500000000000001</v>
      </c>
      <c r="J13" s="163">
        <v>0.8</v>
      </c>
      <c r="K13" s="161" t="s">
        <v>34</v>
      </c>
      <c r="L13" s="163">
        <v>832</v>
      </c>
      <c r="M13" s="164">
        <v>853.3</v>
      </c>
      <c r="N13" s="165">
        <v>7.9000000000000001E-2</v>
      </c>
      <c r="O13" s="166">
        <v>4.74</v>
      </c>
      <c r="P13" s="161">
        <v>262.10000000000002</v>
      </c>
      <c r="Q13" s="161">
        <v>3</v>
      </c>
      <c r="R13" s="161">
        <v>1000</v>
      </c>
      <c r="S13" s="163">
        <v>0.97499999999999998</v>
      </c>
      <c r="T13" s="161">
        <v>25</v>
      </c>
      <c r="U13" s="165">
        <v>2.5000000000000001E-2</v>
      </c>
      <c r="V13" s="161" t="s">
        <v>28</v>
      </c>
      <c r="W13" s="161" t="s">
        <v>28</v>
      </c>
      <c r="X13" s="161" t="s">
        <v>28</v>
      </c>
      <c r="Y13" s="161"/>
      <c r="Z13" s="161"/>
      <c r="AA13" s="161">
        <v>2</v>
      </c>
      <c r="AB13" s="161" t="s">
        <v>735</v>
      </c>
    </row>
    <row r="14" spans="1:28" s="167" customFormat="1" ht="25.05" customHeight="1" x14ac:dyDescent="0.3">
      <c r="A14" s="161">
        <v>12</v>
      </c>
      <c r="B14" s="162" t="s">
        <v>480</v>
      </c>
      <c r="C14" s="161" t="s">
        <v>36</v>
      </c>
      <c r="D14" s="191">
        <v>46281</v>
      </c>
      <c r="E14" s="161"/>
      <c r="F14" s="161">
        <v>262618</v>
      </c>
      <c r="G14" s="161">
        <v>73</v>
      </c>
      <c r="H14" s="161">
        <v>2000</v>
      </c>
      <c r="I14" s="163">
        <v>0.27900000000000003</v>
      </c>
      <c r="J14" s="163">
        <v>1.002</v>
      </c>
      <c r="K14" s="161" t="s">
        <v>736</v>
      </c>
      <c r="L14" s="163">
        <v>559.11599999999999</v>
      </c>
      <c r="M14" s="164">
        <v>1002</v>
      </c>
      <c r="N14" s="165">
        <v>0.13919999999999999</v>
      </c>
      <c r="O14" s="166">
        <v>8.35</v>
      </c>
      <c r="P14" s="161">
        <v>176.1</v>
      </c>
      <c r="Q14" s="161">
        <v>2</v>
      </c>
      <c r="R14" s="161">
        <v>600</v>
      </c>
      <c r="S14" s="163">
        <v>0.55800000000000005</v>
      </c>
      <c r="T14" s="161">
        <v>42</v>
      </c>
      <c r="U14" s="165">
        <v>7.0000000000000007E-2</v>
      </c>
      <c r="V14" s="161" t="s">
        <v>28</v>
      </c>
      <c r="W14" s="161" t="s">
        <v>28</v>
      </c>
      <c r="X14" s="161" t="s">
        <v>28</v>
      </c>
      <c r="Y14" s="161"/>
      <c r="Z14" s="161"/>
      <c r="AA14" s="161">
        <v>1</v>
      </c>
      <c r="AB14" s="161" t="s">
        <v>737</v>
      </c>
    </row>
    <row r="15" spans="1:28" s="167" customFormat="1" ht="25.05" customHeight="1" x14ac:dyDescent="0.3">
      <c r="A15" s="161">
        <v>13</v>
      </c>
      <c r="B15" s="162" t="s">
        <v>480</v>
      </c>
      <c r="C15" s="161" t="s">
        <v>36</v>
      </c>
      <c r="D15" s="191">
        <v>46281</v>
      </c>
      <c r="E15" s="161"/>
      <c r="F15" s="161">
        <v>262619</v>
      </c>
      <c r="G15" s="161">
        <v>73</v>
      </c>
      <c r="H15" s="161">
        <v>6000</v>
      </c>
      <c r="I15" s="163">
        <v>0.36499999999999999</v>
      </c>
      <c r="J15" s="163">
        <v>1.04</v>
      </c>
      <c r="K15" s="161" t="s">
        <v>738</v>
      </c>
      <c r="L15" s="163">
        <v>2277.6</v>
      </c>
      <c r="M15" s="164">
        <v>3120</v>
      </c>
      <c r="N15" s="165">
        <v>0.43330000000000002</v>
      </c>
      <c r="O15" s="166">
        <v>26</v>
      </c>
      <c r="P15" s="161">
        <v>717.4</v>
      </c>
      <c r="Q15" s="161">
        <v>2</v>
      </c>
      <c r="R15" s="161">
        <v>750</v>
      </c>
      <c r="S15" s="163">
        <v>0.73</v>
      </c>
      <c r="T15" s="161">
        <v>20</v>
      </c>
      <c r="U15" s="165">
        <v>2.6700000000000002E-2</v>
      </c>
      <c r="V15" s="161" t="s">
        <v>28</v>
      </c>
      <c r="W15" s="161" t="s">
        <v>28</v>
      </c>
      <c r="X15" s="161" t="s">
        <v>28</v>
      </c>
      <c r="Y15" s="161"/>
      <c r="Z15" s="161"/>
      <c r="AA15" s="161">
        <v>3</v>
      </c>
      <c r="AB15" s="161" t="s">
        <v>739</v>
      </c>
    </row>
    <row r="16" spans="1:28" s="156" customFormat="1" ht="25.05" customHeight="1" x14ac:dyDescent="0.3">
      <c r="A16" s="161">
        <v>14</v>
      </c>
      <c r="B16" s="151" t="s">
        <v>621</v>
      </c>
      <c r="C16" s="150" t="s">
        <v>36</v>
      </c>
      <c r="D16" s="177">
        <v>46275</v>
      </c>
      <c r="E16" s="150"/>
      <c r="F16" s="150">
        <v>252541</v>
      </c>
      <c r="G16" s="150">
        <v>67</v>
      </c>
      <c r="H16" s="150">
        <v>3000</v>
      </c>
      <c r="I16" s="152">
        <v>0.27900000000000003</v>
      </c>
      <c r="J16" s="152">
        <v>1.004</v>
      </c>
      <c r="K16" s="150" t="s">
        <v>736</v>
      </c>
      <c r="L16" s="152">
        <v>840.34799999999996</v>
      </c>
      <c r="M16" s="153">
        <v>1004</v>
      </c>
      <c r="N16" s="154">
        <v>9.2999999999999999E-2</v>
      </c>
      <c r="O16" s="155">
        <v>5.58</v>
      </c>
      <c r="P16" s="150">
        <v>289.89999999999998</v>
      </c>
      <c r="Q16" s="150">
        <v>3</v>
      </c>
      <c r="R16" s="150">
        <v>900</v>
      </c>
      <c r="S16" s="152">
        <v>0.83699999999999997</v>
      </c>
      <c r="T16" s="150">
        <v>63</v>
      </c>
      <c r="U16" s="154">
        <v>7.0000000000000007E-2</v>
      </c>
      <c r="V16" s="150" t="s">
        <v>28</v>
      </c>
      <c r="W16" s="150" t="s">
        <v>28</v>
      </c>
      <c r="X16" s="150" t="s">
        <v>28</v>
      </c>
      <c r="Y16" s="150"/>
      <c r="Z16" s="150"/>
      <c r="AA16" s="150">
        <v>1</v>
      </c>
      <c r="AB16" s="150" t="s">
        <v>622</v>
      </c>
    </row>
    <row r="17" spans="1:28" s="167" customFormat="1" ht="25.05" customHeight="1" x14ac:dyDescent="0.3">
      <c r="A17" s="168" t="s">
        <v>27</v>
      </c>
      <c r="B17" s="168" t="s">
        <v>27</v>
      </c>
      <c r="C17" s="168" t="s">
        <v>27</v>
      </c>
      <c r="D17" s="168" t="s">
        <v>27</v>
      </c>
      <c r="E17" s="168" t="s">
        <v>27</v>
      </c>
      <c r="F17" s="168" t="s">
        <v>27</v>
      </c>
      <c r="G17" s="168" t="s">
        <v>27</v>
      </c>
      <c r="H17" s="168">
        <f>SUM(H3:H16)</f>
        <v>28050</v>
      </c>
      <c r="I17" s="168" t="s">
        <v>27</v>
      </c>
      <c r="J17" s="168" t="s">
        <v>27</v>
      </c>
      <c r="K17" s="168" t="s">
        <v>27</v>
      </c>
      <c r="L17" s="168" t="s">
        <v>27</v>
      </c>
      <c r="M17" s="168" t="s">
        <v>27</v>
      </c>
      <c r="N17" s="168" t="s">
        <v>27</v>
      </c>
      <c r="O17" s="168" t="s">
        <v>27</v>
      </c>
      <c r="P17" s="168">
        <f>SUM(P3:P16)</f>
        <v>4675.6999999999989</v>
      </c>
      <c r="Q17" s="168" t="s">
        <v>27</v>
      </c>
      <c r="R17" s="168" t="s">
        <v>27</v>
      </c>
      <c r="S17" s="168" t="s">
        <v>27</v>
      </c>
      <c r="T17" s="168" t="s">
        <v>27</v>
      </c>
      <c r="U17" s="168" t="s">
        <v>27</v>
      </c>
      <c r="V17" s="168" t="s">
        <v>27</v>
      </c>
      <c r="W17" s="168" t="s">
        <v>27</v>
      </c>
      <c r="X17" s="168" t="s">
        <v>27</v>
      </c>
      <c r="Y17" s="168" t="s">
        <v>27</v>
      </c>
      <c r="Z17" s="168" t="s">
        <v>27</v>
      </c>
      <c r="AA17" s="168" t="s">
        <v>27</v>
      </c>
      <c r="AB17" s="168" t="s">
        <v>27</v>
      </c>
    </row>
  </sheetData>
  <mergeCells count="1">
    <mergeCell ref="A1:AB1"/>
  </mergeCells>
  <pageMargins left="0.511811024" right="0.511811024" top="1.35" bottom="0.78740157499999996" header="0.31496062000000002" footer="0.31496062000000002"/>
  <pageSetup paperSize="9" scale="83" orientation="landscape" horizontalDpi="300" verticalDpi="30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BFDD7F-F2DE-484D-858D-A0AEE46D68A8}">
  <dimension ref="A1:AB12"/>
  <sheetViews>
    <sheetView workbookViewId="0">
      <selection activeCell="S19" sqref="S19"/>
    </sheetView>
  </sheetViews>
  <sheetFormatPr defaultRowHeight="14.4" x14ac:dyDescent="0.3"/>
  <cols>
    <col min="1" max="1" width="3.88671875" style="108" customWidth="1"/>
    <col min="2" max="2" width="20.77734375" style="108" hidden="1" customWidth="1"/>
    <col min="3" max="3" width="7.21875" style="108" customWidth="1"/>
    <col min="4" max="4" width="11.77734375" style="108" hidden="1" customWidth="1"/>
    <col min="5" max="5" width="10.77734375" style="108" customWidth="1"/>
    <col min="6" max="6" width="8.33203125" style="108" customWidth="1"/>
    <col min="7" max="7" width="6.77734375" style="108" customWidth="1"/>
    <col min="8" max="8" width="7.21875" style="108" customWidth="1"/>
    <col min="9" max="9" width="6.33203125" style="108" customWidth="1"/>
    <col min="10" max="10" width="6.44140625" style="108" customWidth="1"/>
    <col min="11" max="11" width="27.777343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77734375" style="108" customWidth="1"/>
    <col min="17" max="17" width="3.6640625" style="108" customWidth="1"/>
    <col min="18" max="18" width="7" style="108" customWidth="1"/>
    <col min="19" max="19" width="6.77734375" style="108" customWidth="1"/>
    <col min="20" max="20" width="11.77734375" style="108" hidden="1" customWidth="1"/>
    <col min="21" max="21" width="8.77734375" style="108" hidden="1" customWidth="1"/>
    <col min="22" max="22" width="9" style="108" customWidth="1"/>
    <col min="23" max="23" width="8.44140625" style="108" customWidth="1"/>
    <col min="24" max="24" width="9" style="108" customWidth="1"/>
    <col min="25" max="26" width="8.33203125" style="108" customWidth="1"/>
    <col min="27" max="27" width="5.109375" style="108" customWidth="1"/>
    <col min="28" max="28" width="11.109375" style="108" customWidth="1"/>
    <col min="29" max="16384" width="8.88671875" style="108"/>
  </cols>
  <sheetData>
    <row r="1" spans="1:28" ht="18" customHeight="1" x14ac:dyDescent="0.35">
      <c r="A1" s="220" t="s">
        <v>665</v>
      </c>
      <c r="B1" s="220" t="s">
        <v>27</v>
      </c>
      <c r="C1" s="220" t="s">
        <v>27</v>
      </c>
      <c r="D1" s="220" t="s">
        <v>27</v>
      </c>
      <c r="E1" s="220" t="s">
        <v>27</v>
      </c>
      <c r="F1" s="220" t="s">
        <v>27</v>
      </c>
      <c r="G1" s="220" t="s">
        <v>27</v>
      </c>
      <c r="H1" s="220" t="s">
        <v>27</v>
      </c>
      <c r="I1" s="220" t="s">
        <v>27</v>
      </c>
      <c r="J1" s="220" t="s">
        <v>27</v>
      </c>
      <c r="K1" s="220" t="s">
        <v>27</v>
      </c>
      <c r="L1" s="220" t="s">
        <v>27</v>
      </c>
      <c r="M1" s="220" t="s">
        <v>27</v>
      </c>
      <c r="N1" s="220" t="s">
        <v>27</v>
      </c>
      <c r="O1" s="220" t="s">
        <v>27</v>
      </c>
      <c r="P1" s="220" t="s">
        <v>27</v>
      </c>
      <c r="Q1" s="220" t="s">
        <v>27</v>
      </c>
      <c r="R1" s="220" t="s">
        <v>27</v>
      </c>
      <c r="S1" s="220" t="s">
        <v>27</v>
      </c>
      <c r="T1" s="220" t="s">
        <v>27</v>
      </c>
      <c r="U1" s="220" t="s">
        <v>27</v>
      </c>
      <c r="V1" s="220" t="s">
        <v>27</v>
      </c>
      <c r="W1" s="220" t="s">
        <v>27</v>
      </c>
      <c r="X1" s="220" t="s">
        <v>27</v>
      </c>
      <c r="Y1" s="220" t="s">
        <v>27</v>
      </c>
      <c r="Z1" s="220" t="s">
        <v>27</v>
      </c>
      <c r="AA1" s="220" t="s">
        <v>27</v>
      </c>
      <c r="AB1" s="220" t="s">
        <v>27</v>
      </c>
    </row>
    <row r="2" spans="1:28" s="167" customFormat="1" ht="42.6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84" customFormat="1" x14ac:dyDescent="0.3">
      <c r="A3" s="178">
        <v>1</v>
      </c>
      <c r="B3" s="179" t="s">
        <v>63</v>
      </c>
      <c r="C3" s="178" t="s">
        <v>26</v>
      </c>
      <c r="D3" s="178" t="s">
        <v>602</v>
      </c>
      <c r="E3" s="178" t="s">
        <v>27</v>
      </c>
      <c r="F3" s="178">
        <v>262566</v>
      </c>
      <c r="G3" s="178" t="s">
        <v>654</v>
      </c>
      <c r="H3" s="178">
        <v>450</v>
      </c>
      <c r="I3" s="180">
        <v>1.155</v>
      </c>
      <c r="J3" s="180">
        <v>2.13</v>
      </c>
      <c r="K3" s="178" t="s">
        <v>664</v>
      </c>
      <c r="L3" s="180">
        <v>1107.068</v>
      </c>
      <c r="M3" s="181">
        <v>958.5</v>
      </c>
      <c r="N3" s="182">
        <v>0.26619999999999999</v>
      </c>
      <c r="O3" s="183">
        <v>15.97</v>
      </c>
      <c r="P3" s="178">
        <v>656.5</v>
      </c>
      <c r="Q3" s="178">
        <v>1</v>
      </c>
      <c r="R3" s="178">
        <v>1200</v>
      </c>
      <c r="S3" s="180">
        <v>1.155</v>
      </c>
      <c r="T3" s="178">
        <v>45</v>
      </c>
      <c r="U3" s="182">
        <v>3.7499999999999999E-2</v>
      </c>
      <c r="V3" s="178" t="s">
        <v>28</v>
      </c>
      <c r="W3" s="178" t="s">
        <v>29</v>
      </c>
      <c r="X3" s="178" t="s">
        <v>28</v>
      </c>
      <c r="Y3" s="178" t="s">
        <v>28</v>
      </c>
      <c r="Z3" s="178" t="s">
        <v>28</v>
      </c>
      <c r="AA3" s="178" t="s">
        <v>30</v>
      </c>
      <c r="AB3" s="178" t="s">
        <v>663</v>
      </c>
    </row>
    <row r="4" spans="1:28" s="184" customFormat="1" x14ac:dyDescent="0.3">
      <c r="A4" s="178">
        <v>2</v>
      </c>
      <c r="B4" s="179" t="s">
        <v>63</v>
      </c>
      <c r="C4" s="178" t="s">
        <v>26</v>
      </c>
      <c r="D4" s="178" t="s">
        <v>602</v>
      </c>
      <c r="E4" s="178" t="s">
        <v>27</v>
      </c>
      <c r="F4" s="178">
        <v>262571</v>
      </c>
      <c r="G4" s="178" t="s">
        <v>654</v>
      </c>
      <c r="H4" s="178">
        <v>1100</v>
      </c>
      <c r="I4" s="180">
        <v>0.85299999999999998</v>
      </c>
      <c r="J4" s="180">
        <v>2.105</v>
      </c>
      <c r="K4" s="178" t="s">
        <v>245</v>
      </c>
      <c r="L4" s="180">
        <v>1975.1210000000001</v>
      </c>
      <c r="M4" s="181">
        <v>2315.5</v>
      </c>
      <c r="N4" s="182">
        <v>0.64319999999999999</v>
      </c>
      <c r="O4" s="183">
        <v>38.590000000000003</v>
      </c>
      <c r="P4" s="178">
        <v>1171.2</v>
      </c>
      <c r="Q4" s="178">
        <v>1</v>
      </c>
      <c r="R4" s="178">
        <v>900</v>
      </c>
      <c r="S4" s="180">
        <v>0.85299999999999998</v>
      </c>
      <c r="T4" s="178">
        <v>47</v>
      </c>
      <c r="U4" s="182">
        <v>5.2200000000000003E-2</v>
      </c>
      <c r="V4" s="178" t="s">
        <v>28</v>
      </c>
      <c r="W4" s="178" t="s">
        <v>29</v>
      </c>
      <c r="X4" s="178" t="s">
        <v>28</v>
      </c>
      <c r="Y4" s="178" t="s">
        <v>28</v>
      </c>
      <c r="Z4" s="178" t="s">
        <v>28</v>
      </c>
      <c r="AA4" s="178" t="s">
        <v>41</v>
      </c>
      <c r="AB4" s="178" t="s">
        <v>662</v>
      </c>
    </row>
    <row r="5" spans="1:28" s="184" customFormat="1" x14ac:dyDescent="0.3">
      <c r="A5" s="178">
        <v>3</v>
      </c>
      <c r="B5" s="179" t="s">
        <v>63</v>
      </c>
      <c r="C5" s="178" t="s">
        <v>65</v>
      </c>
      <c r="D5" s="178" t="s">
        <v>602</v>
      </c>
      <c r="E5" s="178" t="s">
        <v>27</v>
      </c>
      <c r="F5" s="178">
        <v>262573</v>
      </c>
      <c r="G5" s="178" t="s">
        <v>654</v>
      </c>
      <c r="H5" s="178">
        <v>750</v>
      </c>
      <c r="I5" s="180">
        <v>1.522</v>
      </c>
      <c r="J5" s="180">
        <v>0.80600000000000005</v>
      </c>
      <c r="K5" s="178" t="s">
        <v>34</v>
      </c>
      <c r="L5" s="180">
        <v>920.04899999999998</v>
      </c>
      <c r="M5" s="181">
        <v>604.5</v>
      </c>
      <c r="N5" s="182">
        <v>0.16789999999999999</v>
      </c>
      <c r="O5" s="183">
        <v>10.07</v>
      </c>
      <c r="P5" s="178">
        <v>317.39999999999998</v>
      </c>
      <c r="Q5" s="178">
        <v>1</v>
      </c>
      <c r="R5" s="178">
        <v>1550</v>
      </c>
      <c r="S5" s="180">
        <v>1.522</v>
      </c>
      <c r="T5" s="178">
        <v>28</v>
      </c>
      <c r="U5" s="182">
        <v>1.8100000000000002E-2</v>
      </c>
      <c r="V5" s="178" t="s">
        <v>28</v>
      </c>
      <c r="W5" s="178" t="s">
        <v>28</v>
      </c>
      <c r="X5" s="178" t="s">
        <v>28</v>
      </c>
      <c r="Y5" s="178" t="s">
        <v>27</v>
      </c>
      <c r="Z5" s="178" t="s">
        <v>27</v>
      </c>
      <c r="AA5" s="178" t="s">
        <v>30</v>
      </c>
      <c r="AB5" s="178" t="s">
        <v>661</v>
      </c>
    </row>
    <row r="6" spans="1:28" s="184" customFormat="1" x14ac:dyDescent="0.3">
      <c r="A6" s="178">
        <v>4</v>
      </c>
      <c r="B6" s="179" t="s">
        <v>63</v>
      </c>
      <c r="C6" s="178" t="s">
        <v>65</v>
      </c>
      <c r="D6" s="178" t="s">
        <v>602</v>
      </c>
      <c r="E6" s="178" t="s">
        <v>27</v>
      </c>
      <c r="F6" s="178">
        <v>262567</v>
      </c>
      <c r="G6" s="178" t="s">
        <v>654</v>
      </c>
      <c r="H6" s="178">
        <v>520</v>
      </c>
      <c r="I6" s="180">
        <v>1.2949999999999999</v>
      </c>
      <c r="J6" s="180">
        <v>1.21</v>
      </c>
      <c r="K6" s="178" t="s">
        <v>34</v>
      </c>
      <c r="L6" s="180">
        <v>814.81399999999996</v>
      </c>
      <c r="M6" s="181">
        <v>629.20000000000005</v>
      </c>
      <c r="N6" s="182">
        <v>0.17480000000000001</v>
      </c>
      <c r="O6" s="183">
        <v>10.49</v>
      </c>
      <c r="P6" s="178">
        <v>281.10000000000002</v>
      </c>
      <c r="Q6" s="178">
        <v>1</v>
      </c>
      <c r="R6" s="178">
        <v>1350</v>
      </c>
      <c r="S6" s="180">
        <v>1.2949999999999999</v>
      </c>
      <c r="T6" s="178">
        <v>55</v>
      </c>
      <c r="U6" s="182">
        <v>4.07E-2</v>
      </c>
      <c r="V6" s="178" t="s">
        <v>28</v>
      </c>
      <c r="W6" s="178" t="s">
        <v>28</v>
      </c>
      <c r="X6" s="178" t="s">
        <v>28</v>
      </c>
      <c r="Y6" s="178" t="s">
        <v>27</v>
      </c>
      <c r="Z6" s="178" t="s">
        <v>27</v>
      </c>
      <c r="AA6" s="178" t="s">
        <v>33</v>
      </c>
      <c r="AB6" s="178" t="s">
        <v>660</v>
      </c>
    </row>
    <row r="7" spans="1:28" s="184" customFormat="1" x14ac:dyDescent="0.3">
      <c r="A7" s="178">
        <v>5</v>
      </c>
      <c r="B7" s="179" t="s">
        <v>63</v>
      </c>
      <c r="C7" s="178" t="s">
        <v>65</v>
      </c>
      <c r="D7" s="178" t="s">
        <v>602</v>
      </c>
      <c r="E7" s="178" t="s">
        <v>27</v>
      </c>
      <c r="F7" s="178">
        <v>262572</v>
      </c>
      <c r="G7" s="178" t="s">
        <v>654</v>
      </c>
      <c r="H7" s="178">
        <v>900</v>
      </c>
      <c r="I7" s="180">
        <v>1.01</v>
      </c>
      <c r="J7" s="180">
        <v>1.006</v>
      </c>
      <c r="K7" s="178" t="s">
        <v>34</v>
      </c>
      <c r="L7" s="180">
        <v>914.45399999999995</v>
      </c>
      <c r="M7" s="181">
        <v>905.4</v>
      </c>
      <c r="N7" s="182">
        <v>0.2515</v>
      </c>
      <c r="O7" s="183">
        <v>15.09</v>
      </c>
      <c r="P7" s="178">
        <v>315.5</v>
      </c>
      <c r="Q7" s="178">
        <v>1</v>
      </c>
      <c r="R7" s="178">
        <v>1050</v>
      </c>
      <c r="S7" s="180">
        <v>1.01</v>
      </c>
      <c r="T7" s="178">
        <v>40</v>
      </c>
      <c r="U7" s="182">
        <v>3.8100000000000002E-2</v>
      </c>
      <c r="V7" s="178" t="s">
        <v>28</v>
      </c>
      <c r="W7" s="178" t="s">
        <v>28</v>
      </c>
      <c r="X7" s="178" t="s">
        <v>28</v>
      </c>
      <c r="Y7" s="178" t="s">
        <v>27</v>
      </c>
      <c r="Z7" s="178" t="s">
        <v>27</v>
      </c>
      <c r="AA7" s="178" t="s">
        <v>33</v>
      </c>
      <c r="AB7" s="178" t="s">
        <v>659</v>
      </c>
    </row>
    <row r="8" spans="1:28" s="184" customFormat="1" x14ac:dyDescent="0.3">
      <c r="A8" s="178">
        <v>6</v>
      </c>
      <c r="B8" s="179" t="s">
        <v>63</v>
      </c>
      <c r="C8" s="178" t="s">
        <v>65</v>
      </c>
      <c r="D8" s="178" t="s">
        <v>602</v>
      </c>
      <c r="E8" s="178" t="s">
        <v>27</v>
      </c>
      <c r="F8" s="178">
        <v>262574</v>
      </c>
      <c r="G8" s="178" t="s">
        <v>654</v>
      </c>
      <c r="H8" s="178">
        <v>1500</v>
      </c>
      <c r="I8" s="180">
        <v>0.98799999999999999</v>
      </c>
      <c r="J8" s="180">
        <v>0.72599999999999998</v>
      </c>
      <c r="K8" s="178" t="s">
        <v>34</v>
      </c>
      <c r="L8" s="180">
        <v>1075.932</v>
      </c>
      <c r="M8" s="181">
        <v>1089</v>
      </c>
      <c r="N8" s="182">
        <v>0.30249999999999999</v>
      </c>
      <c r="O8" s="183">
        <v>18.149999999999999</v>
      </c>
      <c r="P8" s="178">
        <v>371.2</v>
      </c>
      <c r="Q8" s="178">
        <v>1</v>
      </c>
      <c r="R8" s="178">
        <v>1050</v>
      </c>
      <c r="S8" s="180">
        <v>0.98799999999999999</v>
      </c>
      <c r="T8" s="178">
        <v>62</v>
      </c>
      <c r="U8" s="182">
        <v>5.8999999999999997E-2</v>
      </c>
      <c r="V8" s="178" t="s">
        <v>28</v>
      </c>
      <c r="W8" s="178" t="s">
        <v>28</v>
      </c>
      <c r="X8" s="178" t="s">
        <v>28</v>
      </c>
      <c r="Y8" s="178" t="s">
        <v>27</v>
      </c>
      <c r="Z8" s="178" t="s">
        <v>27</v>
      </c>
      <c r="AA8" s="178" t="s">
        <v>33</v>
      </c>
      <c r="AB8" s="178" t="s">
        <v>658</v>
      </c>
    </row>
    <row r="9" spans="1:28" s="184" customFormat="1" x14ac:dyDescent="0.3">
      <c r="A9" s="178">
        <v>7</v>
      </c>
      <c r="B9" s="179" t="s">
        <v>63</v>
      </c>
      <c r="C9" s="178" t="s">
        <v>36</v>
      </c>
      <c r="D9" s="178" t="s">
        <v>602</v>
      </c>
      <c r="E9" s="178" t="s">
        <v>27</v>
      </c>
      <c r="F9" s="178">
        <v>262568</v>
      </c>
      <c r="G9" s="178" t="s">
        <v>654</v>
      </c>
      <c r="H9" s="178">
        <v>1100</v>
      </c>
      <c r="I9" s="180">
        <v>1.4410000000000001</v>
      </c>
      <c r="J9" s="180">
        <v>1.85</v>
      </c>
      <c r="K9" s="178" t="s">
        <v>657</v>
      </c>
      <c r="L9" s="180">
        <v>2932.4349999999999</v>
      </c>
      <c r="M9" s="181">
        <v>2035</v>
      </c>
      <c r="N9" s="182">
        <v>0.56530000000000002</v>
      </c>
      <c r="O9" s="183">
        <v>33.92</v>
      </c>
      <c r="P9" s="178">
        <v>1011.7</v>
      </c>
      <c r="Q9" s="178">
        <v>1</v>
      </c>
      <c r="R9" s="178">
        <v>1500</v>
      </c>
      <c r="S9" s="180">
        <v>1.4410000000000001</v>
      </c>
      <c r="T9" s="178">
        <v>59</v>
      </c>
      <c r="U9" s="182">
        <v>3.9300000000000002E-2</v>
      </c>
      <c r="V9" s="178" t="s">
        <v>28</v>
      </c>
      <c r="W9" s="178" t="s">
        <v>28</v>
      </c>
      <c r="X9" s="178" t="s">
        <v>28</v>
      </c>
      <c r="Y9" s="178" t="s">
        <v>27</v>
      </c>
      <c r="Z9" s="178" t="s">
        <v>27</v>
      </c>
      <c r="AA9" s="178" t="s">
        <v>30</v>
      </c>
      <c r="AB9" s="178" t="s">
        <v>656</v>
      </c>
    </row>
    <row r="10" spans="1:28" s="184" customFormat="1" x14ac:dyDescent="0.3">
      <c r="A10" s="178">
        <v>8</v>
      </c>
      <c r="B10" s="179" t="s">
        <v>63</v>
      </c>
      <c r="C10" s="178" t="s">
        <v>36</v>
      </c>
      <c r="D10" s="178" t="s">
        <v>602</v>
      </c>
      <c r="E10" s="178" t="s">
        <v>27</v>
      </c>
      <c r="F10" s="178">
        <v>262570</v>
      </c>
      <c r="G10" s="178" t="s">
        <v>654</v>
      </c>
      <c r="H10" s="178">
        <v>11000</v>
      </c>
      <c r="I10" s="180">
        <v>0.44600000000000001</v>
      </c>
      <c r="J10" s="180">
        <v>1.2290000000000001</v>
      </c>
      <c r="K10" s="178" t="s">
        <v>427</v>
      </c>
      <c r="L10" s="180">
        <v>6029.4740000000002</v>
      </c>
      <c r="M10" s="181">
        <v>6759.5</v>
      </c>
      <c r="N10" s="182">
        <v>0.93879999999999997</v>
      </c>
      <c r="O10" s="183">
        <v>56.33</v>
      </c>
      <c r="P10" s="178">
        <v>2080.1999999999998</v>
      </c>
      <c r="Q10" s="178">
        <v>2</v>
      </c>
      <c r="R10" s="178">
        <v>950</v>
      </c>
      <c r="S10" s="180">
        <v>0.89200000000000002</v>
      </c>
      <c r="T10" s="178">
        <v>58</v>
      </c>
      <c r="U10" s="182">
        <v>6.1100000000000002E-2</v>
      </c>
      <c r="V10" s="178" t="s">
        <v>28</v>
      </c>
      <c r="W10" s="178" t="s">
        <v>28</v>
      </c>
      <c r="X10" s="178" t="s">
        <v>28</v>
      </c>
      <c r="Y10" s="178" t="s">
        <v>27</v>
      </c>
      <c r="Z10" s="178" t="s">
        <v>27</v>
      </c>
      <c r="AA10" s="178" t="s">
        <v>426</v>
      </c>
      <c r="AB10" s="178" t="s">
        <v>655</v>
      </c>
    </row>
    <row r="11" spans="1:28" s="184" customFormat="1" x14ac:dyDescent="0.3">
      <c r="A11" s="178">
        <v>9</v>
      </c>
      <c r="B11" s="179" t="s">
        <v>63</v>
      </c>
      <c r="C11" s="178" t="s">
        <v>36</v>
      </c>
      <c r="D11" s="178" t="s">
        <v>602</v>
      </c>
      <c r="E11" s="178" t="s">
        <v>27</v>
      </c>
      <c r="F11" s="178">
        <v>262569</v>
      </c>
      <c r="G11" s="178" t="s">
        <v>654</v>
      </c>
      <c r="H11" s="178">
        <v>1800</v>
      </c>
      <c r="I11" s="180">
        <v>0.91</v>
      </c>
      <c r="J11" s="180">
        <v>0.65900000000000003</v>
      </c>
      <c r="K11" s="178" t="s">
        <v>34</v>
      </c>
      <c r="L11" s="180">
        <v>1079.442</v>
      </c>
      <c r="M11" s="181">
        <v>1186.2</v>
      </c>
      <c r="N11" s="182">
        <v>0.32950000000000002</v>
      </c>
      <c r="O11" s="183">
        <v>19.77</v>
      </c>
      <c r="P11" s="178">
        <v>372.4</v>
      </c>
      <c r="Q11" s="178">
        <v>1</v>
      </c>
      <c r="R11" s="178">
        <v>950</v>
      </c>
      <c r="S11" s="180">
        <v>0.91</v>
      </c>
      <c r="T11" s="178">
        <v>40</v>
      </c>
      <c r="U11" s="182">
        <v>4.2099999999999999E-2</v>
      </c>
      <c r="V11" s="178" t="s">
        <v>28</v>
      </c>
      <c r="W11" s="178" t="s">
        <v>28</v>
      </c>
      <c r="X11" s="178" t="s">
        <v>28</v>
      </c>
      <c r="Y11" s="178" t="s">
        <v>27</v>
      </c>
      <c r="Z11" s="178" t="s">
        <v>27</v>
      </c>
      <c r="AA11" s="178" t="s">
        <v>33</v>
      </c>
      <c r="AB11" s="178" t="s">
        <v>653</v>
      </c>
    </row>
    <row r="12" spans="1:28" s="167" customFormat="1" x14ac:dyDescent="0.3">
      <c r="A12" s="168" t="s">
        <v>27</v>
      </c>
      <c r="B12" s="168" t="s">
        <v>27</v>
      </c>
      <c r="C12" s="168" t="s">
        <v>27</v>
      </c>
      <c r="D12" s="168" t="s">
        <v>27</v>
      </c>
      <c r="E12" s="168" t="s">
        <v>27</v>
      </c>
      <c r="F12" s="168" t="s">
        <v>27</v>
      </c>
      <c r="G12" s="168" t="s">
        <v>27</v>
      </c>
      <c r="H12" s="168">
        <v>19120</v>
      </c>
      <c r="I12" s="168" t="s">
        <v>27</v>
      </c>
      <c r="J12" s="168" t="s">
        <v>27</v>
      </c>
      <c r="K12" s="168" t="s">
        <v>27</v>
      </c>
      <c r="L12" s="168" t="s">
        <v>27</v>
      </c>
      <c r="M12" s="168" t="s">
        <v>27</v>
      </c>
      <c r="N12" s="168" t="s">
        <v>27</v>
      </c>
      <c r="O12" s="168" t="s">
        <v>27</v>
      </c>
      <c r="P12" s="168">
        <v>6577.2</v>
      </c>
      <c r="Q12" s="168" t="s">
        <v>27</v>
      </c>
      <c r="R12" s="168" t="s">
        <v>27</v>
      </c>
      <c r="S12" s="168" t="s">
        <v>27</v>
      </c>
      <c r="T12" s="168" t="s">
        <v>27</v>
      </c>
      <c r="U12" s="168" t="s">
        <v>27</v>
      </c>
      <c r="V12" s="168" t="s">
        <v>27</v>
      </c>
      <c r="W12" s="168" t="s">
        <v>27</v>
      </c>
      <c r="X12" s="168" t="s">
        <v>27</v>
      </c>
      <c r="Y12" s="168" t="s">
        <v>27</v>
      </c>
      <c r="Z12" s="168" t="s">
        <v>27</v>
      </c>
      <c r="AA12" s="168" t="s">
        <v>27</v>
      </c>
      <c r="AB12" s="168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13073B-7DC6-44F4-9A79-2376A05B9E79}">
  <sheetPr>
    <pageSetUpPr fitToPage="1"/>
  </sheetPr>
  <dimension ref="A1:AB29"/>
  <sheetViews>
    <sheetView workbookViewId="0">
      <selection activeCell="H29" sqref="H29"/>
    </sheetView>
  </sheetViews>
  <sheetFormatPr defaultRowHeight="14.4" x14ac:dyDescent="0.3"/>
  <cols>
    <col min="1" max="1" width="4.44140625" style="108" customWidth="1"/>
    <col min="2" max="2" width="20.77734375" style="108" hidden="1" customWidth="1"/>
    <col min="3" max="3" width="7.77734375" style="108" customWidth="1"/>
    <col min="4" max="4" width="11.77734375" style="108" hidden="1" customWidth="1"/>
    <col min="5" max="5" width="9.5546875" style="108" customWidth="1"/>
    <col min="6" max="6" width="7.109375" style="108" customWidth="1"/>
    <col min="7" max="7" width="5.21875" style="108" customWidth="1"/>
    <col min="8" max="8" width="5.88671875" style="108" customWidth="1"/>
    <col min="9" max="9" width="6.6640625" style="108" customWidth="1"/>
    <col min="10" max="10" width="6.5546875" style="108" customWidth="1"/>
    <col min="11" max="11" width="14.1093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21875" style="108" customWidth="1"/>
    <col min="17" max="17" width="3.77734375" style="108" customWidth="1"/>
    <col min="18" max="18" width="5.6640625" style="108" customWidth="1"/>
    <col min="19" max="19" width="6.88671875" style="108" customWidth="1"/>
    <col min="20" max="20" width="11.77734375" style="108" hidden="1" customWidth="1"/>
    <col min="21" max="21" width="8.77734375" style="108" hidden="1" customWidth="1"/>
    <col min="22" max="22" width="7.44140625" style="108" customWidth="1"/>
    <col min="23" max="23" width="7.88671875" style="108" customWidth="1"/>
    <col min="24" max="24" width="8.6640625" style="108" customWidth="1"/>
    <col min="25" max="26" width="7" style="108" customWidth="1"/>
    <col min="27" max="27" width="9.33203125" style="108" customWidth="1"/>
    <col min="28" max="28" width="19.88671875" style="108" customWidth="1"/>
    <col min="29" max="16384" width="8.88671875" style="108"/>
  </cols>
  <sheetData>
    <row r="1" spans="1:28" ht="18" customHeight="1" x14ac:dyDescent="0.35">
      <c r="A1" s="221" t="s">
        <v>652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57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56" customFormat="1" ht="25.05" customHeight="1" x14ac:dyDescent="0.3">
      <c r="A3" s="150">
        <v>1</v>
      </c>
      <c r="B3" s="216" t="s">
        <v>626</v>
      </c>
      <c r="C3" s="150" t="s">
        <v>45</v>
      </c>
      <c r="D3" s="150" t="s">
        <v>625</v>
      </c>
      <c r="E3" s="150" t="s">
        <v>27</v>
      </c>
      <c r="F3" s="150">
        <v>262546</v>
      </c>
      <c r="G3" s="150" t="s">
        <v>624</v>
      </c>
      <c r="H3" s="150">
        <v>300</v>
      </c>
      <c r="I3" s="152">
        <v>0.71</v>
      </c>
      <c r="J3" s="152">
        <v>1.26</v>
      </c>
      <c r="K3" s="150" t="s">
        <v>34</v>
      </c>
      <c r="L3" s="152">
        <v>268.38</v>
      </c>
      <c r="M3" s="153">
        <v>189</v>
      </c>
      <c r="N3" s="154">
        <v>2.6200000000000001E-2</v>
      </c>
      <c r="O3" s="155">
        <v>1.57</v>
      </c>
      <c r="P3" s="150">
        <v>162.6</v>
      </c>
      <c r="Q3" s="150">
        <v>2</v>
      </c>
      <c r="R3" s="150">
        <v>1450</v>
      </c>
      <c r="S3" s="152">
        <v>1.42</v>
      </c>
      <c r="T3" s="150">
        <v>30</v>
      </c>
      <c r="U3" s="154">
        <v>2.07E-2</v>
      </c>
      <c r="V3" s="150" t="s">
        <v>35</v>
      </c>
      <c r="W3" s="150" t="s">
        <v>40</v>
      </c>
      <c r="X3" s="150" t="s">
        <v>35</v>
      </c>
      <c r="Y3" s="150" t="s">
        <v>35</v>
      </c>
      <c r="Z3" s="150" t="s">
        <v>35</v>
      </c>
      <c r="AA3" s="150" t="s">
        <v>33</v>
      </c>
      <c r="AB3" s="150" t="s">
        <v>651</v>
      </c>
    </row>
    <row r="4" spans="1:28" s="156" customFormat="1" ht="25.05" customHeight="1" x14ac:dyDescent="0.3">
      <c r="A4" s="150">
        <v>2</v>
      </c>
      <c r="B4" s="151" t="s">
        <v>626</v>
      </c>
      <c r="C4" s="150" t="s">
        <v>45</v>
      </c>
      <c r="D4" s="150" t="s">
        <v>625</v>
      </c>
      <c r="E4" s="150" t="s">
        <v>27</v>
      </c>
      <c r="F4" s="150">
        <v>262547</v>
      </c>
      <c r="G4" s="150" t="s">
        <v>624</v>
      </c>
      <c r="H4" s="150">
        <v>300</v>
      </c>
      <c r="I4" s="152">
        <v>0.71</v>
      </c>
      <c r="J4" s="152">
        <v>1.46</v>
      </c>
      <c r="K4" s="150" t="s">
        <v>34</v>
      </c>
      <c r="L4" s="152">
        <v>310.98</v>
      </c>
      <c r="M4" s="153">
        <v>219</v>
      </c>
      <c r="N4" s="154">
        <v>3.04E-2</v>
      </c>
      <c r="O4" s="155">
        <v>1.82</v>
      </c>
      <c r="P4" s="150">
        <v>188.5</v>
      </c>
      <c r="Q4" s="150">
        <v>2</v>
      </c>
      <c r="R4" s="150">
        <v>1450</v>
      </c>
      <c r="S4" s="152">
        <v>1.42</v>
      </c>
      <c r="T4" s="150">
        <v>30</v>
      </c>
      <c r="U4" s="154">
        <v>2.07E-2</v>
      </c>
      <c r="V4" s="150" t="s">
        <v>35</v>
      </c>
      <c r="W4" s="150" t="s">
        <v>40</v>
      </c>
      <c r="X4" s="150" t="s">
        <v>35</v>
      </c>
      <c r="Y4" s="150" t="s">
        <v>35</v>
      </c>
      <c r="Z4" s="150" t="s">
        <v>35</v>
      </c>
      <c r="AA4" s="150" t="s">
        <v>33</v>
      </c>
      <c r="AB4" s="150" t="s">
        <v>650</v>
      </c>
    </row>
    <row r="5" spans="1:28" s="156" customFormat="1" ht="25.05" customHeight="1" x14ac:dyDescent="0.3">
      <c r="A5" s="150">
        <v>3</v>
      </c>
      <c r="B5" s="151" t="s">
        <v>626</v>
      </c>
      <c r="C5" s="150" t="s">
        <v>36</v>
      </c>
      <c r="D5" s="150" t="s">
        <v>625</v>
      </c>
      <c r="E5" s="150" t="s">
        <v>27</v>
      </c>
      <c r="F5" s="150">
        <v>262560</v>
      </c>
      <c r="G5" s="150" t="s">
        <v>624</v>
      </c>
      <c r="H5" s="150">
        <v>500</v>
      </c>
      <c r="I5" s="152">
        <v>0.49399999999999999</v>
      </c>
      <c r="J5" s="152">
        <v>1.56</v>
      </c>
      <c r="K5" s="150" t="s">
        <v>34</v>
      </c>
      <c r="L5" s="152">
        <v>385.32</v>
      </c>
      <c r="M5" s="153">
        <v>260</v>
      </c>
      <c r="N5" s="154">
        <v>2.41E-2</v>
      </c>
      <c r="O5" s="155">
        <v>1.44</v>
      </c>
      <c r="P5" s="150">
        <v>132.9</v>
      </c>
      <c r="Q5" s="150">
        <v>3</v>
      </c>
      <c r="R5" s="150">
        <v>1550</v>
      </c>
      <c r="S5" s="152">
        <v>1.482</v>
      </c>
      <c r="T5" s="150">
        <v>68</v>
      </c>
      <c r="U5" s="154">
        <v>4.3900000000000002E-2</v>
      </c>
      <c r="V5" s="150" t="s">
        <v>28</v>
      </c>
      <c r="W5" s="150" t="s">
        <v>28</v>
      </c>
      <c r="X5" s="150" t="s">
        <v>28</v>
      </c>
      <c r="Y5" s="150" t="s">
        <v>27</v>
      </c>
      <c r="Z5" s="150" t="s">
        <v>27</v>
      </c>
      <c r="AA5" s="150" t="s">
        <v>39</v>
      </c>
      <c r="AB5" s="150" t="s">
        <v>649</v>
      </c>
    </row>
    <row r="6" spans="1:28" s="156" customFormat="1" ht="25.05" customHeight="1" x14ac:dyDescent="0.3">
      <c r="A6" s="150">
        <v>4</v>
      </c>
      <c r="B6" s="151" t="s">
        <v>626</v>
      </c>
      <c r="C6" s="150" t="s">
        <v>36</v>
      </c>
      <c r="D6" s="150" t="s">
        <v>625</v>
      </c>
      <c r="E6" s="150" t="s">
        <v>27</v>
      </c>
      <c r="F6" s="150">
        <v>262542</v>
      </c>
      <c r="G6" s="150" t="s">
        <v>624</v>
      </c>
      <c r="H6" s="150">
        <v>1000</v>
      </c>
      <c r="I6" s="152">
        <v>0.70899999999999996</v>
      </c>
      <c r="J6" s="152">
        <v>1.28</v>
      </c>
      <c r="K6" s="150" t="s">
        <v>647</v>
      </c>
      <c r="L6" s="152">
        <v>907.52</v>
      </c>
      <c r="M6" s="153">
        <v>640</v>
      </c>
      <c r="N6" s="154">
        <v>8.8900000000000007E-2</v>
      </c>
      <c r="O6" s="155">
        <v>5.33</v>
      </c>
      <c r="P6" s="150">
        <v>313.10000000000002</v>
      </c>
      <c r="Q6" s="150">
        <v>2</v>
      </c>
      <c r="R6" s="150">
        <v>1450</v>
      </c>
      <c r="S6" s="152">
        <v>1.4179999999999999</v>
      </c>
      <c r="T6" s="150">
        <v>32</v>
      </c>
      <c r="U6" s="154">
        <v>2.2100000000000002E-2</v>
      </c>
      <c r="V6" s="150" t="s">
        <v>28</v>
      </c>
      <c r="W6" s="150" t="s">
        <v>28</v>
      </c>
      <c r="X6" s="150" t="s">
        <v>28</v>
      </c>
      <c r="Y6" s="150" t="s">
        <v>27</v>
      </c>
      <c r="Z6" s="150" t="s">
        <v>27</v>
      </c>
      <c r="AA6" s="150" t="s">
        <v>30</v>
      </c>
      <c r="AB6" s="150" t="s">
        <v>648</v>
      </c>
    </row>
    <row r="7" spans="1:28" s="156" customFormat="1" ht="25.05" customHeight="1" x14ac:dyDescent="0.3">
      <c r="A7" s="150">
        <v>5</v>
      </c>
      <c r="B7" s="151" t="s">
        <v>626</v>
      </c>
      <c r="C7" s="150" t="s">
        <v>36</v>
      </c>
      <c r="D7" s="150" t="s">
        <v>625</v>
      </c>
      <c r="E7" s="150" t="s">
        <v>27</v>
      </c>
      <c r="F7" s="150">
        <v>262543</v>
      </c>
      <c r="G7" s="150" t="s">
        <v>624</v>
      </c>
      <c r="H7" s="150">
        <v>1000</v>
      </c>
      <c r="I7" s="152">
        <v>0.70899999999999996</v>
      </c>
      <c r="J7" s="152">
        <v>1.9</v>
      </c>
      <c r="K7" s="150" t="s">
        <v>647</v>
      </c>
      <c r="L7" s="152">
        <v>1347.1</v>
      </c>
      <c r="M7" s="153">
        <v>950</v>
      </c>
      <c r="N7" s="154">
        <v>0.13189999999999999</v>
      </c>
      <c r="O7" s="155">
        <v>7.92</v>
      </c>
      <c r="P7" s="150">
        <v>464.7</v>
      </c>
      <c r="Q7" s="150">
        <v>2</v>
      </c>
      <c r="R7" s="150">
        <v>1450</v>
      </c>
      <c r="S7" s="152">
        <v>1.4179999999999999</v>
      </c>
      <c r="T7" s="150">
        <v>32</v>
      </c>
      <c r="U7" s="154">
        <v>2.2100000000000002E-2</v>
      </c>
      <c r="V7" s="150" t="s">
        <v>28</v>
      </c>
      <c r="W7" s="150" t="s">
        <v>28</v>
      </c>
      <c r="X7" s="150" t="s">
        <v>28</v>
      </c>
      <c r="Y7" s="150" t="s">
        <v>27</v>
      </c>
      <c r="Z7" s="150" t="s">
        <v>27</v>
      </c>
      <c r="AA7" s="150" t="s">
        <v>30</v>
      </c>
      <c r="AB7" s="150" t="s">
        <v>646</v>
      </c>
    </row>
    <row r="8" spans="1:28" s="156" customFormat="1" ht="25.05" customHeight="1" x14ac:dyDescent="0.3">
      <c r="A8" s="150">
        <v>6</v>
      </c>
      <c r="B8" s="151" t="s">
        <v>626</v>
      </c>
      <c r="C8" s="150" t="s">
        <v>36</v>
      </c>
      <c r="D8" s="150" t="s">
        <v>625</v>
      </c>
      <c r="E8" s="150" t="s">
        <v>27</v>
      </c>
      <c r="F8" s="150">
        <v>262550</v>
      </c>
      <c r="G8" s="150" t="s">
        <v>624</v>
      </c>
      <c r="H8" s="150">
        <v>1000</v>
      </c>
      <c r="I8" s="152">
        <v>0.71</v>
      </c>
      <c r="J8" s="152">
        <v>1.36</v>
      </c>
      <c r="K8" s="150" t="s">
        <v>34</v>
      </c>
      <c r="L8" s="152">
        <v>965.6</v>
      </c>
      <c r="M8" s="153">
        <v>680</v>
      </c>
      <c r="N8" s="154">
        <v>9.4399999999999998E-2</v>
      </c>
      <c r="O8" s="155">
        <v>5.67</v>
      </c>
      <c r="P8" s="150">
        <v>333.1</v>
      </c>
      <c r="Q8" s="150">
        <v>2</v>
      </c>
      <c r="R8" s="150">
        <v>1450</v>
      </c>
      <c r="S8" s="152">
        <v>1.42</v>
      </c>
      <c r="T8" s="150">
        <v>30</v>
      </c>
      <c r="U8" s="154">
        <v>2.07E-2</v>
      </c>
      <c r="V8" s="150" t="s">
        <v>28</v>
      </c>
      <c r="W8" s="150" t="s">
        <v>28</v>
      </c>
      <c r="X8" s="150" t="s">
        <v>28</v>
      </c>
      <c r="Y8" s="150" t="s">
        <v>27</v>
      </c>
      <c r="Z8" s="150" t="s">
        <v>27</v>
      </c>
      <c r="AA8" s="150" t="s">
        <v>30</v>
      </c>
      <c r="AB8" s="150" t="s">
        <v>645</v>
      </c>
    </row>
    <row r="9" spans="1:28" s="156" customFormat="1" ht="25.05" customHeight="1" x14ac:dyDescent="0.3">
      <c r="A9" s="150">
        <v>7</v>
      </c>
      <c r="B9" s="151" t="s">
        <v>626</v>
      </c>
      <c r="C9" s="150" t="s">
        <v>36</v>
      </c>
      <c r="D9" s="150" t="s">
        <v>625</v>
      </c>
      <c r="E9" s="150" t="s">
        <v>27</v>
      </c>
      <c r="F9" s="150">
        <v>262555</v>
      </c>
      <c r="G9" s="150" t="s">
        <v>624</v>
      </c>
      <c r="H9" s="150">
        <v>2000</v>
      </c>
      <c r="I9" s="152">
        <v>0.45</v>
      </c>
      <c r="J9" s="152">
        <v>0.75</v>
      </c>
      <c r="K9" s="150" t="s">
        <v>34</v>
      </c>
      <c r="L9" s="152">
        <v>675</v>
      </c>
      <c r="M9" s="153">
        <v>500</v>
      </c>
      <c r="N9" s="154">
        <v>4.6300000000000001E-2</v>
      </c>
      <c r="O9" s="155">
        <v>2.78</v>
      </c>
      <c r="P9" s="150">
        <v>232.9</v>
      </c>
      <c r="Q9" s="150">
        <v>3</v>
      </c>
      <c r="R9" s="150">
        <v>1400</v>
      </c>
      <c r="S9" s="152">
        <v>1.35</v>
      </c>
      <c r="T9" s="150">
        <v>50</v>
      </c>
      <c r="U9" s="154">
        <v>3.5700000000000003E-2</v>
      </c>
      <c r="V9" s="150" t="s">
        <v>28</v>
      </c>
      <c r="W9" s="150" t="s">
        <v>28</v>
      </c>
      <c r="X9" s="150" t="s">
        <v>28</v>
      </c>
      <c r="Y9" s="150" t="s">
        <v>27</v>
      </c>
      <c r="Z9" s="150" t="s">
        <v>27</v>
      </c>
      <c r="AA9" s="150" t="s">
        <v>33</v>
      </c>
      <c r="AB9" s="150" t="s">
        <v>644</v>
      </c>
    </row>
    <row r="10" spans="1:28" s="156" customFormat="1" ht="25.05" customHeight="1" x14ac:dyDescent="0.3">
      <c r="A10" s="150">
        <v>8</v>
      </c>
      <c r="B10" s="151" t="s">
        <v>626</v>
      </c>
      <c r="C10" s="150" t="s">
        <v>36</v>
      </c>
      <c r="D10" s="150" t="s">
        <v>625</v>
      </c>
      <c r="E10" s="150" t="s">
        <v>27</v>
      </c>
      <c r="F10" s="150">
        <v>262556</v>
      </c>
      <c r="G10" s="150" t="s">
        <v>624</v>
      </c>
      <c r="H10" s="150">
        <v>1500</v>
      </c>
      <c r="I10" s="152">
        <v>0.45</v>
      </c>
      <c r="J10" s="152">
        <v>0.65</v>
      </c>
      <c r="K10" s="150" t="s">
        <v>34</v>
      </c>
      <c r="L10" s="152">
        <v>438.75</v>
      </c>
      <c r="M10" s="153">
        <v>325</v>
      </c>
      <c r="N10" s="154">
        <v>3.0099999999999998E-2</v>
      </c>
      <c r="O10" s="155">
        <v>1.81</v>
      </c>
      <c r="P10" s="150">
        <v>151.4</v>
      </c>
      <c r="Q10" s="150">
        <v>3</v>
      </c>
      <c r="R10" s="150">
        <v>1400</v>
      </c>
      <c r="S10" s="152">
        <v>1.35</v>
      </c>
      <c r="T10" s="150">
        <v>50</v>
      </c>
      <c r="U10" s="154">
        <v>3.5700000000000003E-2</v>
      </c>
      <c r="V10" s="150" t="s">
        <v>28</v>
      </c>
      <c r="W10" s="150" t="s">
        <v>28</v>
      </c>
      <c r="X10" s="150" t="s">
        <v>28</v>
      </c>
      <c r="Y10" s="150" t="s">
        <v>27</v>
      </c>
      <c r="Z10" s="150" t="s">
        <v>27</v>
      </c>
      <c r="AA10" s="150" t="s">
        <v>39</v>
      </c>
      <c r="AB10" s="150" t="s">
        <v>643</v>
      </c>
    </row>
    <row r="11" spans="1:28" s="156" customFormat="1" ht="25.05" customHeight="1" x14ac:dyDescent="0.3">
      <c r="A11" s="150">
        <v>9</v>
      </c>
      <c r="B11" s="151" t="s">
        <v>626</v>
      </c>
      <c r="C11" s="150" t="s">
        <v>60</v>
      </c>
      <c r="D11" s="150" t="s">
        <v>625</v>
      </c>
      <c r="E11" s="150" t="s">
        <v>27</v>
      </c>
      <c r="F11" s="150">
        <v>262565</v>
      </c>
      <c r="G11" s="150" t="s">
        <v>624</v>
      </c>
      <c r="H11" s="150">
        <v>500</v>
      </c>
      <c r="I11" s="152">
        <v>0.46</v>
      </c>
      <c r="J11" s="152">
        <v>0.9</v>
      </c>
      <c r="K11" s="150" t="s">
        <v>34</v>
      </c>
      <c r="L11" s="152">
        <v>207</v>
      </c>
      <c r="M11" s="153">
        <v>150</v>
      </c>
      <c r="N11" s="154">
        <v>1.3899999999999999E-2</v>
      </c>
      <c r="O11" s="155">
        <v>0.83</v>
      </c>
      <c r="P11" s="150">
        <v>78.2</v>
      </c>
      <c r="Q11" s="150">
        <v>3</v>
      </c>
      <c r="R11" s="150">
        <v>1400</v>
      </c>
      <c r="S11" s="152">
        <v>1.38</v>
      </c>
      <c r="T11" s="150">
        <v>20</v>
      </c>
      <c r="U11" s="154">
        <v>1.43E-2</v>
      </c>
      <c r="V11" s="150" t="s">
        <v>38</v>
      </c>
      <c r="W11" s="150" t="s">
        <v>29</v>
      </c>
      <c r="X11" s="150" t="s">
        <v>35</v>
      </c>
      <c r="Y11" s="150" t="s">
        <v>27</v>
      </c>
      <c r="Z11" s="150" t="s">
        <v>27</v>
      </c>
      <c r="AA11" s="150" t="s">
        <v>39</v>
      </c>
      <c r="AB11" s="150" t="s">
        <v>280</v>
      </c>
    </row>
    <row r="12" spans="1:28" s="156" customFormat="1" ht="25.05" customHeight="1" x14ac:dyDescent="0.3">
      <c r="A12" s="150">
        <v>10</v>
      </c>
      <c r="B12" s="151" t="s">
        <v>626</v>
      </c>
      <c r="C12" s="150" t="s">
        <v>36</v>
      </c>
      <c r="D12" s="150" t="s">
        <v>625</v>
      </c>
      <c r="E12" s="150" t="s">
        <v>27</v>
      </c>
      <c r="F12" s="150">
        <v>262563</v>
      </c>
      <c r="G12" s="150" t="s">
        <v>624</v>
      </c>
      <c r="H12" s="150">
        <v>500</v>
      </c>
      <c r="I12" s="152">
        <v>0.66</v>
      </c>
      <c r="J12" s="152">
        <v>1.2</v>
      </c>
      <c r="K12" s="150" t="s">
        <v>34</v>
      </c>
      <c r="L12" s="152">
        <v>396</v>
      </c>
      <c r="M12" s="153">
        <v>300</v>
      </c>
      <c r="N12" s="154">
        <v>4.1700000000000001E-2</v>
      </c>
      <c r="O12" s="155">
        <v>2.5</v>
      </c>
      <c r="P12" s="150">
        <v>136.6</v>
      </c>
      <c r="Q12" s="150">
        <v>2</v>
      </c>
      <c r="R12" s="150">
        <v>1350</v>
      </c>
      <c r="S12" s="152">
        <v>1.32</v>
      </c>
      <c r="T12" s="150">
        <v>30</v>
      </c>
      <c r="U12" s="154">
        <v>2.2200000000000001E-2</v>
      </c>
      <c r="V12" s="150" t="s">
        <v>28</v>
      </c>
      <c r="W12" s="150" t="s">
        <v>28</v>
      </c>
      <c r="X12" s="150" t="s">
        <v>28</v>
      </c>
      <c r="Y12" s="150" t="s">
        <v>27</v>
      </c>
      <c r="Z12" s="150" t="s">
        <v>27</v>
      </c>
      <c r="AA12" s="150" t="s">
        <v>33</v>
      </c>
      <c r="AB12" s="150" t="s">
        <v>642</v>
      </c>
    </row>
    <row r="13" spans="1:28" s="156" customFormat="1" ht="25.05" customHeight="1" x14ac:dyDescent="0.3">
      <c r="A13" s="150">
        <v>11</v>
      </c>
      <c r="B13" s="151" t="s">
        <v>626</v>
      </c>
      <c r="C13" s="150" t="s">
        <v>36</v>
      </c>
      <c r="D13" s="150" t="s">
        <v>625</v>
      </c>
      <c r="E13" s="150" t="s">
        <v>27</v>
      </c>
      <c r="F13" s="150">
        <v>262564</v>
      </c>
      <c r="G13" s="150" t="s">
        <v>624</v>
      </c>
      <c r="H13" s="150">
        <v>1000</v>
      </c>
      <c r="I13" s="152">
        <v>0.432</v>
      </c>
      <c r="J13" s="152">
        <v>1.44</v>
      </c>
      <c r="K13" s="150" t="s">
        <v>34</v>
      </c>
      <c r="L13" s="152">
        <v>311.04000000000002</v>
      </c>
      <c r="M13" s="153">
        <v>240</v>
      </c>
      <c r="N13" s="154">
        <v>2.2200000000000001E-2</v>
      </c>
      <c r="O13" s="155">
        <v>1.33</v>
      </c>
      <c r="P13" s="150">
        <v>107.3</v>
      </c>
      <c r="Q13" s="150">
        <v>3</v>
      </c>
      <c r="R13" s="150">
        <v>1350</v>
      </c>
      <c r="S13" s="152">
        <v>1.296</v>
      </c>
      <c r="T13" s="150">
        <v>54</v>
      </c>
      <c r="U13" s="154">
        <v>0.04</v>
      </c>
      <c r="V13" s="150" t="s">
        <v>28</v>
      </c>
      <c r="W13" s="150" t="s">
        <v>28</v>
      </c>
      <c r="X13" s="150" t="s">
        <v>28</v>
      </c>
      <c r="Y13" s="150" t="s">
        <v>27</v>
      </c>
      <c r="Z13" s="150" t="s">
        <v>27</v>
      </c>
      <c r="AA13" s="150" t="s">
        <v>39</v>
      </c>
      <c r="AB13" s="150" t="s">
        <v>641</v>
      </c>
    </row>
    <row r="14" spans="1:28" s="156" customFormat="1" ht="25.05" customHeight="1" x14ac:dyDescent="0.3">
      <c r="A14" s="150">
        <v>12</v>
      </c>
      <c r="B14" s="151" t="s">
        <v>626</v>
      </c>
      <c r="C14" s="150" t="s">
        <v>36</v>
      </c>
      <c r="D14" s="150" t="s">
        <v>625</v>
      </c>
      <c r="E14" s="150" t="s">
        <v>27</v>
      </c>
      <c r="F14" s="150">
        <v>262544</v>
      </c>
      <c r="G14" s="150" t="s">
        <v>624</v>
      </c>
      <c r="H14" s="150">
        <v>500</v>
      </c>
      <c r="I14" s="152">
        <v>0.6</v>
      </c>
      <c r="J14" s="152">
        <v>1.1399999999999999</v>
      </c>
      <c r="K14" s="150" t="s">
        <v>640</v>
      </c>
      <c r="L14" s="152">
        <v>342</v>
      </c>
      <c r="M14" s="153">
        <v>285</v>
      </c>
      <c r="N14" s="154">
        <v>3.9600000000000003E-2</v>
      </c>
      <c r="O14" s="155">
        <v>2.38</v>
      </c>
      <c r="P14" s="150">
        <v>118</v>
      </c>
      <c r="Q14" s="150">
        <v>2</v>
      </c>
      <c r="R14" s="150">
        <v>1250</v>
      </c>
      <c r="S14" s="152">
        <v>1.2</v>
      </c>
      <c r="T14" s="150">
        <v>50</v>
      </c>
      <c r="U14" s="154">
        <v>0.04</v>
      </c>
      <c r="V14" s="150" t="s">
        <v>28</v>
      </c>
      <c r="W14" s="150" t="s">
        <v>28</v>
      </c>
      <c r="X14" s="150" t="s">
        <v>28</v>
      </c>
      <c r="Y14" s="150" t="s">
        <v>27</v>
      </c>
      <c r="Z14" s="150" t="s">
        <v>27</v>
      </c>
      <c r="AA14" s="150" t="s">
        <v>39</v>
      </c>
      <c r="AB14" s="150" t="s">
        <v>483</v>
      </c>
    </row>
    <row r="15" spans="1:28" s="156" customFormat="1" ht="25.05" customHeight="1" x14ac:dyDescent="0.3">
      <c r="A15" s="150">
        <v>13</v>
      </c>
      <c r="B15" s="151" t="s">
        <v>626</v>
      </c>
      <c r="C15" s="150" t="s">
        <v>36</v>
      </c>
      <c r="D15" s="150" t="s">
        <v>625</v>
      </c>
      <c r="E15" s="150" t="s">
        <v>27</v>
      </c>
      <c r="F15" s="150">
        <v>262561</v>
      </c>
      <c r="G15" s="150" t="s">
        <v>624</v>
      </c>
      <c r="H15" s="150">
        <v>500</v>
      </c>
      <c r="I15" s="152">
        <v>0.61499999999999999</v>
      </c>
      <c r="J15" s="152">
        <v>0.9</v>
      </c>
      <c r="K15" s="150" t="s">
        <v>34</v>
      </c>
      <c r="L15" s="152">
        <v>276.75</v>
      </c>
      <c r="M15" s="153">
        <v>225</v>
      </c>
      <c r="N15" s="154">
        <v>3.1300000000000001E-2</v>
      </c>
      <c r="O15" s="155">
        <v>1.88</v>
      </c>
      <c r="P15" s="150">
        <v>95.5</v>
      </c>
      <c r="Q15" s="150">
        <v>2</v>
      </c>
      <c r="R15" s="150">
        <v>1250</v>
      </c>
      <c r="S15" s="152">
        <v>1.23</v>
      </c>
      <c r="T15" s="150">
        <v>20</v>
      </c>
      <c r="U15" s="154">
        <v>1.6E-2</v>
      </c>
      <c r="V15" s="150" t="s">
        <v>28</v>
      </c>
      <c r="W15" s="150" t="s">
        <v>28</v>
      </c>
      <c r="X15" s="150" t="s">
        <v>28</v>
      </c>
      <c r="Y15" s="150" t="s">
        <v>27</v>
      </c>
      <c r="Z15" s="150" t="s">
        <v>27</v>
      </c>
      <c r="AA15" s="150" t="s">
        <v>39</v>
      </c>
      <c r="AB15" s="150" t="s">
        <v>639</v>
      </c>
    </row>
    <row r="16" spans="1:28" s="156" customFormat="1" ht="25.05" customHeight="1" x14ac:dyDescent="0.3">
      <c r="A16" s="150">
        <v>14</v>
      </c>
      <c r="B16" s="151" t="s">
        <v>626</v>
      </c>
      <c r="C16" s="150" t="s">
        <v>36</v>
      </c>
      <c r="D16" s="150" t="s">
        <v>625</v>
      </c>
      <c r="E16" s="150" t="s">
        <v>27</v>
      </c>
      <c r="F16" s="150">
        <v>262559</v>
      </c>
      <c r="G16" s="150" t="s">
        <v>624</v>
      </c>
      <c r="H16" s="150">
        <v>700</v>
      </c>
      <c r="I16" s="152">
        <v>0.57999999999999996</v>
      </c>
      <c r="J16" s="152">
        <v>0.54</v>
      </c>
      <c r="K16" s="150" t="s">
        <v>638</v>
      </c>
      <c r="L16" s="152">
        <v>219.24</v>
      </c>
      <c r="M16" s="153">
        <v>189</v>
      </c>
      <c r="N16" s="154">
        <v>2.6200000000000001E-2</v>
      </c>
      <c r="O16" s="155">
        <v>1.57</v>
      </c>
      <c r="P16" s="150">
        <v>75.599999999999994</v>
      </c>
      <c r="Q16" s="150">
        <v>2</v>
      </c>
      <c r="R16" s="150">
        <v>1200</v>
      </c>
      <c r="S16" s="152">
        <v>1.1599999999999999</v>
      </c>
      <c r="T16" s="150">
        <v>40</v>
      </c>
      <c r="U16" s="154">
        <v>3.3300000000000003E-2</v>
      </c>
      <c r="V16" s="150" t="s">
        <v>28</v>
      </c>
      <c r="W16" s="150" t="s">
        <v>28</v>
      </c>
      <c r="X16" s="150" t="s">
        <v>28</v>
      </c>
      <c r="Y16" s="150" t="s">
        <v>27</v>
      </c>
      <c r="Z16" s="150" t="s">
        <v>27</v>
      </c>
      <c r="AA16" s="150" t="s">
        <v>39</v>
      </c>
      <c r="AB16" s="150" t="s">
        <v>637</v>
      </c>
    </row>
    <row r="17" spans="1:28" s="156" customFormat="1" ht="25.05" customHeight="1" x14ac:dyDescent="0.3">
      <c r="A17" s="150">
        <v>15</v>
      </c>
      <c r="B17" s="151" t="s">
        <v>626</v>
      </c>
      <c r="C17" s="150" t="s">
        <v>36</v>
      </c>
      <c r="D17" s="150" t="s">
        <v>625</v>
      </c>
      <c r="E17" s="150" t="s">
        <v>27</v>
      </c>
      <c r="F17" s="150">
        <v>262558</v>
      </c>
      <c r="G17" s="150" t="s">
        <v>624</v>
      </c>
      <c r="H17" s="150">
        <v>1000</v>
      </c>
      <c r="I17" s="152">
        <v>0.59</v>
      </c>
      <c r="J17" s="152">
        <v>0.5</v>
      </c>
      <c r="K17" s="150" t="s">
        <v>636</v>
      </c>
      <c r="L17" s="152">
        <v>295</v>
      </c>
      <c r="M17" s="153">
        <v>250</v>
      </c>
      <c r="N17" s="154">
        <v>3.4700000000000002E-2</v>
      </c>
      <c r="O17" s="155">
        <v>2.08</v>
      </c>
      <c r="P17" s="150">
        <v>101.8</v>
      </c>
      <c r="Q17" s="150">
        <v>2</v>
      </c>
      <c r="R17" s="150">
        <v>1200</v>
      </c>
      <c r="S17" s="152">
        <v>1.18</v>
      </c>
      <c r="T17" s="150">
        <v>20</v>
      </c>
      <c r="U17" s="154">
        <v>1.67E-2</v>
      </c>
      <c r="V17" s="150" t="s">
        <v>28</v>
      </c>
      <c r="W17" s="150" t="s">
        <v>28</v>
      </c>
      <c r="X17" s="150" t="s">
        <v>28</v>
      </c>
      <c r="Y17" s="150" t="s">
        <v>27</v>
      </c>
      <c r="Z17" s="150" t="s">
        <v>27</v>
      </c>
      <c r="AA17" s="150" t="s">
        <v>39</v>
      </c>
      <c r="AB17" s="150" t="s">
        <v>635</v>
      </c>
    </row>
    <row r="18" spans="1:28" s="156" customFormat="1" ht="25.05" customHeight="1" x14ac:dyDescent="0.3">
      <c r="A18" s="150">
        <v>16</v>
      </c>
      <c r="B18" s="151" t="s">
        <v>626</v>
      </c>
      <c r="C18" s="150" t="s">
        <v>43</v>
      </c>
      <c r="D18" s="150" t="s">
        <v>625</v>
      </c>
      <c r="E18" s="150" t="s">
        <v>27</v>
      </c>
      <c r="F18" s="150">
        <v>262548</v>
      </c>
      <c r="G18" s="150" t="s">
        <v>624</v>
      </c>
      <c r="H18" s="150">
        <v>1000</v>
      </c>
      <c r="I18" s="152">
        <v>0.55400000000000005</v>
      </c>
      <c r="J18" s="152">
        <v>2.2040000000000002</v>
      </c>
      <c r="K18" s="150" t="s">
        <v>34</v>
      </c>
      <c r="L18" s="152">
        <v>1221.0160000000001</v>
      </c>
      <c r="M18" s="153">
        <v>1102</v>
      </c>
      <c r="N18" s="154">
        <v>0.15310000000000001</v>
      </c>
      <c r="O18" s="155">
        <v>9.18</v>
      </c>
      <c r="P18" s="150">
        <v>449.3</v>
      </c>
      <c r="Q18" s="150">
        <v>2</v>
      </c>
      <c r="R18" s="150">
        <v>1150</v>
      </c>
      <c r="S18" s="152">
        <v>1.1080000000000001</v>
      </c>
      <c r="T18" s="150">
        <v>42</v>
      </c>
      <c r="U18" s="154">
        <v>3.6499999999999998E-2</v>
      </c>
      <c r="V18" s="150" t="s">
        <v>29</v>
      </c>
      <c r="W18" s="150" t="s">
        <v>29</v>
      </c>
      <c r="X18" s="150" t="s">
        <v>28</v>
      </c>
      <c r="Y18" s="150" t="s">
        <v>27</v>
      </c>
      <c r="Z18" s="150" t="s">
        <v>27</v>
      </c>
      <c r="AA18" s="150" t="s">
        <v>30</v>
      </c>
      <c r="AB18" s="150" t="s">
        <v>68</v>
      </c>
    </row>
    <row r="19" spans="1:28" s="156" customFormat="1" ht="25.05" customHeight="1" x14ac:dyDescent="0.3">
      <c r="A19" s="150">
        <v>17</v>
      </c>
      <c r="B19" s="151" t="s">
        <v>626</v>
      </c>
      <c r="C19" s="150" t="s">
        <v>43</v>
      </c>
      <c r="D19" s="150" t="s">
        <v>625</v>
      </c>
      <c r="E19" s="150" t="s">
        <v>27</v>
      </c>
      <c r="F19" s="150">
        <v>262549</v>
      </c>
      <c r="G19" s="150" t="s">
        <v>624</v>
      </c>
      <c r="H19" s="150">
        <v>1500</v>
      </c>
      <c r="I19" s="152">
        <v>0.56399999999999995</v>
      </c>
      <c r="J19" s="152">
        <v>2.16</v>
      </c>
      <c r="K19" s="150" t="s">
        <v>34</v>
      </c>
      <c r="L19" s="152">
        <v>1827.36</v>
      </c>
      <c r="M19" s="153">
        <v>1620</v>
      </c>
      <c r="N19" s="154">
        <v>0.22500000000000001</v>
      </c>
      <c r="O19" s="155">
        <v>13.5</v>
      </c>
      <c r="P19" s="150">
        <v>672.5</v>
      </c>
      <c r="Q19" s="150">
        <v>2</v>
      </c>
      <c r="R19" s="150">
        <v>1150</v>
      </c>
      <c r="S19" s="152">
        <v>1.1279999999999999</v>
      </c>
      <c r="T19" s="150">
        <v>22</v>
      </c>
      <c r="U19" s="154">
        <v>1.9099999999999999E-2</v>
      </c>
      <c r="V19" s="150" t="s">
        <v>29</v>
      </c>
      <c r="W19" s="150" t="s">
        <v>29</v>
      </c>
      <c r="X19" s="150" t="s">
        <v>28</v>
      </c>
      <c r="Y19" s="150" t="s">
        <v>27</v>
      </c>
      <c r="Z19" s="150" t="s">
        <v>27</v>
      </c>
      <c r="AA19" s="150" t="s">
        <v>33</v>
      </c>
      <c r="AB19" s="150" t="s">
        <v>634</v>
      </c>
    </row>
    <row r="20" spans="1:28" s="156" customFormat="1" ht="25.05" customHeight="1" x14ac:dyDescent="0.3">
      <c r="A20" s="150">
        <v>18</v>
      </c>
      <c r="B20" s="151" t="s">
        <v>626</v>
      </c>
      <c r="C20" s="150" t="s">
        <v>36</v>
      </c>
      <c r="D20" s="150" t="s">
        <v>625</v>
      </c>
      <c r="E20" s="150" t="s">
        <v>27</v>
      </c>
      <c r="F20" s="150">
        <v>262562</v>
      </c>
      <c r="G20" s="150" t="s">
        <v>624</v>
      </c>
      <c r="H20" s="150">
        <v>1000</v>
      </c>
      <c r="I20" s="152">
        <v>0.33</v>
      </c>
      <c r="J20" s="152">
        <v>0.76</v>
      </c>
      <c r="K20" s="150" t="s">
        <v>34</v>
      </c>
      <c r="L20" s="152">
        <v>250.8</v>
      </c>
      <c r="M20" s="153">
        <v>253.3</v>
      </c>
      <c r="N20" s="154">
        <v>2.35E-2</v>
      </c>
      <c r="O20" s="155">
        <v>1.41</v>
      </c>
      <c r="P20" s="150">
        <v>86.5</v>
      </c>
      <c r="Q20" s="150">
        <v>3</v>
      </c>
      <c r="R20" s="150">
        <v>1050</v>
      </c>
      <c r="S20" s="152">
        <v>0.99</v>
      </c>
      <c r="T20" s="150">
        <v>60</v>
      </c>
      <c r="U20" s="154">
        <v>5.7099999999999998E-2</v>
      </c>
      <c r="V20" s="150" t="s">
        <v>28</v>
      </c>
      <c r="W20" s="150" t="s">
        <v>28</v>
      </c>
      <c r="X20" s="150" t="s">
        <v>28</v>
      </c>
      <c r="Y20" s="150" t="s">
        <v>27</v>
      </c>
      <c r="Z20" s="150" t="s">
        <v>27</v>
      </c>
      <c r="AA20" s="150" t="s">
        <v>39</v>
      </c>
      <c r="AB20" s="150" t="s">
        <v>633</v>
      </c>
    </row>
    <row r="21" spans="1:28" s="156" customFormat="1" ht="25.05" customHeight="1" x14ac:dyDescent="0.3">
      <c r="A21" s="150">
        <v>19</v>
      </c>
      <c r="B21" s="151" t="s">
        <v>626</v>
      </c>
      <c r="C21" s="150" t="s">
        <v>36</v>
      </c>
      <c r="D21" s="150" t="s">
        <v>625</v>
      </c>
      <c r="E21" s="150" t="s">
        <v>27</v>
      </c>
      <c r="F21" s="150">
        <v>262545</v>
      </c>
      <c r="G21" s="150" t="s">
        <v>624</v>
      </c>
      <c r="H21" s="150">
        <v>2000</v>
      </c>
      <c r="I21" s="152">
        <v>0.92500000000000004</v>
      </c>
      <c r="J21" s="152">
        <v>1.2</v>
      </c>
      <c r="K21" s="150" t="s">
        <v>632</v>
      </c>
      <c r="L21" s="152">
        <v>2220</v>
      </c>
      <c r="M21" s="153">
        <v>2400</v>
      </c>
      <c r="N21" s="154">
        <v>0.66669999999999996</v>
      </c>
      <c r="O21" s="155">
        <v>40</v>
      </c>
      <c r="P21" s="150">
        <v>765.9</v>
      </c>
      <c r="Q21" s="150">
        <v>1</v>
      </c>
      <c r="R21" s="150">
        <v>950</v>
      </c>
      <c r="S21" s="152">
        <v>0.92500000000000004</v>
      </c>
      <c r="T21" s="150">
        <v>25</v>
      </c>
      <c r="U21" s="154">
        <v>2.63E-2</v>
      </c>
      <c r="V21" s="150" t="s">
        <v>28</v>
      </c>
      <c r="W21" s="150" t="s">
        <v>28</v>
      </c>
      <c r="X21" s="150" t="s">
        <v>28</v>
      </c>
      <c r="Y21" s="150" t="s">
        <v>27</v>
      </c>
      <c r="Z21" s="150" t="s">
        <v>27</v>
      </c>
      <c r="AA21" s="150" t="s">
        <v>49</v>
      </c>
      <c r="AB21" s="150" t="s">
        <v>631</v>
      </c>
    </row>
    <row r="22" spans="1:28" s="156" customFormat="1" ht="25.05" customHeight="1" x14ac:dyDescent="0.3">
      <c r="A22" s="150">
        <v>20</v>
      </c>
      <c r="B22" s="151" t="s">
        <v>626</v>
      </c>
      <c r="C22" s="150" t="s">
        <v>43</v>
      </c>
      <c r="D22" s="177">
        <v>46280</v>
      </c>
      <c r="E22" s="150"/>
      <c r="F22" s="150">
        <v>262609</v>
      </c>
      <c r="G22" s="150" t="s">
        <v>724</v>
      </c>
      <c r="H22" s="150">
        <v>1000</v>
      </c>
      <c r="I22" s="152">
        <v>0.28399999999999997</v>
      </c>
      <c r="J22" s="152">
        <v>1.8</v>
      </c>
      <c r="K22" s="217" t="s">
        <v>44</v>
      </c>
      <c r="L22" s="152">
        <v>511.2</v>
      </c>
      <c r="M22" s="153">
        <v>600</v>
      </c>
      <c r="N22" s="154">
        <v>5.5599999999999997E-2</v>
      </c>
      <c r="O22" s="155">
        <v>3.33</v>
      </c>
      <c r="P22" s="150">
        <v>176.4</v>
      </c>
      <c r="Q22" s="150">
        <v>3</v>
      </c>
      <c r="R22" s="150">
        <v>900</v>
      </c>
      <c r="S22" s="152">
        <v>0.85199999999999998</v>
      </c>
      <c r="T22" s="150">
        <v>48</v>
      </c>
      <c r="U22" s="154">
        <v>5.33E-2</v>
      </c>
      <c r="V22" s="150" t="s">
        <v>29</v>
      </c>
      <c r="W22" s="150" t="s">
        <v>29</v>
      </c>
      <c r="X22" s="150" t="s">
        <v>28</v>
      </c>
      <c r="Y22" s="150"/>
      <c r="Z22" s="150"/>
      <c r="AA22" s="150">
        <v>1</v>
      </c>
      <c r="AB22" s="150" t="s">
        <v>725</v>
      </c>
    </row>
    <row r="23" spans="1:28" s="156" customFormat="1" ht="25.05" customHeight="1" x14ac:dyDescent="0.3">
      <c r="A23" s="150">
        <v>21</v>
      </c>
      <c r="B23" s="151" t="s">
        <v>626</v>
      </c>
      <c r="C23" s="150" t="s">
        <v>36</v>
      </c>
      <c r="D23" s="150" t="s">
        <v>625</v>
      </c>
      <c r="E23" s="150" t="s">
        <v>27</v>
      </c>
      <c r="F23" s="150">
        <v>262554</v>
      </c>
      <c r="G23" s="150" t="s">
        <v>624</v>
      </c>
      <c r="H23" s="150">
        <v>1500</v>
      </c>
      <c r="I23" s="152">
        <v>0.40400000000000003</v>
      </c>
      <c r="J23" s="152">
        <v>0.84</v>
      </c>
      <c r="K23" s="150" t="s">
        <v>630</v>
      </c>
      <c r="L23" s="152">
        <v>509.04</v>
      </c>
      <c r="M23" s="153">
        <v>630</v>
      </c>
      <c r="N23" s="154">
        <v>8.7499999999999994E-2</v>
      </c>
      <c r="O23" s="155">
        <v>5.25</v>
      </c>
      <c r="P23" s="150">
        <v>175.6</v>
      </c>
      <c r="Q23" s="150">
        <v>2</v>
      </c>
      <c r="R23" s="150">
        <v>850</v>
      </c>
      <c r="S23" s="152">
        <v>0.80800000000000005</v>
      </c>
      <c r="T23" s="150">
        <v>42</v>
      </c>
      <c r="U23" s="154">
        <v>4.9399999999999999E-2</v>
      </c>
      <c r="V23" s="150" t="s">
        <v>28</v>
      </c>
      <c r="W23" s="150" t="s">
        <v>28</v>
      </c>
      <c r="X23" s="150" t="s">
        <v>28</v>
      </c>
      <c r="Y23" s="150" t="s">
        <v>27</v>
      </c>
      <c r="Z23" s="150" t="s">
        <v>27</v>
      </c>
      <c r="AA23" s="150" t="s">
        <v>39</v>
      </c>
      <c r="AB23" s="150" t="s">
        <v>629</v>
      </c>
    </row>
    <row r="24" spans="1:28" s="156" customFormat="1" ht="25.05" customHeight="1" x14ac:dyDescent="0.3">
      <c r="A24" s="150">
        <v>22</v>
      </c>
      <c r="B24" s="151" t="s">
        <v>626</v>
      </c>
      <c r="C24" s="150" t="s">
        <v>43</v>
      </c>
      <c r="D24" s="150" t="s">
        <v>625</v>
      </c>
      <c r="E24" s="150" t="s">
        <v>27</v>
      </c>
      <c r="F24" s="150">
        <v>262551</v>
      </c>
      <c r="G24" s="150" t="s">
        <v>624</v>
      </c>
      <c r="H24" s="150">
        <v>500</v>
      </c>
      <c r="I24" s="152">
        <v>0.40400000000000003</v>
      </c>
      <c r="J24" s="152">
        <v>1.39</v>
      </c>
      <c r="K24" s="150" t="s">
        <v>279</v>
      </c>
      <c r="L24" s="152">
        <v>280.77999999999997</v>
      </c>
      <c r="M24" s="153">
        <v>347.5</v>
      </c>
      <c r="N24" s="154">
        <v>4.8300000000000003E-2</v>
      </c>
      <c r="O24" s="155">
        <v>2.9</v>
      </c>
      <c r="P24" s="150">
        <v>103.3</v>
      </c>
      <c r="Q24" s="150">
        <v>2</v>
      </c>
      <c r="R24" s="150">
        <v>850</v>
      </c>
      <c r="S24" s="152">
        <v>0.80800000000000005</v>
      </c>
      <c r="T24" s="150">
        <v>42</v>
      </c>
      <c r="U24" s="154">
        <v>4.9399999999999999E-2</v>
      </c>
      <c r="V24" s="150" t="s">
        <v>29</v>
      </c>
      <c r="W24" s="150" t="s">
        <v>29</v>
      </c>
      <c r="X24" s="150" t="s">
        <v>28</v>
      </c>
      <c r="Y24" s="150" t="s">
        <v>27</v>
      </c>
      <c r="Z24" s="150" t="s">
        <v>27</v>
      </c>
      <c r="AA24" s="150" t="s">
        <v>39</v>
      </c>
      <c r="AB24" s="150" t="s">
        <v>278</v>
      </c>
    </row>
    <row r="25" spans="1:28" s="156" customFormat="1" ht="25.05" customHeight="1" x14ac:dyDescent="0.3">
      <c r="A25" s="150">
        <v>23</v>
      </c>
      <c r="B25" s="151" t="s">
        <v>626</v>
      </c>
      <c r="C25" s="150" t="s">
        <v>36</v>
      </c>
      <c r="D25" s="150" t="s">
        <v>625</v>
      </c>
      <c r="E25" s="150" t="s">
        <v>27</v>
      </c>
      <c r="F25" s="150">
        <v>262552</v>
      </c>
      <c r="G25" s="150" t="s">
        <v>624</v>
      </c>
      <c r="H25" s="150">
        <v>3000</v>
      </c>
      <c r="I25" s="152">
        <v>0.40400000000000003</v>
      </c>
      <c r="J25" s="152">
        <v>1.39</v>
      </c>
      <c r="K25" s="150" t="s">
        <v>279</v>
      </c>
      <c r="L25" s="152">
        <v>1684.68</v>
      </c>
      <c r="M25" s="153">
        <v>2085</v>
      </c>
      <c r="N25" s="154">
        <v>0.28960000000000002</v>
      </c>
      <c r="O25" s="155">
        <v>17.38</v>
      </c>
      <c r="P25" s="150">
        <v>581.20000000000005</v>
      </c>
      <c r="Q25" s="150">
        <v>2</v>
      </c>
      <c r="R25" s="150">
        <v>850</v>
      </c>
      <c r="S25" s="152">
        <v>0.80800000000000005</v>
      </c>
      <c r="T25" s="150">
        <v>42</v>
      </c>
      <c r="U25" s="154">
        <v>4.9399999999999999E-2</v>
      </c>
      <c r="V25" s="150" t="s">
        <v>28</v>
      </c>
      <c r="W25" s="150" t="s">
        <v>28</v>
      </c>
      <c r="X25" s="150" t="s">
        <v>28</v>
      </c>
      <c r="Y25" s="150" t="s">
        <v>27</v>
      </c>
      <c r="Z25" s="150" t="s">
        <v>27</v>
      </c>
      <c r="AA25" s="150" t="s">
        <v>32</v>
      </c>
      <c r="AB25" s="150" t="s">
        <v>278</v>
      </c>
    </row>
    <row r="26" spans="1:28" s="156" customFormat="1" ht="25.05" customHeight="1" x14ac:dyDescent="0.3">
      <c r="A26" s="150">
        <v>24</v>
      </c>
      <c r="B26" s="151" t="s">
        <v>626</v>
      </c>
      <c r="C26" s="150" t="s">
        <v>36</v>
      </c>
      <c r="D26" s="150" t="s">
        <v>625</v>
      </c>
      <c r="E26" s="150" t="s">
        <v>27</v>
      </c>
      <c r="F26" s="150">
        <v>262553</v>
      </c>
      <c r="G26" s="150" t="s">
        <v>624</v>
      </c>
      <c r="H26" s="150">
        <v>2000</v>
      </c>
      <c r="I26" s="152">
        <v>0.34399999999999997</v>
      </c>
      <c r="J26" s="152">
        <v>1.26</v>
      </c>
      <c r="K26" s="150" t="s">
        <v>628</v>
      </c>
      <c r="L26" s="152">
        <v>866.88</v>
      </c>
      <c r="M26" s="153">
        <v>1260</v>
      </c>
      <c r="N26" s="154">
        <v>0.17499999999999999</v>
      </c>
      <c r="O26" s="155">
        <v>10.5</v>
      </c>
      <c r="P26" s="150">
        <v>299.10000000000002</v>
      </c>
      <c r="Q26" s="150">
        <v>2</v>
      </c>
      <c r="R26" s="150">
        <v>750</v>
      </c>
      <c r="S26" s="152">
        <v>0.68799999999999994</v>
      </c>
      <c r="T26" s="150">
        <v>62</v>
      </c>
      <c r="U26" s="154">
        <v>8.2699999999999996E-2</v>
      </c>
      <c r="V26" s="150" t="s">
        <v>28</v>
      </c>
      <c r="W26" s="150" t="s">
        <v>28</v>
      </c>
      <c r="X26" s="150" t="s">
        <v>28</v>
      </c>
      <c r="Y26" s="150" t="s">
        <v>27</v>
      </c>
      <c r="Z26" s="150" t="s">
        <v>27</v>
      </c>
      <c r="AA26" s="150" t="s">
        <v>33</v>
      </c>
      <c r="AB26" s="150" t="s">
        <v>627</v>
      </c>
    </row>
    <row r="27" spans="1:28" s="156" customFormat="1" ht="25.05" customHeight="1" x14ac:dyDescent="0.3">
      <c r="A27" s="150">
        <v>25</v>
      </c>
      <c r="B27" s="151" t="s">
        <v>626</v>
      </c>
      <c r="C27" s="150" t="s">
        <v>36</v>
      </c>
      <c r="D27" s="150" t="s">
        <v>625</v>
      </c>
      <c r="E27" s="150" t="s">
        <v>27</v>
      </c>
      <c r="F27" s="150">
        <v>262557</v>
      </c>
      <c r="G27" s="150" t="s">
        <v>624</v>
      </c>
      <c r="H27" s="150">
        <v>1500</v>
      </c>
      <c r="I27" s="152">
        <v>0.30399999999999999</v>
      </c>
      <c r="J27" s="152">
        <v>0.84</v>
      </c>
      <c r="K27" s="150" t="s">
        <v>319</v>
      </c>
      <c r="L27" s="152">
        <v>383.04</v>
      </c>
      <c r="M27" s="153">
        <v>630</v>
      </c>
      <c r="N27" s="154">
        <v>8.7499999999999994E-2</v>
      </c>
      <c r="O27" s="155">
        <v>5.25</v>
      </c>
      <c r="P27" s="150">
        <v>132.1</v>
      </c>
      <c r="Q27" s="150">
        <v>2</v>
      </c>
      <c r="R27" s="150">
        <v>650</v>
      </c>
      <c r="S27" s="152">
        <v>0.60799999999999998</v>
      </c>
      <c r="T27" s="150">
        <v>42</v>
      </c>
      <c r="U27" s="154">
        <v>6.4600000000000005E-2</v>
      </c>
      <c r="V27" s="150" t="s">
        <v>28</v>
      </c>
      <c r="W27" s="150" t="s">
        <v>28</v>
      </c>
      <c r="X27" s="150" t="s">
        <v>28</v>
      </c>
      <c r="Y27" s="150" t="s">
        <v>27</v>
      </c>
      <c r="Z27" s="150" t="s">
        <v>27</v>
      </c>
      <c r="AA27" s="150" t="s">
        <v>39</v>
      </c>
      <c r="AB27" s="150" t="s">
        <v>623</v>
      </c>
    </row>
    <row r="28" spans="1:28" s="156" customFormat="1" ht="25.05" customHeight="1" x14ac:dyDescent="0.3">
      <c r="A28" s="157" t="s">
        <v>27</v>
      </c>
      <c r="B28" s="157" t="s">
        <v>27</v>
      </c>
      <c r="C28" s="157" t="s">
        <v>27</v>
      </c>
      <c r="D28" s="157" t="s">
        <v>27</v>
      </c>
      <c r="E28" s="157" t="s">
        <v>27</v>
      </c>
      <c r="F28" s="157" t="s">
        <v>27</v>
      </c>
      <c r="G28" s="157" t="s">
        <v>27</v>
      </c>
      <c r="H28" s="157">
        <v>25800</v>
      </c>
      <c r="I28" s="157" t="s">
        <v>27</v>
      </c>
      <c r="J28" s="157" t="s">
        <v>27</v>
      </c>
      <c r="K28" s="157" t="s">
        <v>27</v>
      </c>
      <c r="L28" s="157" t="s">
        <v>27</v>
      </c>
      <c r="M28" s="157" t="s">
        <v>27</v>
      </c>
      <c r="N28" s="157" t="s">
        <v>27</v>
      </c>
      <c r="O28" s="157" t="s">
        <v>27</v>
      </c>
      <c r="P28" s="157">
        <v>5957.9</v>
      </c>
      <c r="Q28" s="157" t="s">
        <v>27</v>
      </c>
      <c r="R28" s="157" t="s">
        <v>27</v>
      </c>
      <c r="S28" s="157" t="s">
        <v>27</v>
      </c>
      <c r="T28" s="157" t="s">
        <v>27</v>
      </c>
      <c r="U28" s="157" t="s">
        <v>27</v>
      </c>
      <c r="V28" s="157" t="s">
        <v>27</v>
      </c>
      <c r="W28" s="157" t="s">
        <v>27</v>
      </c>
      <c r="X28" s="157" t="s">
        <v>27</v>
      </c>
      <c r="Y28" s="157" t="s">
        <v>27</v>
      </c>
      <c r="Z28" s="157" t="s">
        <v>27</v>
      </c>
      <c r="AA28" s="157" t="s">
        <v>27</v>
      </c>
      <c r="AB28" s="157" t="s">
        <v>27</v>
      </c>
    </row>
    <row r="29" spans="1:28" x14ac:dyDescent="0.3">
      <c r="B29" s="206"/>
    </row>
  </sheetData>
  <mergeCells count="1">
    <mergeCell ref="A1:AB1"/>
  </mergeCells>
  <pageMargins left="0.89" right="0.39" top="0.48" bottom="0.26" header="0.31496062000000002" footer="0.31496062000000002"/>
  <pageSetup paperSize="9" scale="74" orientation="landscape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66751-8E62-419F-90BC-ED68AE57E428}">
  <sheetPr>
    <pageSetUpPr fitToPage="1"/>
  </sheetPr>
  <dimension ref="A1:AB7"/>
  <sheetViews>
    <sheetView workbookViewId="0">
      <selection sqref="A1:AB7"/>
    </sheetView>
  </sheetViews>
  <sheetFormatPr defaultRowHeight="14.4" x14ac:dyDescent="0.3"/>
  <cols>
    <col min="1" max="1" width="3.77734375" style="108" customWidth="1"/>
    <col min="2" max="2" width="20.77734375" style="108" hidden="1" customWidth="1"/>
    <col min="3" max="3" width="7.77734375" style="108" customWidth="1"/>
    <col min="4" max="4" width="11.77734375" style="108" hidden="1" customWidth="1"/>
    <col min="5" max="5" width="9.21875" style="108" customWidth="1"/>
    <col min="6" max="6" width="7.88671875" style="108" customWidth="1"/>
    <col min="7" max="7" width="5" style="108" customWidth="1"/>
    <col min="8" max="8" width="6" style="108" customWidth="1"/>
    <col min="9" max="9" width="6.109375" style="108" customWidth="1"/>
    <col min="10" max="10" width="7.109375" style="108" customWidth="1"/>
    <col min="11" max="11" width="11.777343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44140625" style="108" customWidth="1"/>
    <col min="17" max="17" width="5" style="108" customWidth="1"/>
    <col min="18" max="18" width="6" style="108" customWidth="1"/>
    <col min="19" max="19" width="5.88671875" style="108" customWidth="1"/>
    <col min="20" max="20" width="11.77734375" style="108" hidden="1" customWidth="1"/>
    <col min="21" max="21" width="8.77734375" style="108" hidden="1" customWidth="1"/>
    <col min="22" max="22" width="7.77734375" style="108" customWidth="1"/>
    <col min="23" max="24" width="6.77734375" style="108" customWidth="1"/>
    <col min="25" max="25" width="8.5546875" style="108" customWidth="1"/>
    <col min="26" max="26" width="8.33203125" style="108" customWidth="1"/>
    <col min="27" max="27" width="3.44140625" style="108" customWidth="1"/>
    <col min="28" max="28" width="9.5546875" style="108" customWidth="1"/>
    <col min="29" max="16384" width="8.88671875" style="108"/>
  </cols>
  <sheetData>
    <row r="1" spans="1:28" ht="18" customHeight="1" x14ac:dyDescent="0.35">
      <c r="A1" s="221" t="s">
        <v>618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57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67" customFormat="1" ht="25.05" customHeight="1" x14ac:dyDescent="0.3">
      <c r="A3" s="161">
        <v>1</v>
      </c>
      <c r="B3" s="162" t="s">
        <v>610</v>
      </c>
      <c r="C3" s="161" t="s">
        <v>296</v>
      </c>
      <c r="D3" s="161" t="s">
        <v>602</v>
      </c>
      <c r="E3" s="161" t="s">
        <v>27</v>
      </c>
      <c r="F3" s="161">
        <v>262538</v>
      </c>
      <c r="G3" s="161" t="s">
        <v>609</v>
      </c>
      <c r="H3" s="161">
        <v>1000</v>
      </c>
      <c r="I3" s="163">
        <v>0.55500000000000005</v>
      </c>
      <c r="J3" s="163">
        <v>0.875</v>
      </c>
      <c r="K3" s="161" t="s">
        <v>34</v>
      </c>
      <c r="L3" s="163">
        <v>485.625</v>
      </c>
      <c r="M3" s="164">
        <v>437.5</v>
      </c>
      <c r="N3" s="165">
        <v>6.08E-2</v>
      </c>
      <c r="O3" s="166">
        <v>3.65</v>
      </c>
      <c r="P3" s="161">
        <v>186</v>
      </c>
      <c r="Q3" s="161">
        <v>2</v>
      </c>
      <c r="R3" s="161">
        <v>1150</v>
      </c>
      <c r="S3" s="163">
        <v>1.1100000000000001</v>
      </c>
      <c r="T3" s="161">
        <v>40</v>
      </c>
      <c r="U3" s="165">
        <v>3.4799999999999998E-2</v>
      </c>
      <c r="V3" s="161" t="s">
        <v>42</v>
      </c>
      <c r="W3" s="161" t="s">
        <v>29</v>
      </c>
      <c r="X3" s="161" t="s">
        <v>28</v>
      </c>
      <c r="Y3" s="161" t="s">
        <v>27</v>
      </c>
      <c r="Z3" s="161" t="s">
        <v>27</v>
      </c>
      <c r="AA3" s="161" t="s">
        <v>39</v>
      </c>
      <c r="AB3" s="161" t="s">
        <v>615</v>
      </c>
    </row>
    <row r="4" spans="1:28" s="167" customFormat="1" ht="25.05" customHeight="1" x14ac:dyDescent="0.3">
      <c r="A4" s="161">
        <v>2</v>
      </c>
      <c r="B4" s="162" t="s">
        <v>610</v>
      </c>
      <c r="C4" s="161" t="s">
        <v>296</v>
      </c>
      <c r="D4" s="161" t="s">
        <v>602</v>
      </c>
      <c r="E4" s="161" t="s">
        <v>27</v>
      </c>
      <c r="F4" s="161">
        <v>262535</v>
      </c>
      <c r="G4" s="161" t="s">
        <v>609</v>
      </c>
      <c r="H4" s="161">
        <v>1000</v>
      </c>
      <c r="I4" s="163">
        <v>0.34799999999999998</v>
      </c>
      <c r="J4" s="163">
        <v>0.88500000000000001</v>
      </c>
      <c r="K4" s="161" t="s">
        <v>614</v>
      </c>
      <c r="L4" s="163">
        <v>307.98</v>
      </c>
      <c r="M4" s="164">
        <v>442.5</v>
      </c>
      <c r="N4" s="165">
        <v>6.1499999999999999E-2</v>
      </c>
      <c r="O4" s="166">
        <v>3.69</v>
      </c>
      <c r="P4" s="161">
        <v>118</v>
      </c>
      <c r="Q4" s="161">
        <v>2</v>
      </c>
      <c r="R4" s="161">
        <v>750</v>
      </c>
      <c r="S4" s="163">
        <v>0.69599999999999995</v>
      </c>
      <c r="T4" s="161">
        <v>54</v>
      </c>
      <c r="U4" s="165">
        <v>7.1999999999999995E-2</v>
      </c>
      <c r="V4" s="161" t="s">
        <v>42</v>
      </c>
      <c r="W4" s="161" t="s">
        <v>29</v>
      </c>
      <c r="X4" s="161" t="s">
        <v>28</v>
      </c>
      <c r="Y4" s="161" t="s">
        <v>27</v>
      </c>
      <c r="Z4" s="161" t="s">
        <v>27</v>
      </c>
      <c r="AA4" s="161" t="s">
        <v>39</v>
      </c>
      <c r="AB4" s="161" t="s">
        <v>613</v>
      </c>
    </row>
    <row r="5" spans="1:28" s="167" customFormat="1" ht="25.05" customHeight="1" x14ac:dyDescent="0.3">
      <c r="A5" s="161">
        <v>3</v>
      </c>
      <c r="B5" s="162" t="s">
        <v>610</v>
      </c>
      <c r="C5" s="161" t="s">
        <v>296</v>
      </c>
      <c r="D5" s="161" t="s">
        <v>602</v>
      </c>
      <c r="E5" s="161" t="s">
        <v>27</v>
      </c>
      <c r="F5" s="161">
        <v>262536</v>
      </c>
      <c r="G5" s="161" t="s">
        <v>609</v>
      </c>
      <c r="H5" s="161">
        <v>8000</v>
      </c>
      <c r="I5" s="163">
        <v>0.32700000000000001</v>
      </c>
      <c r="J5" s="163">
        <v>0.88500000000000001</v>
      </c>
      <c r="K5" s="161" t="s">
        <v>612</v>
      </c>
      <c r="L5" s="163">
        <v>2315.16</v>
      </c>
      <c r="M5" s="164">
        <v>3540</v>
      </c>
      <c r="N5" s="165">
        <v>0.49170000000000003</v>
      </c>
      <c r="O5" s="166">
        <v>29.5</v>
      </c>
      <c r="P5" s="161">
        <v>886.7</v>
      </c>
      <c r="Q5" s="161">
        <v>2</v>
      </c>
      <c r="R5" s="161">
        <v>700</v>
      </c>
      <c r="S5" s="163">
        <v>0.65400000000000003</v>
      </c>
      <c r="T5" s="161">
        <v>46</v>
      </c>
      <c r="U5" s="165">
        <v>6.5699999999999995E-2</v>
      </c>
      <c r="V5" s="161" t="s">
        <v>42</v>
      </c>
      <c r="W5" s="161" t="s">
        <v>29</v>
      </c>
      <c r="X5" s="161" t="s">
        <v>28</v>
      </c>
      <c r="Y5" s="161" t="s">
        <v>27</v>
      </c>
      <c r="Z5" s="161" t="s">
        <v>27</v>
      </c>
      <c r="AA5" s="161" t="s">
        <v>32</v>
      </c>
      <c r="AB5" s="161" t="s">
        <v>611</v>
      </c>
    </row>
    <row r="6" spans="1:28" s="167" customFormat="1" ht="25.05" customHeight="1" x14ac:dyDescent="0.3">
      <c r="A6" s="161">
        <v>4</v>
      </c>
      <c r="B6" s="162" t="s">
        <v>610</v>
      </c>
      <c r="C6" s="161" t="s">
        <v>296</v>
      </c>
      <c r="D6" s="161" t="s">
        <v>602</v>
      </c>
      <c r="E6" s="161" t="s">
        <v>27</v>
      </c>
      <c r="F6" s="161">
        <v>262537</v>
      </c>
      <c r="G6" s="161" t="s">
        <v>609</v>
      </c>
      <c r="H6" s="161">
        <v>1000</v>
      </c>
      <c r="I6" s="163">
        <v>0.30299999999999999</v>
      </c>
      <c r="J6" s="163">
        <v>0.94499999999999995</v>
      </c>
      <c r="K6" s="161" t="s">
        <v>608</v>
      </c>
      <c r="L6" s="163">
        <v>286.33499999999998</v>
      </c>
      <c r="M6" s="164">
        <v>472.5</v>
      </c>
      <c r="N6" s="165">
        <v>6.5600000000000006E-2</v>
      </c>
      <c r="O6" s="166">
        <v>3.94</v>
      </c>
      <c r="P6" s="161">
        <v>109.7</v>
      </c>
      <c r="Q6" s="161">
        <v>2</v>
      </c>
      <c r="R6" s="161">
        <v>650</v>
      </c>
      <c r="S6" s="163">
        <v>0.60599999999999998</v>
      </c>
      <c r="T6" s="161">
        <v>44</v>
      </c>
      <c r="U6" s="165">
        <v>6.7699999999999996E-2</v>
      </c>
      <c r="V6" s="161" t="s">
        <v>42</v>
      </c>
      <c r="W6" s="161" t="s">
        <v>29</v>
      </c>
      <c r="X6" s="161" t="s">
        <v>28</v>
      </c>
      <c r="Y6" s="161" t="s">
        <v>27</v>
      </c>
      <c r="Z6" s="161" t="s">
        <v>27</v>
      </c>
      <c r="AA6" s="161" t="s">
        <v>39</v>
      </c>
      <c r="AB6" s="161" t="s">
        <v>607</v>
      </c>
    </row>
    <row r="7" spans="1:28" s="167" customFormat="1" ht="25.05" customHeight="1" x14ac:dyDescent="0.3">
      <c r="A7" s="168" t="s">
        <v>27</v>
      </c>
      <c r="B7" s="168" t="s">
        <v>27</v>
      </c>
      <c r="C7" s="168" t="s">
        <v>27</v>
      </c>
      <c r="D7" s="168" t="s">
        <v>27</v>
      </c>
      <c r="E7" s="168" t="s">
        <v>27</v>
      </c>
      <c r="F7" s="168" t="s">
        <v>27</v>
      </c>
      <c r="G7" s="168" t="s">
        <v>27</v>
      </c>
      <c r="H7" s="168">
        <v>11000</v>
      </c>
      <c r="I7" s="168" t="s">
        <v>27</v>
      </c>
      <c r="J7" s="168" t="s">
        <v>27</v>
      </c>
      <c r="K7" s="168" t="s">
        <v>27</v>
      </c>
      <c r="L7" s="168" t="s">
        <v>27</v>
      </c>
      <c r="M7" s="168" t="s">
        <v>27</v>
      </c>
      <c r="N7" s="168" t="s">
        <v>27</v>
      </c>
      <c r="O7" s="168" t="s">
        <v>27</v>
      </c>
      <c r="P7" s="168">
        <v>1300.3</v>
      </c>
      <c r="Q7" s="168" t="s">
        <v>27</v>
      </c>
      <c r="R7" s="168" t="s">
        <v>27</v>
      </c>
      <c r="S7" s="168" t="s">
        <v>27</v>
      </c>
      <c r="T7" s="168" t="s">
        <v>27</v>
      </c>
      <c r="U7" s="168" t="s">
        <v>27</v>
      </c>
      <c r="V7" s="168" t="s">
        <v>27</v>
      </c>
      <c r="W7" s="168" t="s">
        <v>27</v>
      </c>
      <c r="X7" s="168" t="s">
        <v>27</v>
      </c>
      <c r="Y7" s="168" t="s">
        <v>27</v>
      </c>
      <c r="Z7" s="168" t="s">
        <v>27</v>
      </c>
      <c r="AA7" s="168" t="s">
        <v>27</v>
      </c>
      <c r="AB7" s="168" t="s">
        <v>27</v>
      </c>
    </row>
  </sheetData>
  <mergeCells count="1">
    <mergeCell ref="A1:AB1"/>
  </mergeCells>
  <pageMargins left="0.511811024" right="0.2" top="0.78740157499999996" bottom="0.78740157499999996" header="0.31496062000000002" footer="0.31496062000000002"/>
  <pageSetup paperSize="9" orientation="landscape" horizontalDpi="300" verticalDpi="30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6E315-8578-4493-BAF4-9C6A69627D09}">
  <sheetPr>
    <pageSetUpPr fitToPage="1"/>
  </sheetPr>
  <dimension ref="A1:AB11"/>
  <sheetViews>
    <sheetView workbookViewId="0">
      <selection activeCell="Q14" sqref="Q14"/>
    </sheetView>
  </sheetViews>
  <sheetFormatPr defaultRowHeight="14.4" x14ac:dyDescent="0.3"/>
  <cols>
    <col min="1" max="1" width="3.21875" style="108" customWidth="1"/>
    <col min="2" max="2" width="15.109375" style="108" customWidth="1"/>
    <col min="3" max="3" width="7.77734375" style="108" customWidth="1"/>
    <col min="4" max="4" width="11.77734375" style="108" hidden="1" customWidth="1"/>
    <col min="5" max="5" width="8.6640625" style="108" customWidth="1"/>
    <col min="6" max="6" width="7.88671875" style="108" customWidth="1"/>
    <col min="7" max="7" width="8.88671875" style="108" customWidth="1"/>
    <col min="8" max="8" width="6.77734375" style="108" customWidth="1"/>
    <col min="9" max="9" width="6.6640625" style="108" customWidth="1"/>
    <col min="10" max="10" width="7.21875" style="108" customWidth="1"/>
    <col min="11" max="11" width="7.3320312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21875" style="108" customWidth="1"/>
    <col min="17" max="17" width="4.44140625" style="108" customWidth="1"/>
    <col min="18" max="18" width="5.88671875" style="108" customWidth="1"/>
    <col min="19" max="19" width="6.6640625" style="108" customWidth="1"/>
    <col min="20" max="20" width="11.77734375" style="108" hidden="1" customWidth="1"/>
    <col min="21" max="21" width="8.77734375" style="108" hidden="1" customWidth="1"/>
    <col min="22" max="22" width="7.6640625" style="108" customWidth="1"/>
    <col min="23" max="23" width="7.88671875" style="108" customWidth="1"/>
    <col min="24" max="24" width="8.109375" style="108" customWidth="1"/>
    <col min="25" max="25" width="7.5546875" style="108" customWidth="1"/>
    <col min="26" max="26" width="7.44140625" style="108" customWidth="1"/>
    <col min="27" max="27" width="4.109375" style="108" customWidth="1"/>
    <col min="28" max="28" width="10.44140625" style="108" customWidth="1"/>
    <col min="29" max="16384" width="8.88671875" style="108"/>
  </cols>
  <sheetData>
    <row r="1" spans="1:28" ht="18" customHeight="1" x14ac:dyDescent="0.35">
      <c r="A1" s="221" t="s">
        <v>606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57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76" customFormat="1" ht="25.05" customHeight="1" x14ac:dyDescent="0.3">
      <c r="A3" s="170">
        <v>1</v>
      </c>
      <c r="B3" s="171" t="s">
        <v>603</v>
      </c>
      <c r="C3" s="170" t="s">
        <v>36</v>
      </c>
      <c r="D3" s="170" t="s">
        <v>602</v>
      </c>
      <c r="E3" s="170" t="s">
        <v>27</v>
      </c>
      <c r="F3" s="170">
        <v>262522</v>
      </c>
      <c r="G3" s="170" t="s">
        <v>601</v>
      </c>
      <c r="H3" s="170">
        <v>8000</v>
      </c>
      <c r="I3" s="172">
        <v>0.46</v>
      </c>
      <c r="J3" s="172">
        <v>0.92</v>
      </c>
      <c r="K3" s="170" t="s">
        <v>34</v>
      </c>
      <c r="L3" s="172">
        <v>3385.6</v>
      </c>
      <c r="M3" s="173">
        <v>2453.3000000000002</v>
      </c>
      <c r="N3" s="174">
        <v>0.22720000000000001</v>
      </c>
      <c r="O3" s="175">
        <v>13.63</v>
      </c>
      <c r="P3" s="170">
        <v>1168</v>
      </c>
      <c r="Q3" s="170">
        <v>3</v>
      </c>
      <c r="R3" s="170">
        <v>1400</v>
      </c>
      <c r="S3" s="172">
        <v>1.38</v>
      </c>
      <c r="T3" s="170">
        <v>20</v>
      </c>
      <c r="U3" s="174">
        <v>1.43E-2</v>
      </c>
      <c r="V3" s="170" t="s">
        <v>28</v>
      </c>
      <c r="W3" s="170" t="s">
        <v>28</v>
      </c>
      <c r="X3" s="170" t="s">
        <v>28</v>
      </c>
      <c r="Y3" s="170" t="s">
        <v>27</v>
      </c>
      <c r="Z3" s="170" t="s">
        <v>27</v>
      </c>
      <c r="AA3" s="170" t="s">
        <v>49</v>
      </c>
      <c r="AB3" s="170" t="s">
        <v>64</v>
      </c>
    </row>
    <row r="4" spans="1:28" s="176" customFormat="1" ht="25.05" customHeight="1" x14ac:dyDescent="0.3">
      <c r="A4" s="170">
        <v>2</v>
      </c>
      <c r="B4" s="171" t="s">
        <v>603</v>
      </c>
      <c r="C4" s="170" t="s">
        <v>60</v>
      </c>
      <c r="D4" s="170" t="s">
        <v>602</v>
      </c>
      <c r="E4" s="170" t="s">
        <v>27</v>
      </c>
      <c r="F4" s="170">
        <v>262524</v>
      </c>
      <c r="G4" s="170" t="s">
        <v>601</v>
      </c>
      <c r="H4" s="170">
        <v>3000</v>
      </c>
      <c r="I4" s="172">
        <v>0.46</v>
      </c>
      <c r="J4" s="172">
        <v>0.92</v>
      </c>
      <c r="K4" s="170" t="s">
        <v>34</v>
      </c>
      <c r="L4" s="172">
        <v>1269.5999999999999</v>
      </c>
      <c r="M4" s="173">
        <v>920</v>
      </c>
      <c r="N4" s="174">
        <v>8.5199999999999998E-2</v>
      </c>
      <c r="O4" s="175">
        <v>5.1100000000000003</v>
      </c>
      <c r="P4" s="170">
        <v>479.9</v>
      </c>
      <c r="Q4" s="170">
        <v>3</v>
      </c>
      <c r="R4" s="170">
        <v>1400</v>
      </c>
      <c r="S4" s="172">
        <v>1.38</v>
      </c>
      <c r="T4" s="170">
        <v>20</v>
      </c>
      <c r="U4" s="174">
        <v>1.43E-2</v>
      </c>
      <c r="V4" s="170" t="s">
        <v>38</v>
      </c>
      <c r="W4" s="170" t="s">
        <v>29</v>
      </c>
      <c r="X4" s="170" t="s">
        <v>35</v>
      </c>
      <c r="Y4" s="170" t="s">
        <v>27</v>
      </c>
      <c r="Z4" s="170" t="s">
        <v>27</v>
      </c>
      <c r="AA4" s="170" t="s">
        <v>33</v>
      </c>
      <c r="AB4" s="170" t="s">
        <v>64</v>
      </c>
    </row>
    <row r="5" spans="1:28" s="176" customFormat="1" ht="25.05" customHeight="1" x14ac:dyDescent="0.3">
      <c r="A5" s="170">
        <v>3</v>
      </c>
      <c r="B5" s="171" t="s">
        <v>603</v>
      </c>
      <c r="C5" s="170" t="s">
        <v>36</v>
      </c>
      <c r="D5" s="170" t="s">
        <v>602</v>
      </c>
      <c r="E5" s="170" t="s">
        <v>27</v>
      </c>
      <c r="F5" s="170">
        <v>262527</v>
      </c>
      <c r="G5" s="170" t="s">
        <v>601</v>
      </c>
      <c r="H5" s="170">
        <v>1000</v>
      </c>
      <c r="I5" s="172">
        <v>0.41</v>
      </c>
      <c r="J5" s="172">
        <v>0.82</v>
      </c>
      <c r="K5" s="170" t="s">
        <v>34</v>
      </c>
      <c r="L5" s="172">
        <v>336.2</v>
      </c>
      <c r="M5" s="173">
        <v>273.3</v>
      </c>
      <c r="N5" s="174">
        <v>2.53E-2</v>
      </c>
      <c r="O5" s="175">
        <v>1.52</v>
      </c>
      <c r="P5" s="170">
        <v>116</v>
      </c>
      <c r="Q5" s="170">
        <v>3</v>
      </c>
      <c r="R5" s="170">
        <v>1250</v>
      </c>
      <c r="S5" s="172">
        <v>1.23</v>
      </c>
      <c r="T5" s="170">
        <v>20</v>
      </c>
      <c r="U5" s="174">
        <v>1.6E-2</v>
      </c>
      <c r="V5" s="170" t="s">
        <v>28</v>
      </c>
      <c r="W5" s="170" t="s">
        <v>28</v>
      </c>
      <c r="X5" s="170" t="s">
        <v>28</v>
      </c>
      <c r="Y5" s="170" t="s">
        <v>27</v>
      </c>
      <c r="Z5" s="170" t="s">
        <v>27</v>
      </c>
      <c r="AA5" s="170" t="s">
        <v>39</v>
      </c>
      <c r="AB5" s="170" t="s">
        <v>605</v>
      </c>
    </row>
    <row r="6" spans="1:28" s="176" customFormat="1" ht="25.05" customHeight="1" x14ac:dyDescent="0.3">
      <c r="A6" s="170">
        <v>4</v>
      </c>
      <c r="B6" s="171" t="s">
        <v>603</v>
      </c>
      <c r="C6" s="170" t="s">
        <v>60</v>
      </c>
      <c r="D6" s="170" t="s">
        <v>602</v>
      </c>
      <c r="E6" s="170" t="s">
        <v>27</v>
      </c>
      <c r="F6" s="170">
        <v>262528</v>
      </c>
      <c r="G6" s="170" t="s">
        <v>601</v>
      </c>
      <c r="H6" s="170">
        <v>2000</v>
      </c>
      <c r="I6" s="172">
        <v>0.41</v>
      </c>
      <c r="J6" s="172">
        <v>0.82</v>
      </c>
      <c r="K6" s="170" t="s">
        <v>34</v>
      </c>
      <c r="L6" s="172">
        <v>672.4</v>
      </c>
      <c r="M6" s="173">
        <v>546.70000000000005</v>
      </c>
      <c r="N6" s="174">
        <v>5.0599999999999999E-2</v>
      </c>
      <c r="O6" s="175">
        <v>3.04</v>
      </c>
      <c r="P6" s="170">
        <v>254.2</v>
      </c>
      <c r="Q6" s="170">
        <v>3</v>
      </c>
      <c r="R6" s="170">
        <v>1250</v>
      </c>
      <c r="S6" s="172">
        <v>1.23</v>
      </c>
      <c r="T6" s="170">
        <v>20</v>
      </c>
      <c r="U6" s="174">
        <v>1.6E-2</v>
      </c>
      <c r="V6" s="170" t="s">
        <v>38</v>
      </c>
      <c r="W6" s="170" t="s">
        <v>29</v>
      </c>
      <c r="X6" s="170" t="s">
        <v>35</v>
      </c>
      <c r="Y6" s="170" t="s">
        <v>27</v>
      </c>
      <c r="Z6" s="170" t="s">
        <v>27</v>
      </c>
      <c r="AA6" s="170" t="s">
        <v>33</v>
      </c>
      <c r="AB6" s="170" t="s">
        <v>605</v>
      </c>
    </row>
    <row r="7" spans="1:28" s="176" customFormat="1" ht="25.05" customHeight="1" x14ac:dyDescent="0.3">
      <c r="A7" s="170">
        <v>5</v>
      </c>
      <c r="B7" s="171" t="s">
        <v>603</v>
      </c>
      <c r="C7" s="170" t="s">
        <v>36</v>
      </c>
      <c r="D7" s="170" t="s">
        <v>602</v>
      </c>
      <c r="E7" s="170" t="s">
        <v>27</v>
      </c>
      <c r="F7" s="170">
        <v>262523</v>
      </c>
      <c r="G7" s="170" t="s">
        <v>601</v>
      </c>
      <c r="H7" s="170">
        <v>500</v>
      </c>
      <c r="I7" s="172">
        <v>0.56000000000000005</v>
      </c>
      <c r="J7" s="172">
        <v>1.1200000000000001</v>
      </c>
      <c r="K7" s="170" t="s">
        <v>34</v>
      </c>
      <c r="L7" s="172">
        <v>313.60000000000002</v>
      </c>
      <c r="M7" s="173">
        <v>280</v>
      </c>
      <c r="N7" s="174">
        <v>3.8899999999999997E-2</v>
      </c>
      <c r="O7" s="175">
        <v>2.33</v>
      </c>
      <c r="P7" s="170">
        <v>108.2</v>
      </c>
      <c r="Q7" s="170">
        <v>2</v>
      </c>
      <c r="R7" s="170">
        <v>1150</v>
      </c>
      <c r="S7" s="172">
        <v>1.1200000000000001</v>
      </c>
      <c r="T7" s="170">
        <v>30</v>
      </c>
      <c r="U7" s="174">
        <v>2.6100000000000002E-2</v>
      </c>
      <c r="V7" s="170" t="s">
        <v>28</v>
      </c>
      <c r="W7" s="170" t="s">
        <v>28</v>
      </c>
      <c r="X7" s="170" t="s">
        <v>28</v>
      </c>
      <c r="Y7" s="170" t="s">
        <v>27</v>
      </c>
      <c r="Z7" s="170" t="s">
        <v>27</v>
      </c>
      <c r="AA7" s="170" t="s">
        <v>39</v>
      </c>
      <c r="AB7" s="170" t="s">
        <v>604</v>
      </c>
    </row>
    <row r="8" spans="1:28" s="176" customFormat="1" ht="25.05" customHeight="1" x14ac:dyDescent="0.3">
      <c r="A8" s="170">
        <v>6</v>
      </c>
      <c r="B8" s="171" t="s">
        <v>603</v>
      </c>
      <c r="C8" s="170" t="s">
        <v>60</v>
      </c>
      <c r="D8" s="170" t="s">
        <v>602</v>
      </c>
      <c r="E8" s="170" t="s">
        <v>27</v>
      </c>
      <c r="F8" s="170">
        <v>262525</v>
      </c>
      <c r="G8" s="170" t="s">
        <v>601</v>
      </c>
      <c r="H8" s="170">
        <v>1500</v>
      </c>
      <c r="I8" s="172">
        <v>0.56000000000000005</v>
      </c>
      <c r="J8" s="172">
        <v>1.1200000000000001</v>
      </c>
      <c r="K8" s="170" t="s">
        <v>34</v>
      </c>
      <c r="L8" s="172">
        <v>940.8</v>
      </c>
      <c r="M8" s="173">
        <v>840</v>
      </c>
      <c r="N8" s="174">
        <v>0.1167</v>
      </c>
      <c r="O8" s="175">
        <v>7</v>
      </c>
      <c r="P8" s="170">
        <v>355.6</v>
      </c>
      <c r="Q8" s="170">
        <v>2</v>
      </c>
      <c r="R8" s="170">
        <v>1150</v>
      </c>
      <c r="S8" s="172">
        <v>1.1200000000000001</v>
      </c>
      <c r="T8" s="170">
        <v>30</v>
      </c>
      <c r="U8" s="174">
        <v>2.6100000000000002E-2</v>
      </c>
      <c r="V8" s="170" t="s">
        <v>38</v>
      </c>
      <c r="W8" s="170" t="s">
        <v>29</v>
      </c>
      <c r="X8" s="170" t="s">
        <v>35</v>
      </c>
      <c r="Y8" s="170" t="s">
        <v>27</v>
      </c>
      <c r="Z8" s="170" t="s">
        <v>27</v>
      </c>
      <c r="AA8" s="170" t="s">
        <v>33</v>
      </c>
      <c r="AB8" s="170" t="s">
        <v>604</v>
      </c>
    </row>
    <row r="9" spans="1:28" s="176" customFormat="1" ht="25.05" customHeight="1" x14ac:dyDescent="0.3">
      <c r="A9" s="170">
        <v>7</v>
      </c>
      <c r="B9" s="171" t="s">
        <v>603</v>
      </c>
      <c r="C9" s="170" t="s">
        <v>36</v>
      </c>
      <c r="D9" s="170" t="s">
        <v>602</v>
      </c>
      <c r="E9" s="170" t="s">
        <v>27</v>
      </c>
      <c r="F9" s="170">
        <v>262526</v>
      </c>
      <c r="G9" s="170" t="s">
        <v>601</v>
      </c>
      <c r="H9" s="170">
        <v>1500</v>
      </c>
      <c r="I9" s="172">
        <v>0.36</v>
      </c>
      <c r="J9" s="172">
        <v>0.72</v>
      </c>
      <c r="K9" s="170" t="s">
        <v>34</v>
      </c>
      <c r="L9" s="172">
        <v>388.8</v>
      </c>
      <c r="M9" s="173">
        <v>360</v>
      </c>
      <c r="N9" s="174">
        <v>3.3300000000000003E-2</v>
      </c>
      <c r="O9" s="175">
        <v>2</v>
      </c>
      <c r="P9" s="170">
        <v>134.1</v>
      </c>
      <c r="Q9" s="170">
        <v>3</v>
      </c>
      <c r="R9" s="170">
        <v>1100</v>
      </c>
      <c r="S9" s="172">
        <v>1.08</v>
      </c>
      <c r="T9" s="170">
        <v>20</v>
      </c>
      <c r="U9" s="174">
        <v>1.8200000000000001E-2</v>
      </c>
      <c r="V9" s="170" t="s">
        <v>28</v>
      </c>
      <c r="W9" s="170" t="s">
        <v>28</v>
      </c>
      <c r="X9" s="170" t="s">
        <v>28</v>
      </c>
      <c r="Y9" s="170" t="s">
        <v>27</v>
      </c>
      <c r="Z9" s="170" t="s">
        <v>27</v>
      </c>
      <c r="AA9" s="170" t="s">
        <v>39</v>
      </c>
      <c r="AB9" s="170" t="s">
        <v>600</v>
      </c>
    </row>
    <row r="10" spans="1:28" s="176" customFormat="1" ht="25.05" customHeight="1" x14ac:dyDescent="0.3">
      <c r="A10" s="170">
        <v>8</v>
      </c>
      <c r="B10" s="171" t="s">
        <v>603</v>
      </c>
      <c r="C10" s="170" t="s">
        <v>60</v>
      </c>
      <c r="D10" s="170" t="s">
        <v>602</v>
      </c>
      <c r="E10" s="170" t="s">
        <v>27</v>
      </c>
      <c r="F10" s="170">
        <v>262529</v>
      </c>
      <c r="G10" s="170" t="s">
        <v>601</v>
      </c>
      <c r="H10" s="170">
        <v>2500</v>
      </c>
      <c r="I10" s="172">
        <v>0.36</v>
      </c>
      <c r="J10" s="172">
        <v>0.72</v>
      </c>
      <c r="K10" s="170" t="s">
        <v>34</v>
      </c>
      <c r="L10" s="172">
        <v>648</v>
      </c>
      <c r="M10" s="173">
        <v>600</v>
      </c>
      <c r="N10" s="174">
        <v>5.5599999999999997E-2</v>
      </c>
      <c r="O10" s="175">
        <v>3.33</v>
      </c>
      <c r="P10" s="170">
        <v>244.9</v>
      </c>
      <c r="Q10" s="170">
        <v>3</v>
      </c>
      <c r="R10" s="170">
        <v>1100</v>
      </c>
      <c r="S10" s="172">
        <v>1.08</v>
      </c>
      <c r="T10" s="170">
        <v>20</v>
      </c>
      <c r="U10" s="174">
        <v>1.8200000000000001E-2</v>
      </c>
      <c r="V10" s="170" t="s">
        <v>38</v>
      </c>
      <c r="W10" s="170" t="s">
        <v>29</v>
      </c>
      <c r="X10" s="170" t="s">
        <v>35</v>
      </c>
      <c r="Y10" s="170" t="s">
        <v>27</v>
      </c>
      <c r="Z10" s="170" t="s">
        <v>27</v>
      </c>
      <c r="AA10" s="170" t="s">
        <v>39</v>
      </c>
      <c r="AB10" s="170" t="s">
        <v>600</v>
      </c>
    </row>
    <row r="11" spans="1:28" s="156" customFormat="1" ht="25.05" customHeight="1" x14ac:dyDescent="0.3">
      <c r="A11" s="157" t="s">
        <v>27</v>
      </c>
      <c r="B11" s="157" t="s">
        <v>27</v>
      </c>
      <c r="C11" s="157" t="s">
        <v>27</v>
      </c>
      <c r="D11" s="157" t="s">
        <v>27</v>
      </c>
      <c r="E11" s="157" t="s">
        <v>27</v>
      </c>
      <c r="F11" s="157" t="s">
        <v>27</v>
      </c>
      <c r="G11" s="157" t="s">
        <v>27</v>
      </c>
      <c r="H11" s="157">
        <v>20000</v>
      </c>
      <c r="I11" s="157" t="s">
        <v>27</v>
      </c>
      <c r="J11" s="157" t="s">
        <v>27</v>
      </c>
      <c r="K11" s="157" t="s">
        <v>27</v>
      </c>
      <c r="L11" s="157" t="s">
        <v>27</v>
      </c>
      <c r="M11" s="157" t="s">
        <v>27</v>
      </c>
      <c r="N11" s="157" t="s">
        <v>27</v>
      </c>
      <c r="O11" s="157" t="s">
        <v>27</v>
      </c>
      <c r="P11" s="157">
        <v>2861</v>
      </c>
      <c r="Q11" s="157" t="s">
        <v>27</v>
      </c>
      <c r="R11" s="157" t="s">
        <v>27</v>
      </c>
      <c r="S11" s="157" t="s">
        <v>27</v>
      </c>
      <c r="T11" s="157" t="s">
        <v>27</v>
      </c>
      <c r="U11" s="157" t="s">
        <v>27</v>
      </c>
      <c r="V11" s="157" t="s">
        <v>27</v>
      </c>
      <c r="W11" s="157" t="s">
        <v>27</v>
      </c>
      <c r="X11" s="157" t="s">
        <v>27</v>
      </c>
      <c r="Y11" s="157" t="s">
        <v>27</v>
      </c>
      <c r="Z11" s="157" t="s">
        <v>27</v>
      </c>
      <c r="AA11" s="157" t="s">
        <v>27</v>
      </c>
      <c r="AB11" s="157" t="s">
        <v>27</v>
      </c>
    </row>
  </sheetData>
  <mergeCells count="1">
    <mergeCell ref="A1:AB1"/>
  </mergeCells>
  <pageMargins left="0.41" right="0.34" top="1.08" bottom="0.78740157499999996" header="0.31496062000000002" footer="0.31496062000000002"/>
  <pageSetup paperSize="9" scale="89" orientation="landscape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5D6D3A-D620-44E7-96F1-4CC5B2562411}">
  <sheetPr>
    <pageSetUpPr fitToPage="1"/>
  </sheetPr>
  <dimension ref="A1:AB8"/>
  <sheetViews>
    <sheetView workbookViewId="0">
      <selection activeCell="A5" sqref="A5:XFD5"/>
    </sheetView>
  </sheetViews>
  <sheetFormatPr defaultRowHeight="14.4" x14ac:dyDescent="0.3"/>
  <cols>
    <col min="1" max="1" width="3.5546875" style="108" customWidth="1"/>
    <col min="2" max="2" width="20.77734375" style="108" hidden="1" customWidth="1"/>
    <col min="3" max="3" width="6.33203125" style="108" customWidth="1"/>
    <col min="4" max="4" width="11.77734375" style="108" hidden="1" customWidth="1"/>
    <col min="5" max="5" width="10.77734375" style="108" customWidth="1"/>
    <col min="6" max="6" width="8.77734375" style="108" customWidth="1"/>
    <col min="7" max="7" width="5.109375" style="108" customWidth="1"/>
    <col min="8" max="8" width="4.88671875" style="108" customWidth="1"/>
    <col min="9" max="9" width="6.5546875" style="108" customWidth="1"/>
    <col min="10" max="10" width="5.5546875" style="108" customWidth="1"/>
    <col min="11" max="11" width="14.55468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5.109375" style="108" customWidth="1"/>
    <col min="17" max="17" width="3.77734375" style="108" customWidth="1"/>
    <col min="18" max="18" width="5.44140625" style="108" customWidth="1"/>
    <col min="19" max="19" width="6.5546875" style="108" customWidth="1"/>
    <col min="20" max="20" width="11.77734375" style="108" hidden="1" customWidth="1"/>
    <col min="21" max="21" width="8.77734375" style="108" hidden="1" customWidth="1"/>
    <col min="22" max="24" width="8.109375" style="108" customWidth="1"/>
    <col min="25" max="25" width="9.44140625" style="108" customWidth="1"/>
    <col min="26" max="26" width="9.77734375" style="108" customWidth="1"/>
    <col min="27" max="27" width="3.44140625" style="108" customWidth="1"/>
    <col min="28" max="28" width="10.109375" style="108" customWidth="1"/>
    <col min="29" max="16384" width="8.88671875" style="108"/>
  </cols>
  <sheetData>
    <row r="1" spans="1:28" ht="18" customHeight="1" x14ac:dyDescent="0.35">
      <c r="A1" s="221" t="s">
        <v>599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39.6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56" customFormat="1" ht="25.05" customHeight="1" x14ac:dyDescent="0.3">
      <c r="A3" s="150">
        <v>1</v>
      </c>
      <c r="B3" s="151" t="s">
        <v>480</v>
      </c>
      <c r="C3" s="150" t="s">
        <v>36</v>
      </c>
      <c r="D3" s="150" t="s">
        <v>596</v>
      </c>
      <c r="E3" s="150" t="s">
        <v>27</v>
      </c>
      <c r="F3" s="150">
        <v>262520</v>
      </c>
      <c r="G3" s="150" t="s">
        <v>595</v>
      </c>
      <c r="H3" s="150">
        <v>300</v>
      </c>
      <c r="I3" s="152">
        <v>0.45600000000000002</v>
      </c>
      <c r="J3" s="152">
        <v>1.39</v>
      </c>
      <c r="K3" s="150" t="s">
        <v>598</v>
      </c>
      <c r="L3" s="152">
        <v>190.15199999999999</v>
      </c>
      <c r="M3" s="153">
        <v>208.5</v>
      </c>
      <c r="N3" s="154">
        <v>2.9000000000000001E-2</v>
      </c>
      <c r="O3" s="155">
        <v>1.74</v>
      </c>
      <c r="P3" s="150">
        <v>65.599999999999994</v>
      </c>
      <c r="Q3" s="150">
        <v>2</v>
      </c>
      <c r="R3" s="150">
        <v>950</v>
      </c>
      <c r="S3" s="152">
        <v>0.91200000000000003</v>
      </c>
      <c r="T3" s="150">
        <v>38</v>
      </c>
      <c r="U3" s="154">
        <v>0.04</v>
      </c>
      <c r="V3" s="150" t="s">
        <v>28</v>
      </c>
      <c r="W3" s="150" t="s">
        <v>28</v>
      </c>
      <c r="X3" s="150" t="s">
        <v>28</v>
      </c>
      <c r="Y3" s="150" t="s">
        <v>27</v>
      </c>
      <c r="Z3" s="150" t="s">
        <v>27</v>
      </c>
      <c r="AA3" s="150" t="s">
        <v>39</v>
      </c>
      <c r="AB3" s="150" t="s">
        <v>597</v>
      </c>
    </row>
    <row r="4" spans="1:28" s="156" customFormat="1" ht="25.05" customHeight="1" x14ac:dyDescent="0.3">
      <c r="A4" s="150">
        <v>2</v>
      </c>
      <c r="B4" s="151" t="s">
        <v>480</v>
      </c>
      <c r="C4" s="150" t="s">
        <v>36</v>
      </c>
      <c r="D4" s="150" t="s">
        <v>596</v>
      </c>
      <c r="E4" s="150" t="s">
        <v>27</v>
      </c>
      <c r="F4" s="150">
        <v>262521</v>
      </c>
      <c r="G4" s="150" t="s">
        <v>595</v>
      </c>
      <c r="H4" s="150">
        <v>250</v>
      </c>
      <c r="I4" s="152">
        <v>0.439</v>
      </c>
      <c r="J4" s="152">
        <v>1.33</v>
      </c>
      <c r="K4" s="150" t="s">
        <v>594</v>
      </c>
      <c r="L4" s="152">
        <v>145.96799999999999</v>
      </c>
      <c r="M4" s="153">
        <v>166.3</v>
      </c>
      <c r="N4" s="154">
        <v>2.3099999999999999E-2</v>
      </c>
      <c r="O4" s="155">
        <v>1.39</v>
      </c>
      <c r="P4" s="150">
        <v>50.4</v>
      </c>
      <c r="Q4" s="150">
        <v>2</v>
      </c>
      <c r="R4" s="150">
        <v>900</v>
      </c>
      <c r="S4" s="152">
        <v>0.878</v>
      </c>
      <c r="T4" s="150">
        <v>22</v>
      </c>
      <c r="U4" s="154">
        <v>2.4400000000000002E-2</v>
      </c>
      <c r="V4" s="150" t="s">
        <v>28</v>
      </c>
      <c r="W4" s="150" t="s">
        <v>28</v>
      </c>
      <c r="X4" s="150" t="s">
        <v>28</v>
      </c>
      <c r="Y4" s="150" t="s">
        <v>27</v>
      </c>
      <c r="Z4" s="150" t="s">
        <v>27</v>
      </c>
      <c r="AA4" s="150" t="s">
        <v>39</v>
      </c>
      <c r="AB4" s="150" t="s">
        <v>593</v>
      </c>
    </row>
    <row r="5" spans="1:28" s="156" customFormat="1" ht="25.05" customHeight="1" x14ac:dyDescent="0.3">
      <c r="A5" s="150">
        <v>3</v>
      </c>
      <c r="B5" s="151" t="s">
        <v>621</v>
      </c>
      <c r="C5" s="150" t="s">
        <v>36</v>
      </c>
      <c r="D5" s="177">
        <v>46275</v>
      </c>
      <c r="E5" s="150"/>
      <c r="F5" s="150">
        <v>262541</v>
      </c>
      <c r="G5" s="150">
        <v>67</v>
      </c>
      <c r="H5" s="150">
        <v>3000</v>
      </c>
      <c r="I5" s="152">
        <v>0.27900000000000003</v>
      </c>
      <c r="J5" s="152">
        <v>1.004</v>
      </c>
      <c r="K5" s="150" t="s">
        <v>736</v>
      </c>
      <c r="L5" s="152">
        <v>840.34799999999996</v>
      </c>
      <c r="M5" s="153">
        <v>1004</v>
      </c>
      <c r="N5" s="154">
        <v>9.2999999999999999E-2</v>
      </c>
      <c r="O5" s="155">
        <v>5.58</v>
      </c>
      <c r="P5" s="150">
        <v>289.89999999999998</v>
      </c>
      <c r="Q5" s="150">
        <v>3</v>
      </c>
      <c r="R5" s="150">
        <v>900</v>
      </c>
      <c r="S5" s="152">
        <v>0.83699999999999997</v>
      </c>
      <c r="T5" s="150">
        <v>63</v>
      </c>
      <c r="U5" s="154">
        <v>7.0000000000000007E-2</v>
      </c>
      <c r="V5" s="150" t="s">
        <v>28</v>
      </c>
      <c r="W5" s="150" t="s">
        <v>28</v>
      </c>
      <c r="X5" s="150" t="s">
        <v>28</v>
      </c>
      <c r="Y5" s="150"/>
      <c r="Z5" s="150"/>
      <c r="AA5" s="150">
        <v>1</v>
      </c>
      <c r="AB5" s="150" t="s">
        <v>622</v>
      </c>
    </row>
    <row r="6" spans="1:28" s="156" customFormat="1" ht="25.05" customHeight="1" x14ac:dyDescent="0.3">
      <c r="A6" s="157" t="s">
        <v>27</v>
      </c>
      <c r="B6" s="157" t="s">
        <v>27</v>
      </c>
      <c r="C6" s="157" t="s">
        <v>27</v>
      </c>
      <c r="D6" s="157" t="s">
        <v>27</v>
      </c>
      <c r="E6" s="157" t="s">
        <v>27</v>
      </c>
      <c r="F6" s="157" t="s">
        <v>27</v>
      </c>
      <c r="G6" s="157" t="s">
        <v>27</v>
      </c>
      <c r="H6" s="157">
        <f>SUM(H3:H5)</f>
        <v>3550</v>
      </c>
      <c r="I6" s="157" t="s">
        <v>27</v>
      </c>
      <c r="J6" s="157" t="s">
        <v>27</v>
      </c>
      <c r="K6" s="157" t="s">
        <v>27</v>
      </c>
      <c r="L6" s="157" t="s">
        <v>27</v>
      </c>
      <c r="M6" s="157" t="s">
        <v>27</v>
      </c>
      <c r="N6" s="157" t="s">
        <v>27</v>
      </c>
      <c r="O6" s="157" t="s">
        <v>27</v>
      </c>
      <c r="P6" s="157">
        <f>SUM(P3:P5)</f>
        <v>405.9</v>
      </c>
      <c r="Q6" s="157" t="s">
        <v>27</v>
      </c>
      <c r="R6" s="157" t="s">
        <v>27</v>
      </c>
      <c r="S6" s="157" t="s">
        <v>27</v>
      </c>
      <c r="T6" s="157" t="s">
        <v>27</v>
      </c>
      <c r="U6" s="157" t="s">
        <v>27</v>
      </c>
      <c r="V6" s="157" t="s">
        <v>27</v>
      </c>
      <c r="W6" s="157" t="s">
        <v>27</v>
      </c>
      <c r="X6" s="157" t="s">
        <v>27</v>
      </c>
      <c r="Y6" s="157" t="s">
        <v>27</v>
      </c>
      <c r="Z6" s="157" t="s">
        <v>27</v>
      </c>
      <c r="AA6" s="157" t="s">
        <v>27</v>
      </c>
      <c r="AB6" s="157" t="s">
        <v>27</v>
      </c>
    </row>
    <row r="8" spans="1:28" x14ac:dyDescent="0.3">
      <c r="D8" s="158"/>
      <c r="J8" s="159"/>
      <c r="L8" s="159"/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53F50-3E88-4B4B-9BA2-DE39AB8DD785}">
  <sheetPr>
    <pageSetUpPr fitToPage="1"/>
  </sheetPr>
  <dimension ref="A1:AB12"/>
  <sheetViews>
    <sheetView workbookViewId="0">
      <selection activeCell="Y15" sqref="Y15"/>
    </sheetView>
  </sheetViews>
  <sheetFormatPr defaultRowHeight="14.4" x14ac:dyDescent="0.3"/>
  <cols>
    <col min="1" max="1" width="3.33203125" style="1" customWidth="1"/>
    <col min="2" max="2" width="20.77734375" style="1" hidden="1" customWidth="1"/>
    <col min="3" max="3" width="6.5546875" style="1" customWidth="1"/>
    <col min="4" max="4" width="11.77734375" style="1" hidden="1" customWidth="1"/>
    <col min="5" max="5" width="7.109375" style="1" customWidth="1"/>
    <col min="6" max="6" width="7.33203125" style="1" customWidth="1"/>
    <col min="7" max="8" width="5.77734375" style="1" customWidth="1"/>
    <col min="9" max="10" width="6.44140625" style="1" customWidth="1"/>
    <col min="11" max="11" width="20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33203125" style="1" customWidth="1"/>
    <col min="17" max="17" width="3.44140625" style="1" customWidth="1"/>
    <col min="18" max="18" width="6.109375" style="1" customWidth="1"/>
    <col min="19" max="19" width="6.664062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5" width="7.5546875" style="1" customWidth="1"/>
    <col min="26" max="26" width="7.21875" style="1" customWidth="1"/>
    <col min="27" max="27" width="4.5546875" style="1" customWidth="1"/>
    <col min="28" max="28" width="11.44140625" style="1" customWidth="1"/>
    <col min="29" max="16384" width="8.88671875" style="1"/>
  </cols>
  <sheetData>
    <row r="1" spans="1:28" ht="18" customHeight="1" x14ac:dyDescent="0.35">
      <c r="A1" s="222" t="s">
        <v>592</v>
      </c>
      <c r="B1" s="222" t="s">
        <v>27</v>
      </c>
      <c r="C1" s="222" t="s">
        <v>27</v>
      </c>
      <c r="D1" s="222" t="s">
        <v>27</v>
      </c>
      <c r="E1" s="222" t="s">
        <v>27</v>
      </c>
      <c r="F1" s="222" t="s">
        <v>27</v>
      </c>
      <c r="G1" s="222" t="s">
        <v>27</v>
      </c>
      <c r="H1" s="222" t="s">
        <v>27</v>
      </c>
      <c r="I1" s="222" t="s">
        <v>27</v>
      </c>
      <c r="J1" s="222" t="s">
        <v>27</v>
      </c>
      <c r="K1" s="222" t="s">
        <v>27</v>
      </c>
      <c r="L1" s="222" t="s">
        <v>27</v>
      </c>
      <c r="M1" s="222" t="s">
        <v>27</v>
      </c>
      <c r="N1" s="222" t="s">
        <v>27</v>
      </c>
      <c r="O1" s="222" t="s">
        <v>27</v>
      </c>
      <c r="P1" s="222" t="s">
        <v>27</v>
      </c>
      <c r="Q1" s="222" t="s">
        <v>27</v>
      </c>
      <c r="R1" s="222" t="s">
        <v>27</v>
      </c>
      <c r="S1" s="222" t="s">
        <v>27</v>
      </c>
      <c r="T1" s="222" t="s">
        <v>27</v>
      </c>
      <c r="U1" s="222" t="s">
        <v>27</v>
      </c>
      <c r="V1" s="222" t="s">
        <v>27</v>
      </c>
      <c r="W1" s="222" t="s">
        <v>27</v>
      </c>
      <c r="X1" s="222" t="s">
        <v>27</v>
      </c>
      <c r="Y1" s="222" t="s">
        <v>27</v>
      </c>
      <c r="Z1" s="222" t="s">
        <v>27</v>
      </c>
      <c r="AA1" s="222" t="s">
        <v>27</v>
      </c>
      <c r="AB1" s="222" t="s">
        <v>27</v>
      </c>
    </row>
    <row r="2" spans="1:28" ht="40.200000000000003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444</v>
      </c>
      <c r="C3" s="5" t="s">
        <v>45</v>
      </c>
      <c r="D3" s="5" t="s">
        <v>534</v>
      </c>
      <c r="E3" s="5" t="s">
        <v>27</v>
      </c>
      <c r="F3" s="5">
        <v>262513</v>
      </c>
      <c r="G3" s="5" t="s">
        <v>591</v>
      </c>
      <c r="H3" s="5">
        <v>700</v>
      </c>
      <c r="I3" s="7">
        <v>0.64</v>
      </c>
      <c r="J3" s="7">
        <v>1.403</v>
      </c>
      <c r="K3" s="5" t="s">
        <v>590</v>
      </c>
      <c r="L3" s="7">
        <v>628.54399999999998</v>
      </c>
      <c r="M3" s="9">
        <v>491.1</v>
      </c>
      <c r="N3" s="6">
        <v>6.8199999999999997E-2</v>
      </c>
      <c r="O3" s="8">
        <v>4.09</v>
      </c>
      <c r="P3" s="5">
        <v>380.9</v>
      </c>
      <c r="Q3" s="5">
        <v>2</v>
      </c>
      <c r="R3" s="5">
        <v>1300</v>
      </c>
      <c r="S3" s="7">
        <v>1.28</v>
      </c>
      <c r="T3" s="5">
        <v>20</v>
      </c>
      <c r="U3" s="6">
        <v>1.54E-2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32</v>
      </c>
      <c r="AB3" s="5" t="s">
        <v>589</v>
      </c>
    </row>
    <row r="4" spans="1:28" s="12" customFormat="1" ht="25.05" customHeight="1" x14ac:dyDescent="0.3">
      <c r="A4" s="5">
        <v>2</v>
      </c>
      <c r="B4" s="10" t="s">
        <v>448</v>
      </c>
      <c r="C4" s="5" t="s">
        <v>45</v>
      </c>
      <c r="D4" s="5" t="s">
        <v>534</v>
      </c>
      <c r="E4" s="5" t="s">
        <v>27</v>
      </c>
      <c r="F4" s="5">
        <v>262514</v>
      </c>
      <c r="G4" s="5" t="s">
        <v>588</v>
      </c>
      <c r="H4" s="5">
        <v>2000</v>
      </c>
      <c r="I4" s="7">
        <v>0.70399999999999996</v>
      </c>
      <c r="J4" s="7">
        <v>1.903</v>
      </c>
      <c r="K4" s="5" t="s">
        <v>453</v>
      </c>
      <c r="L4" s="7">
        <v>2679.424</v>
      </c>
      <c r="M4" s="9">
        <v>1903</v>
      </c>
      <c r="N4" s="6">
        <v>0.26429999999999998</v>
      </c>
      <c r="O4" s="8">
        <v>15.86</v>
      </c>
      <c r="P4" s="5">
        <v>1623.7</v>
      </c>
      <c r="Q4" s="5">
        <v>2</v>
      </c>
      <c r="R4" s="5">
        <v>1450</v>
      </c>
      <c r="S4" s="7">
        <v>1.4079999999999999</v>
      </c>
      <c r="T4" s="5">
        <v>42</v>
      </c>
      <c r="U4" s="6">
        <v>2.9000000000000001E-2</v>
      </c>
      <c r="V4" s="5" t="s">
        <v>35</v>
      </c>
      <c r="W4" s="5" t="s">
        <v>40</v>
      </c>
      <c r="X4" s="5" t="s">
        <v>35</v>
      </c>
      <c r="Y4" s="5" t="s">
        <v>35</v>
      </c>
      <c r="Z4" s="5" t="s">
        <v>35</v>
      </c>
      <c r="AA4" s="5" t="s">
        <v>72</v>
      </c>
      <c r="AB4" s="5" t="s">
        <v>452</v>
      </c>
    </row>
    <row r="5" spans="1:28" s="12" customFormat="1" ht="25.05" customHeight="1" x14ac:dyDescent="0.3">
      <c r="A5" s="5">
        <v>3</v>
      </c>
      <c r="B5" s="10" t="s">
        <v>448</v>
      </c>
      <c r="C5" s="5" t="s">
        <v>45</v>
      </c>
      <c r="D5" s="5" t="s">
        <v>534</v>
      </c>
      <c r="E5" s="5" t="s">
        <v>27</v>
      </c>
      <c r="F5" s="5">
        <v>262515</v>
      </c>
      <c r="G5" s="5" t="s">
        <v>588</v>
      </c>
      <c r="H5" s="5">
        <v>5000</v>
      </c>
      <c r="I5" s="7">
        <v>0.55900000000000005</v>
      </c>
      <c r="J5" s="7">
        <v>1.389</v>
      </c>
      <c r="K5" s="5" t="s">
        <v>446</v>
      </c>
      <c r="L5" s="7">
        <v>3882.2550000000001</v>
      </c>
      <c r="M5" s="9">
        <v>3472.5</v>
      </c>
      <c r="N5" s="6">
        <v>0.48230000000000001</v>
      </c>
      <c r="O5" s="8">
        <v>28.94</v>
      </c>
      <c r="P5" s="5">
        <v>2352.6</v>
      </c>
      <c r="Q5" s="5">
        <v>2</v>
      </c>
      <c r="R5" s="5">
        <v>1150</v>
      </c>
      <c r="S5" s="7">
        <v>1.1180000000000001</v>
      </c>
      <c r="T5" s="5">
        <v>32</v>
      </c>
      <c r="U5" s="6">
        <v>2.7799999999999998E-2</v>
      </c>
      <c r="V5" s="5" t="s">
        <v>35</v>
      </c>
      <c r="W5" s="5" t="s">
        <v>40</v>
      </c>
      <c r="X5" s="5" t="s">
        <v>35</v>
      </c>
      <c r="Y5" s="5" t="s">
        <v>35</v>
      </c>
      <c r="Z5" s="5" t="s">
        <v>35</v>
      </c>
      <c r="AA5" s="5" t="s">
        <v>73</v>
      </c>
      <c r="AB5" s="5" t="s">
        <v>445</v>
      </c>
    </row>
    <row r="6" spans="1:28" s="12" customFormat="1" ht="25.05" customHeight="1" x14ac:dyDescent="0.3">
      <c r="A6" s="5">
        <v>4</v>
      </c>
      <c r="B6" s="10" t="s">
        <v>444</v>
      </c>
      <c r="C6" s="5" t="s">
        <v>36</v>
      </c>
      <c r="D6" s="13">
        <v>46275</v>
      </c>
      <c r="E6" s="5"/>
      <c r="F6" s="5">
        <v>262539</v>
      </c>
      <c r="G6" s="5">
        <v>1723</v>
      </c>
      <c r="H6" s="5">
        <v>200</v>
      </c>
      <c r="I6" s="7">
        <v>1.3480000000000001</v>
      </c>
      <c r="J6" s="7">
        <v>1.4279999999999999</v>
      </c>
      <c r="K6" s="5" t="s">
        <v>34</v>
      </c>
      <c r="L6" s="7">
        <v>384.98899999999998</v>
      </c>
      <c r="M6" s="9">
        <v>285.60000000000002</v>
      </c>
      <c r="N6" s="6">
        <v>7.9299999999999995E-2</v>
      </c>
      <c r="O6" s="8">
        <v>4.76</v>
      </c>
      <c r="P6" s="5">
        <v>132.80000000000001</v>
      </c>
      <c r="Q6" s="5">
        <v>1</v>
      </c>
      <c r="R6" s="5">
        <v>1400</v>
      </c>
      <c r="S6" s="7">
        <v>1.3480000000000001</v>
      </c>
      <c r="T6" s="5">
        <v>52</v>
      </c>
      <c r="U6" s="6">
        <v>3.7100000000000001E-2</v>
      </c>
      <c r="V6" s="5" t="s">
        <v>28</v>
      </c>
      <c r="W6" s="5" t="s">
        <v>28</v>
      </c>
      <c r="X6" s="5" t="s">
        <v>28</v>
      </c>
      <c r="Y6" s="5"/>
      <c r="Z6" s="5"/>
      <c r="AA6" s="5">
        <v>1</v>
      </c>
      <c r="AB6" s="5" t="s">
        <v>619</v>
      </c>
    </row>
    <row r="7" spans="1:28" s="12" customFormat="1" ht="25.05" customHeight="1" x14ac:dyDescent="0.3">
      <c r="A7" s="5">
        <v>5</v>
      </c>
      <c r="B7" s="10" t="s">
        <v>444</v>
      </c>
      <c r="C7" s="5" t="s">
        <v>36</v>
      </c>
      <c r="D7" s="13">
        <v>46275</v>
      </c>
      <c r="E7" s="5"/>
      <c r="F7" s="5">
        <v>262540</v>
      </c>
      <c r="G7" s="5">
        <v>1723</v>
      </c>
      <c r="H7" s="5">
        <v>150</v>
      </c>
      <c r="I7" s="7">
        <v>1.244</v>
      </c>
      <c r="J7" s="7">
        <v>2.468</v>
      </c>
      <c r="K7" s="5" t="s">
        <v>34</v>
      </c>
      <c r="L7" s="7">
        <v>460.529</v>
      </c>
      <c r="M7" s="9">
        <v>370.2</v>
      </c>
      <c r="N7" s="6">
        <v>0.1028</v>
      </c>
      <c r="O7" s="8">
        <v>6.17</v>
      </c>
      <c r="P7" s="5">
        <v>158.9</v>
      </c>
      <c r="Q7" s="5">
        <v>1</v>
      </c>
      <c r="R7" s="5">
        <v>1300</v>
      </c>
      <c r="S7" s="7">
        <v>1.244</v>
      </c>
      <c r="T7" s="5">
        <v>56</v>
      </c>
      <c r="U7" s="6">
        <v>4.3099999999999999E-2</v>
      </c>
      <c r="V7" s="5" t="s">
        <v>28</v>
      </c>
      <c r="W7" s="5" t="s">
        <v>28</v>
      </c>
      <c r="X7" s="5" t="s">
        <v>28</v>
      </c>
      <c r="Y7" s="5"/>
      <c r="Z7" s="5"/>
      <c r="AA7" s="5">
        <v>1</v>
      </c>
      <c r="AB7" s="5" t="s">
        <v>620</v>
      </c>
    </row>
    <row r="8" spans="1:28" s="12" customFormat="1" ht="25.05" customHeight="1" x14ac:dyDescent="0.3">
      <c r="A8" s="5">
        <v>6</v>
      </c>
      <c r="B8" s="10" t="s">
        <v>444</v>
      </c>
      <c r="C8" s="5" t="s">
        <v>36</v>
      </c>
      <c r="D8" s="5" t="s">
        <v>534</v>
      </c>
      <c r="E8" s="5" t="s">
        <v>27</v>
      </c>
      <c r="F8" s="5">
        <v>262516</v>
      </c>
      <c r="G8" s="5" t="s">
        <v>581</v>
      </c>
      <c r="H8" s="5">
        <v>200</v>
      </c>
      <c r="I8" s="7">
        <v>0.94899999999999995</v>
      </c>
      <c r="J8" s="7">
        <v>1.536</v>
      </c>
      <c r="K8" s="5" t="s">
        <v>587</v>
      </c>
      <c r="L8" s="7">
        <v>291.53300000000002</v>
      </c>
      <c r="M8" s="9">
        <v>307.2</v>
      </c>
      <c r="N8" s="6">
        <v>8.5300000000000001E-2</v>
      </c>
      <c r="O8" s="8">
        <v>5.12</v>
      </c>
      <c r="P8" s="5">
        <v>100.6</v>
      </c>
      <c r="Q8" s="5">
        <v>1</v>
      </c>
      <c r="R8" s="5">
        <v>1000</v>
      </c>
      <c r="S8" s="7">
        <v>0.94899999999999995</v>
      </c>
      <c r="T8" s="5">
        <v>51</v>
      </c>
      <c r="U8" s="6">
        <v>5.0999999999999997E-2</v>
      </c>
      <c r="V8" s="5" t="s">
        <v>28</v>
      </c>
      <c r="W8" s="5" t="s">
        <v>28</v>
      </c>
      <c r="X8" s="5" t="s">
        <v>28</v>
      </c>
      <c r="Y8" s="5" t="s">
        <v>27</v>
      </c>
      <c r="Z8" s="5" t="s">
        <v>27</v>
      </c>
      <c r="AA8" s="5" t="s">
        <v>39</v>
      </c>
      <c r="AB8" s="5" t="s">
        <v>586</v>
      </c>
    </row>
    <row r="9" spans="1:28" s="12" customFormat="1" ht="25.05" customHeight="1" x14ac:dyDescent="0.3">
      <c r="A9" s="5">
        <v>7</v>
      </c>
      <c r="B9" s="10" t="s">
        <v>444</v>
      </c>
      <c r="C9" s="5" t="s">
        <v>36</v>
      </c>
      <c r="D9" s="5" t="s">
        <v>534</v>
      </c>
      <c r="E9" s="5" t="s">
        <v>27</v>
      </c>
      <c r="F9" s="5">
        <v>262517</v>
      </c>
      <c r="G9" s="5" t="s">
        <v>581</v>
      </c>
      <c r="H9" s="5">
        <v>200</v>
      </c>
      <c r="I9" s="7">
        <v>1.3089999999999999</v>
      </c>
      <c r="J9" s="7">
        <v>1.151</v>
      </c>
      <c r="K9" s="5" t="s">
        <v>585</v>
      </c>
      <c r="L9" s="7">
        <v>301.33199999999999</v>
      </c>
      <c r="M9" s="9">
        <v>230.2</v>
      </c>
      <c r="N9" s="6">
        <v>6.3899999999999998E-2</v>
      </c>
      <c r="O9" s="8">
        <v>3.84</v>
      </c>
      <c r="P9" s="5">
        <v>104</v>
      </c>
      <c r="Q9" s="5">
        <v>1</v>
      </c>
      <c r="R9" s="5">
        <v>1350</v>
      </c>
      <c r="S9" s="7">
        <v>1.3089999999999999</v>
      </c>
      <c r="T9" s="5">
        <v>41</v>
      </c>
      <c r="U9" s="6">
        <v>3.04E-2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39</v>
      </c>
      <c r="AB9" s="5" t="s">
        <v>584</v>
      </c>
    </row>
    <row r="10" spans="1:28" s="12" customFormat="1" ht="25.05" customHeight="1" x14ac:dyDescent="0.3">
      <c r="A10" s="5">
        <v>8</v>
      </c>
      <c r="B10" s="10" t="s">
        <v>444</v>
      </c>
      <c r="C10" s="5" t="s">
        <v>36</v>
      </c>
      <c r="D10" s="5" t="s">
        <v>534</v>
      </c>
      <c r="E10" s="5" t="s">
        <v>27</v>
      </c>
      <c r="F10" s="5">
        <v>262518</v>
      </c>
      <c r="G10" s="5" t="s">
        <v>581</v>
      </c>
      <c r="H10" s="5">
        <v>200</v>
      </c>
      <c r="I10" s="7">
        <v>1.2430000000000001</v>
      </c>
      <c r="J10" s="7">
        <v>1.5249999999999999</v>
      </c>
      <c r="K10" s="5" t="s">
        <v>583</v>
      </c>
      <c r="L10" s="7">
        <v>379.11500000000001</v>
      </c>
      <c r="M10" s="9">
        <v>305</v>
      </c>
      <c r="N10" s="6">
        <v>8.4699999999999998E-2</v>
      </c>
      <c r="O10" s="8">
        <v>5.08</v>
      </c>
      <c r="P10" s="5">
        <v>130.80000000000001</v>
      </c>
      <c r="Q10" s="5">
        <v>1</v>
      </c>
      <c r="R10" s="5">
        <v>1300</v>
      </c>
      <c r="S10" s="7">
        <v>1.2430000000000001</v>
      </c>
      <c r="T10" s="5">
        <v>57</v>
      </c>
      <c r="U10" s="6">
        <v>4.3799999999999999E-2</v>
      </c>
      <c r="V10" s="5" t="s">
        <v>28</v>
      </c>
      <c r="W10" s="5" t="s">
        <v>28</v>
      </c>
      <c r="X10" s="5" t="s">
        <v>28</v>
      </c>
      <c r="Y10" s="5" t="s">
        <v>27</v>
      </c>
      <c r="Z10" s="5" t="s">
        <v>27</v>
      </c>
      <c r="AA10" s="5" t="s">
        <v>39</v>
      </c>
      <c r="AB10" s="5" t="s">
        <v>582</v>
      </c>
    </row>
    <row r="11" spans="1:28" s="12" customFormat="1" ht="25.05" customHeight="1" x14ac:dyDescent="0.3">
      <c r="A11" s="5">
        <v>9</v>
      </c>
      <c r="B11" s="10" t="s">
        <v>444</v>
      </c>
      <c r="C11" s="5" t="s">
        <v>36</v>
      </c>
      <c r="D11" s="5" t="s">
        <v>534</v>
      </c>
      <c r="E11" s="5" t="s">
        <v>27</v>
      </c>
      <c r="F11" s="5">
        <v>262519</v>
      </c>
      <c r="G11" s="5" t="s">
        <v>581</v>
      </c>
      <c r="H11" s="5">
        <v>200</v>
      </c>
      <c r="I11" s="7">
        <v>1.2749999999999999</v>
      </c>
      <c r="J11" s="7">
        <v>1.7569999999999999</v>
      </c>
      <c r="K11" s="5" t="s">
        <v>580</v>
      </c>
      <c r="L11" s="7">
        <v>448.03500000000003</v>
      </c>
      <c r="M11" s="9">
        <v>351.4</v>
      </c>
      <c r="N11" s="6">
        <v>9.7600000000000006E-2</v>
      </c>
      <c r="O11" s="8">
        <v>5.86</v>
      </c>
      <c r="P11" s="5">
        <v>154.6</v>
      </c>
      <c r="Q11" s="5">
        <v>1</v>
      </c>
      <c r="R11" s="5">
        <v>1300</v>
      </c>
      <c r="S11" s="7">
        <v>1.2749999999999999</v>
      </c>
      <c r="T11" s="5">
        <v>25</v>
      </c>
      <c r="U11" s="6">
        <v>1.9199999999999998E-2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39</v>
      </c>
      <c r="AB11" s="5" t="s">
        <v>579</v>
      </c>
    </row>
    <row r="12" spans="1:28" s="12" customFormat="1" ht="25.05" customHeight="1" x14ac:dyDescent="0.3">
      <c r="A12" s="11" t="s">
        <v>27</v>
      </c>
      <c r="B12" s="11" t="s">
        <v>27</v>
      </c>
      <c r="C12" s="11" t="s">
        <v>27</v>
      </c>
      <c r="D12" s="11" t="s">
        <v>27</v>
      </c>
      <c r="E12" s="11" t="s">
        <v>27</v>
      </c>
      <c r="F12" s="11" t="s">
        <v>27</v>
      </c>
      <c r="G12" s="11" t="s">
        <v>27</v>
      </c>
      <c r="H12" s="11">
        <v>8500</v>
      </c>
      <c r="I12" s="11" t="s">
        <v>27</v>
      </c>
      <c r="J12" s="11" t="s">
        <v>27</v>
      </c>
      <c r="K12" s="11" t="s">
        <v>27</v>
      </c>
      <c r="L12" s="11" t="s">
        <v>27</v>
      </c>
      <c r="M12" s="11" t="s">
        <v>27</v>
      </c>
      <c r="N12" s="11" t="s">
        <v>27</v>
      </c>
      <c r="O12" s="11" t="s">
        <v>27</v>
      </c>
      <c r="P12" s="11">
        <v>4847.2</v>
      </c>
      <c r="Q12" s="11" t="s">
        <v>27</v>
      </c>
      <c r="R12" s="11" t="s">
        <v>27</v>
      </c>
      <c r="S12" s="11" t="s">
        <v>27</v>
      </c>
      <c r="T12" s="11" t="s">
        <v>27</v>
      </c>
      <c r="U12" s="11" t="s">
        <v>27</v>
      </c>
      <c r="V12" s="11" t="s">
        <v>27</v>
      </c>
      <c r="W12" s="11" t="s">
        <v>27</v>
      </c>
      <c r="X12" s="11" t="s">
        <v>27</v>
      </c>
      <c r="Y12" s="11" t="s">
        <v>27</v>
      </c>
      <c r="Z12" s="11" t="s">
        <v>27</v>
      </c>
      <c r="AA12" s="11" t="s">
        <v>27</v>
      </c>
      <c r="AB12" s="11" t="s">
        <v>27</v>
      </c>
    </row>
  </sheetData>
  <mergeCells count="1">
    <mergeCell ref="A1:AB1"/>
  </mergeCells>
  <pageMargins left="0.511811024" right="0.511811024" top="1.24" bottom="0.78740157499999996" header="0.31496062000000002" footer="0.31496062000000002"/>
  <pageSetup paperSize="9" scale="92" orientation="landscape" horizontalDpi="360" verticalDpi="36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CA626-F30A-4671-8B85-D3FC298D272A}">
  <sheetPr>
    <pageSetUpPr fitToPage="1"/>
  </sheetPr>
  <dimension ref="A1:AB15"/>
  <sheetViews>
    <sheetView topLeftCell="A4" workbookViewId="0">
      <selection activeCell="AE9" sqref="AE9"/>
    </sheetView>
  </sheetViews>
  <sheetFormatPr defaultRowHeight="14.4" x14ac:dyDescent="0.3"/>
  <cols>
    <col min="1" max="1" width="5.33203125" style="108" customWidth="1"/>
    <col min="2" max="2" width="20.77734375" style="108" hidden="1" customWidth="1"/>
    <col min="3" max="3" width="6" style="108" customWidth="1"/>
    <col min="4" max="4" width="11.77734375" style="108" hidden="1" customWidth="1"/>
    <col min="5" max="5" width="8.6640625" style="108" customWidth="1"/>
    <col min="6" max="6" width="7.5546875" style="108" customWidth="1"/>
    <col min="7" max="7" width="5" style="108" customWidth="1"/>
    <col min="8" max="8" width="6.77734375" style="108" customWidth="1"/>
    <col min="9" max="9" width="6.5546875" style="108" customWidth="1"/>
    <col min="10" max="10" width="7.77734375" style="108" customWidth="1"/>
    <col min="11" max="11" width="11.3320312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77734375" style="108" customWidth="1"/>
    <col min="17" max="17" width="4" style="108" customWidth="1"/>
    <col min="18" max="18" width="6.33203125" style="108" customWidth="1"/>
    <col min="19" max="19" width="6.6640625" style="108" customWidth="1"/>
    <col min="20" max="20" width="11.77734375" style="108" hidden="1" customWidth="1"/>
    <col min="21" max="21" width="8.77734375" style="108" hidden="1" customWidth="1"/>
    <col min="22" max="22" width="7.88671875" style="108" customWidth="1"/>
    <col min="23" max="23" width="7.77734375" style="108" customWidth="1"/>
    <col min="24" max="24" width="7.6640625" style="108" customWidth="1"/>
    <col min="25" max="26" width="8" style="108" customWidth="1"/>
    <col min="27" max="27" width="4" style="108" customWidth="1"/>
    <col min="28" max="28" width="11.109375" style="108" customWidth="1"/>
    <col min="29" max="16384" width="8.88671875" style="108"/>
  </cols>
  <sheetData>
    <row r="1" spans="1:28" ht="18" customHeight="1" x14ac:dyDescent="0.3">
      <c r="A1" s="224" t="s">
        <v>554</v>
      </c>
      <c r="B1" s="224" t="s">
        <v>27</v>
      </c>
      <c r="C1" s="224" t="s">
        <v>27</v>
      </c>
      <c r="D1" s="224" t="s">
        <v>27</v>
      </c>
      <c r="E1" s="224" t="s">
        <v>27</v>
      </c>
      <c r="F1" s="224" t="s">
        <v>27</v>
      </c>
      <c r="G1" s="224" t="s">
        <v>27</v>
      </c>
      <c r="H1" s="224" t="s">
        <v>27</v>
      </c>
      <c r="I1" s="224" t="s">
        <v>27</v>
      </c>
      <c r="J1" s="224" t="s">
        <v>27</v>
      </c>
      <c r="K1" s="224" t="s">
        <v>27</v>
      </c>
      <c r="L1" s="224" t="s">
        <v>27</v>
      </c>
      <c r="M1" s="224" t="s">
        <v>27</v>
      </c>
      <c r="N1" s="224" t="s">
        <v>27</v>
      </c>
      <c r="O1" s="224" t="s">
        <v>27</v>
      </c>
      <c r="P1" s="224" t="s">
        <v>27</v>
      </c>
      <c r="Q1" s="224" t="s">
        <v>27</v>
      </c>
      <c r="R1" s="224" t="s">
        <v>27</v>
      </c>
      <c r="S1" s="224" t="s">
        <v>27</v>
      </c>
      <c r="T1" s="224" t="s">
        <v>27</v>
      </c>
      <c r="U1" s="224" t="s">
        <v>27</v>
      </c>
      <c r="V1" s="224" t="s">
        <v>27</v>
      </c>
      <c r="W1" s="224" t="s">
        <v>27</v>
      </c>
      <c r="X1" s="224" t="s">
        <v>27</v>
      </c>
      <c r="Y1" s="224" t="s">
        <v>27</v>
      </c>
      <c r="Z1" s="224" t="s">
        <v>27</v>
      </c>
      <c r="AA1" s="224" t="s">
        <v>27</v>
      </c>
      <c r="AB1" s="224" t="s">
        <v>27</v>
      </c>
    </row>
    <row r="2" spans="1:28" ht="38.4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92" customFormat="1" ht="25.05" customHeight="1" x14ac:dyDescent="0.3">
      <c r="A3" s="193">
        <v>1</v>
      </c>
      <c r="B3" s="194" t="s">
        <v>135</v>
      </c>
      <c r="C3" s="193" t="s">
        <v>26</v>
      </c>
      <c r="D3" s="193" t="s">
        <v>543</v>
      </c>
      <c r="E3" s="193" t="s">
        <v>27</v>
      </c>
      <c r="F3" s="193">
        <v>262497</v>
      </c>
      <c r="G3" s="193" t="s">
        <v>542</v>
      </c>
      <c r="H3" s="193">
        <v>225</v>
      </c>
      <c r="I3" s="195">
        <v>1.548</v>
      </c>
      <c r="J3" s="195">
        <v>1.62</v>
      </c>
      <c r="K3" s="193" t="s">
        <v>34</v>
      </c>
      <c r="L3" s="195">
        <v>564.24599999999998</v>
      </c>
      <c r="M3" s="196">
        <v>364.5</v>
      </c>
      <c r="N3" s="197">
        <v>0.1013</v>
      </c>
      <c r="O3" s="198">
        <v>6.08</v>
      </c>
      <c r="P3" s="193">
        <v>334.6</v>
      </c>
      <c r="Q3" s="193">
        <v>1</v>
      </c>
      <c r="R3" s="193">
        <v>1600</v>
      </c>
      <c r="S3" s="195">
        <v>1.548</v>
      </c>
      <c r="T3" s="193">
        <v>52</v>
      </c>
      <c r="U3" s="197">
        <v>3.2500000000000001E-2</v>
      </c>
      <c r="V3" s="193" t="s">
        <v>28</v>
      </c>
      <c r="W3" s="193" t="s">
        <v>29</v>
      </c>
      <c r="X3" s="193" t="s">
        <v>28</v>
      </c>
      <c r="Y3" s="193" t="s">
        <v>28</v>
      </c>
      <c r="Z3" s="193" t="s">
        <v>28</v>
      </c>
      <c r="AA3" s="193" t="s">
        <v>33</v>
      </c>
      <c r="AB3" s="193" t="s">
        <v>553</v>
      </c>
    </row>
    <row r="4" spans="1:28" s="167" customFormat="1" ht="25.05" customHeight="1" x14ac:dyDescent="0.3">
      <c r="A4" s="150">
        <v>2</v>
      </c>
      <c r="B4" s="151" t="s">
        <v>135</v>
      </c>
      <c r="C4" s="150" t="s">
        <v>26</v>
      </c>
      <c r="D4" s="150" t="s">
        <v>543</v>
      </c>
      <c r="E4" s="150" t="s">
        <v>27</v>
      </c>
      <c r="F4" s="150">
        <v>262501</v>
      </c>
      <c r="G4" s="150" t="s">
        <v>542</v>
      </c>
      <c r="H4" s="150">
        <v>510</v>
      </c>
      <c r="I4" s="152">
        <v>0.76600000000000001</v>
      </c>
      <c r="J4" s="152">
        <v>1.43</v>
      </c>
      <c r="K4" s="150" t="s">
        <v>34</v>
      </c>
      <c r="L4" s="152">
        <v>558.64400000000001</v>
      </c>
      <c r="M4" s="153">
        <v>364.6</v>
      </c>
      <c r="N4" s="154">
        <v>5.0599999999999999E-2</v>
      </c>
      <c r="O4" s="155">
        <v>3.04</v>
      </c>
      <c r="P4" s="150">
        <v>331.3</v>
      </c>
      <c r="Q4" s="150">
        <v>2</v>
      </c>
      <c r="R4" s="150">
        <v>1600</v>
      </c>
      <c r="S4" s="152">
        <v>1.532</v>
      </c>
      <c r="T4" s="150">
        <v>68</v>
      </c>
      <c r="U4" s="154">
        <v>4.2500000000000003E-2</v>
      </c>
      <c r="V4" s="150" t="s">
        <v>28</v>
      </c>
      <c r="W4" s="150" t="s">
        <v>29</v>
      </c>
      <c r="X4" s="150" t="s">
        <v>28</v>
      </c>
      <c r="Y4" s="150" t="s">
        <v>28</v>
      </c>
      <c r="Z4" s="150" t="s">
        <v>28</v>
      </c>
      <c r="AA4" s="150" t="s">
        <v>30</v>
      </c>
      <c r="AB4" s="150" t="s">
        <v>138</v>
      </c>
    </row>
    <row r="5" spans="1:28" s="192" customFormat="1" ht="25.05" customHeight="1" x14ac:dyDescent="0.3">
      <c r="A5" s="193">
        <v>3</v>
      </c>
      <c r="B5" s="194" t="s">
        <v>135</v>
      </c>
      <c r="C5" s="193" t="s">
        <v>26</v>
      </c>
      <c r="D5" s="193" t="s">
        <v>543</v>
      </c>
      <c r="E5" s="193" t="s">
        <v>27</v>
      </c>
      <c r="F5" s="193">
        <v>262495</v>
      </c>
      <c r="G5" s="193" t="s">
        <v>542</v>
      </c>
      <c r="H5" s="193">
        <v>395</v>
      </c>
      <c r="I5" s="195">
        <v>0.69</v>
      </c>
      <c r="J5" s="195">
        <v>2.0699999999999998</v>
      </c>
      <c r="K5" s="193" t="s">
        <v>34</v>
      </c>
      <c r="L5" s="195">
        <v>564.178</v>
      </c>
      <c r="M5" s="196">
        <v>408.8</v>
      </c>
      <c r="N5" s="197">
        <v>5.6800000000000003E-2</v>
      </c>
      <c r="O5" s="198">
        <v>3.41</v>
      </c>
      <c r="P5" s="193">
        <v>334.6</v>
      </c>
      <c r="Q5" s="193">
        <v>2</v>
      </c>
      <c r="R5" s="193">
        <v>1400</v>
      </c>
      <c r="S5" s="195">
        <v>1.38</v>
      </c>
      <c r="T5" s="193">
        <v>20</v>
      </c>
      <c r="U5" s="197">
        <v>1.43E-2</v>
      </c>
      <c r="V5" s="193" t="s">
        <v>28</v>
      </c>
      <c r="W5" s="193" t="s">
        <v>29</v>
      </c>
      <c r="X5" s="193" t="s">
        <v>28</v>
      </c>
      <c r="Y5" s="193" t="s">
        <v>28</v>
      </c>
      <c r="Z5" s="193" t="s">
        <v>28</v>
      </c>
      <c r="AA5" s="193" t="s">
        <v>30</v>
      </c>
      <c r="AB5" s="193" t="s">
        <v>552</v>
      </c>
    </row>
    <row r="6" spans="1:28" s="192" customFormat="1" ht="25.05" customHeight="1" x14ac:dyDescent="0.3">
      <c r="A6" s="193">
        <v>4</v>
      </c>
      <c r="B6" s="194" t="s">
        <v>135</v>
      </c>
      <c r="C6" s="193" t="s">
        <v>26</v>
      </c>
      <c r="D6" s="193" t="s">
        <v>543</v>
      </c>
      <c r="E6" s="193" t="s">
        <v>27</v>
      </c>
      <c r="F6" s="193">
        <v>262496</v>
      </c>
      <c r="G6" s="193" t="s">
        <v>542</v>
      </c>
      <c r="H6" s="193">
        <v>610</v>
      </c>
      <c r="I6" s="195">
        <v>1.29</v>
      </c>
      <c r="J6" s="195">
        <v>1.59</v>
      </c>
      <c r="K6" s="193" t="s">
        <v>34</v>
      </c>
      <c r="L6" s="195">
        <v>1251.171</v>
      </c>
      <c r="M6" s="196">
        <v>969.9</v>
      </c>
      <c r="N6" s="197">
        <v>0.26939999999999997</v>
      </c>
      <c r="O6" s="198">
        <v>16.170000000000002</v>
      </c>
      <c r="P6" s="193">
        <v>741.9</v>
      </c>
      <c r="Q6" s="193">
        <v>1</v>
      </c>
      <c r="R6" s="193">
        <v>1350</v>
      </c>
      <c r="S6" s="195">
        <v>1.29</v>
      </c>
      <c r="T6" s="193">
        <v>60</v>
      </c>
      <c r="U6" s="197">
        <v>4.4400000000000002E-2</v>
      </c>
      <c r="V6" s="193" t="s">
        <v>28</v>
      </c>
      <c r="W6" s="193" t="s">
        <v>29</v>
      </c>
      <c r="X6" s="193" t="s">
        <v>28</v>
      </c>
      <c r="Y6" s="193" t="s">
        <v>28</v>
      </c>
      <c r="Z6" s="193" t="s">
        <v>28</v>
      </c>
      <c r="AA6" s="193" t="s">
        <v>32</v>
      </c>
      <c r="AB6" s="193" t="s">
        <v>551</v>
      </c>
    </row>
    <row r="7" spans="1:28" s="192" customFormat="1" ht="25.05" customHeight="1" x14ac:dyDescent="0.3">
      <c r="A7" s="193">
        <v>5</v>
      </c>
      <c r="B7" s="194" t="s">
        <v>135</v>
      </c>
      <c r="C7" s="193" t="s">
        <v>26</v>
      </c>
      <c r="D7" s="193" t="s">
        <v>543</v>
      </c>
      <c r="E7" s="193" t="s">
        <v>27</v>
      </c>
      <c r="F7" s="193">
        <v>262494</v>
      </c>
      <c r="G7" s="193" t="s">
        <v>542</v>
      </c>
      <c r="H7" s="193">
        <v>700</v>
      </c>
      <c r="I7" s="195">
        <v>1.0740000000000001</v>
      </c>
      <c r="J7" s="195">
        <v>1.27</v>
      </c>
      <c r="K7" s="193" t="s">
        <v>34</v>
      </c>
      <c r="L7" s="195">
        <v>954.78599999999994</v>
      </c>
      <c r="M7" s="196">
        <v>889</v>
      </c>
      <c r="N7" s="197">
        <v>0.24690000000000001</v>
      </c>
      <c r="O7" s="198">
        <v>14.82</v>
      </c>
      <c r="P7" s="193">
        <v>566.20000000000005</v>
      </c>
      <c r="Q7" s="193">
        <v>1</v>
      </c>
      <c r="R7" s="193">
        <v>1100</v>
      </c>
      <c r="S7" s="195">
        <v>1.0740000000000001</v>
      </c>
      <c r="T7" s="193">
        <v>26</v>
      </c>
      <c r="U7" s="197">
        <v>2.3599999999999999E-2</v>
      </c>
      <c r="V7" s="193" t="s">
        <v>28</v>
      </c>
      <c r="W7" s="193" t="s">
        <v>29</v>
      </c>
      <c r="X7" s="193" t="s">
        <v>28</v>
      </c>
      <c r="Y7" s="193" t="s">
        <v>28</v>
      </c>
      <c r="Z7" s="193" t="s">
        <v>28</v>
      </c>
      <c r="AA7" s="193" t="s">
        <v>32</v>
      </c>
      <c r="AB7" s="193" t="s">
        <v>550</v>
      </c>
    </row>
    <row r="8" spans="1:28" s="167" customFormat="1" ht="25.05" customHeight="1" x14ac:dyDescent="0.3">
      <c r="A8" s="150">
        <v>6</v>
      </c>
      <c r="B8" s="151" t="s">
        <v>135</v>
      </c>
      <c r="C8" s="150" t="s">
        <v>26</v>
      </c>
      <c r="D8" s="150" t="s">
        <v>543</v>
      </c>
      <c r="E8" s="150" t="s">
        <v>27</v>
      </c>
      <c r="F8" s="150">
        <v>262502</v>
      </c>
      <c r="G8" s="150" t="s">
        <v>542</v>
      </c>
      <c r="H8" s="150">
        <v>550</v>
      </c>
      <c r="I8" s="152">
        <v>0.95599999999999996</v>
      </c>
      <c r="J8" s="152">
        <v>1.23</v>
      </c>
      <c r="K8" s="150" t="s">
        <v>34</v>
      </c>
      <c r="L8" s="152">
        <v>646.73400000000004</v>
      </c>
      <c r="M8" s="153">
        <v>676.5</v>
      </c>
      <c r="N8" s="154">
        <v>0.18790000000000001</v>
      </c>
      <c r="O8" s="155">
        <v>11.28</v>
      </c>
      <c r="P8" s="150">
        <v>383.5</v>
      </c>
      <c r="Q8" s="150">
        <v>1</v>
      </c>
      <c r="R8" s="150">
        <v>1000</v>
      </c>
      <c r="S8" s="152">
        <v>0.95599999999999996</v>
      </c>
      <c r="T8" s="150">
        <v>44</v>
      </c>
      <c r="U8" s="154">
        <v>4.3999999999999997E-2</v>
      </c>
      <c r="V8" s="150" t="s">
        <v>28</v>
      </c>
      <c r="W8" s="150" t="s">
        <v>29</v>
      </c>
      <c r="X8" s="150" t="s">
        <v>28</v>
      </c>
      <c r="Y8" s="150" t="s">
        <v>28</v>
      </c>
      <c r="Z8" s="150" t="s">
        <v>28</v>
      </c>
      <c r="AA8" s="150" t="s">
        <v>30</v>
      </c>
      <c r="AB8" s="150" t="s">
        <v>549</v>
      </c>
    </row>
    <row r="9" spans="1:28" s="167" customFormat="1" ht="25.05" customHeight="1" x14ac:dyDescent="0.3">
      <c r="A9" s="150">
        <v>7</v>
      </c>
      <c r="B9" s="151" t="s">
        <v>135</v>
      </c>
      <c r="C9" s="150" t="s">
        <v>26</v>
      </c>
      <c r="D9" s="150" t="s">
        <v>543</v>
      </c>
      <c r="E9" s="150" t="s">
        <v>27</v>
      </c>
      <c r="F9" s="150">
        <v>262503</v>
      </c>
      <c r="G9" s="150" t="s">
        <v>542</v>
      </c>
      <c r="H9" s="150">
        <v>550</v>
      </c>
      <c r="I9" s="152">
        <v>0.97099999999999997</v>
      </c>
      <c r="J9" s="152">
        <v>1.26</v>
      </c>
      <c r="K9" s="150" t="s">
        <v>34</v>
      </c>
      <c r="L9" s="152">
        <v>672.90300000000002</v>
      </c>
      <c r="M9" s="153">
        <v>693</v>
      </c>
      <c r="N9" s="154">
        <v>0.1925</v>
      </c>
      <c r="O9" s="155">
        <v>11.55</v>
      </c>
      <c r="P9" s="150">
        <v>399</v>
      </c>
      <c r="Q9" s="150">
        <v>1</v>
      </c>
      <c r="R9" s="150">
        <v>1000</v>
      </c>
      <c r="S9" s="152">
        <v>0.97099999999999997</v>
      </c>
      <c r="T9" s="150">
        <v>29</v>
      </c>
      <c r="U9" s="154">
        <v>2.9000000000000001E-2</v>
      </c>
      <c r="V9" s="150" t="s">
        <v>28</v>
      </c>
      <c r="W9" s="150" t="s">
        <v>29</v>
      </c>
      <c r="X9" s="150" t="s">
        <v>28</v>
      </c>
      <c r="Y9" s="150" t="s">
        <v>28</v>
      </c>
      <c r="Z9" s="150" t="s">
        <v>28</v>
      </c>
      <c r="AA9" s="150" t="s">
        <v>30</v>
      </c>
      <c r="AB9" s="150" t="s">
        <v>548</v>
      </c>
    </row>
    <row r="10" spans="1:28" s="167" customFormat="1" ht="25.05" customHeight="1" x14ac:dyDescent="0.3">
      <c r="A10" s="150">
        <v>8</v>
      </c>
      <c r="B10" s="151" t="s">
        <v>135</v>
      </c>
      <c r="C10" s="150" t="s">
        <v>296</v>
      </c>
      <c r="D10" s="150" t="s">
        <v>543</v>
      </c>
      <c r="E10" s="150" t="s">
        <v>27</v>
      </c>
      <c r="F10" s="150">
        <v>262504</v>
      </c>
      <c r="G10" s="150" t="s">
        <v>542</v>
      </c>
      <c r="H10" s="150">
        <v>375</v>
      </c>
      <c r="I10" s="152">
        <v>1.44</v>
      </c>
      <c r="J10" s="152">
        <v>1.538</v>
      </c>
      <c r="K10" s="150" t="s">
        <v>34</v>
      </c>
      <c r="L10" s="152">
        <v>830.52</v>
      </c>
      <c r="M10" s="153">
        <v>576.79999999999995</v>
      </c>
      <c r="N10" s="154">
        <v>0.16020000000000001</v>
      </c>
      <c r="O10" s="155">
        <v>9.61</v>
      </c>
      <c r="P10" s="150">
        <v>318.10000000000002</v>
      </c>
      <c r="Q10" s="150">
        <v>1</v>
      </c>
      <c r="R10" s="150">
        <v>1500</v>
      </c>
      <c r="S10" s="152">
        <v>1.44</v>
      </c>
      <c r="T10" s="150">
        <v>60</v>
      </c>
      <c r="U10" s="154">
        <v>0.04</v>
      </c>
      <c r="V10" s="150" t="s">
        <v>42</v>
      </c>
      <c r="W10" s="150" t="s">
        <v>29</v>
      </c>
      <c r="X10" s="150" t="s">
        <v>28</v>
      </c>
      <c r="Y10" s="150" t="s">
        <v>27</v>
      </c>
      <c r="Z10" s="150" t="s">
        <v>27</v>
      </c>
      <c r="AA10" s="150" t="s">
        <v>39</v>
      </c>
      <c r="AB10" s="150" t="s">
        <v>547</v>
      </c>
    </row>
    <row r="11" spans="1:28" s="167" customFormat="1" ht="25.05" customHeight="1" x14ac:dyDescent="0.3">
      <c r="A11" s="150">
        <v>9</v>
      </c>
      <c r="B11" s="151" t="s">
        <v>135</v>
      </c>
      <c r="C11" s="150" t="s">
        <v>36</v>
      </c>
      <c r="D11" s="150" t="s">
        <v>543</v>
      </c>
      <c r="E11" s="150" t="s">
        <v>27</v>
      </c>
      <c r="F11" s="150">
        <v>262505</v>
      </c>
      <c r="G11" s="150" t="s">
        <v>542</v>
      </c>
      <c r="H11" s="150">
        <v>1750</v>
      </c>
      <c r="I11" s="152">
        <v>0.74</v>
      </c>
      <c r="J11" s="152">
        <v>0.75</v>
      </c>
      <c r="K11" s="150" t="s">
        <v>34</v>
      </c>
      <c r="L11" s="152">
        <v>971.25</v>
      </c>
      <c r="M11" s="153">
        <v>656.3</v>
      </c>
      <c r="N11" s="154">
        <v>9.11E-2</v>
      </c>
      <c r="O11" s="155">
        <v>5.47</v>
      </c>
      <c r="P11" s="150">
        <v>335.1</v>
      </c>
      <c r="Q11" s="150">
        <v>2</v>
      </c>
      <c r="R11" s="150">
        <v>1500</v>
      </c>
      <c r="S11" s="152">
        <v>1.48</v>
      </c>
      <c r="T11" s="150">
        <v>20</v>
      </c>
      <c r="U11" s="154">
        <v>1.3299999999999999E-2</v>
      </c>
      <c r="V11" s="150" t="s">
        <v>28</v>
      </c>
      <c r="W11" s="150" t="s">
        <v>28</v>
      </c>
      <c r="X11" s="150" t="s">
        <v>28</v>
      </c>
      <c r="Y11" s="150" t="s">
        <v>27</v>
      </c>
      <c r="Z11" s="150" t="s">
        <v>27</v>
      </c>
      <c r="AA11" s="150" t="s">
        <v>30</v>
      </c>
      <c r="AB11" s="150" t="s">
        <v>546</v>
      </c>
    </row>
    <row r="12" spans="1:28" s="167" customFormat="1" ht="25.05" customHeight="1" x14ac:dyDescent="0.3">
      <c r="A12" s="150">
        <v>10</v>
      </c>
      <c r="B12" s="151" t="s">
        <v>135</v>
      </c>
      <c r="C12" s="150" t="s">
        <v>296</v>
      </c>
      <c r="D12" s="150" t="s">
        <v>543</v>
      </c>
      <c r="E12" s="150" t="s">
        <v>27</v>
      </c>
      <c r="F12" s="150">
        <v>262499</v>
      </c>
      <c r="G12" s="150" t="s">
        <v>542</v>
      </c>
      <c r="H12" s="150">
        <v>3200</v>
      </c>
      <c r="I12" s="152">
        <v>0.46100000000000002</v>
      </c>
      <c r="J12" s="152">
        <v>1.32</v>
      </c>
      <c r="K12" s="150" t="s">
        <v>34</v>
      </c>
      <c r="L12" s="152">
        <v>1947.2639999999999</v>
      </c>
      <c r="M12" s="153">
        <v>1408</v>
      </c>
      <c r="N12" s="154">
        <v>0.13039999999999999</v>
      </c>
      <c r="O12" s="155">
        <v>7.82</v>
      </c>
      <c r="P12" s="150">
        <v>745.8</v>
      </c>
      <c r="Q12" s="150">
        <v>3</v>
      </c>
      <c r="R12" s="150">
        <v>1450</v>
      </c>
      <c r="S12" s="152">
        <v>1.383</v>
      </c>
      <c r="T12" s="150">
        <v>67</v>
      </c>
      <c r="U12" s="154">
        <v>4.6199999999999998E-2</v>
      </c>
      <c r="V12" s="150" t="s">
        <v>42</v>
      </c>
      <c r="W12" s="150" t="s">
        <v>29</v>
      </c>
      <c r="X12" s="150" t="s">
        <v>28</v>
      </c>
      <c r="Y12" s="150" t="s">
        <v>27</v>
      </c>
      <c r="Z12" s="150" t="s">
        <v>27</v>
      </c>
      <c r="AA12" s="150" t="s">
        <v>32</v>
      </c>
      <c r="AB12" s="150" t="s">
        <v>545</v>
      </c>
    </row>
    <row r="13" spans="1:28" s="167" customFormat="1" ht="25.05" customHeight="1" x14ac:dyDescent="0.3">
      <c r="A13" s="150">
        <v>11</v>
      </c>
      <c r="B13" s="151" t="s">
        <v>135</v>
      </c>
      <c r="C13" s="150" t="s">
        <v>36</v>
      </c>
      <c r="D13" s="150" t="s">
        <v>543</v>
      </c>
      <c r="E13" s="150" t="s">
        <v>27</v>
      </c>
      <c r="F13" s="150">
        <v>262498</v>
      </c>
      <c r="G13" s="150" t="s">
        <v>542</v>
      </c>
      <c r="H13" s="150">
        <v>3550</v>
      </c>
      <c r="I13" s="152">
        <v>0.3</v>
      </c>
      <c r="J13" s="152">
        <v>0.9</v>
      </c>
      <c r="K13" s="150" t="s">
        <v>34</v>
      </c>
      <c r="L13" s="152">
        <v>958.5</v>
      </c>
      <c r="M13" s="153">
        <v>1065</v>
      </c>
      <c r="N13" s="154">
        <v>9.8599999999999993E-2</v>
      </c>
      <c r="O13" s="155">
        <v>5.92</v>
      </c>
      <c r="P13" s="150">
        <v>330.7</v>
      </c>
      <c r="Q13" s="150">
        <v>3</v>
      </c>
      <c r="R13" s="150">
        <v>950</v>
      </c>
      <c r="S13" s="152">
        <v>0.9</v>
      </c>
      <c r="T13" s="150">
        <v>50</v>
      </c>
      <c r="U13" s="154">
        <v>5.2600000000000001E-2</v>
      </c>
      <c r="V13" s="150" t="s">
        <v>28</v>
      </c>
      <c r="W13" s="150" t="s">
        <v>28</v>
      </c>
      <c r="X13" s="150" t="s">
        <v>28</v>
      </c>
      <c r="Y13" s="150" t="s">
        <v>27</v>
      </c>
      <c r="Z13" s="150" t="s">
        <v>27</v>
      </c>
      <c r="AA13" s="150" t="s">
        <v>33</v>
      </c>
      <c r="AB13" s="150" t="s">
        <v>544</v>
      </c>
    </row>
    <row r="14" spans="1:28" s="167" customFormat="1" ht="25.05" customHeight="1" x14ac:dyDescent="0.3">
      <c r="A14" s="150">
        <v>12</v>
      </c>
      <c r="B14" s="151" t="s">
        <v>135</v>
      </c>
      <c r="C14" s="150" t="s">
        <v>36</v>
      </c>
      <c r="D14" s="150" t="s">
        <v>543</v>
      </c>
      <c r="E14" s="150" t="s">
        <v>27</v>
      </c>
      <c r="F14" s="150">
        <v>262500</v>
      </c>
      <c r="G14" s="150" t="s">
        <v>542</v>
      </c>
      <c r="H14" s="150">
        <v>6000</v>
      </c>
      <c r="I14" s="152">
        <v>0.374</v>
      </c>
      <c r="J14" s="152">
        <v>0.44</v>
      </c>
      <c r="K14" s="150" t="s">
        <v>541</v>
      </c>
      <c r="L14" s="152">
        <v>987.36</v>
      </c>
      <c r="M14" s="153">
        <v>1320</v>
      </c>
      <c r="N14" s="154">
        <v>0.18329999999999999</v>
      </c>
      <c r="O14" s="155">
        <v>11</v>
      </c>
      <c r="P14" s="150">
        <v>340.6</v>
      </c>
      <c r="Q14" s="150">
        <v>2</v>
      </c>
      <c r="R14" s="150">
        <v>800</v>
      </c>
      <c r="S14" s="152">
        <v>0.748</v>
      </c>
      <c r="T14" s="150">
        <v>52</v>
      </c>
      <c r="U14" s="154">
        <v>6.5000000000000002E-2</v>
      </c>
      <c r="V14" s="150" t="s">
        <v>28</v>
      </c>
      <c r="W14" s="150" t="s">
        <v>28</v>
      </c>
      <c r="X14" s="150" t="s">
        <v>28</v>
      </c>
      <c r="Y14" s="150" t="s">
        <v>27</v>
      </c>
      <c r="Z14" s="150" t="s">
        <v>27</v>
      </c>
      <c r="AA14" s="150" t="s">
        <v>33</v>
      </c>
      <c r="AB14" s="150" t="s">
        <v>540</v>
      </c>
    </row>
    <row r="15" spans="1:28" s="167" customFormat="1" ht="25.05" customHeight="1" x14ac:dyDescent="0.3">
      <c r="A15" s="157" t="s">
        <v>27</v>
      </c>
      <c r="B15" s="157" t="s">
        <v>27</v>
      </c>
      <c r="C15" s="157" t="s">
        <v>27</v>
      </c>
      <c r="D15" s="157" t="s">
        <v>27</v>
      </c>
      <c r="E15" s="157" t="s">
        <v>27</v>
      </c>
      <c r="F15" s="157" t="s">
        <v>27</v>
      </c>
      <c r="G15" s="157" t="s">
        <v>27</v>
      </c>
      <c r="H15" s="157">
        <v>18415</v>
      </c>
      <c r="I15" s="157" t="s">
        <v>27</v>
      </c>
      <c r="J15" s="157" t="s">
        <v>27</v>
      </c>
      <c r="K15" s="157" t="s">
        <v>27</v>
      </c>
      <c r="L15" s="157" t="s">
        <v>27</v>
      </c>
      <c r="M15" s="157" t="s">
        <v>27</v>
      </c>
      <c r="N15" s="157" t="s">
        <v>27</v>
      </c>
      <c r="O15" s="157" t="s">
        <v>27</v>
      </c>
      <c r="P15" s="157">
        <v>5161.3999999999996</v>
      </c>
      <c r="Q15" s="157" t="s">
        <v>27</v>
      </c>
      <c r="R15" s="157" t="s">
        <v>27</v>
      </c>
      <c r="S15" s="157" t="s">
        <v>27</v>
      </c>
      <c r="T15" s="157" t="s">
        <v>27</v>
      </c>
      <c r="U15" s="157" t="s">
        <v>27</v>
      </c>
      <c r="V15" s="157" t="s">
        <v>27</v>
      </c>
      <c r="W15" s="157" t="s">
        <v>27</v>
      </c>
      <c r="X15" s="157" t="s">
        <v>27</v>
      </c>
      <c r="Y15" s="157" t="s">
        <v>27</v>
      </c>
      <c r="Z15" s="157" t="s">
        <v>27</v>
      </c>
      <c r="AA15" s="157" t="s">
        <v>27</v>
      </c>
      <c r="AB15" s="157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33604D-F09D-4B28-9030-58F43B5A3A1D}">
  <sheetPr>
    <pageSetUpPr fitToPage="1"/>
  </sheetPr>
  <dimension ref="A1:AB10"/>
  <sheetViews>
    <sheetView workbookViewId="0">
      <selection activeCell="AD7" sqref="AD7"/>
    </sheetView>
  </sheetViews>
  <sheetFormatPr defaultRowHeight="14.4" x14ac:dyDescent="0.3"/>
  <cols>
    <col min="1" max="1" width="4.109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109375" style="1" customWidth="1"/>
    <col min="6" max="6" width="8.77734375" style="1" customWidth="1"/>
    <col min="7" max="7" width="7.21875" style="1" customWidth="1"/>
    <col min="8" max="8" width="6.5546875" style="1" customWidth="1"/>
    <col min="9" max="9" width="6.88671875" style="1" customWidth="1"/>
    <col min="10" max="10" width="7" style="1" customWidth="1"/>
    <col min="11" max="11" width="12.77734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3.6640625" style="1" customWidth="1"/>
    <col min="18" max="18" width="7.55468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8.6640625" style="1" customWidth="1"/>
    <col min="23" max="23" width="8.33203125" style="1" customWidth="1"/>
    <col min="24" max="24" width="9.21875" style="1" customWidth="1"/>
    <col min="25" max="25" width="9" style="1" customWidth="1"/>
    <col min="26" max="26" width="9.33203125" style="1" customWidth="1"/>
    <col min="27" max="27" width="4.77734375" style="1" customWidth="1"/>
    <col min="28" max="28" width="12.21875" style="1" customWidth="1"/>
    <col min="29" max="16384" width="8.88671875" style="1"/>
  </cols>
  <sheetData>
    <row r="1" spans="1:28" ht="18" customHeight="1" x14ac:dyDescent="0.35">
      <c r="A1" s="222" t="s">
        <v>539</v>
      </c>
      <c r="B1" s="222" t="s">
        <v>27</v>
      </c>
      <c r="C1" s="222" t="s">
        <v>27</v>
      </c>
      <c r="D1" s="222" t="s">
        <v>27</v>
      </c>
      <c r="E1" s="222" t="s">
        <v>27</v>
      </c>
      <c r="F1" s="222" t="s">
        <v>27</v>
      </c>
      <c r="G1" s="222" t="s">
        <v>27</v>
      </c>
      <c r="H1" s="222" t="s">
        <v>27</v>
      </c>
      <c r="I1" s="222" t="s">
        <v>27</v>
      </c>
      <c r="J1" s="222" t="s">
        <v>27</v>
      </c>
      <c r="K1" s="222" t="s">
        <v>27</v>
      </c>
      <c r="L1" s="222" t="s">
        <v>27</v>
      </c>
      <c r="M1" s="222" t="s">
        <v>27</v>
      </c>
      <c r="N1" s="222" t="s">
        <v>27</v>
      </c>
      <c r="O1" s="222" t="s">
        <v>27</v>
      </c>
      <c r="P1" s="222" t="s">
        <v>27</v>
      </c>
      <c r="Q1" s="222" t="s">
        <v>27</v>
      </c>
      <c r="R1" s="222" t="s">
        <v>27</v>
      </c>
      <c r="S1" s="222" t="s">
        <v>27</v>
      </c>
      <c r="T1" s="222" t="s">
        <v>27</v>
      </c>
      <c r="U1" s="222" t="s">
        <v>27</v>
      </c>
      <c r="V1" s="222" t="s">
        <v>27</v>
      </c>
      <c r="W1" s="222" t="s">
        <v>27</v>
      </c>
      <c r="X1" s="222" t="s">
        <v>27</v>
      </c>
      <c r="Y1" s="222" t="s">
        <v>27</v>
      </c>
      <c r="Z1" s="222" t="s">
        <v>27</v>
      </c>
      <c r="AA1" s="222" t="s">
        <v>27</v>
      </c>
      <c r="AB1" s="222" t="s">
        <v>27</v>
      </c>
    </row>
    <row r="2" spans="1:28" s="12" customFormat="1" ht="46.8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32" customFormat="1" ht="25.05" customHeight="1" x14ac:dyDescent="0.3">
      <c r="A3" s="126">
        <v>1</v>
      </c>
      <c r="B3" s="127" t="s">
        <v>416</v>
      </c>
      <c r="C3" s="126" t="s">
        <v>36</v>
      </c>
      <c r="D3" s="126" t="s">
        <v>74</v>
      </c>
      <c r="E3" s="126" t="s">
        <v>27</v>
      </c>
      <c r="F3" s="126">
        <v>262491</v>
      </c>
      <c r="G3" s="126" t="s">
        <v>536</v>
      </c>
      <c r="H3" s="126">
        <v>1300</v>
      </c>
      <c r="I3" s="128">
        <v>0.77500000000000002</v>
      </c>
      <c r="J3" s="128">
        <v>0.99</v>
      </c>
      <c r="K3" s="126" t="s">
        <v>424</v>
      </c>
      <c r="L3" s="128">
        <v>997.42499999999995</v>
      </c>
      <c r="M3" s="129">
        <v>643.5</v>
      </c>
      <c r="N3" s="130">
        <v>8.9399999999999993E-2</v>
      </c>
      <c r="O3" s="131">
        <v>5.36</v>
      </c>
      <c r="P3" s="126">
        <v>344.1</v>
      </c>
      <c r="Q3" s="126">
        <v>2</v>
      </c>
      <c r="R3" s="126">
        <v>1600</v>
      </c>
      <c r="S3" s="128">
        <v>1.55</v>
      </c>
      <c r="T3" s="126">
        <v>50</v>
      </c>
      <c r="U3" s="130">
        <v>3.1300000000000001E-2</v>
      </c>
      <c r="V3" s="126" t="s">
        <v>28</v>
      </c>
      <c r="W3" s="126" t="s">
        <v>28</v>
      </c>
      <c r="X3" s="126" t="s">
        <v>28</v>
      </c>
      <c r="Y3" s="126" t="s">
        <v>27</v>
      </c>
      <c r="Z3" s="126" t="s">
        <v>27</v>
      </c>
      <c r="AA3" s="126" t="s">
        <v>33</v>
      </c>
      <c r="AB3" s="126" t="s">
        <v>423</v>
      </c>
    </row>
    <row r="4" spans="1:28" s="12" customFormat="1" ht="25.05" customHeight="1" x14ac:dyDescent="0.3">
      <c r="A4" s="5">
        <v>2</v>
      </c>
      <c r="B4" s="10" t="s">
        <v>416</v>
      </c>
      <c r="C4" s="5" t="s">
        <v>36</v>
      </c>
      <c r="D4" s="5" t="s">
        <v>422</v>
      </c>
      <c r="E4" s="5" t="s">
        <v>27</v>
      </c>
      <c r="F4" s="5">
        <v>262439</v>
      </c>
      <c r="G4" s="5" t="s">
        <v>419</v>
      </c>
      <c r="H4" s="5">
        <v>2600</v>
      </c>
      <c r="I4" s="7">
        <v>0.51</v>
      </c>
      <c r="J4" s="7">
        <v>0.72499999999999998</v>
      </c>
      <c r="K4" s="5" t="s">
        <v>34</v>
      </c>
      <c r="L4" s="7">
        <v>961.35</v>
      </c>
      <c r="M4" s="9">
        <v>628.29999999999995</v>
      </c>
      <c r="N4" s="6">
        <v>5.8200000000000002E-2</v>
      </c>
      <c r="O4" s="8">
        <v>3.49</v>
      </c>
      <c r="P4" s="5">
        <v>331.7</v>
      </c>
      <c r="Q4" s="5">
        <v>3</v>
      </c>
      <c r="R4" s="5">
        <v>1550</v>
      </c>
      <c r="S4" s="7">
        <v>1.53</v>
      </c>
      <c r="T4" s="5">
        <v>20</v>
      </c>
      <c r="U4" s="6">
        <v>1.29E-2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33</v>
      </c>
      <c r="AB4" s="5" t="s">
        <v>421</v>
      </c>
    </row>
    <row r="5" spans="1:28" s="132" customFormat="1" ht="25.05" customHeight="1" x14ac:dyDescent="0.3">
      <c r="A5" s="126">
        <v>2</v>
      </c>
      <c r="B5" s="127" t="s">
        <v>416</v>
      </c>
      <c r="C5" s="126" t="s">
        <v>36</v>
      </c>
      <c r="D5" s="126" t="s">
        <v>74</v>
      </c>
      <c r="E5" s="126" t="s">
        <v>27</v>
      </c>
      <c r="F5" s="126">
        <v>262492</v>
      </c>
      <c r="G5" s="126" t="s">
        <v>536</v>
      </c>
      <c r="H5" s="126">
        <v>3000</v>
      </c>
      <c r="I5" s="128">
        <v>0.43</v>
      </c>
      <c r="J5" s="128">
        <v>0.65</v>
      </c>
      <c r="K5" s="126" t="s">
        <v>34</v>
      </c>
      <c r="L5" s="128">
        <v>838.5</v>
      </c>
      <c r="M5" s="129">
        <v>650</v>
      </c>
      <c r="N5" s="130">
        <v>6.0199999999999997E-2</v>
      </c>
      <c r="O5" s="131">
        <v>3.61</v>
      </c>
      <c r="P5" s="126">
        <v>289.3</v>
      </c>
      <c r="Q5" s="126">
        <v>3</v>
      </c>
      <c r="R5" s="126">
        <v>1350</v>
      </c>
      <c r="S5" s="128">
        <v>1.29</v>
      </c>
      <c r="T5" s="126">
        <v>60</v>
      </c>
      <c r="U5" s="130">
        <v>4.4400000000000002E-2</v>
      </c>
      <c r="V5" s="126" t="s">
        <v>28</v>
      </c>
      <c r="W5" s="126" t="s">
        <v>28</v>
      </c>
      <c r="X5" s="126" t="s">
        <v>28</v>
      </c>
      <c r="Y5" s="126" t="s">
        <v>27</v>
      </c>
      <c r="Z5" s="126" t="s">
        <v>27</v>
      </c>
      <c r="AA5" s="126" t="s">
        <v>33</v>
      </c>
      <c r="AB5" s="126" t="s">
        <v>420</v>
      </c>
    </row>
    <row r="6" spans="1:28" s="12" customFormat="1" ht="25.05" customHeight="1" x14ac:dyDescent="0.3">
      <c r="A6" s="5">
        <v>3</v>
      </c>
      <c r="B6" s="10" t="s">
        <v>416</v>
      </c>
      <c r="C6" s="5" t="s">
        <v>36</v>
      </c>
      <c r="D6" s="5" t="s">
        <v>74</v>
      </c>
      <c r="E6" s="5" t="s">
        <v>27</v>
      </c>
      <c r="F6" s="5">
        <v>262493</v>
      </c>
      <c r="G6" s="5" t="s">
        <v>538</v>
      </c>
      <c r="H6" s="5">
        <v>2000</v>
      </c>
      <c r="I6" s="7">
        <v>0.63500000000000001</v>
      </c>
      <c r="J6" s="7">
        <v>0.85</v>
      </c>
      <c r="K6" s="5" t="s">
        <v>34</v>
      </c>
      <c r="L6" s="7">
        <v>1079.5</v>
      </c>
      <c r="M6" s="9">
        <v>850</v>
      </c>
      <c r="N6" s="6">
        <v>0.1181</v>
      </c>
      <c r="O6" s="8">
        <v>7.08</v>
      </c>
      <c r="P6" s="5">
        <v>372.4</v>
      </c>
      <c r="Q6" s="5">
        <v>2</v>
      </c>
      <c r="R6" s="5">
        <v>1300</v>
      </c>
      <c r="S6" s="7">
        <v>1.27</v>
      </c>
      <c r="T6" s="5">
        <v>30</v>
      </c>
      <c r="U6" s="6">
        <v>2.3099999999999999E-2</v>
      </c>
      <c r="V6" s="5" t="s">
        <v>28</v>
      </c>
      <c r="W6" s="5" t="s">
        <v>28</v>
      </c>
      <c r="X6" s="5" t="s">
        <v>28</v>
      </c>
      <c r="Y6" s="5" t="s">
        <v>27</v>
      </c>
      <c r="Z6" s="5" t="s">
        <v>27</v>
      </c>
      <c r="AA6" s="5" t="s">
        <v>33</v>
      </c>
      <c r="AB6" s="5" t="s">
        <v>537</v>
      </c>
    </row>
    <row r="7" spans="1:28" s="12" customFormat="1" ht="25.05" customHeight="1" x14ac:dyDescent="0.3">
      <c r="A7" s="5">
        <v>4</v>
      </c>
      <c r="B7" s="10" t="s">
        <v>416</v>
      </c>
      <c r="C7" s="5" t="s">
        <v>36</v>
      </c>
      <c r="D7" s="5" t="s">
        <v>74</v>
      </c>
      <c r="E7" s="5" t="s">
        <v>27</v>
      </c>
      <c r="F7" s="5">
        <v>262438</v>
      </c>
      <c r="G7" s="5" t="s">
        <v>419</v>
      </c>
      <c r="H7" s="5">
        <v>4000</v>
      </c>
      <c r="I7" s="7">
        <v>0.41</v>
      </c>
      <c r="J7" s="7">
        <v>0.59</v>
      </c>
      <c r="K7" s="5" t="s">
        <v>34</v>
      </c>
      <c r="L7" s="7">
        <v>944.64</v>
      </c>
      <c r="M7" s="9">
        <v>768</v>
      </c>
      <c r="N7" s="6">
        <v>7.1099999999999997E-2</v>
      </c>
      <c r="O7" s="8">
        <v>4.2699999999999996</v>
      </c>
      <c r="P7" s="5">
        <v>325.89999999999998</v>
      </c>
      <c r="Q7" s="5">
        <v>3</v>
      </c>
      <c r="R7" s="5">
        <v>1250</v>
      </c>
      <c r="S7" s="7">
        <v>1.23</v>
      </c>
      <c r="T7" s="5">
        <v>20</v>
      </c>
      <c r="U7" s="6">
        <v>1.6E-2</v>
      </c>
      <c r="V7" s="5" t="s">
        <v>28</v>
      </c>
      <c r="W7" s="5" t="s">
        <v>28</v>
      </c>
      <c r="X7" s="5" t="s">
        <v>28</v>
      </c>
      <c r="Y7" s="5" t="s">
        <v>27</v>
      </c>
      <c r="Z7" s="5" t="s">
        <v>27</v>
      </c>
      <c r="AA7" s="5" t="s">
        <v>33</v>
      </c>
      <c r="AB7" s="5" t="s">
        <v>418</v>
      </c>
    </row>
    <row r="8" spans="1:28" s="12" customFormat="1" ht="25.05" customHeight="1" x14ac:dyDescent="0.3">
      <c r="A8" s="5">
        <v>4</v>
      </c>
      <c r="B8" s="10" t="s">
        <v>416</v>
      </c>
      <c r="C8" s="5" t="s">
        <v>43</v>
      </c>
      <c r="D8" s="5" t="s">
        <v>74</v>
      </c>
      <c r="E8" s="5" t="s">
        <v>27</v>
      </c>
      <c r="F8" s="5">
        <v>262489</v>
      </c>
      <c r="G8" s="5" t="s">
        <v>536</v>
      </c>
      <c r="H8" s="5">
        <v>1500</v>
      </c>
      <c r="I8" s="7">
        <v>0.57699999999999996</v>
      </c>
      <c r="J8" s="7">
        <v>1.1100000000000001</v>
      </c>
      <c r="K8" s="5" t="s">
        <v>415</v>
      </c>
      <c r="L8" s="7">
        <v>960.70500000000004</v>
      </c>
      <c r="M8" s="9">
        <v>832.5</v>
      </c>
      <c r="N8" s="6">
        <v>0.11559999999999999</v>
      </c>
      <c r="O8" s="8">
        <v>6.94</v>
      </c>
      <c r="P8" s="5">
        <v>353.5</v>
      </c>
      <c r="Q8" s="5">
        <v>2</v>
      </c>
      <c r="R8" s="5">
        <v>1250</v>
      </c>
      <c r="S8" s="7">
        <v>1.1539999999999999</v>
      </c>
      <c r="T8" s="5">
        <v>96</v>
      </c>
      <c r="U8" s="6">
        <v>7.6799999999999993E-2</v>
      </c>
      <c r="V8" s="5" t="s">
        <v>29</v>
      </c>
      <c r="W8" s="5" t="s">
        <v>29</v>
      </c>
      <c r="X8" s="5" t="s">
        <v>28</v>
      </c>
      <c r="Y8" s="5" t="s">
        <v>27</v>
      </c>
      <c r="Z8" s="5" t="s">
        <v>27</v>
      </c>
      <c r="AA8" s="5" t="s">
        <v>33</v>
      </c>
      <c r="AB8" s="5" t="s">
        <v>417</v>
      </c>
    </row>
    <row r="9" spans="1:28" s="12" customFormat="1" ht="25.05" customHeight="1" x14ac:dyDescent="0.3">
      <c r="A9" s="5">
        <v>5</v>
      </c>
      <c r="B9" s="10" t="s">
        <v>416</v>
      </c>
      <c r="C9" s="5" t="s">
        <v>43</v>
      </c>
      <c r="D9" s="5" t="s">
        <v>74</v>
      </c>
      <c r="E9" s="5" t="s">
        <v>27</v>
      </c>
      <c r="F9" s="5">
        <v>262490</v>
      </c>
      <c r="G9" s="5" t="s">
        <v>536</v>
      </c>
      <c r="H9" s="5">
        <v>2500</v>
      </c>
      <c r="I9" s="7">
        <v>0.57699999999999996</v>
      </c>
      <c r="J9" s="7">
        <v>0.84</v>
      </c>
      <c r="K9" s="5" t="s">
        <v>415</v>
      </c>
      <c r="L9" s="7">
        <v>1211.7</v>
      </c>
      <c r="M9" s="9">
        <v>1050</v>
      </c>
      <c r="N9" s="6">
        <v>0.14580000000000001</v>
      </c>
      <c r="O9" s="8">
        <v>8.75</v>
      </c>
      <c r="P9" s="5">
        <v>445.9</v>
      </c>
      <c r="Q9" s="5">
        <v>2</v>
      </c>
      <c r="R9" s="5">
        <v>1200</v>
      </c>
      <c r="S9" s="7">
        <v>1.1539999999999999</v>
      </c>
      <c r="T9" s="5">
        <v>46</v>
      </c>
      <c r="U9" s="6">
        <v>3.8300000000000001E-2</v>
      </c>
      <c r="V9" s="5" t="s">
        <v>29</v>
      </c>
      <c r="W9" s="5" t="s">
        <v>29</v>
      </c>
      <c r="X9" s="5" t="s">
        <v>28</v>
      </c>
      <c r="Y9" s="5" t="s">
        <v>27</v>
      </c>
      <c r="Z9" s="5" t="s">
        <v>27</v>
      </c>
      <c r="AA9" s="5" t="s">
        <v>33</v>
      </c>
      <c r="AB9" s="5" t="s">
        <v>414</v>
      </c>
    </row>
    <row r="10" spans="1:28" x14ac:dyDescent="0.3">
      <c r="A10" s="28" t="s">
        <v>27</v>
      </c>
      <c r="B10" s="28" t="s">
        <v>27</v>
      </c>
      <c r="C10" s="28" t="s">
        <v>27</v>
      </c>
      <c r="D10" s="28" t="s">
        <v>27</v>
      </c>
      <c r="E10" s="28" t="s">
        <v>27</v>
      </c>
      <c r="F10" s="28" t="s">
        <v>27</v>
      </c>
      <c r="G10" s="28" t="s">
        <v>27</v>
      </c>
      <c r="H10" s="28">
        <v>10300</v>
      </c>
      <c r="I10" s="28" t="s">
        <v>27</v>
      </c>
      <c r="J10" s="28" t="s">
        <v>27</v>
      </c>
      <c r="K10" s="28" t="s">
        <v>27</v>
      </c>
      <c r="L10" s="27" t="s">
        <v>27</v>
      </c>
      <c r="M10" s="27" t="s">
        <v>27</v>
      </c>
      <c r="N10" s="27" t="s">
        <v>27</v>
      </c>
      <c r="O10" s="27" t="s">
        <v>27</v>
      </c>
      <c r="P10" s="27">
        <v>1805.3</v>
      </c>
      <c r="Q10" s="27" t="s">
        <v>27</v>
      </c>
      <c r="R10" s="27" t="s">
        <v>27</v>
      </c>
      <c r="S10" s="27" t="s">
        <v>27</v>
      </c>
      <c r="T10" s="27" t="s">
        <v>27</v>
      </c>
      <c r="U10" s="27" t="s">
        <v>27</v>
      </c>
      <c r="V10" s="27" t="s">
        <v>27</v>
      </c>
      <c r="W10" s="27" t="s">
        <v>27</v>
      </c>
      <c r="X10" s="27" t="s">
        <v>27</v>
      </c>
      <c r="Y10" s="27" t="s">
        <v>27</v>
      </c>
      <c r="Z10" s="27" t="s">
        <v>27</v>
      </c>
      <c r="AA10" s="27" t="s">
        <v>27</v>
      </c>
      <c r="AB10" s="27" t="s">
        <v>27</v>
      </c>
    </row>
  </sheetData>
  <mergeCells count="1">
    <mergeCell ref="A1:AB1"/>
  </mergeCells>
  <pageMargins left="0.4" right="0.511811024" top="1.57" bottom="0.78740157499999996" header="0.31496062000000002" footer="0.31496062000000002"/>
  <pageSetup paperSize="9" scale="87" orientation="landscape" horizontalDpi="360" verticalDpi="36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C26643-F055-4507-8AE6-16619556FFB2}">
  <sheetPr>
    <pageSetUpPr fitToPage="1"/>
  </sheetPr>
  <dimension ref="A1:AB4"/>
  <sheetViews>
    <sheetView workbookViewId="0">
      <selection sqref="A1:AB4"/>
    </sheetView>
  </sheetViews>
  <sheetFormatPr defaultRowHeight="14.4" x14ac:dyDescent="0.3"/>
  <cols>
    <col min="1" max="1" width="4.77734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5546875" style="1" customWidth="1"/>
    <col min="7" max="7" width="5.6640625" style="1" customWidth="1"/>
    <col min="8" max="8" width="6.5546875" style="1" customWidth="1"/>
    <col min="9" max="9" width="7" style="1" customWidth="1"/>
    <col min="10" max="10" width="6.21875" style="1" customWidth="1"/>
    <col min="11" max="11" width="6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21875" style="1" customWidth="1"/>
    <col min="17" max="17" width="4.44140625" style="1" customWidth="1"/>
    <col min="18" max="18" width="6.10937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7.88671875" style="1" customWidth="1"/>
    <col min="24" max="24" width="8" style="1" customWidth="1"/>
    <col min="25" max="25" width="9.88671875" style="1" customWidth="1"/>
    <col min="26" max="26" width="9.77734375" style="1" customWidth="1"/>
    <col min="27" max="27" width="4.6640625" style="1" customWidth="1"/>
    <col min="28" max="28" width="9.33203125" style="1" customWidth="1"/>
    <col min="29" max="16384" width="8.88671875" style="1"/>
  </cols>
  <sheetData>
    <row r="1" spans="1:28" ht="18" customHeight="1" x14ac:dyDescent="0.35">
      <c r="A1" s="222" t="s">
        <v>535</v>
      </c>
      <c r="B1" s="222" t="s">
        <v>27</v>
      </c>
      <c r="C1" s="222" t="s">
        <v>27</v>
      </c>
      <c r="D1" s="222" t="s">
        <v>27</v>
      </c>
      <c r="E1" s="222" t="s">
        <v>27</v>
      </c>
      <c r="F1" s="222" t="s">
        <v>27</v>
      </c>
      <c r="G1" s="222" t="s">
        <v>27</v>
      </c>
      <c r="H1" s="222" t="s">
        <v>27</v>
      </c>
      <c r="I1" s="222" t="s">
        <v>27</v>
      </c>
      <c r="J1" s="222" t="s">
        <v>27</v>
      </c>
      <c r="K1" s="222" t="s">
        <v>27</v>
      </c>
      <c r="L1" s="222" t="s">
        <v>27</v>
      </c>
      <c r="M1" s="222" t="s">
        <v>27</v>
      </c>
      <c r="N1" s="222" t="s">
        <v>27</v>
      </c>
      <c r="O1" s="222" t="s">
        <v>27</v>
      </c>
      <c r="P1" s="222" t="s">
        <v>27</v>
      </c>
      <c r="Q1" s="222" t="s">
        <v>27</v>
      </c>
      <c r="R1" s="222" t="s">
        <v>27</v>
      </c>
      <c r="S1" s="222" t="s">
        <v>27</v>
      </c>
      <c r="T1" s="222" t="s">
        <v>27</v>
      </c>
      <c r="U1" s="222" t="s">
        <v>27</v>
      </c>
      <c r="V1" s="222" t="s">
        <v>27</v>
      </c>
      <c r="W1" s="222" t="s">
        <v>27</v>
      </c>
      <c r="X1" s="222" t="s">
        <v>27</v>
      </c>
      <c r="Y1" s="222" t="s">
        <v>27</v>
      </c>
      <c r="Z1" s="222" t="s">
        <v>27</v>
      </c>
      <c r="AA1" s="222" t="s">
        <v>27</v>
      </c>
      <c r="AB1" s="222" t="s">
        <v>27</v>
      </c>
    </row>
    <row r="2" spans="1:28" ht="5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x14ac:dyDescent="0.3">
      <c r="A3" s="5">
        <v>1</v>
      </c>
      <c r="B3" s="10" t="s">
        <v>326</v>
      </c>
      <c r="C3" s="5" t="s">
        <v>50</v>
      </c>
      <c r="D3" s="5" t="s">
        <v>534</v>
      </c>
      <c r="E3" s="5" t="s">
        <v>27</v>
      </c>
      <c r="F3" s="5">
        <v>262487</v>
      </c>
      <c r="G3" s="5" t="s">
        <v>533</v>
      </c>
      <c r="H3" s="5">
        <v>8250</v>
      </c>
      <c r="I3" s="7">
        <v>0.59499999999999997</v>
      </c>
      <c r="J3" s="7">
        <v>0.78600000000000003</v>
      </c>
      <c r="K3" s="5" t="s">
        <v>34</v>
      </c>
      <c r="L3" s="7">
        <v>3858.277</v>
      </c>
      <c r="M3" s="9">
        <v>3242.3</v>
      </c>
      <c r="N3" s="6">
        <v>0.45029999999999998</v>
      </c>
      <c r="O3" s="8">
        <v>27.02</v>
      </c>
      <c r="P3" s="5">
        <v>1408.3</v>
      </c>
      <c r="Q3" s="5">
        <v>2</v>
      </c>
      <c r="R3" s="5">
        <v>1250</v>
      </c>
      <c r="S3" s="7">
        <v>1.19</v>
      </c>
      <c r="T3" s="5">
        <v>60</v>
      </c>
      <c r="U3" s="6">
        <v>4.8000000000000001E-2</v>
      </c>
      <c r="V3" s="5" t="s">
        <v>29</v>
      </c>
      <c r="W3" s="5" t="s">
        <v>28</v>
      </c>
      <c r="X3" s="5" t="s">
        <v>29</v>
      </c>
      <c r="Y3" s="5" t="s">
        <v>27</v>
      </c>
      <c r="Z3" s="5" t="s">
        <v>27</v>
      </c>
      <c r="AA3" s="5" t="s">
        <v>57</v>
      </c>
      <c r="AB3" s="5" t="s">
        <v>532</v>
      </c>
    </row>
    <row r="4" spans="1:28" x14ac:dyDescent="0.3">
      <c r="A4" s="28" t="s">
        <v>27</v>
      </c>
      <c r="B4" s="28" t="s">
        <v>27</v>
      </c>
      <c r="C4" s="28" t="s">
        <v>27</v>
      </c>
      <c r="D4" s="28" t="s">
        <v>27</v>
      </c>
      <c r="E4" s="28" t="s">
        <v>27</v>
      </c>
      <c r="F4" s="28" t="s">
        <v>27</v>
      </c>
      <c r="G4" s="28" t="s">
        <v>27</v>
      </c>
      <c r="H4" s="28">
        <v>8250</v>
      </c>
      <c r="I4" s="28" t="s">
        <v>27</v>
      </c>
      <c r="J4" s="28" t="s">
        <v>27</v>
      </c>
      <c r="K4" s="28" t="s">
        <v>27</v>
      </c>
      <c r="L4" s="27" t="s">
        <v>27</v>
      </c>
      <c r="M4" s="27" t="s">
        <v>27</v>
      </c>
      <c r="N4" s="27" t="s">
        <v>27</v>
      </c>
      <c r="O4" s="27" t="s">
        <v>27</v>
      </c>
      <c r="P4" s="27">
        <v>1408</v>
      </c>
      <c r="Q4" s="27" t="s">
        <v>27</v>
      </c>
      <c r="R4" s="27" t="s">
        <v>27</v>
      </c>
      <c r="S4" s="27" t="s">
        <v>27</v>
      </c>
      <c r="T4" s="27" t="s">
        <v>27</v>
      </c>
      <c r="U4" s="27" t="s">
        <v>27</v>
      </c>
      <c r="V4" s="27" t="s">
        <v>27</v>
      </c>
      <c r="W4" s="27" t="s">
        <v>27</v>
      </c>
      <c r="X4" s="27" t="s">
        <v>27</v>
      </c>
      <c r="Y4" s="27" t="s">
        <v>27</v>
      </c>
      <c r="Z4" s="27" t="s">
        <v>27</v>
      </c>
      <c r="AA4" s="27" t="s">
        <v>27</v>
      </c>
      <c r="AB4" s="27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5" orientation="landscape" horizontalDpi="360" verticalDpi="36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7A62F-5FE1-4200-9945-6FEF51449597}">
  <sheetPr>
    <pageSetUpPr fitToPage="1"/>
  </sheetPr>
  <dimension ref="A1:AB7"/>
  <sheetViews>
    <sheetView workbookViewId="0">
      <selection activeCell="AD7" sqref="AD7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8.21875" style="1" customWidth="1"/>
    <col min="7" max="7" width="10" style="1" customWidth="1"/>
    <col min="8" max="8" width="6.44140625" style="1" customWidth="1"/>
    <col min="9" max="9" width="7" style="1" customWidth="1"/>
    <col min="10" max="10" width="8.21875" style="1" customWidth="1"/>
    <col min="11" max="11" width="13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109375" style="1" customWidth="1"/>
    <col min="17" max="17" width="4.44140625" style="1" customWidth="1"/>
    <col min="18" max="18" width="6.21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7.6640625" style="1" customWidth="1"/>
    <col min="23" max="23" width="8.21875" style="1" customWidth="1"/>
    <col min="24" max="24" width="7.88671875" style="1" customWidth="1"/>
    <col min="25" max="25" width="8" style="1" customWidth="1"/>
    <col min="26" max="26" width="7.109375" style="1" customWidth="1"/>
    <col min="27" max="27" width="4.109375" style="1" customWidth="1"/>
    <col min="28" max="28" width="11.33203125" style="1" customWidth="1"/>
    <col min="29" max="16384" width="8.88671875" style="1"/>
  </cols>
  <sheetData>
    <row r="1" spans="1:28" ht="18" customHeight="1" x14ac:dyDescent="0.3">
      <c r="A1" s="225" t="s">
        <v>523</v>
      </c>
      <c r="B1" s="225" t="s">
        <v>27</v>
      </c>
      <c r="C1" s="225" t="s">
        <v>27</v>
      </c>
      <c r="D1" s="225" t="s">
        <v>27</v>
      </c>
      <c r="E1" s="225" t="s">
        <v>27</v>
      </c>
      <c r="F1" s="225" t="s">
        <v>27</v>
      </c>
      <c r="G1" s="225" t="s">
        <v>27</v>
      </c>
      <c r="H1" s="225" t="s">
        <v>27</v>
      </c>
      <c r="I1" s="225" t="s">
        <v>27</v>
      </c>
      <c r="J1" s="225" t="s">
        <v>27</v>
      </c>
      <c r="K1" s="225" t="s">
        <v>27</v>
      </c>
      <c r="L1" s="225" t="s">
        <v>27</v>
      </c>
      <c r="M1" s="225" t="s">
        <v>27</v>
      </c>
      <c r="N1" s="225" t="s">
        <v>27</v>
      </c>
      <c r="O1" s="225" t="s">
        <v>27</v>
      </c>
      <c r="P1" s="225" t="s">
        <v>27</v>
      </c>
      <c r="Q1" s="225" t="s">
        <v>27</v>
      </c>
      <c r="R1" s="225" t="s">
        <v>27</v>
      </c>
      <c r="S1" s="225" t="s">
        <v>27</v>
      </c>
      <c r="T1" s="225" t="s">
        <v>27</v>
      </c>
      <c r="U1" s="225" t="s">
        <v>27</v>
      </c>
      <c r="V1" s="225" t="s">
        <v>27</v>
      </c>
      <c r="W1" s="225" t="s">
        <v>27</v>
      </c>
      <c r="X1" s="225" t="s">
        <v>27</v>
      </c>
      <c r="Y1" s="225" t="s">
        <v>27</v>
      </c>
      <c r="Z1" s="225" t="s">
        <v>27</v>
      </c>
      <c r="AA1" s="225" t="s">
        <v>27</v>
      </c>
      <c r="AB1" s="225" t="s">
        <v>27</v>
      </c>
    </row>
    <row r="2" spans="1:28" ht="43.2" customHeight="1" x14ac:dyDescent="0.3">
      <c r="A2" s="107" t="s">
        <v>0</v>
      </c>
      <c r="B2" s="107" t="s">
        <v>37</v>
      </c>
      <c r="C2" s="107" t="s">
        <v>1</v>
      </c>
      <c r="D2" s="107" t="s">
        <v>2</v>
      </c>
      <c r="E2" s="107" t="s">
        <v>3</v>
      </c>
      <c r="F2" s="107" t="s">
        <v>56</v>
      </c>
      <c r="G2" s="107" t="s">
        <v>4</v>
      </c>
      <c r="H2" s="107" t="s">
        <v>5</v>
      </c>
      <c r="I2" s="107" t="s">
        <v>6</v>
      </c>
      <c r="J2" s="107" t="s">
        <v>7</v>
      </c>
      <c r="K2" s="107" t="s">
        <v>8</v>
      </c>
      <c r="L2" s="107" t="s">
        <v>9</v>
      </c>
      <c r="M2" s="107" t="s">
        <v>10</v>
      </c>
      <c r="N2" s="107" t="s">
        <v>11</v>
      </c>
      <c r="O2" s="107" t="s">
        <v>12</v>
      </c>
      <c r="P2" s="107" t="s">
        <v>13</v>
      </c>
      <c r="Q2" s="107" t="s">
        <v>14</v>
      </c>
      <c r="R2" s="107" t="s">
        <v>15</v>
      </c>
      <c r="S2" s="107" t="s">
        <v>16</v>
      </c>
      <c r="T2" s="107" t="s">
        <v>17</v>
      </c>
      <c r="U2" s="107" t="s">
        <v>18</v>
      </c>
      <c r="V2" s="107" t="s">
        <v>19</v>
      </c>
      <c r="W2" s="107" t="s">
        <v>20</v>
      </c>
      <c r="X2" s="107" t="s">
        <v>21</v>
      </c>
      <c r="Y2" s="107" t="s">
        <v>22</v>
      </c>
      <c r="Z2" s="107" t="s">
        <v>23</v>
      </c>
      <c r="AA2" s="107" t="s">
        <v>24</v>
      </c>
      <c r="AB2" s="107" t="s">
        <v>25</v>
      </c>
    </row>
    <row r="3" spans="1:28" s="96" customFormat="1" ht="25.05" customHeight="1" x14ac:dyDescent="0.3">
      <c r="A3" s="90">
        <v>1</v>
      </c>
      <c r="B3" s="91" t="s">
        <v>66</v>
      </c>
      <c r="C3" s="105" t="s">
        <v>62</v>
      </c>
      <c r="D3" s="90" t="s">
        <v>422</v>
      </c>
      <c r="E3" s="90" t="s">
        <v>27</v>
      </c>
      <c r="F3" s="90">
        <v>262478</v>
      </c>
      <c r="G3" s="90" t="s">
        <v>520</v>
      </c>
      <c r="H3" s="90">
        <v>150</v>
      </c>
      <c r="I3" s="92">
        <v>1.236</v>
      </c>
      <c r="J3" s="92">
        <v>2.5910000000000002</v>
      </c>
      <c r="K3" s="90" t="s">
        <v>522</v>
      </c>
      <c r="L3" s="92">
        <v>480.37099999999998</v>
      </c>
      <c r="M3" s="93">
        <v>388.7</v>
      </c>
      <c r="N3" s="94">
        <v>0.108</v>
      </c>
      <c r="O3" s="95">
        <v>6.48</v>
      </c>
      <c r="P3" s="90">
        <v>300.7</v>
      </c>
      <c r="Q3" s="90">
        <v>1</v>
      </c>
      <c r="R3" s="90">
        <v>1300</v>
      </c>
      <c r="S3" s="92">
        <v>1.236</v>
      </c>
      <c r="T3" s="90">
        <v>64</v>
      </c>
      <c r="U3" s="94">
        <v>4.9200000000000001E-2</v>
      </c>
      <c r="V3" s="90" t="s">
        <v>29</v>
      </c>
      <c r="W3" s="90" t="s">
        <v>40</v>
      </c>
      <c r="X3" s="90" t="s">
        <v>28</v>
      </c>
      <c r="Y3" s="90" t="s">
        <v>28</v>
      </c>
      <c r="Z3" s="90" t="s">
        <v>29</v>
      </c>
      <c r="AA3" s="90" t="s">
        <v>39</v>
      </c>
      <c r="AB3" s="90" t="s">
        <v>521</v>
      </c>
    </row>
    <row r="4" spans="1:28" s="96" customFormat="1" ht="25.05" customHeight="1" x14ac:dyDescent="0.3">
      <c r="A4" s="90">
        <v>2</v>
      </c>
      <c r="B4" s="91" t="s">
        <v>66</v>
      </c>
      <c r="C4" s="105" t="s">
        <v>62</v>
      </c>
      <c r="D4" s="90" t="s">
        <v>422</v>
      </c>
      <c r="E4" s="90" t="s">
        <v>27</v>
      </c>
      <c r="F4" s="90">
        <v>262479</v>
      </c>
      <c r="G4" s="90" t="s">
        <v>520</v>
      </c>
      <c r="H4" s="90">
        <v>1600</v>
      </c>
      <c r="I4" s="92">
        <v>1.196</v>
      </c>
      <c r="J4" s="92">
        <v>1.6910000000000001</v>
      </c>
      <c r="K4" s="90" t="s">
        <v>519</v>
      </c>
      <c r="L4" s="92">
        <v>3235.8980000000001</v>
      </c>
      <c r="M4" s="93">
        <v>2705.6</v>
      </c>
      <c r="N4" s="94">
        <v>0.75160000000000005</v>
      </c>
      <c r="O4" s="95">
        <v>45.09</v>
      </c>
      <c r="P4" s="90">
        <v>2025.7</v>
      </c>
      <c r="Q4" s="90">
        <v>1</v>
      </c>
      <c r="R4" s="90">
        <v>1250</v>
      </c>
      <c r="S4" s="92">
        <v>1.196</v>
      </c>
      <c r="T4" s="90">
        <v>54</v>
      </c>
      <c r="U4" s="94">
        <v>4.3200000000000002E-2</v>
      </c>
      <c r="V4" s="90" t="s">
        <v>29</v>
      </c>
      <c r="W4" s="90" t="s">
        <v>40</v>
      </c>
      <c r="X4" s="90" t="s">
        <v>28</v>
      </c>
      <c r="Y4" s="90" t="s">
        <v>28</v>
      </c>
      <c r="Z4" s="90" t="s">
        <v>29</v>
      </c>
      <c r="AA4" s="90" t="s">
        <v>70</v>
      </c>
      <c r="AB4" s="90" t="s">
        <v>518</v>
      </c>
    </row>
    <row r="5" spans="1:28" s="96" customFormat="1" ht="25.05" customHeight="1" x14ac:dyDescent="0.3">
      <c r="A5" s="90">
        <v>3</v>
      </c>
      <c r="B5" s="91" t="s">
        <v>66</v>
      </c>
      <c r="C5" s="90" t="s">
        <v>36</v>
      </c>
      <c r="D5" s="90" t="s">
        <v>489</v>
      </c>
      <c r="E5" s="90" t="s">
        <v>27</v>
      </c>
      <c r="F5" s="90">
        <v>262481</v>
      </c>
      <c r="G5" s="90" t="s">
        <v>515</v>
      </c>
      <c r="H5" s="90">
        <v>300</v>
      </c>
      <c r="I5" s="92">
        <v>0.75800000000000001</v>
      </c>
      <c r="J5" s="92">
        <v>0.94899999999999995</v>
      </c>
      <c r="K5" s="90" t="s">
        <v>517</v>
      </c>
      <c r="L5" s="92">
        <v>215.803</v>
      </c>
      <c r="M5" s="93">
        <v>142.30000000000001</v>
      </c>
      <c r="N5" s="94">
        <v>1.9800000000000002E-2</v>
      </c>
      <c r="O5" s="95">
        <v>1.19</v>
      </c>
      <c r="P5" s="90">
        <v>74.5</v>
      </c>
      <c r="Q5" s="90">
        <v>2</v>
      </c>
      <c r="R5" s="90">
        <v>1550</v>
      </c>
      <c r="S5" s="92">
        <v>1.516</v>
      </c>
      <c r="T5" s="90">
        <v>34</v>
      </c>
      <c r="U5" s="94">
        <v>2.1899999999999999E-2</v>
      </c>
      <c r="V5" s="90" t="s">
        <v>28</v>
      </c>
      <c r="W5" s="90" t="s">
        <v>28</v>
      </c>
      <c r="X5" s="90" t="s">
        <v>28</v>
      </c>
      <c r="Y5" s="90" t="s">
        <v>27</v>
      </c>
      <c r="Z5" s="90" t="s">
        <v>27</v>
      </c>
      <c r="AA5" s="90" t="s">
        <v>39</v>
      </c>
      <c r="AB5" s="90" t="s">
        <v>516</v>
      </c>
    </row>
    <row r="6" spans="1:28" s="96" customFormat="1" ht="25.05" customHeight="1" x14ac:dyDescent="0.3">
      <c r="A6" s="90">
        <v>4</v>
      </c>
      <c r="B6" s="91" t="s">
        <v>66</v>
      </c>
      <c r="C6" s="90" t="s">
        <v>43</v>
      </c>
      <c r="D6" s="90" t="s">
        <v>489</v>
      </c>
      <c r="E6" s="90" t="s">
        <v>27</v>
      </c>
      <c r="F6" s="90">
        <v>262480</v>
      </c>
      <c r="G6" s="90" t="s">
        <v>515</v>
      </c>
      <c r="H6" s="90">
        <v>1000</v>
      </c>
      <c r="I6" s="92">
        <v>0.56100000000000005</v>
      </c>
      <c r="J6" s="92">
        <v>1.3109999999999999</v>
      </c>
      <c r="K6" s="90" t="s">
        <v>514</v>
      </c>
      <c r="L6" s="92">
        <v>735.471</v>
      </c>
      <c r="M6" s="93">
        <v>655.5</v>
      </c>
      <c r="N6" s="94">
        <v>9.0999999999999998E-2</v>
      </c>
      <c r="O6" s="95">
        <v>5.46</v>
      </c>
      <c r="P6" s="90">
        <v>270.7</v>
      </c>
      <c r="Q6" s="90">
        <v>2</v>
      </c>
      <c r="R6" s="90">
        <v>1150</v>
      </c>
      <c r="S6" s="92">
        <v>1.1220000000000001</v>
      </c>
      <c r="T6" s="90">
        <v>28</v>
      </c>
      <c r="U6" s="94">
        <v>2.4299999999999999E-2</v>
      </c>
      <c r="V6" s="90" t="s">
        <v>29</v>
      </c>
      <c r="W6" s="90" t="s">
        <v>29</v>
      </c>
      <c r="X6" s="90" t="s">
        <v>28</v>
      </c>
      <c r="Y6" s="90" t="s">
        <v>27</v>
      </c>
      <c r="Z6" s="90" t="s">
        <v>27</v>
      </c>
      <c r="AA6" s="90" t="s">
        <v>33</v>
      </c>
      <c r="AB6" s="90" t="s">
        <v>513</v>
      </c>
    </row>
    <row r="7" spans="1:28" s="96" customFormat="1" ht="25.05" customHeight="1" x14ac:dyDescent="0.3">
      <c r="A7" s="106" t="s">
        <v>27</v>
      </c>
      <c r="B7" s="106" t="s">
        <v>27</v>
      </c>
      <c r="C7" s="106" t="s">
        <v>27</v>
      </c>
      <c r="D7" s="106" t="s">
        <v>27</v>
      </c>
      <c r="E7" s="106" t="s">
        <v>27</v>
      </c>
      <c r="F7" s="106" t="s">
        <v>27</v>
      </c>
      <c r="G7" s="106" t="s">
        <v>27</v>
      </c>
      <c r="H7" s="106">
        <v>3050</v>
      </c>
      <c r="I7" s="106" t="s">
        <v>27</v>
      </c>
      <c r="J7" s="106" t="s">
        <v>27</v>
      </c>
      <c r="K7" s="106" t="s">
        <v>27</v>
      </c>
      <c r="L7" s="106" t="s">
        <v>27</v>
      </c>
      <c r="M7" s="106" t="s">
        <v>27</v>
      </c>
      <c r="N7" s="106" t="s">
        <v>27</v>
      </c>
      <c r="O7" s="106" t="s">
        <v>27</v>
      </c>
      <c r="P7" s="106">
        <v>2671.5</v>
      </c>
      <c r="Q7" s="106" t="s">
        <v>27</v>
      </c>
      <c r="R7" s="106" t="s">
        <v>27</v>
      </c>
      <c r="S7" s="106" t="s">
        <v>27</v>
      </c>
      <c r="T7" s="106" t="s">
        <v>27</v>
      </c>
      <c r="U7" s="106" t="s">
        <v>27</v>
      </c>
      <c r="V7" s="106" t="s">
        <v>27</v>
      </c>
      <c r="W7" s="106" t="s">
        <v>27</v>
      </c>
      <c r="X7" s="106" t="s">
        <v>27</v>
      </c>
      <c r="Y7" s="106" t="s">
        <v>27</v>
      </c>
      <c r="Z7" s="106" t="s">
        <v>27</v>
      </c>
      <c r="AA7" s="106" t="s">
        <v>27</v>
      </c>
      <c r="AB7" s="106" t="s">
        <v>27</v>
      </c>
    </row>
  </sheetData>
  <mergeCells count="1">
    <mergeCell ref="A1:AB1"/>
  </mergeCells>
  <pageMargins left="0.511811024" right="0.511811024" top="1.4" bottom="0.78740157499999996" header="0.31496062000000002" footer="0.31496062000000002"/>
  <pageSetup paperSize="9" scale="89" orientation="landscape" horizontalDpi="360" verticalDpi="36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134A6-EFE0-43FA-B75E-08C077B82292}">
  <sheetPr>
    <pageSetUpPr fitToPage="1"/>
  </sheetPr>
  <dimension ref="A1:AB12"/>
  <sheetViews>
    <sheetView workbookViewId="0">
      <selection sqref="A1:AB12"/>
    </sheetView>
  </sheetViews>
  <sheetFormatPr defaultRowHeight="14.4" x14ac:dyDescent="0.3"/>
  <cols>
    <col min="1" max="1" width="3.77734375" style="3" customWidth="1"/>
    <col min="2" max="2" width="18.88671875" style="3" hidden="1" customWidth="1"/>
    <col min="3" max="3" width="7.77734375" style="3" customWidth="1"/>
    <col min="4" max="4" width="11.77734375" style="3" hidden="1" customWidth="1"/>
    <col min="5" max="5" width="10.77734375" style="3" customWidth="1"/>
    <col min="6" max="6" width="7.6640625" style="3" customWidth="1"/>
    <col min="7" max="7" width="4.77734375" style="3" customWidth="1"/>
    <col min="8" max="8" width="6.5546875" style="3" customWidth="1"/>
    <col min="9" max="9" width="6.44140625" style="3" customWidth="1"/>
    <col min="10" max="10" width="6.77734375" style="3" customWidth="1"/>
    <col min="11" max="11" width="13.664062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7.6640625" style="3" customWidth="1"/>
    <col min="17" max="17" width="4" style="3" customWidth="1"/>
    <col min="18" max="18" width="5.88671875" style="3" customWidth="1"/>
    <col min="19" max="19" width="6.33203125" style="3" customWidth="1"/>
    <col min="20" max="20" width="11.77734375" style="3" hidden="1" customWidth="1"/>
    <col min="21" max="21" width="8.77734375" style="3" hidden="1" customWidth="1"/>
    <col min="22" max="22" width="7.5546875" style="3" customWidth="1"/>
    <col min="23" max="23" width="7.77734375" style="3" customWidth="1"/>
    <col min="24" max="24" width="7.44140625" style="3" customWidth="1"/>
    <col min="25" max="25" width="7.77734375" style="3" customWidth="1"/>
    <col min="26" max="26" width="8.109375" style="3" customWidth="1"/>
    <col min="27" max="27" width="3.33203125" style="3" customWidth="1"/>
    <col min="28" max="28" width="11" style="3" customWidth="1"/>
    <col min="29" max="16384" width="8.88671875" style="3"/>
  </cols>
  <sheetData>
    <row r="1" spans="1:28" ht="18" customHeight="1" x14ac:dyDescent="0.35">
      <c r="A1" s="226" t="s">
        <v>512</v>
      </c>
      <c r="B1" s="226" t="s">
        <v>27</v>
      </c>
      <c r="C1" s="226" t="s">
        <v>27</v>
      </c>
      <c r="D1" s="226" t="s">
        <v>27</v>
      </c>
      <c r="E1" s="226" t="s">
        <v>27</v>
      </c>
      <c r="F1" s="226" t="s">
        <v>27</v>
      </c>
      <c r="G1" s="226" t="s">
        <v>27</v>
      </c>
      <c r="H1" s="226" t="s">
        <v>27</v>
      </c>
      <c r="I1" s="226" t="s">
        <v>27</v>
      </c>
      <c r="J1" s="226" t="s">
        <v>27</v>
      </c>
      <c r="K1" s="226" t="s">
        <v>27</v>
      </c>
      <c r="L1" s="226" t="s">
        <v>27</v>
      </c>
      <c r="M1" s="226" t="s">
        <v>27</v>
      </c>
      <c r="N1" s="226" t="s">
        <v>27</v>
      </c>
      <c r="O1" s="226" t="s">
        <v>27</v>
      </c>
      <c r="P1" s="226" t="s">
        <v>27</v>
      </c>
      <c r="Q1" s="226" t="s">
        <v>27</v>
      </c>
      <c r="R1" s="226" t="s">
        <v>27</v>
      </c>
      <c r="S1" s="226" t="s">
        <v>27</v>
      </c>
      <c r="T1" s="226" t="s">
        <v>27</v>
      </c>
      <c r="U1" s="226" t="s">
        <v>27</v>
      </c>
      <c r="V1" s="226" t="s">
        <v>27</v>
      </c>
      <c r="W1" s="226" t="s">
        <v>27</v>
      </c>
      <c r="X1" s="226" t="s">
        <v>27</v>
      </c>
      <c r="Y1" s="226" t="s">
        <v>27</v>
      </c>
      <c r="Z1" s="226" t="s">
        <v>27</v>
      </c>
      <c r="AA1" s="226" t="s">
        <v>27</v>
      </c>
      <c r="AB1" s="226" t="s">
        <v>27</v>
      </c>
    </row>
    <row r="2" spans="1:28" ht="40.799999999999997" customHeight="1" x14ac:dyDescent="0.3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customFormat="1" x14ac:dyDescent="0.3">
      <c r="A3" s="120">
        <v>1</v>
      </c>
      <c r="B3" s="121" t="s">
        <v>135</v>
      </c>
      <c r="C3" s="120" t="s">
        <v>26</v>
      </c>
      <c r="D3" s="120" t="s">
        <v>457</v>
      </c>
      <c r="E3" s="120" t="s">
        <v>27</v>
      </c>
      <c r="F3" s="120">
        <v>262470</v>
      </c>
      <c r="G3" s="120" t="s">
        <v>498</v>
      </c>
      <c r="H3" s="120">
        <v>500</v>
      </c>
      <c r="I3" s="122">
        <v>0.68400000000000005</v>
      </c>
      <c r="J3" s="122">
        <v>3.13</v>
      </c>
      <c r="K3" s="120" t="s">
        <v>511</v>
      </c>
      <c r="L3" s="122">
        <v>1070.46</v>
      </c>
      <c r="M3" s="123">
        <v>782.5</v>
      </c>
      <c r="N3" s="124">
        <v>0.1087</v>
      </c>
      <c r="O3" s="125">
        <v>6.52</v>
      </c>
      <c r="P3" s="120">
        <v>634.79999999999995</v>
      </c>
      <c r="Q3" s="120">
        <v>2</v>
      </c>
      <c r="R3" s="120">
        <v>1400</v>
      </c>
      <c r="S3" s="122">
        <v>1.3680000000000001</v>
      </c>
      <c r="T3" s="120">
        <v>32</v>
      </c>
      <c r="U3" s="124">
        <v>2.29E-2</v>
      </c>
      <c r="V3" s="120" t="s">
        <v>28</v>
      </c>
      <c r="W3" s="120" t="s">
        <v>29</v>
      </c>
      <c r="X3" s="120" t="s">
        <v>28</v>
      </c>
      <c r="Y3" s="120" t="s">
        <v>28</v>
      </c>
      <c r="Z3" s="120" t="s">
        <v>28</v>
      </c>
      <c r="AA3" s="120" t="s">
        <v>30</v>
      </c>
      <c r="AB3" s="120" t="s">
        <v>510</v>
      </c>
    </row>
    <row r="4" spans="1:28" customFormat="1" x14ac:dyDescent="0.3">
      <c r="A4" s="120">
        <v>2</v>
      </c>
      <c r="B4" s="121" t="s">
        <v>135</v>
      </c>
      <c r="C4" s="120" t="s">
        <v>26</v>
      </c>
      <c r="D4" s="120" t="s">
        <v>457</v>
      </c>
      <c r="E4" s="120" t="s">
        <v>27</v>
      </c>
      <c r="F4" s="120">
        <v>262469</v>
      </c>
      <c r="G4" s="120" t="s">
        <v>498</v>
      </c>
      <c r="H4" s="120">
        <v>1000</v>
      </c>
      <c r="I4" s="122">
        <v>0.68600000000000005</v>
      </c>
      <c r="J4" s="122">
        <v>2.4700000000000002</v>
      </c>
      <c r="K4" s="120" t="s">
        <v>509</v>
      </c>
      <c r="L4" s="122">
        <v>1694.42</v>
      </c>
      <c r="M4" s="123">
        <v>1235</v>
      </c>
      <c r="N4" s="124">
        <v>0.17150000000000001</v>
      </c>
      <c r="O4" s="125">
        <v>10.29</v>
      </c>
      <c r="P4" s="120">
        <v>1004.8</v>
      </c>
      <c r="Q4" s="120">
        <v>2</v>
      </c>
      <c r="R4" s="120">
        <v>1400</v>
      </c>
      <c r="S4" s="122">
        <v>1.3720000000000001</v>
      </c>
      <c r="T4" s="120">
        <v>28</v>
      </c>
      <c r="U4" s="124">
        <v>0.02</v>
      </c>
      <c r="V4" s="120" t="s">
        <v>28</v>
      </c>
      <c r="W4" s="120" t="s">
        <v>29</v>
      </c>
      <c r="X4" s="120" t="s">
        <v>28</v>
      </c>
      <c r="Y4" s="120" t="s">
        <v>28</v>
      </c>
      <c r="Z4" s="120" t="s">
        <v>28</v>
      </c>
      <c r="AA4" s="120" t="s">
        <v>41</v>
      </c>
      <c r="AB4" s="120" t="s">
        <v>508</v>
      </c>
    </row>
    <row r="5" spans="1:28" customFormat="1" x14ac:dyDescent="0.3">
      <c r="A5" s="120">
        <v>3</v>
      </c>
      <c r="B5" s="121" t="s">
        <v>135</v>
      </c>
      <c r="C5" s="120" t="s">
        <v>26</v>
      </c>
      <c r="D5" s="120" t="s">
        <v>457</v>
      </c>
      <c r="E5" s="120" t="s">
        <v>27</v>
      </c>
      <c r="F5" s="120">
        <v>262472</v>
      </c>
      <c r="G5" s="120" t="s">
        <v>498</v>
      </c>
      <c r="H5" s="120">
        <v>300</v>
      </c>
      <c r="I5" s="122">
        <v>1.216</v>
      </c>
      <c r="J5" s="122">
        <v>2.298</v>
      </c>
      <c r="K5" s="120" t="s">
        <v>34</v>
      </c>
      <c r="L5" s="122">
        <v>838.31</v>
      </c>
      <c r="M5" s="123">
        <v>689.4</v>
      </c>
      <c r="N5" s="124">
        <v>0.1915</v>
      </c>
      <c r="O5" s="125">
        <v>11.49</v>
      </c>
      <c r="P5" s="120">
        <v>497.1</v>
      </c>
      <c r="Q5" s="120">
        <v>1</v>
      </c>
      <c r="R5" s="120">
        <v>1250</v>
      </c>
      <c r="S5" s="122">
        <v>1.216</v>
      </c>
      <c r="T5" s="120">
        <v>34</v>
      </c>
      <c r="U5" s="124">
        <v>2.7199999999999998E-2</v>
      </c>
      <c r="V5" s="120" t="s">
        <v>28</v>
      </c>
      <c r="W5" s="120" t="s">
        <v>29</v>
      </c>
      <c r="X5" s="120" t="s">
        <v>28</v>
      </c>
      <c r="Y5" s="120" t="s">
        <v>28</v>
      </c>
      <c r="Z5" s="120" t="s">
        <v>28</v>
      </c>
      <c r="AA5" s="120" t="s">
        <v>33</v>
      </c>
      <c r="AB5" s="120" t="s">
        <v>507</v>
      </c>
    </row>
    <row r="6" spans="1:28" customFormat="1" x14ac:dyDescent="0.3">
      <c r="A6" s="47">
        <v>4</v>
      </c>
      <c r="B6" s="52" t="s">
        <v>135</v>
      </c>
      <c r="C6" s="47" t="s">
        <v>26</v>
      </c>
      <c r="D6" s="47" t="s">
        <v>457</v>
      </c>
      <c r="E6" s="47" t="s">
        <v>27</v>
      </c>
      <c r="F6" s="47">
        <v>262474</v>
      </c>
      <c r="G6" s="47" t="s">
        <v>498</v>
      </c>
      <c r="H6" s="47">
        <v>750</v>
      </c>
      <c r="I6" s="49">
        <v>0.56399999999999995</v>
      </c>
      <c r="J6" s="49">
        <v>1.3660000000000001</v>
      </c>
      <c r="K6" s="47" t="s">
        <v>506</v>
      </c>
      <c r="L6" s="49">
        <v>577.81799999999998</v>
      </c>
      <c r="M6" s="51">
        <v>512.29999999999995</v>
      </c>
      <c r="N6" s="48">
        <v>7.1099999999999997E-2</v>
      </c>
      <c r="O6" s="50">
        <v>4.2699999999999996</v>
      </c>
      <c r="P6" s="47">
        <v>342.6</v>
      </c>
      <c r="Q6" s="47">
        <v>2</v>
      </c>
      <c r="R6" s="47">
        <v>1150</v>
      </c>
      <c r="S6" s="49">
        <v>1.1279999999999999</v>
      </c>
      <c r="T6" s="47">
        <v>22</v>
      </c>
      <c r="U6" s="48">
        <v>1.9099999999999999E-2</v>
      </c>
      <c r="V6" s="47" t="s">
        <v>28</v>
      </c>
      <c r="W6" s="47" t="s">
        <v>29</v>
      </c>
      <c r="X6" s="47" t="s">
        <v>28</v>
      </c>
      <c r="Y6" s="47" t="s">
        <v>28</v>
      </c>
      <c r="Z6" s="47" t="s">
        <v>28</v>
      </c>
      <c r="AA6" s="47" t="s">
        <v>33</v>
      </c>
      <c r="AB6" s="47" t="s">
        <v>505</v>
      </c>
    </row>
    <row r="7" spans="1:28" customFormat="1" x14ac:dyDescent="0.3">
      <c r="A7" s="120">
        <v>5</v>
      </c>
      <c r="B7" s="121" t="s">
        <v>135</v>
      </c>
      <c r="C7" s="120" t="s">
        <v>26</v>
      </c>
      <c r="D7" s="120" t="s">
        <v>457</v>
      </c>
      <c r="E7" s="120" t="s">
        <v>27</v>
      </c>
      <c r="F7" s="120">
        <v>262471</v>
      </c>
      <c r="G7" s="120" t="s">
        <v>498</v>
      </c>
      <c r="H7" s="120">
        <v>500</v>
      </c>
      <c r="I7" s="122">
        <v>0.93600000000000005</v>
      </c>
      <c r="J7" s="122">
        <v>3.12</v>
      </c>
      <c r="K7" s="120" t="s">
        <v>504</v>
      </c>
      <c r="L7" s="122">
        <v>1460.16</v>
      </c>
      <c r="M7" s="123">
        <v>1560</v>
      </c>
      <c r="N7" s="124">
        <v>0.43330000000000002</v>
      </c>
      <c r="O7" s="125">
        <v>26</v>
      </c>
      <c r="P7" s="120">
        <v>865.9</v>
      </c>
      <c r="Q7" s="120">
        <v>1</v>
      </c>
      <c r="R7" s="120">
        <v>1000</v>
      </c>
      <c r="S7" s="122">
        <v>0.93600000000000005</v>
      </c>
      <c r="T7" s="120">
        <v>64</v>
      </c>
      <c r="U7" s="124">
        <v>6.4000000000000001E-2</v>
      </c>
      <c r="V7" s="120" t="s">
        <v>28</v>
      </c>
      <c r="W7" s="120" t="s">
        <v>29</v>
      </c>
      <c r="X7" s="120" t="s">
        <v>28</v>
      </c>
      <c r="Y7" s="120" t="s">
        <v>28</v>
      </c>
      <c r="Z7" s="120" t="s">
        <v>28</v>
      </c>
      <c r="AA7" s="120" t="s">
        <v>30</v>
      </c>
      <c r="AB7" s="120" t="s">
        <v>503</v>
      </c>
    </row>
    <row r="8" spans="1:28" customFormat="1" x14ac:dyDescent="0.3">
      <c r="A8" s="47">
        <v>6</v>
      </c>
      <c r="B8" s="52" t="s">
        <v>135</v>
      </c>
      <c r="C8" s="47" t="s">
        <v>26</v>
      </c>
      <c r="D8" s="47" t="s">
        <v>457</v>
      </c>
      <c r="E8" s="47" t="s">
        <v>27</v>
      </c>
      <c r="F8" s="47">
        <v>262475</v>
      </c>
      <c r="G8" s="47" t="s">
        <v>498</v>
      </c>
      <c r="H8" s="47">
        <v>250</v>
      </c>
      <c r="I8" s="49">
        <v>0.94799999999999995</v>
      </c>
      <c r="J8" s="49">
        <v>2.36</v>
      </c>
      <c r="K8" s="47" t="s">
        <v>34</v>
      </c>
      <c r="L8" s="49">
        <v>559.32000000000005</v>
      </c>
      <c r="M8" s="51">
        <v>590</v>
      </c>
      <c r="N8" s="48">
        <v>0.16389999999999999</v>
      </c>
      <c r="O8" s="50">
        <v>9.83</v>
      </c>
      <c r="P8" s="47">
        <v>331.7</v>
      </c>
      <c r="Q8" s="47">
        <v>1</v>
      </c>
      <c r="R8" s="47">
        <v>1000</v>
      </c>
      <c r="S8" s="49">
        <v>0.94799999999999995</v>
      </c>
      <c r="T8" s="47">
        <v>52</v>
      </c>
      <c r="U8" s="48">
        <v>5.1999999999999998E-2</v>
      </c>
      <c r="V8" s="47" t="s">
        <v>28</v>
      </c>
      <c r="W8" s="47" t="s">
        <v>29</v>
      </c>
      <c r="X8" s="47" t="s">
        <v>28</v>
      </c>
      <c r="Y8" s="47" t="s">
        <v>28</v>
      </c>
      <c r="Z8" s="47" t="s">
        <v>28</v>
      </c>
      <c r="AA8" s="47" t="s">
        <v>33</v>
      </c>
      <c r="AB8" s="47" t="s">
        <v>502</v>
      </c>
    </row>
    <row r="9" spans="1:28" customFormat="1" x14ac:dyDescent="0.3">
      <c r="A9" s="47">
        <v>7</v>
      </c>
      <c r="B9" s="52" t="s">
        <v>135</v>
      </c>
      <c r="C9" s="47" t="s">
        <v>36</v>
      </c>
      <c r="D9" s="47" t="s">
        <v>457</v>
      </c>
      <c r="E9" s="47" t="s">
        <v>27</v>
      </c>
      <c r="F9" s="47">
        <v>262476</v>
      </c>
      <c r="G9" s="47" t="s">
        <v>498</v>
      </c>
      <c r="H9" s="47">
        <v>2500</v>
      </c>
      <c r="I9" s="49">
        <v>1.4</v>
      </c>
      <c r="J9" s="49">
        <v>1.35</v>
      </c>
      <c r="K9" s="47" t="s">
        <v>34</v>
      </c>
      <c r="L9" s="49">
        <v>4725</v>
      </c>
      <c r="M9" s="51">
        <v>3375</v>
      </c>
      <c r="N9" s="48">
        <v>0.9375</v>
      </c>
      <c r="O9" s="50">
        <v>56.25</v>
      </c>
      <c r="P9" s="47">
        <v>1630.1</v>
      </c>
      <c r="Q9" s="47">
        <v>1</v>
      </c>
      <c r="R9" s="47">
        <v>1450</v>
      </c>
      <c r="S9" s="49">
        <v>1.4</v>
      </c>
      <c r="T9" s="47">
        <v>50</v>
      </c>
      <c r="U9" s="48">
        <v>3.4500000000000003E-2</v>
      </c>
      <c r="V9" s="47" t="s">
        <v>28</v>
      </c>
      <c r="W9" s="47" t="s">
        <v>28</v>
      </c>
      <c r="X9" s="47" t="s">
        <v>28</v>
      </c>
      <c r="Y9" s="47" t="s">
        <v>27</v>
      </c>
      <c r="Z9" s="47" t="s">
        <v>27</v>
      </c>
      <c r="AA9" s="47" t="s">
        <v>57</v>
      </c>
      <c r="AB9" s="47" t="s">
        <v>501</v>
      </c>
    </row>
    <row r="10" spans="1:28" customFormat="1" x14ac:dyDescent="0.3">
      <c r="A10" s="120">
        <v>8</v>
      </c>
      <c r="B10" s="121" t="s">
        <v>135</v>
      </c>
      <c r="C10" s="120" t="s">
        <v>36</v>
      </c>
      <c r="D10" s="120" t="s">
        <v>457</v>
      </c>
      <c r="E10" s="120" t="s">
        <v>27</v>
      </c>
      <c r="F10" s="120">
        <v>262473</v>
      </c>
      <c r="G10" s="120" t="s">
        <v>498</v>
      </c>
      <c r="H10" s="120">
        <v>1960</v>
      </c>
      <c r="I10" s="122">
        <v>0.51400000000000001</v>
      </c>
      <c r="J10" s="122">
        <v>0.96</v>
      </c>
      <c r="K10" s="120" t="s">
        <v>500</v>
      </c>
      <c r="L10" s="122">
        <v>967.14200000000005</v>
      </c>
      <c r="M10" s="123">
        <v>940.8</v>
      </c>
      <c r="N10" s="124">
        <v>0.13070000000000001</v>
      </c>
      <c r="O10" s="125">
        <v>7.84</v>
      </c>
      <c r="P10" s="120">
        <v>333.7</v>
      </c>
      <c r="Q10" s="120">
        <v>2</v>
      </c>
      <c r="R10" s="120">
        <v>1050</v>
      </c>
      <c r="S10" s="122">
        <v>1.028</v>
      </c>
      <c r="T10" s="120">
        <v>22</v>
      </c>
      <c r="U10" s="124">
        <v>2.1000000000000001E-2</v>
      </c>
      <c r="V10" s="120" t="s">
        <v>28</v>
      </c>
      <c r="W10" s="120" t="s">
        <v>28</v>
      </c>
      <c r="X10" s="120" t="s">
        <v>28</v>
      </c>
      <c r="Y10" s="120" t="s">
        <v>27</v>
      </c>
      <c r="Z10" s="120" t="s">
        <v>27</v>
      </c>
      <c r="AA10" s="120" t="s">
        <v>33</v>
      </c>
      <c r="AB10" s="120" t="s">
        <v>499</v>
      </c>
    </row>
    <row r="11" spans="1:28" s="45" customFormat="1" x14ac:dyDescent="0.3">
      <c r="A11" s="47">
        <v>9</v>
      </c>
      <c r="B11" s="52" t="s">
        <v>135</v>
      </c>
      <c r="C11" s="47" t="s">
        <v>36</v>
      </c>
      <c r="D11" s="47" t="s">
        <v>457</v>
      </c>
      <c r="E11" s="47" t="s">
        <v>27</v>
      </c>
      <c r="F11" s="47">
        <v>262477</v>
      </c>
      <c r="G11" s="47" t="s">
        <v>498</v>
      </c>
      <c r="H11" s="47">
        <v>1500</v>
      </c>
      <c r="I11" s="49">
        <v>1</v>
      </c>
      <c r="J11" s="49">
        <v>0.93</v>
      </c>
      <c r="K11" s="47" t="s">
        <v>34</v>
      </c>
      <c r="L11" s="49">
        <v>1395</v>
      </c>
      <c r="M11" s="51">
        <v>1395</v>
      </c>
      <c r="N11" s="48">
        <v>0.38750000000000001</v>
      </c>
      <c r="O11" s="50">
        <v>23.25</v>
      </c>
      <c r="P11" s="47">
        <v>481.3</v>
      </c>
      <c r="Q11" s="47">
        <v>1</v>
      </c>
      <c r="R11" s="47">
        <v>1050</v>
      </c>
      <c r="S11" s="49">
        <v>1</v>
      </c>
      <c r="T11" s="47">
        <v>50</v>
      </c>
      <c r="U11" s="48">
        <v>4.7600000000000003E-2</v>
      </c>
      <c r="V11" s="47" t="s">
        <v>28</v>
      </c>
      <c r="W11" s="47" t="s">
        <v>28</v>
      </c>
      <c r="X11" s="47" t="s">
        <v>28</v>
      </c>
      <c r="Y11" s="47" t="s">
        <v>27</v>
      </c>
      <c r="Z11" s="47" t="s">
        <v>27</v>
      </c>
      <c r="AA11" s="47" t="s">
        <v>33</v>
      </c>
      <c r="AB11" s="47" t="s">
        <v>497</v>
      </c>
    </row>
    <row r="12" spans="1:28" s="45" customFormat="1" x14ac:dyDescent="0.3">
      <c r="A12" s="46" t="s">
        <v>27</v>
      </c>
      <c r="B12" s="46" t="s">
        <v>27</v>
      </c>
      <c r="C12" s="46" t="s">
        <v>27</v>
      </c>
      <c r="D12" s="46" t="s">
        <v>27</v>
      </c>
      <c r="E12" s="46" t="s">
        <v>27</v>
      </c>
      <c r="F12" s="46" t="s">
        <v>27</v>
      </c>
      <c r="G12" s="46" t="s">
        <v>27</v>
      </c>
      <c r="H12" s="46">
        <v>9260</v>
      </c>
      <c r="I12" s="46" t="s">
        <v>27</v>
      </c>
      <c r="J12" s="46" t="s">
        <v>27</v>
      </c>
      <c r="K12" s="46" t="s">
        <v>27</v>
      </c>
      <c r="L12" s="46" t="s">
        <v>27</v>
      </c>
      <c r="M12" s="46" t="s">
        <v>27</v>
      </c>
      <c r="N12" s="46" t="s">
        <v>27</v>
      </c>
      <c r="O12" s="46" t="s">
        <v>27</v>
      </c>
      <c r="P12" s="46">
        <v>6122</v>
      </c>
      <c r="Q12" s="46" t="s">
        <v>27</v>
      </c>
      <c r="R12" s="46" t="s">
        <v>27</v>
      </c>
      <c r="S12" s="46" t="s">
        <v>27</v>
      </c>
      <c r="T12" s="46" t="s">
        <v>27</v>
      </c>
      <c r="U12" s="46" t="s">
        <v>27</v>
      </c>
      <c r="V12" s="46" t="s">
        <v>27</v>
      </c>
      <c r="W12" s="46" t="s">
        <v>27</v>
      </c>
      <c r="X12" s="46" t="s">
        <v>27</v>
      </c>
      <c r="Y12" s="46" t="s">
        <v>27</v>
      </c>
      <c r="Z12" s="46" t="s">
        <v>27</v>
      </c>
      <c r="AA12" s="46" t="s">
        <v>27</v>
      </c>
      <c r="AB12" s="46" t="s">
        <v>27</v>
      </c>
    </row>
  </sheetData>
  <mergeCells count="1">
    <mergeCell ref="A1:AB1"/>
  </mergeCells>
  <pageMargins left="0.34" right="0.17" top="1.23" bottom="0.78740157499999996" header="0.31496062000000002" footer="0.31496062000000002"/>
  <pageSetup paperSize="9" orientation="landscape" horizontalDpi="360" verticalDpi="36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214702-F93B-48EA-9A47-AECE9719FF17}">
  <dimension ref="A1:AB8"/>
  <sheetViews>
    <sheetView workbookViewId="0">
      <selection activeCell="W12" sqref="W12"/>
    </sheetView>
  </sheetViews>
  <sheetFormatPr defaultRowHeight="14.4" x14ac:dyDescent="0.3"/>
  <cols>
    <col min="1" max="1" width="4.6640625" style="108" customWidth="1"/>
    <col min="2" max="2" width="20.77734375" style="108" hidden="1" customWidth="1"/>
    <col min="3" max="3" width="7.109375" style="108" customWidth="1"/>
    <col min="4" max="4" width="11.77734375" style="108" hidden="1" customWidth="1"/>
    <col min="5" max="5" width="9.5546875" style="108" customWidth="1"/>
    <col min="6" max="6" width="7.109375" style="108" customWidth="1"/>
    <col min="7" max="7" width="9.6640625" style="108" customWidth="1"/>
    <col min="8" max="8" width="6.21875" style="108" customWidth="1"/>
    <col min="9" max="9" width="6.5546875" style="108" customWidth="1"/>
    <col min="10" max="10" width="6.44140625" style="108" customWidth="1"/>
    <col min="11" max="11" width="6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6.44140625" style="108" customWidth="1"/>
    <col min="17" max="17" width="4" style="108" customWidth="1"/>
    <col min="18" max="18" width="5.6640625" style="108" customWidth="1"/>
    <col min="19" max="19" width="6.44140625" style="108" customWidth="1"/>
    <col min="20" max="20" width="11.77734375" style="108" hidden="1" customWidth="1"/>
    <col min="21" max="21" width="8.77734375" style="108" hidden="1" customWidth="1"/>
    <col min="22" max="23" width="8.109375" style="108" customWidth="1"/>
    <col min="24" max="24" width="7.5546875" style="108" customWidth="1"/>
    <col min="25" max="25" width="7.33203125" style="108" customWidth="1"/>
    <col min="26" max="26" width="7.5546875" style="108" customWidth="1"/>
    <col min="27" max="27" width="4.5546875" style="108" customWidth="1"/>
    <col min="28" max="28" width="10.21875" style="108" customWidth="1"/>
    <col min="29" max="16384" width="8.88671875" style="108"/>
  </cols>
  <sheetData>
    <row r="1" spans="1:28" ht="18" customHeight="1" x14ac:dyDescent="0.35">
      <c r="A1" s="221" t="s">
        <v>531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39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ht="25.05" customHeight="1" x14ac:dyDescent="0.3">
      <c r="A3" s="116">
        <v>1</v>
      </c>
      <c r="B3" s="118" t="s">
        <v>526</v>
      </c>
      <c r="C3" s="116" t="s">
        <v>60</v>
      </c>
      <c r="D3" s="116" t="s">
        <v>457</v>
      </c>
      <c r="E3" s="116" t="s">
        <v>27</v>
      </c>
      <c r="F3" s="116">
        <v>262484</v>
      </c>
      <c r="G3" s="116" t="s">
        <v>525</v>
      </c>
      <c r="H3" s="116">
        <v>1241</v>
      </c>
      <c r="I3" s="117">
        <v>0.72</v>
      </c>
      <c r="J3" s="117">
        <v>0.92</v>
      </c>
      <c r="K3" s="116" t="s">
        <v>34</v>
      </c>
      <c r="L3" s="113">
        <v>822.03800000000001</v>
      </c>
      <c r="M3" s="115">
        <v>570.9</v>
      </c>
      <c r="N3" s="112">
        <v>7.9299999999999995E-2</v>
      </c>
      <c r="O3" s="114">
        <v>4.76</v>
      </c>
      <c r="P3" s="111">
        <v>310.7</v>
      </c>
      <c r="Q3" s="111">
        <v>2</v>
      </c>
      <c r="R3" s="111">
        <v>1500</v>
      </c>
      <c r="S3" s="113">
        <v>1.44</v>
      </c>
      <c r="T3" s="111">
        <v>60</v>
      </c>
      <c r="U3" s="112">
        <v>0.04</v>
      </c>
      <c r="V3" s="111" t="s">
        <v>38</v>
      </c>
      <c r="W3" s="111" t="s">
        <v>29</v>
      </c>
      <c r="X3" s="111" t="s">
        <v>35</v>
      </c>
      <c r="Y3" s="111" t="s">
        <v>27</v>
      </c>
      <c r="Z3" s="111" t="s">
        <v>27</v>
      </c>
      <c r="AA3" s="111" t="s">
        <v>33</v>
      </c>
      <c r="AB3" s="111" t="s">
        <v>530</v>
      </c>
    </row>
    <row r="4" spans="1:28" ht="25.05" customHeight="1" x14ac:dyDescent="0.3">
      <c r="A4" s="116">
        <v>2</v>
      </c>
      <c r="B4" s="118" t="s">
        <v>526</v>
      </c>
      <c r="C4" s="116" t="s">
        <v>60</v>
      </c>
      <c r="D4" s="116" t="s">
        <v>457</v>
      </c>
      <c r="E4" s="116" t="s">
        <v>27</v>
      </c>
      <c r="F4" s="116">
        <v>262482</v>
      </c>
      <c r="G4" s="116" t="s">
        <v>525</v>
      </c>
      <c r="H4" s="116">
        <v>1572</v>
      </c>
      <c r="I4" s="117">
        <v>0.63</v>
      </c>
      <c r="J4" s="117">
        <v>0.83</v>
      </c>
      <c r="K4" s="116" t="s">
        <v>34</v>
      </c>
      <c r="L4" s="113">
        <v>821.99900000000002</v>
      </c>
      <c r="M4" s="115">
        <v>652.4</v>
      </c>
      <c r="N4" s="112">
        <v>9.06E-2</v>
      </c>
      <c r="O4" s="114">
        <v>5.44</v>
      </c>
      <c r="P4" s="111">
        <v>310.7</v>
      </c>
      <c r="Q4" s="111">
        <v>2</v>
      </c>
      <c r="R4" s="111">
        <v>1300</v>
      </c>
      <c r="S4" s="113">
        <v>1.26</v>
      </c>
      <c r="T4" s="111">
        <v>40</v>
      </c>
      <c r="U4" s="112">
        <v>3.0800000000000001E-2</v>
      </c>
      <c r="V4" s="111" t="s">
        <v>38</v>
      </c>
      <c r="W4" s="111" t="s">
        <v>29</v>
      </c>
      <c r="X4" s="111" t="s">
        <v>35</v>
      </c>
      <c r="Y4" s="111" t="s">
        <v>27</v>
      </c>
      <c r="Z4" s="111" t="s">
        <v>27</v>
      </c>
      <c r="AA4" s="111" t="s">
        <v>33</v>
      </c>
      <c r="AB4" s="111" t="s">
        <v>529</v>
      </c>
    </row>
    <row r="5" spans="1:28" ht="25.05" customHeight="1" x14ac:dyDescent="0.3">
      <c r="A5" s="116">
        <v>3</v>
      </c>
      <c r="B5" s="118" t="s">
        <v>526</v>
      </c>
      <c r="C5" s="116" t="s">
        <v>60</v>
      </c>
      <c r="D5" s="116" t="s">
        <v>457</v>
      </c>
      <c r="E5" s="116" t="s">
        <v>27</v>
      </c>
      <c r="F5" s="116">
        <v>262483</v>
      </c>
      <c r="G5" s="116" t="s">
        <v>525</v>
      </c>
      <c r="H5" s="116">
        <v>1287</v>
      </c>
      <c r="I5" s="117">
        <v>0.56999999999999995</v>
      </c>
      <c r="J5" s="117">
        <v>1.1200000000000001</v>
      </c>
      <c r="K5" s="116" t="s">
        <v>34</v>
      </c>
      <c r="L5" s="113">
        <v>821.62099999999998</v>
      </c>
      <c r="M5" s="115">
        <v>720.7</v>
      </c>
      <c r="N5" s="112">
        <v>0.10009999999999999</v>
      </c>
      <c r="O5" s="114">
        <v>6.01</v>
      </c>
      <c r="P5" s="111">
        <v>310.60000000000002</v>
      </c>
      <c r="Q5" s="111">
        <v>2</v>
      </c>
      <c r="R5" s="111">
        <v>1200</v>
      </c>
      <c r="S5" s="113">
        <v>1.1399999999999999</v>
      </c>
      <c r="T5" s="111">
        <v>60</v>
      </c>
      <c r="U5" s="112">
        <v>0.05</v>
      </c>
      <c r="V5" s="111" t="s">
        <v>38</v>
      </c>
      <c r="W5" s="111" t="s">
        <v>29</v>
      </c>
      <c r="X5" s="111" t="s">
        <v>35</v>
      </c>
      <c r="Y5" s="111" t="s">
        <v>27</v>
      </c>
      <c r="Z5" s="111" t="s">
        <v>27</v>
      </c>
      <c r="AA5" s="111" t="s">
        <v>33</v>
      </c>
      <c r="AB5" s="111" t="s">
        <v>528</v>
      </c>
    </row>
    <row r="6" spans="1:28" ht="25.05" customHeight="1" x14ac:dyDescent="0.3">
      <c r="A6" s="116">
        <v>4</v>
      </c>
      <c r="B6" s="118" t="s">
        <v>526</v>
      </c>
      <c r="C6" s="116" t="s">
        <v>50</v>
      </c>
      <c r="D6" s="116" t="s">
        <v>457</v>
      </c>
      <c r="E6" s="116" t="s">
        <v>27</v>
      </c>
      <c r="F6" s="116">
        <v>262485</v>
      </c>
      <c r="G6" s="116" t="s">
        <v>525</v>
      </c>
      <c r="H6" s="116">
        <v>6104</v>
      </c>
      <c r="I6" s="117">
        <v>0.39</v>
      </c>
      <c r="J6" s="117">
        <v>0.71</v>
      </c>
      <c r="K6" s="116" t="s">
        <v>34</v>
      </c>
      <c r="L6" s="113">
        <v>1690.1980000000001</v>
      </c>
      <c r="M6" s="115">
        <v>1444.6</v>
      </c>
      <c r="N6" s="112">
        <v>0.1338</v>
      </c>
      <c r="O6" s="114">
        <v>8.0299999999999994</v>
      </c>
      <c r="P6" s="111">
        <v>616.9</v>
      </c>
      <c r="Q6" s="111">
        <v>3</v>
      </c>
      <c r="R6" s="111">
        <v>1200</v>
      </c>
      <c r="S6" s="113">
        <v>1.17</v>
      </c>
      <c r="T6" s="111">
        <v>30</v>
      </c>
      <c r="U6" s="112">
        <v>2.5000000000000001E-2</v>
      </c>
      <c r="V6" s="111" t="s">
        <v>29</v>
      </c>
      <c r="W6" s="111" t="s">
        <v>28</v>
      </c>
      <c r="X6" s="111" t="s">
        <v>29</v>
      </c>
      <c r="Y6" s="111" t="s">
        <v>27</v>
      </c>
      <c r="Z6" s="111" t="s">
        <v>27</v>
      </c>
      <c r="AA6" s="111" t="s">
        <v>33</v>
      </c>
      <c r="AB6" s="111" t="s">
        <v>527</v>
      </c>
    </row>
    <row r="7" spans="1:28" ht="25.05" customHeight="1" x14ac:dyDescent="0.3">
      <c r="A7" s="116">
        <v>5</v>
      </c>
      <c r="B7" s="118" t="s">
        <v>526</v>
      </c>
      <c r="C7" s="116" t="s">
        <v>50</v>
      </c>
      <c r="D7" s="116" t="s">
        <v>457</v>
      </c>
      <c r="E7" s="116" t="s">
        <v>27</v>
      </c>
      <c r="F7" s="116">
        <v>262486</v>
      </c>
      <c r="G7" s="116" t="s">
        <v>525</v>
      </c>
      <c r="H7" s="116">
        <v>3317</v>
      </c>
      <c r="I7" s="117">
        <v>0.56000000000000005</v>
      </c>
      <c r="J7" s="117">
        <v>0.91</v>
      </c>
      <c r="K7" s="116" t="s">
        <v>34</v>
      </c>
      <c r="L7" s="113">
        <v>1690.3430000000001</v>
      </c>
      <c r="M7" s="115">
        <v>1509.2</v>
      </c>
      <c r="N7" s="112">
        <v>0.20960000000000001</v>
      </c>
      <c r="O7" s="114">
        <v>12.58</v>
      </c>
      <c r="P7" s="111">
        <v>617</v>
      </c>
      <c r="Q7" s="111">
        <v>2</v>
      </c>
      <c r="R7" s="111">
        <v>1150</v>
      </c>
      <c r="S7" s="113">
        <v>1.1200000000000001</v>
      </c>
      <c r="T7" s="111">
        <v>30</v>
      </c>
      <c r="U7" s="112">
        <v>2.6100000000000002E-2</v>
      </c>
      <c r="V7" s="111" t="s">
        <v>29</v>
      </c>
      <c r="W7" s="111" t="s">
        <v>28</v>
      </c>
      <c r="X7" s="111" t="s">
        <v>29</v>
      </c>
      <c r="Y7" s="111" t="s">
        <v>27</v>
      </c>
      <c r="Z7" s="111" t="s">
        <v>27</v>
      </c>
      <c r="AA7" s="111" t="s">
        <v>30</v>
      </c>
      <c r="AB7" s="111" t="s">
        <v>524</v>
      </c>
    </row>
    <row r="8" spans="1:28" ht="25.05" customHeight="1" x14ac:dyDescent="0.3">
      <c r="A8" s="110" t="s">
        <v>27</v>
      </c>
      <c r="B8" s="110" t="s">
        <v>27</v>
      </c>
      <c r="C8" s="110" t="s">
        <v>27</v>
      </c>
      <c r="D8" s="110" t="s">
        <v>27</v>
      </c>
      <c r="E8" s="110" t="s">
        <v>27</v>
      </c>
      <c r="F8" s="110" t="s">
        <v>27</v>
      </c>
      <c r="G8" s="110" t="s">
        <v>27</v>
      </c>
      <c r="H8" s="110">
        <v>13521</v>
      </c>
      <c r="I8" s="110" t="s">
        <v>27</v>
      </c>
      <c r="J8" s="110" t="s">
        <v>27</v>
      </c>
      <c r="K8" s="110" t="s">
        <v>27</v>
      </c>
      <c r="L8" s="109" t="s">
        <v>27</v>
      </c>
      <c r="M8" s="109" t="s">
        <v>27</v>
      </c>
      <c r="N8" s="109" t="s">
        <v>27</v>
      </c>
      <c r="O8" s="109" t="s">
        <v>27</v>
      </c>
      <c r="P8" s="109">
        <v>2165.9</v>
      </c>
      <c r="Q8" s="109" t="s">
        <v>27</v>
      </c>
      <c r="R8" s="109" t="s">
        <v>27</v>
      </c>
      <c r="S8" s="109" t="s">
        <v>27</v>
      </c>
      <c r="T8" s="109" t="s">
        <v>27</v>
      </c>
      <c r="U8" s="109" t="s">
        <v>27</v>
      </c>
      <c r="V8" s="109" t="s">
        <v>27</v>
      </c>
      <c r="W8" s="109" t="s">
        <v>27</v>
      </c>
      <c r="X8" s="109" t="s">
        <v>27</v>
      </c>
      <c r="Y8" s="109" t="s">
        <v>27</v>
      </c>
      <c r="Z8" s="109" t="s">
        <v>27</v>
      </c>
      <c r="AA8" s="109" t="s">
        <v>27</v>
      </c>
      <c r="AB8" s="10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63489B-9360-4477-96A2-DD5FB6D3203C}">
  <sheetPr>
    <pageSetUpPr fitToPage="1"/>
  </sheetPr>
  <dimension ref="A1:AB17"/>
  <sheetViews>
    <sheetView workbookViewId="0">
      <selection sqref="A1:AB17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customWidth="1"/>
    <col min="5" max="5" width="9.21875" style="1" customWidth="1"/>
    <col min="6" max="6" width="7.6640625" style="1" customWidth="1"/>
    <col min="7" max="7" width="6.109375" style="1" customWidth="1"/>
    <col min="8" max="8" width="6.44140625" style="1" customWidth="1"/>
    <col min="9" max="9" width="6.6640625" style="1" customWidth="1"/>
    <col min="10" max="10" width="6.88671875" style="1" customWidth="1"/>
    <col min="11" max="11" width="13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33203125" style="1" customWidth="1"/>
    <col min="17" max="17" width="4.109375" style="1" customWidth="1"/>
    <col min="18" max="18" width="6.2187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3" width="7.77734375" style="1" customWidth="1"/>
    <col min="24" max="24" width="7.44140625" style="1" customWidth="1"/>
    <col min="25" max="25" width="7.77734375" style="1" customWidth="1"/>
    <col min="26" max="26" width="8.33203125" style="1" customWidth="1"/>
    <col min="27" max="27" width="4.5546875" style="1" customWidth="1"/>
    <col min="28" max="28" width="11.88671875" style="1" customWidth="1"/>
    <col min="29" max="16384" width="8.88671875" style="1"/>
  </cols>
  <sheetData>
    <row r="1" spans="1:28" ht="18" customHeight="1" x14ac:dyDescent="0.35">
      <c r="A1" s="222" t="s">
        <v>496</v>
      </c>
      <c r="B1" s="222" t="s">
        <v>27</v>
      </c>
      <c r="C1" s="222" t="s">
        <v>27</v>
      </c>
      <c r="D1" s="222" t="s">
        <v>27</v>
      </c>
      <c r="E1" s="222" t="s">
        <v>27</v>
      </c>
      <c r="F1" s="222" t="s">
        <v>27</v>
      </c>
      <c r="G1" s="222" t="s">
        <v>27</v>
      </c>
      <c r="H1" s="222" t="s">
        <v>27</v>
      </c>
      <c r="I1" s="222" t="s">
        <v>27</v>
      </c>
      <c r="J1" s="222" t="s">
        <v>27</v>
      </c>
      <c r="K1" s="222" t="s">
        <v>27</v>
      </c>
      <c r="L1" s="222" t="s">
        <v>27</v>
      </c>
      <c r="M1" s="222" t="s">
        <v>27</v>
      </c>
      <c r="N1" s="222" t="s">
        <v>27</v>
      </c>
      <c r="O1" s="222" t="s">
        <v>27</v>
      </c>
      <c r="P1" s="222" t="s">
        <v>27</v>
      </c>
      <c r="Q1" s="222" t="s">
        <v>27</v>
      </c>
      <c r="R1" s="222" t="s">
        <v>27</v>
      </c>
      <c r="S1" s="222" t="s">
        <v>27</v>
      </c>
      <c r="T1" s="222" t="s">
        <v>27</v>
      </c>
      <c r="U1" s="222" t="s">
        <v>27</v>
      </c>
      <c r="V1" s="222" t="s">
        <v>27</v>
      </c>
      <c r="W1" s="222" t="s">
        <v>27</v>
      </c>
      <c r="X1" s="222" t="s">
        <v>27</v>
      </c>
      <c r="Y1" s="222" t="s">
        <v>27</v>
      </c>
      <c r="Z1" s="222" t="s">
        <v>27</v>
      </c>
      <c r="AA1" s="222" t="s">
        <v>27</v>
      </c>
      <c r="AB1" s="222" t="s">
        <v>27</v>
      </c>
    </row>
    <row r="2" spans="1:28" ht="56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38" customFormat="1" ht="25.05" customHeight="1" x14ac:dyDescent="0.3">
      <c r="A3" s="133">
        <v>1</v>
      </c>
      <c r="B3" s="134" t="s">
        <v>63</v>
      </c>
      <c r="C3" s="133" t="s">
        <v>26</v>
      </c>
      <c r="D3" s="133" t="s">
        <v>534</v>
      </c>
      <c r="E3" s="133" t="s">
        <v>27</v>
      </c>
      <c r="F3" s="133">
        <v>262507</v>
      </c>
      <c r="G3" s="133" t="s">
        <v>557</v>
      </c>
      <c r="H3" s="133">
        <v>550</v>
      </c>
      <c r="I3" s="135">
        <v>0.77200000000000002</v>
      </c>
      <c r="J3" s="135">
        <v>1.76</v>
      </c>
      <c r="K3" s="133" t="s">
        <v>556</v>
      </c>
      <c r="L3" s="135">
        <v>747.29600000000005</v>
      </c>
      <c r="M3" s="136">
        <v>484</v>
      </c>
      <c r="N3" s="137">
        <v>6.7199999999999996E-2</v>
      </c>
      <c r="O3" s="138">
        <v>4.03</v>
      </c>
      <c r="P3" s="133">
        <v>443.1</v>
      </c>
      <c r="Q3" s="133">
        <v>2</v>
      </c>
      <c r="R3" s="133">
        <v>1600</v>
      </c>
      <c r="S3" s="135">
        <v>1.544</v>
      </c>
      <c r="T3" s="133">
        <v>56</v>
      </c>
      <c r="U3" s="137">
        <v>3.5000000000000003E-2</v>
      </c>
      <c r="V3" s="133" t="s">
        <v>28</v>
      </c>
      <c r="W3" s="133" t="s">
        <v>29</v>
      </c>
      <c r="X3" s="133" t="s">
        <v>28</v>
      </c>
      <c r="Y3" s="133" t="s">
        <v>28</v>
      </c>
      <c r="Z3" s="133" t="s">
        <v>28</v>
      </c>
      <c r="AA3" s="133" t="s">
        <v>30</v>
      </c>
      <c r="AB3" s="133" t="s">
        <v>555</v>
      </c>
    </row>
    <row r="4" spans="1:28" s="38" customFormat="1" ht="25.05" customHeight="1" x14ac:dyDescent="0.3">
      <c r="A4" s="133">
        <v>2</v>
      </c>
      <c r="B4" s="134" t="s">
        <v>63</v>
      </c>
      <c r="C4" s="133" t="s">
        <v>26</v>
      </c>
      <c r="D4" s="169">
        <v>46275</v>
      </c>
      <c r="E4" s="133"/>
      <c r="F4" s="133">
        <v>262534</v>
      </c>
      <c r="G4" s="133">
        <v>8227</v>
      </c>
      <c r="H4" s="133">
        <v>350</v>
      </c>
      <c r="I4" s="135">
        <v>0.76200000000000001</v>
      </c>
      <c r="J4" s="135">
        <v>2.1</v>
      </c>
      <c r="K4" s="133" t="s">
        <v>616</v>
      </c>
      <c r="L4" s="135">
        <v>560.07000000000005</v>
      </c>
      <c r="M4" s="136">
        <v>367.5</v>
      </c>
      <c r="N4" s="137">
        <v>5.0999999999999997E-2</v>
      </c>
      <c r="O4" s="138">
        <v>3.06</v>
      </c>
      <c r="P4" s="133">
        <v>332.1</v>
      </c>
      <c r="Q4" s="133">
        <v>2</v>
      </c>
      <c r="R4" s="133">
        <v>1550</v>
      </c>
      <c r="S4" s="135">
        <v>1.524</v>
      </c>
      <c r="T4" s="133">
        <v>26</v>
      </c>
      <c r="U4" s="137">
        <v>1.6799999999999999E-2</v>
      </c>
      <c r="V4" s="133" t="s">
        <v>28</v>
      </c>
      <c r="W4" s="133" t="s">
        <v>29</v>
      </c>
      <c r="X4" s="133" t="s">
        <v>28</v>
      </c>
      <c r="Y4" s="133" t="s">
        <v>28</v>
      </c>
      <c r="Z4" s="133" t="s">
        <v>28</v>
      </c>
      <c r="AA4" s="133">
        <v>2</v>
      </c>
      <c r="AB4" s="133" t="s">
        <v>617</v>
      </c>
    </row>
    <row r="5" spans="1:28" s="38" customFormat="1" ht="25.05" customHeight="1" x14ac:dyDescent="0.3">
      <c r="A5" s="133">
        <v>3</v>
      </c>
      <c r="B5" s="134" t="s">
        <v>63</v>
      </c>
      <c r="C5" s="133" t="s">
        <v>26</v>
      </c>
      <c r="D5" s="133" t="s">
        <v>457</v>
      </c>
      <c r="E5" s="133" t="s">
        <v>27</v>
      </c>
      <c r="F5" s="133">
        <v>262506</v>
      </c>
      <c r="G5" s="133" t="s">
        <v>560</v>
      </c>
      <c r="H5" s="133">
        <v>1300</v>
      </c>
      <c r="I5" s="135">
        <v>0.66800000000000004</v>
      </c>
      <c r="J5" s="135">
        <v>1.548</v>
      </c>
      <c r="K5" s="133" t="s">
        <v>559</v>
      </c>
      <c r="L5" s="135">
        <v>1344.2829999999999</v>
      </c>
      <c r="M5" s="136">
        <v>1006.2</v>
      </c>
      <c r="N5" s="137">
        <v>0.13969999999999999</v>
      </c>
      <c r="O5" s="138">
        <v>8.3800000000000008</v>
      </c>
      <c r="P5" s="133">
        <v>797.2</v>
      </c>
      <c r="Q5" s="133">
        <v>2</v>
      </c>
      <c r="R5" s="133">
        <v>1400</v>
      </c>
      <c r="S5" s="135">
        <v>1.3360000000000001</v>
      </c>
      <c r="T5" s="133">
        <v>64</v>
      </c>
      <c r="U5" s="137">
        <v>4.5699999999999998E-2</v>
      </c>
      <c r="V5" s="133" t="s">
        <v>28</v>
      </c>
      <c r="W5" s="133" t="s">
        <v>29</v>
      </c>
      <c r="X5" s="133" t="s">
        <v>28</v>
      </c>
      <c r="Y5" s="133" t="s">
        <v>28</v>
      </c>
      <c r="Z5" s="133" t="s">
        <v>28</v>
      </c>
      <c r="AA5" s="133" t="s">
        <v>57</v>
      </c>
      <c r="AB5" s="133" t="s">
        <v>558</v>
      </c>
    </row>
    <row r="6" spans="1:28" s="214" customFormat="1" ht="25.05" customHeight="1" x14ac:dyDescent="0.3">
      <c r="A6" s="207">
        <v>4</v>
      </c>
      <c r="B6" s="208" t="s">
        <v>63</v>
      </c>
      <c r="C6" s="207" t="s">
        <v>26</v>
      </c>
      <c r="D6" s="209">
        <v>46274</v>
      </c>
      <c r="E6" s="207"/>
      <c r="F6" s="207">
        <v>262613</v>
      </c>
      <c r="G6" s="207">
        <v>8223</v>
      </c>
      <c r="H6" s="207">
        <v>700</v>
      </c>
      <c r="I6" s="210">
        <v>0.64200000000000002</v>
      </c>
      <c r="J6" s="210">
        <v>2.0790000000000002</v>
      </c>
      <c r="K6" s="207" t="s">
        <v>129</v>
      </c>
      <c r="L6" s="210">
        <v>934.303</v>
      </c>
      <c r="M6" s="211">
        <v>727.7</v>
      </c>
      <c r="N6" s="212">
        <v>0.1011</v>
      </c>
      <c r="O6" s="213">
        <v>6.06</v>
      </c>
      <c r="P6" s="207">
        <v>502.7</v>
      </c>
      <c r="Q6" s="207">
        <v>2</v>
      </c>
      <c r="R6" s="207">
        <v>1350</v>
      </c>
      <c r="S6" s="210">
        <v>1.284</v>
      </c>
      <c r="T6" s="207">
        <v>66</v>
      </c>
      <c r="U6" s="212">
        <v>4.8899999999999999E-2</v>
      </c>
      <c r="V6" s="207" t="s">
        <v>28</v>
      </c>
      <c r="W6" s="207" t="s">
        <v>29</v>
      </c>
      <c r="X6" s="207" t="s">
        <v>28</v>
      </c>
      <c r="Y6" s="207" t="s">
        <v>28</v>
      </c>
      <c r="Z6" s="207" t="s">
        <v>28</v>
      </c>
      <c r="AA6" s="207">
        <v>4</v>
      </c>
      <c r="AB6" s="207" t="s">
        <v>729</v>
      </c>
    </row>
    <row r="7" spans="1:28" s="214" customFormat="1" ht="25.05" customHeight="1" x14ac:dyDescent="0.3">
      <c r="A7" s="207">
        <v>5</v>
      </c>
      <c r="B7" s="208" t="s">
        <v>63</v>
      </c>
      <c r="C7" s="207" t="s">
        <v>26</v>
      </c>
      <c r="D7" s="209">
        <v>46279</v>
      </c>
      <c r="E7" s="207"/>
      <c r="F7" s="207">
        <v>262610</v>
      </c>
      <c r="G7" s="207">
        <v>8235</v>
      </c>
      <c r="H7" s="207">
        <v>1000</v>
      </c>
      <c r="I7" s="210">
        <v>0.64500000000000002</v>
      </c>
      <c r="J7" s="210">
        <v>1.526</v>
      </c>
      <c r="K7" s="207" t="s">
        <v>726</v>
      </c>
      <c r="L7" s="210">
        <v>984.27</v>
      </c>
      <c r="M7" s="211">
        <v>763</v>
      </c>
      <c r="N7" s="212">
        <v>0.106</v>
      </c>
      <c r="O7" s="213">
        <v>6.36</v>
      </c>
      <c r="P7" s="207">
        <v>529.5</v>
      </c>
      <c r="Q7" s="207">
        <v>2</v>
      </c>
      <c r="R7" s="207">
        <v>1350</v>
      </c>
      <c r="S7" s="210">
        <v>1.29</v>
      </c>
      <c r="T7" s="207">
        <v>60</v>
      </c>
      <c r="U7" s="212">
        <v>4.4400000000000002E-2</v>
      </c>
      <c r="V7" s="207" t="s">
        <v>28</v>
      </c>
      <c r="W7" s="207" t="s">
        <v>29</v>
      </c>
      <c r="X7" s="207" t="s">
        <v>28</v>
      </c>
      <c r="Y7" s="207" t="s">
        <v>28</v>
      </c>
      <c r="Z7" s="207" t="s">
        <v>28</v>
      </c>
      <c r="AA7" s="207">
        <v>6</v>
      </c>
      <c r="AB7" s="207" t="s">
        <v>727</v>
      </c>
    </row>
    <row r="8" spans="1:28" s="12" customFormat="1" ht="25.05" customHeight="1" x14ac:dyDescent="0.3">
      <c r="A8" s="133">
        <v>6</v>
      </c>
      <c r="B8" s="10" t="s">
        <v>63</v>
      </c>
      <c r="C8" s="97" t="s">
        <v>26</v>
      </c>
      <c r="D8" s="97" t="s">
        <v>489</v>
      </c>
      <c r="E8" s="97" t="s">
        <v>27</v>
      </c>
      <c r="F8" s="97">
        <v>262467</v>
      </c>
      <c r="G8" s="97" t="s">
        <v>488</v>
      </c>
      <c r="H8" s="97">
        <v>800</v>
      </c>
      <c r="I8" s="99">
        <v>0.56799999999999995</v>
      </c>
      <c r="J8" s="99">
        <v>1.508</v>
      </c>
      <c r="K8" s="97" t="s">
        <v>495</v>
      </c>
      <c r="L8" s="99">
        <v>685.23500000000001</v>
      </c>
      <c r="M8" s="100">
        <v>603.20000000000005</v>
      </c>
      <c r="N8" s="101">
        <v>8.3799999999999999E-2</v>
      </c>
      <c r="O8" s="102">
        <v>5.03</v>
      </c>
      <c r="P8" s="97">
        <v>406.3</v>
      </c>
      <c r="Q8" s="97">
        <v>2</v>
      </c>
      <c r="R8" s="97">
        <v>1200</v>
      </c>
      <c r="S8" s="99">
        <v>1.1359999999999999</v>
      </c>
      <c r="T8" s="97">
        <v>64</v>
      </c>
      <c r="U8" s="101">
        <v>5.33E-2</v>
      </c>
      <c r="V8" s="97" t="s">
        <v>28</v>
      </c>
      <c r="W8" s="97" t="s">
        <v>29</v>
      </c>
      <c r="X8" s="97" t="s">
        <v>28</v>
      </c>
      <c r="Y8" s="97" t="s">
        <v>28</v>
      </c>
      <c r="Z8" s="97" t="s">
        <v>28</v>
      </c>
      <c r="AA8" s="97" t="s">
        <v>30</v>
      </c>
      <c r="AB8" s="97" t="s">
        <v>494</v>
      </c>
    </row>
    <row r="9" spans="1:28" s="103" customFormat="1" ht="25.05" customHeight="1" x14ac:dyDescent="0.3">
      <c r="A9" s="207">
        <v>7</v>
      </c>
      <c r="B9" s="186" t="s">
        <v>63</v>
      </c>
      <c r="C9" s="185" t="s">
        <v>26</v>
      </c>
      <c r="D9" s="215">
        <v>46274</v>
      </c>
      <c r="E9" s="185"/>
      <c r="F9" s="185">
        <v>262612</v>
      </c>
      <c r="G9" s="185">
        <v>8223</v>
      </c>
      <c r="H9" s="185">
        <v>835</v>
      </c>
      <c r="I9" s="187">
        <v>1.018</v>
      </c>
      <c r="J9" s="187">
        <v>0.64500000000000002</v>
      </c>
      <c r="K9" s="185" t="s">
        <v>34</v>
      </c>
      <c r="L9" s="187">
        <v>548.26900000000001</v>
      </c>
      <c r="M9" s="188">
        <v>538.6</v>
      </c>
      <c r="N9" s="189">
        <v>0.14960000000000001</v>
      </c>
      <c r="O9" s="190">
        <v>8.98</v>
      </c>
      <c r="P9" s="185">
        <v>295</v>
      </c>
      <c r="Q9" s="185">
        <v>1</v>
      </c>
      <c r="R9" s="185">
        <v>1050</v>
      </c>
      <c r="S9" s="187">
        <v>1.018</v>
      </c>
      <c r="T9" s="185">
        <v>32</v>
      </c>
      <c r="U9" s="189">
        <v>3.0499999999999999E-2</v>
      </c>
      <c r="V9" s="185" t="s">
        <v>28</v>
      </c>
      <c r="W9" s="185" t="s">
        <v>29</v>
      </c>
      <c r="X9" s="185" t="s">
        <v>28</v>
      </c>
      <c r="Y9" s="185" t="s">
        <v>28</v>
      </c>
      <c r="Z9" s="185" t="s">
        <v>28</v>
      </c>
      <c r="AA9" s="185">
        <v>2</v>
      </c>
      <c r="AB9" s="185" t="s">
        <v>728</v>
      </c>
    </row>
    <row r="10" spans="1:28" s="12" customFormat="1" ht="25.05" customHeight="1" x14ac:dyDescent="0.3">
      <c r="A10" s="133">
        <v>8</v>
      </c>
      <c r="B10" s="10" t="s">
        <v>63</v>
      </c>
      <c r="C10" s="97" t="s">
        <v>26</v>
      </c>
      <c r="D10" s="97" t="s">
        <v>489</v>
      </c>
      <c r="E10" s="97" t="s">
        <v>27</v>
      </c>
      <c r="F10" s="97">
        <v>262468</v>
      </c>
      <c r="G10" s="97" t="s">
        <v>488</v>
      </c>
      <c r="H10" s="97">
        <v>1000</v>
      </c>
      <c r="I10" s="99">
        <v>0.46400000000000002</v>
      </c>
      <c r="J10" s="99">
        <v>1.208</v>
      </c>
      <c r="K10" s="97" t="s">
        <v>493</v>
      </c>
      <c r="L10" s="99">
        <v>560.51199999999994</v>
      </c>
      <c r="M10" s="100">
        <v>604</v>
      </c>
      <c r="N10" s="101">
        <v>8.3900000000000002E-2</v>
      </c>
      <c r="O10" s="102">
        <v>5.03</v>
      </c>
      <c r="P10" s="97">
        <v>332.4</v>
      </c>
      <c r="Q10" s="97">
        <v>2</v>
      </c>
      <c r="R10" s="97">
        <v>950</v>
      </c>
      <c r="S10" s="99">
        <v>0.92800000000000005</v>
      </c>
      <c r="T10" s="97">
        <v>22</v>
      </c>
      <c r="U10" s="101">
        <v>2.3199999999999998E-2</v>
      </c>
      <c r="V10" s="97" t="s">
        <v>28</v>
      </c>
      <c r="W10" s="97" t="s">
        <v>29</v>
      </c>
      <c r="X10" s="97" t="s">
        <v>28</v>
      </c>
      <c r="Y10" s="97" t="s">
        <v>28</v>
      </c>
      <c r="Z10" s="97" t="s">
        <v>28</v>
      </c>
      <c r="AA10" s="97" t="s">
        <v>30</v>
      </c>
      <c r="AB10" s="97" t="s">
        <v>492</v>
      </c>
    </row>
    <row r="11" spans="1:28" s="103" customFormat="1" ht="25.05" customHeight="1" x14ac:dyDescent="0.3">
      <c r="A11" s="207">
        <v>9</v>
      </c>
      <c r="B11" s="186" t="s">
        <v>63</v>
      </c>
      <c r="C11" s="185" t="s">
        <v>26</v>
      </c>
      <c r="D11" s="215">
        <v>46274</v>
      </c>
      <c r="E11" s="185"/>
      <c r="F11" s="185">
        <v>262614</v>
      </c>
      <c r="G11" s="185">
        <v>8223</v>
      </c>
      <c r="H11" s="185">
        <v>3300</v>
      </c>
      <c r="I11" s="187">
        <v>0.39700000000000002</v>
      </c>
      <c r="J11" s="187">
        <v>1.04</v>
      </c>
      <c r="K11" s="185" t="s">
        <v>730</v>
      </c>
      <c r="L11" s="187">
        <v>1362.5039999999999</v>
      </c>
      <c r="M11" s="188">
        <v>1716</v>
      </c>
      <c r="N11" s="189">
        <v>0.23830000000000001</v>
      </c>
      <c r="O11" s="190">
        <v>14.3</v>
      </c>
      <c r="P11" s="185">
        <v>733</v>
      </c>
      <c r="Q11" s="185">
        <v>2</v>
      </c>
      <c r="R11" s="185">
        <v>850</v>
      </c>
      <c r="S11" s="187">
        <v>0.79400000000000004</v>
      </c>
      <c r="T11" s="185">
        <v>56</v>
      </c>
      <c r="U11" s="189">
        <v>6.59E-2</v>
      </c>
      <c r="V11" s="185" t="s">
        <v>28</v>
      </c>
      <c r="W11" s="185" t="s">
        <v>29</v>
      </c>
      <c r="X11" s="185" t="s">
        <v>28</v>
      </c>
      <c r="Y11" s="185" t="s">
        <v>28</v>
      </c>
      <c r="Z11" s="185" t="s">
        <v>28</v>
      </c>
      <c r="AA11" s="185">
        <v>5</v>
      </c>
      <c r="AB11" s="185" t="s">
        <v>731</v>
      </c>
    </row>
    <row r="12" spans="1:28" s="12" customFormat="1" ht="25.05" customHeight="1" x14ac:dyDescent="0.3">
      <c r="A12" s="133">
        <v>10</v>
      </c>
      <c r="B12" s="10" t="s">
        <v>63</v>
      </c>
      <c r="C12" s="97" t="s">
        <v>65</v>
      </c>
      <c r="D12" s="97" t="s">
        <v>489</v>
      </c>
      <c r="E12" s="97" t="s">
        <v>27</v>
      </c>
      <c r="F12" s="97">
        <v>262465</v>
      </c>
      <c r="G12" s="97" t="s">
        <v>488</v>
      </c>
      <c r="H12" s="97">
        <v>900</v>
      </c>
      <c r="I12" s="99">
        <v>0.78200000000000003</v>
      </c>
      <c r="J12" s="99">
        <v>1.5680000000000001</v>
      </c>
      <c r="K12" s="97" t="s">
        <v>491</v>
      </c>
      <c r="L12" s="99">
        <v>1103.558</v>
      </c>
      <c r="M12" s="100">
        <v>705.6</v>
      </c>
      <c r="N12" s="101">
        <v>9.8000000000000004E-2</v>
      </c>
      <c r="O12" s="102">
        <v>5.88</v>
      </c>
      <c r="P12" s="97">
        <v>380.7</v>
      </c>
      <c r="Q12" s="97">
        <v>2</v>
      </c>
      <c r="R12" s="97">
        <v>1600</v>
      </c>
      <c r="S12" s="99">
        <v>1.5640000000000001</v>
      </c>
      <c r="T12" s="97">
        <v>36</v>
      </c>
      <c r="U12" s="101">
        <v>2.2499999999999999E-2</v>
      </c>
      <c r="V12" s="97" t="s">
        <v>28</v>
      </c>
      <c r="W12" s="97" t="s">
        <v>28</v>
      </c>
      <c r="X12" s="97" t="s">
        <v>28</v>
      </c>
      <c r="Y12" s="97" t="s">
        <v>27</v>
      </c>
      <c r="Z12" s="97" t="s">
        <v>27</v>
      </c>
      <c r="AA12" s="97" t="s">
        <v>30</v>
      </c>
      <c r="AB12" s="97" t="s">
        <v>490</v>
      </c>
    </row>
    <row r="13" spans="1:28" s="38" customFormat="1" ht="25.05" customHeight="1" x14ac:dyDescent="0.3">
      <c r="A13" s="133">
        <v>11</v>
      </c>
      <c r="B13" s="134" t="s">
        <v>63</v>
      </c>
      <c r="C13" s="133" t="s">
        <v>65</v>
      </c>
      <c r="D13" s="133" t="s">
        <v>534</v>
      </c>
      <c r="E13" s="133" t="s">
        <v>27</v>
      </c>
      <c r="F13" s="133">
        <v>262510</v>
      </c>
      <c r="G13" s="133" t="s">
        <v>557</v>
      </c>
      <c r="H13" s="133">
        <v>1100</v>
      </c>
      <c r="I13" s="135">
        <v>0.77200000000000002</v>
      </c>
      <c r="J13" s="135">
        <v>1.7589999999999999</v>
      </c>
      <c r="K13" s="133" t="s">
        <v>556</v>
      </c>
      <c r="L13" s="135">
        <v>1493.7429999999999</v>
      </c>
      <c r="M13" s="136">
        <v>967.4</v>
      </c>
      <c r="N13" s="137">
        <v>0.13439999999999999</v>
      </c>
      <c r="O13" s="138">
        <v>8.06</v>
      </c>
      <c r="P13" s="133">
        <v>515.29999999999995</v>
      </c>
      <c r="Q13" s="133">
        <v>2</v>
      </c>
      <c r="R13" s="133">
        <v>1600</v>
      </c>
      <c r="S13" s="135">
        <v>1.544</v>
      </c>
      <c r="T13" s="133">
        <v>56</v>
      </c>
      <c r="U13" s="137">
        <v>3.5000000000000003E-2</v>
      </c>
      <c r="V13" s="133" t="s">
        <v>28</v>
      </c>
      <c r="W13" s="133" t="s">
        <v>28</v>
      </c>
      <c r="X13" s="133" t="s">
        <v>28</v>
      </c>
      <c r="Y13" s="133" t="s">
        <v>27</v>
      </c>
      <c r="Z13" s="133" t="s">
        <v>27</v>
      </c>
      <c r="AA13" s="133" t="s">
        <v>32</v>
      </c>
      <c r="AB13" s="133" t="s">
        <v>562</v>
      </c>
    </row>
    <row r="14" spans="1:28" s="38" customFormat="1" ht="25.05" customHeight="1" x14ac:dyDescent="0.3">
      <c r="A14" s="133">
        <v>12</v>
      </c>
      <c r="B14" s="134" t="s">
        <v>63</v>
      </c>
      <c r="C14" s="133" t="s">
        <v>65</v>
      </c>
      <c r="D14" s="133" t="s">
        <v>534</v>
      </c>
      <c r="E14" s="133" t="s">
        <v>27</v>
      </c>
      <c r="F14" s="133">
        <v>262509</v>
      </c>
      <c r="G14" s="133" t="s">
        <v>557</v>
      </c>
      <c r="H14" s="133">
        <v>650</v>
      </c>
      <c r="I14" s="135">
        <v>1.0680000000000001</v>
      </c>
      <c r="J14" s="135">
        <v>1.375</v>
      </c>
      <c r="K14" s="133" t="s">
        <v>120</v>
      </c>
      <c r="L14" s="135">
        <v>954.52499999999998</v>
      </c>
      <c r="M14" s="136">
        <v>893.8</v>
      </c>
      <c r="N14" s="137">
        <v>0.24829999999999999</v>
      </c>
      <c r="O14" s="138">
        <v>14.9</v>
      </c>
      <c r="P14" s="133">
        <v>329.3</v>
      </c>
      <c r="Q14" s="133">
        <v>1</v>
      </c>
      <c r="R14" s="133">
        <v>1100</v>
      </c>
      <c r="S14" s="135">
        <v>1.0680000000000001</v>
      </c>
      <c r="T14" s="133">
        <v>32</v>
      </c>
      <c r="U14" s="137">
        <v>2.9100000000000001E-2</v>
      </c>
      <c r="V14" s="133" t="s">
        <v>28</v>
      </c>
      <c r="W14" s="133" t="s">
        <v>28</v>
      </c>
      <c r="X14" s="133" t="s">
        <v>28</v>
      </c>
      <c r="Y14" s="133" t="s">
        <v>27</v>
      </c>
      <c r="Z14" s="133" t="s">
        <v>27</v>
      </c>
      <c r="AA14" s="133" t="s">
        <v>30</v>
      </c>
      <c r="AB14" s="133" t="s">
        <v>561</v>
      </c>
    </row>
    <row r="15" spans="1:28" s="38" customFormat="1" ht="25.05" customHeight="1" x14ac:dyDescent="0.3">
      <c r="A15" s="133">
        <v>13</v>
      </c>
      <c r="B15" s="134" t="s">
        <v>63</v>
      </c>
      <c r="C15" s="133" t="s">
        <v>36</v>
      </c>
      <c r="D15" s="133" t="s">
        <v>534</v>
      </c>
      <c r="E15" s="133" t="s">
        <v>27</v>
      </c>
      <c r="F15" s="133">
        <v>262508</v>
      </c>
      <c r="G15" s="133" t="s">
        <v>557</v>
      </c>
      <c r="H15" s="133">
        <v>1650</v>
      </c>
      <c r="I15" s="135">
        <v>0.47199999999999998</v>
      </c>
      <c r="J15" s="135">
        <v>1.2589999999999999</v>
      </c>
      <c r="K15" s="133" t="s">
        <v>564</v>
      </c>
      <c r="L15" s="135">
        <v>980.50900000000001</v>
      </c>
      <c r="M15" s="136">
        <v>1038.7</v>
      </c>
      <c r="N15" s="137">
        <v>0.14430000000000001</v>
      </c>
      <c r="O15" s="138">
        <v>8.66</v>
      </c>
      <c r="P15" s="133">
        <v>338.3</v>
      </c>
      <c r="Q15" s="133">
        <v>2</v>
      </c>
      <c r="R15" s="133">
        <v>1000</v>
      </c>
      <c r="S15" s="135">
        <v>0.94399999999999995</v>
      </c>
      <c r="T15" s="133">
        <v>56</v>
      </c>
      <c r="U15" s="137">
        <v>5.6000000000000001E-2</v>
      </c>
      <c r="V15" s="133" t="s">
        <v>28</v>
      </c>
      <c r="W15" s="133" t="s">
        <v>28</v>
      </c>
      <c r="X15" s="133" t="s">
        <v>28</v>
      </c>
      <c r="Y15" s="133" t="s">
        <v>27</v>
      </c>
      <c r="Z15" s="133" t="s">
        <v>27</v>
      </c>
      <c r="AA15" s="133" t="s">
        <v>30</v>
      </c>
      <c r="AB15" s="133" t="s">
        <v>563</v>
      </c>
    </row>
    <row r="16" spans="1:28" s="12" customFormat="1" ht="25.05" customHeight="1" x14ac:dyDescent="0.3">
      <c r="A16" s="133">
        <v>14</v>
      </c>
      <c r="B16" s="10" t="s">
        <v>63</v>
      </c>
      <c r="C16" s="5" t="s">
        <v>36</v>
      </c>
      <c r="D16" s="5" t="s">
        <v>489</v>
      </c>
      <c r="E16" s="5" t="s">
        <v>27</v>
      </c>
      <c r="F16" s="5">
        <v>262466</v>
      </c>
      <c r="G16" s="5" t="s">
        <v>488</v>
      </c>
      <c r="H16" s="5">
        <v>2000</v>
      </c>
      <c r="I16" s="7">
        <v>0.90900000000000003</v>
      </c>
      <c r="J16" s="7">
        <v>0.65900000000000003</v>
      </c>
      <c r="K16" s="5" t="s">
        <v>34</v>
      </c>
      <c r="L16" s="7">
        <v>1198.0619999999999</v>
      </c>
      <c r="M16" s="9">
        <v>1318</v>
      </c>
      <c r="N16" s="6">
        <v>0.36609999999999998</v>
      </c>
      <c r="O16" s="8">
        <v>21.97</v>
      </c>
      <c r="P16" s="5">
        <v>413.3</v>
      </c>
      <c r="Q16" s="5">
        <v>1</v>
      </c>
      <c r="R16" s="5">
        <v>950</v>
      </c>
      <c r="S16" s="7">
        <v>0.90900000000000003</v>
      </c>
      <c r="T16" s="5">
        <v>41</v>
      </c>
      <c r="U16" s="6">
        <v>4.3200000000000002E-2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33</v>
      </c>
      <c r="AB16" s="5" t="s">
        <v>487</v>
      </c>
    </row>
    <row r="17" spans="1:28" s="12" customFormat="1" ht="25.05" customHeight="1" x14ac:dyDescent="0.3">
      <c r="A17" s="11" t="s">
        <v>27</v>
      </c>
      <c r="B17" s="11" t="s">
        <v>27</v>
      </c>
      <c r="C17" s="11" t="s">
        <v>27</v>
      </c>
      <c r="D17" s="11" t="s">
        <v>27</v>
      </c>
      <c r="E17" s="11" t="s">
        <v>27</v>
      </c>
      <c r="F17" s="11" t="s">
        <v>27</v>
      </c>
      <c r="G17" s="11" t="s">
        <v>27</v>
      </c>
      <c r="H17" s="11">
        <f>SUM(H3:H16)</f>
        <v>16135</v>
      </c>
      <c r="I17" s="11" t="s">
        <v>27</v>
      </c>
      <c r="J17" s="11" t="s">
        <v>27</v>
      </c>
      <c r="K17" s="11" t="s">
        <v>27</v>
      </c>
      <c r="L17" s="11" t="s">
        <v>27</v>
      </c>
      <c r="M17" s="11" t="s">
        <v>27</v>
      </c>
      <c r="N17" s="11" t="s">
        <v>27</v>
      </c>
      <c r="O17" s="11" t="s">
        <v>27</v>
      </c>
      <c r="P17" s="11">
        <f>SUM(P3:P16)</f>
        <v>6348.2000000000007</v>
      </c>
      <c r="Q17" s="11" t="s">
        <v>27</v>
      </c>
      <c r="R17" s="11" t="s">
        <v>27</v>
      </c>
      <c r="S17" s="11" t="s">
        <v>27</v>
      </c>
      <c r="T17" s="11" t="s">
        <v>27</v>
      </c>
      <c r="U17" s="11" t="s">
        <v>27</v>
      </c>
      <c r="V17" s="11" t="s">
        <v>27</v>
      </c>
      <c r="W17" s="11" t="s">
        <v>27</v>
      </c>
      <c r="X17" s="11" t="s">
        <v>27</v>
      </c>
      <c r="Y17" s="11" t="s">
        <v>27</v>
      </c>
      <c r="Z17" s="11" t="s">
        <v>27</v>
      </c>
      <c r="AA17" s="11" t="s">
        <v>27</v>
      </c>
      <c r="AB17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80" orientation="landscape" horizontalDpi="360" verticalDpi="36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10A35B-3766-4EF4-867E-59CB3CFAF226}">
  <sheetPr>
    <pageSetUpPr fitToPage="1"/>
  </sheetPr>
  <dimension ref="A1:AB8"/>
  <sheetViews>
    <sheetView workbookViewId="0">
      <selection activeCell="H20" sqref="H20"/>
    </sheetView>
  </sheetViews>
  <sheetFormatPr defaultRowHeight="14.4" x14ac:dyDescent="0.3"/>
  <cols>
    <col min="1" max="1" width="4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6" width="8.77734375" style="1" customWidth="1"/>
    <col min="7" max="7" width="4.5546875" style="1" customWidth="1"/>
    <col min="8" max="8" width="5.77734375" style="1" customWidth="1"/>
    <col min="9" max="9" width="5.88671875" style="1" customWidth="1"/>
    <col min="10" max="10" width="6.109375" style="1" customWidth="1"/>
    <col min="11" max="11" width="18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5546875" style="1" customWidth="1"/>
    <col min="17" max="17" width="5.109375" style="1" customWidth="1"/>
    <col min="18" max="18" width="6.5546875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7.77734375" style="1" customWidth="1"/>
    <col min="23" max="23" width="7.5546875" style="1" customWidth="1"/>
    <col min="24" max="25" width="7.6640625" style="1" customWidth="1"/>
    <col min="26" max="26" width="8.33203125" style="1" customWidth="1"/>
    <col min="27" max="27" width="4" style="1" customWidth="1"/>
    <col min="28" max="28" width="10.88671875" style="1" customWidth="1"/>
    <col min="29" max="16384" width="8.88671875" style="1"/>
  </cols>
  <sheetData>
    <row r="1" spans="1:28" ht="18" customHeight="1" x14ac:dyDescent="0.35">
      <c r="A1" s="222" t="s">
        <v>486</v>
      </c>
      <c r="B1" s="222" t="s">
        <v>27</v>
      </c>
      <c r="C1" s="222" t="s">
        <v>27</v>
      </c>
      <c r="D1" s="222" t="s">
        <v>27</v>
      </c>
      <c r="E1" s="222" t="s">
        <v>27</v>
      </c>
      <c r="F1" s="222" t="s">
        <v>27</v>
      </c>
      <c r="G1" s="222" t="s">
        <v>27</v>
      </c>
      <c r="H1" s="222" t="s">
        <v>27</v>
      </c>
      <c r="I1" s="222" t="s">
        <v>27</v>
      </c>
      <c r="J1" s="222" t="s">
        <v>27</v>
      </c>
      <c r="K1" s="222" t="s">
        <v>27</v>
      </c>
      <c r="L1" s="222" t="s">
        <v>27</v>
      </c>
      <c r="M1" s="222" t="s">
        <v>27</v>
      </c>
      <c r="N1" s="222" t="s">
        <v>27</v>
      </c>
      <c r="O1" s="222" t="s">
        <v>27</v>
      </c>
      <c r="P1" s="222" t="s">
        <v>27</v>
      </c>
      <c r="Q1" s="222" t="s">
        <v>27</v>
      </c>
      <c r="R1" s="222" t="s">
        <v>27</v>
      </c>
      <c r="S1" s="222" t="s">
        <v>27</v>
      </c>
      <c r="T1" s="222" t="s">
        <v>27</v>
      </c>
      <c r="U1" s="222" t="s">
        <v>27</v>
      </c>
      <c r="V1" s="222" t="s">
        <v>27</v>
      </c>
      <c r="W1" s="222" t="s">
        <v>27</v>
      </c>
      <c r="X1" s="222" t="s">
        <v>27</v>
      </c>
      <c r="Y1" s="222" t="s">
        <v>27</v>
      </c>
      <c r="Z1" s="222" t="s">
        <v>27</v>
      </c>
      <c r="AA1" s="222" t="s">
        <v>27</v>
      </c>
      <c r="AB1" s="222" t="s">
        <v>27</v>
      </c>
    </row>
    <row r="2" spans="1:28" ht="54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ht="25.05" customHeight="1" x14ac:dyDescent="0.3">
      <c r="A3" s="34">
        <v>1</v>
      </c>
      <c r="B3" s="36" t="s">
        <v>480</v>
      </c>
      <c r="C3" s="34" t="s">
        <v>45</v>
      </c>
      <c r="D3" s="34" t="s">
        <v>457</v>
      </c>
      <c r="E3" s="34" t="s">
        <v>27</v>
      </c>
      <c r="F3" s="34">
        <v>262462</v>
      </c>
      <c r="G3" s="34" t="s">
        <v>485</v>
      </c>
      <c r="H3" s="34">
        <v>1400</v>
      </c>
      <c r="I3" s="35">
        <v>0.56999999999999995</v>
      </c>
      <c r="J3" s="35">
        <v>0.9</v>
      </c>
      <c r="K3" s="34" t="s">
        <v>484</v>
      </c>
      <c r="L3" s="31">
        <v>718.2</v>
      </c>
      <c r="M3" s="33">
        <v>1260</v>
      </c>
      <c r="N3" s="30">
        <v>0.35</v>
      </c>
      <c r="O3" s="32">
        <v>21</v>
      </c>
      <c r="P3" s="29">
        <v>435.2</v>
      </c>
      <c r="Q3" s="29">
        <v>1</v>
      </c>
      <c r="R3" s="29">
        <v>600</v>
      </c>
      <c r="S3" s="31">
        <v>0.56999999999999995</v>
      </c>
      <c r="T3" s="29">
        <v>30</v>
      </c>
      <c r="U3" s="30">
        <v>0.05</v>
      </c>
      <c r="V3" s="29" t="s">
        <v>35</v>
      </c>
      <c r="W3" s="29" t="s">
        <v>40</v>
      </c>
      <c r="X3" s="29" t="s">
        <v>35</v>
      </c>
      <c r="Y3" s="29" t="s">
        <v>35</v>
      </c>
      <c r="Z3" s="29" t="s">
        <v>35</v>
      </c>
      <c r="AA3" s="29" t="s">
        <v>33</v>
      </c>
      <c r="AB3" s="29" t="s">
        <v>483</v>
      </c>
    </row>
    <row r="4" spans="1:28" s="149" customFormat="1" ht="25.05" customHeight="1" x14ac:dyDescent="0.3">
      <c r="A4" s="139">
        <v>2</v>
      </c>
      <c r="B4" s="140" t="s">
        <v>480</v>
      </c>
      <c r="C4" s="139" t="s">
        <v>46</v>
      </c>
      <c r="D4" s="139" t="s">
        <v>457</v>
      </c>
      <c r="E4" s="139" t="s">
        <v>27</v>
      </c>
      <c r="F4" s="139">
        <v>262463</v>
      </c>
      <c r="G4" s="139" t="s">
        <v>478</v>
      </c>
      <c r="H4" s="139">
        <v>750</v>
      </c>
      <c r="I4" s="142">
        <v>0.61599999999999999</v>
      </c>
      <c r="J4" s="142">
        <v>1.56</v>
      </c>
      <c r="K4" s="148" t="s">
        <v>482</v>
      </c>
      <c r="L4" s="143">
        <v>773.37</v>
      </c>
      <c r="M4" s="144">
        <v>585</v>
      </c>
      <c r="N4" s="145">
        <v>8.1299999999999997E-2</v>
      </c>
      <c r="O4" s="146">
        <v>4.88</v>
      </c>
      <c r="P4" s="147">
        <v>330.6</v>
      </c>
      <c r="Q4" s="147">
        <v>2</v>
      </c>
      <c r="R4" s="147">
        <v>1350</v>
      </c>
      <c r="S4" s="143">
        <v>1.3220000000000001</v>
      </c>
      <c r="T4" s="147">
        <v>28</v>
      </c>
      <c r="U4" s="145">
        <v>2.07E-2</v>
      </c>
      <c r="V4" s="147" t="s">
        <v>42</v>
      </c>
      <c r="W4" s="147" t="s">
        <v>42</v>
      </c>
      <c r="X4" s="147" t="s">
        <v>42</v>
      </c>
      <c r="Y4" s="147" t="s">
        <v>27</v>
      </c>
      <c r="Z4" s="147" t="s">
        <v>27</v>
      </c>
      <c r="AA4" s="147" t="s">
        <v>30</v>
      </c>
      <c r="AB4" s="147" t="s">
        <v>481</v>
      </c>
    </row>
    <row r="5" spans="1:28" s="104" customFormat="1" ht="25.05" customHeight="1" x14ac:dyDescent="0.3">
      <c r="A5" s="139"/>
      <c r="B5" s="140" t="s">
        <v>480</v>
      </c>
      <c r="C5" s="139" t="s">
        <v>36</v>
      </c>
      <c r="D5" s="141">
        <v>46269</v>
      </c>
      <c r="E5" s="139"/>
      <c r="F5" s="139">
        <v>262511</v>
      </c>
      <c r="G5" s="139">
        <v>64</v>
      </c>
      <c r="H5" s="139">
        <v>3000</v>
      </c>
      <c r="I5" s="142">
        <v>0.309</v>
      </c>
      <c r="J5" s="142">
        <v>0.76200000000000001</v>
      </c>
      <c r="K5" s="148" t="s">
        <v>565</v>
      </c>
      <c r="L5" s="143">
        <v>706374</v>
      </c>
      <c r="M5" s="144" t="s">
        <v>566</v>
      </c>
      <c r="N5" s="145" t="s">
        <v>567</v>
      </c>
      <c r="O5" s="146" t="s">
        <v>568</v>
      </c>
      <c r="P5" s="147">
        <v>243.7</v>
      </c>
      <c r="Q5" s="147">
        <v>2</v>
      </c>
      <c r="R5" s="147">
        <v>650</v>
      </c>
      <c r="S5" s="143" t="s">
        <v>569</v>
      </c>
      <c r="T5" s="147">
        <v>32</v>
      </c>
      <c r="U5" s="145" t="s">
        <v>570</v>
      </c>
      <c r="V5" s="147" t="s">
        <v>28</v>
      </c>
      <c r="W5" s="147" t="s">
        <v>28</v>
      </c>
      <c r="X5" s="147" t="s">
        <v>28</v>
      </c>
      <c r="Y5" s="147"/>
      <c r="Z5" s="147"/>
      <c r="AA5" s="147">
        <v>2</v>
      </c>
      <c r="AB5" s="147" t="s">
        <v>571</v>
      </c>
    </row>
    <row r="6" spans="1:28" s="104" customFormat="1" ht="25.05" customHeight="1" x14ac:dyDescent="0.3">
      <c r="A6" s="139"/>
      <c r="B6" s="140" t="s">
        <v>480</v>
      </c>
      <c r="C6" s="139" t="s">
        <v>36</v>
      </c>
      <c r="D6" s="141">
        <v>46273</v>
      </c>
      <c r="E6" s="139"/>
      <c r="F6" s="139">
        <v>262512</v>
      </c>
      <c r="G6" s="139">
        <v>65</v>
      </c>
      <c r="H6" s="139">
        <v>570</v>
      </c>
      <c r="I6" s="142">
        <v>0.30199999999999999</v>
      </c>
      <c r="J6" s="142">
        <v>0.91</v>
      </c>
      <c r="K6" s="148" t="s">
        <v>572</v>
      </c>
      <c r="L6" s="143">
        <v>156647</v>
      </c>
      <c r="M6" s="144" t="s">
        <v>573</v>
      </c>
      <c r="N6" s="145" t="s">
        <v>574</v>
      </c>
      <c r="O6" s="146" t="s">
        <v>575</v>
      </c>
      <c r="P6" s="147">
        <v>54</v>
      </c>
      <c r="Q6" s="147">
        <v>2</v>
      </c>
      <c r="R6" s="147">
        <v>650</v>
      </c>
      <c r="S6" s="143" t="s">
        <v>576</v>
      </c>
      <c r="T6" s="147">
        <v>46</v>
      </c>
      <c r="U6" s="145" t="s">
        <v>577</v>
      </c>
      <c r="V6" s="147" t="s">
        <v>28</v>
      </c>
      <c r="W6" s="147" t="s">
        <v>28</v>
      </c>
      <c r="X6" s="147" t="s">
        <v>28</v>
      </c>
      <c r="Y6" s="147"/>
      <c r="Z6" s="147"/>
      <c r="AA6" s="147">
        <v>1</v>
      </c>
      <c r="AB6" s="147" t="s">
        <v>578</v>
      </c>
    </row>
    <row r="7" spans="1:28" ht="25.05" customHeight="1" x14ac:dyDescent="0.3">
      <c r="A7" s="34">
        <v>3</v>
      </c>
      <c r="B7" s="36" t="s">
        <v>480</v>
      </c>
      <c r="C7" s="34" t="s">
        <v>479</v>
      </c>
      <c r="D7" s="34" t="s">
        <v>457</v>
      </c>
      <c r="E7" s="34" t="s">
        <v>27</v>
      </c>
      <c r="F7" s="34">
        <v>262464</v>
      </c>
      <c r="G7" s="34" t="s">
        <v>478</v>
      </c>
      <c r="H7" s="34">
        <v>1500</v>
      </c>
      <c r="I7" s="35">
        <v>0.32500000000000001</v>
      </c>
      <c r="J7" s="35">
        <v>1.03</v>
      </c>
      <c r="K7" s="34" t="s">
        <v>477</v>
      </c>
      <c r="L7" s="31">
        <v>502.125</v>
      </c>
      <c r="M7" s="33">
        <v>772.5</v>
      </c>
      <c r="N7" s="30">
        <v>0.10730000000000001</v>
      </c>
      <c r="O7" s="32">
        <v>6.44</v>
      </c>
      <c r="P7" s="29">
        <v>194.8</v>
      </c>
      <c r="Q7" s="29">
        <v>2</v>
      </c>
      <c r="R7" s="29">
        <v>700</v>
      </c>
      <c r="S7" s="31">
        <v>0.65</v>
      </c>
      <c r="T7" s="29">
        <v>50</v>
      </c>
      <c r="U7" s="30">
        <v>7.1400000000000005E-2</v>
      </c>
      <c r="V7" s="29" t="s">
        <v>40</v>
      </c>
      <c r="W7" s="29" t="s">
        <v>29</v>
      </c>
      <c r="X7" s="29" t="s">
        <v>29</v>
      </c>
      <c r="Y7" s="29" t="s">
        <v>27</v>
      </c>
      <c r="Z7" s="29" t="s">
        <v>27</v>
      </c>
      <c r="AA7" s="29" t="s">
        <v>39</v>
      </c>
      <c r="AB7" s="29" t="s">
        <v>476</v>
      </c>
    </row>
    <row r="8" spans="1:28" ht="25.05" customHeight="1" x14ac:dyDescent="0.3">
      <c r="A8" s="28" t="s">
        <v>27</v>
      </c>
      <c r="B8" s="28" t="s">
        <v>27</v>
      </c>
      <c r="C8" s="28" t="s">
        <v>27</v>
      </c>
      <c r="D8" s="28" t="s">
        <v>27</v>
      </c>
      <c r="E8" s="28" t="s">
        <v>27</v>
      </c>
      <c r="F8" s="28" t="s">
        <v>27</v>
      </c>
      <c r="G8" s="28" t="s">
        <v>27</v>
      </c>
      <c r="H8" s="28">
        <f>SUM(H3:H7)</f>
        <v>7220</v>
      </c>
      <c r="I8" s="28" t="s">
        <v>27</v>
      </c>
      <c r="J8" s="28" t="s">
        <v>27</v>
      </c>
      <c r="K8" s="28" t="s">
        <v>27</v>
      </c>
      <c r="L8" s="27" t="s">
        <v>27</v>
      </c>
      <c r="M8" s="27" t="s">
        <v>27</v>
      </c>
      <c r="N8" s="27" t="s">
        <v>27</v>
      </c>
      <c r="O8" s="27" t="s">
        <v>27</v>
      </c>
      <c r="P8" s="27">
        <f>SUM(P3:P7)</f>
        <v>1258.3</v>
      </c>
      <c r="Q8" s="27" t="s">
        <v>27</v>
      </c>
      <c r="R8" s="27" t="s">
        <v>27</v>
      </c>
      <c r="S8" s="27" t="s">
        <v>27</v>
      </c>
      <c r="T8" s="27" t="s">
        <v>27</v>
      </c>
      <c r="U8" s="27" t="s">
        <v>27</v>
      </c>
      <c r="V8" s="27" t="s">
        <v>27</v>
      </c>
      <c r="W8" s="27" t="s">
        <v>27</v>
      </c>
      <c r="X8" s="27" t="s">
        <v>27</v>
      </c>
      <c r="Y8" s="27" t="s">
        <v>27</v>
      </c>
      <c r="Z8" s="27" t="s">
        <v>27</v>
      </c>
      <c r="AA8" s="27" t="s">
        <v>27</v>
      </c>
      <c r="AB8" s="27" t="s">
        <v>27</v>
      </c>
    </row>
  </sheetData>
  <mergeCells count="1">
    <mergeCell ref="A1:AB1"/>
  </mergeCells>
  <pageMargins left="0.31" right="0.32" top="1.26" bottom="0.78740157499999996" header="0.31496062000000002" footer="0.31496062000000002"/>
  <pageSetup paperSize="9" scale="95" orientation="landscape" horizontalDpi="360" verticalDpi="36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5C5983-8E43-424A-AA85-8FC86E48F86A}">
  <sheetPr>
    <pageSetUpPr fitToPage="1"/>
  </sheetPr>
  <dimension ref="A1:AB13"/>
  <sheetViews>
    <sheetView workbookViewId="0">
      <selection activeCell="AE1" sqref="AE1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5.77734375" style="1" customWidth="1"/>
    <col min="4" max="4" width="11.77734375" style="1" hidden="1" customWidth="1"/>
    <col min="5" max="5" width="8.77734375" style="1" customWidth="1"/>
    <col min="6" max="6" width="7.44140625" style="1" customWidth="1"/>
    <col min="7" max="7" width="6.109375" style="1" customWidth="1"/>
    <col min="8" max="8" width="6" style="1" customWidth="1"/>
    <col min="9" max="9" width="6.21875" style="1" customWidth="1"/>
    <col min="10" max="10" width="7" style="1" customWidth="1"/>
    <col min="11" max="11" width="20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1" customWidth="1"/>
    <col min="17" max="17" width="4.21875" style="1" customWidth="1"/>
    <col min="18" max="18" width="6.77734375" style="1" customWidth="1"/>
    <col min="19" max="19" width="6.6640625" style="1" customWidth="1"/>
    <col min="20" max="20" width="11.77734375" style="1" hidden="1" customWidth="1"/>
    <col min="21" max="21" width="8.77734375" style="1" hidden="1" customWidth="1"/>
    <col min="22" max="23" width="8.21875" style="1" customWidth="1"/>
    <col min="24" max="24" width="8.33203125" style="1" customWidth="1"/>
    <col min="25" max="26" width="8.109375" style="1" customWidth="1"/>
    <col min="27" max="27" width="4.664062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222" t="s">
        <v>475</v>
      </c>
      <c r="B1" s="222" t="s">
        <v>27</v>
      </c>
      <c r="C1" s="222" t="s">
        <v>27</v>
      </c>
      <c r="D1" s="222" t="s">
        <v>27</v>
      </c>
      <c r="E1" s="222" t="s">
        <v>27</v>
      </c>
      <c r="F1" s="222" t="s">
        <v>27</v>
      </c>
      <c r="G1" s="222" t="s">
        <v>27</v>
      </c>
      <c r="H1" s="222" t="s">
        <v>27</v>
      </c>
      <c r="I1" s="222" t="s">
        <v>27</v>
      </c>
      <c r="J1" s="222" t="s">
        <v>27</v>
      </c>
      <c r="K1" s="222" t="s">
        <v>27</v>
      </c>
      <c r="L1" s="222" t="s">
        <v>27</v>
      </c>
      <c r="M1" s="222" t="s">
        <v>27</v>
      </c>
      <c r="N1" s="222" t="s">
        <v>27</v>
      </c>
      <c r="O1" s="222" t="s">
        <v>27</v>
      </c>
      <c r="P1" s="222" t="s">
        <v>27</v>
      </c>
      <c r="Q1" s="222" t="s">
        <v>27</v>
      </c>
      <c r="R1" s="222" t="s">
        <v>27</v>
      </c>
      <c r="S1" s="222" t="s">
        <v>27</v>
      </c>
      <c r="T1" s="222" t="s">
        <v>27</v>
      </c>
      <c r="U1" s="222" t="s">
        <v>27</v>
      </c>
      <c r="V1" s="222" t="s">
        <v>27</v>
      </c>
      <c r="W1" s="222" t="s">
        <v>27</v>
      </c>
      <c r="X1" s="222" t="s">
        <v>27</v>
      </c>
      <c r="Y1" s="222" t="s">
        <v>27</v>
      </c>
      <c r="Z1" s="222" t="s">
        <v>27</v>
      </c>
      <c r="AA1" s="222" t="s">
        <v>27</v>
      </c>
      <c r="AB1" s="222" t="s">
        <v>27</v>
      </c>
    </row>
    <row r="2" spans="1:28" ht="41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03" customFormat="1" ht="25.05" customHeight="1" x14ac:dyDescent="0.3">
      <c r="A3" s="97">
        <v>1</v>
      </c>
      <c r="B3" s="98" t="s">
        <v>161</v>
      </c>
      <c r="C3" s="97" t="s">
        <v>26</v>
      </c>
      <c r="D3" s="97" t="s">
        <v>457</v>
      </c>
      <c r="E3" s="97" t="s">
        <v>27</v>
      </c>
      <c r="F3" s="97">
        <v>262459</v>
      </c>
      <c r="G3" s="97" t="s">
        <v>456</v>
      </c>
      <c r="H3" s="97">
        <v>200</v>
      </c>
      <c r="I3" s="99">
        <v>1.1919999999999999</v>
      </c>
      <c r="J3" s="99">
        <v>2.5009999999999999</v>
      </c>
      <c r="K3" s="97" t="s">
        <v>474</v>
      </c>
      <c r="L3" s="99">
        <v>596.23800000000006</v>
      </c>
      <c r="M3" s="100">
        <v>500.2</v>
      </c>
      <c r="N3" s="101">
        <v>0.1389</v>
      </c>
      <c r="O3" s="102">
        <v>8.34</v>
      </c>
      <c r="P3" s="97">
        <v>353.6</v>
      </c>
      <c r="Q3" s="97">
        <v>1</v>
      </c>
      <c r="R3" s="97">
        <v>1250</v>
      </c>
      <c r="S3" s="99">
        <v>1.1919999999999999</v>
      </c>
      <c r="T3" s="97">
        <v>58</v>
      </c>
      <c r="U3" s="101">
        <v>4.6399999999999997E-2</v>
      </c>
      <c r="V3" s="97" t="s">
        <v>28</v>
      </c>
      <c r="W3" s="97" t="s">
        <v>29</v>
      </c>
      <c r="X3" s="97" t="s">
        <v>28</v>
      </c>
      <c r="Y3" s="97" t="s">
        <v>28</v>
      </c>
      <c r="Z3" s="97" t="s">
        <v>28</v>
      </c>
      <c r="AA3" s="97" t="s">
        <v>33</v>
      </c>
      <c r="AB3" s="97" t="s">
        <v>473</v>
      </c>
    </row>
    <row r="4" spans="1:28" s="103" customFormat="1" ht="25.05" customHeight="1" x14ac:dyDescent="0.3">
      <c r="A4" s="97">
        <v>2</v>
      </c>
      <c r="B4" s="98" t="s">
        <v>161</v>
      </c>
      <c r="C4" s="97" t="s">
        <v>45</v>
      </c>
      <c r="D4" s="97" t="s">
        <v>457</v>
      </c>
      <c r="E4" s="97" t="s">
        <v>27</v>
      </c>
      <c r="F4" s="97">
        <v>262458</v>
      </c>
      <c r="G4" s="97" t="s">
        <v>472</v>
      </c>
      <c r="H4" s="97">
        <v>500</v>
      </c>
      <c r="I4" s="99">
        <v>1.129</v>
      </c>
      <c r="J4" s="99">
        <v>1.2809999999999999</v>
      </c>
      <c r="K4" s="97" t="s">
        <v>34</v>
      </c>
      <c r="L4" s="99">
        <v>723.12400000000002</v>
      </c>
      <c r="M4" s="100">
        <v>640.5</v>
      </c>
      <c r="N4" s="101">
        <v>0.1779</v>
      </c>
      <c r="O4" s="102">
        <v>10.68</v>
      </c>
      <c r="P4" s="97">
        <v>438.2</v>
      </c>
      <c r="Q4" s="97">
        <v>1</v>
      </c>
      <c r="R4" s="97">
        <v>1150</v>
      </c>
      <c r="S4" s="99">
        <v>1.129</v>
      </c>
      <c r="T4" s="97">
        <v>21</v>
      </c>
      <c r="U4" s="101">
        <v>1.83E-2</v>
      </c>
      <c r="V4" s="97" t="s">
        <v>35</v>
      </c>
      <c r="W4" s="97" t="s">
        <v>40</v>
      </c>
      <c r="X4" s="97" t="s">
        <v>35</v>
      </c>
      <c r="Y4" s="97" t="s">
        <v>35</v>
      </c>
      <c r="Z4" s="97" t="s">
        <v>35</v>
      </c>
      <c r="AA4" s="97" t="s">
        <v>30</v>
      </c>
      <c r="AB4" s="97" t="s">
        <v>471</v>
      </c>
    </row>
    <row r="5" spans="1:28" s="103" customFormat="1" ht="25.05" customHeight="1" x14ac:dyDescent="0.3">
      <c r="A5" s="97">
        <v>3</v>
      </c>
      <c r="B5" s="98" t="s">
        <v>161</v>
      </c>
      <c r="C5" s="97" t="s">
        <v>26</v>
      </c>
      <c r="D5" s="97" t="s">
        <v>422</v>
      </c>
      <c r="E5" s="97" t="s">
        <v>27</v>
      </c>
      <c r="F5" s="97">
        <v>262452</v>
      </c>
      <c r="G5" s="97" t="s">
        <v>459</v>
      </c>
      <c r="H5" s="97">
        <v>200</v>
      </c>
      <c r="I5" s="99">
        <v>1.024</v>
      </c>
      <c r="J5" s="99">
        <v>1.845</v>
      </c>
      <c r="K5" s="97" t="s">
        <v>34</v>
      </c>
      <c r="L5" s="99">
        <v>377.85599999999999</v>
      </c>
      <c r="M5" s="100">
        <v>369</v>
      </c>
      <c r="N5" s="101">
        <v>0.10249999999999999</v>
      </c>
      <c r="O5" s="102">
        <v>6.15</v>
      </c>
      <c r="P5" s="97">
        <v>224.1</v>
      </c>
      <c r="Q5" s="97">
        <v>1</v>
      </c>
      <c r="R5" s="97">
        <v>1050</v>
      </c>
      <c r="S5" s="99">
        <v>1.024</v>
      </c>
      <c r="T5" s="97">
        <v>26</v>
      </c>
      <c r="U5" s="101">
        <v>2.4799999999999999E-2</v>
      </c>
      <c r="V5" s="97" t="s">
        <v>28</v>
      </c>
      <c r="W5" s="97" t="s">
        <v>29</v>
      </c>
      <c r="X5" s="97" t="s">
        <v>28</v>
      </c>
      <c r="Y5" s="97" t="s">
        <v>28</v>
      </c>
      <c r="Z5" s="97" t="s">
        <v>28</v>
      </c>
      <c r="AA5" s="97" t="s">
        <v>33</v>
      </c>
      <c r="AB5" s="97" t="s">
        <v>470</v>
      </c>
    </row>
    <row r="6" spans="1:28" s="103" customFormat="1" ht="25.05" customHeight="1" x14ac:dyDescent="0.3">
      <c r="A6" s="97">
        <v>4</v>
      </c>
      <c r="B6" s="98" t="s">
        <v>161</v>
      </c>
      <c r="C6" s="97" t="s">
        <v>36</v>
      </c>
      <c r="D6" s="97" t="s">
        <v>457</v>
      </c>
      <c r="E6" s="97" t="s">
        <v>27</v>
      </c>
      <c r="F6" s="97">
        <v>262457</v>
      </c>
      <c r="G6" s="97" t="s">
        <v>469</v>
      </c>
      <c r="H6" s="97">
        <v>1500</v>
      </c>
      <c r="I6" s="99">
        <v>0.65500000000000003</v>
      </c>
      <c r="J6" s="99">
        <v>1.663</v>
      </c>
      <c r="K6" s="97" t="s">
        <v>468</v>
      </c>
      <c r="L6" s="99">
        <v>1633.8979999999999</v>
      </c>
      <c r="M6" s="100">
        <v>1247.3</v>
      </c>
      <c r="N6" s="101">
        <v>0.17319999999999999</v>
      </c>
      <c r="O6" s="102">
        <v>10.39</v>
      </c>
      <c r="P6" s="97">
        <v>563.70000000000005</v>
      </c>
      <c r="Q6" s="97">
        <v>2</v>
      </c>
      <c r="R6" s="97">
        <v>1350</v>
      </c>
      <c r="S6" s="99">
        <v>1.31</v>
      </c>
      <c r="T6" s="97">
        <v>40</v>
      </c>
      <c r="U6" s="101">
        <v>2.9600000000000001E-2</v>
      </c>
      <c r="V6" s="97" t="s">
        <v>28</v>
      </c>
      <c r="W6" s="97" t="s">
        <v>28</v>
      </c>
      <c r="X6" s="97" t="s">
        <v>28</v>
      </c>
      <c r="Y6" s="97" t="s">
        <v>27</v>
      </c>
      <c r="Z6" s="97" t="s">
        <v>27</v>
      </c>
      <c r="AA6" s="97" t="s">
        <v>32</v>
      </c>
      <c r="AB6" s="97" t="s">
        <v>467</v>
      </c>
    </row>
    <row r="7" spans="1:28" s="103" customFormat="1" ht="25.05" customHeight="1" x14ac:dyDescent="0.3">
      <c r="A7" s="97">
        <v>5</v>
      </c>
      <c r="B7" s="98" t="s">
        <v>161</v>
      </c>
      <c r="C7" s="97" t="s">
        <v>36</v>
      </c>
      <c r="D7" s="97" t="s">
        <v>457</v>
      </c>
      <c r="E7" s="97" t="s">
        <v>27</v>
      </c>
      <c r="F7" s="97">
        <v>262460</v>
      </c>
      <c r="G7" s="97" t="s">
        <v>456</v>
      </c>
      <c r="H7" s="97">
        <v>300</v>
      </c>
      <c r="I7" s="99">
        <v>1.3</v>
      </c>
      <c r="J7" s="99">
        <v>1.95</v>
      </c>
      <c r="K7" s="97" t="s">
        <v>34</v>
      </c>
      <c r="L7" s="99">
        <v>760.5</v>
      </c>
      <c r="M7" s="100">
        <v>585</v>
      </c>
      <c r="N7" s="101">
        <v>0.16250000000000001</v>
      </c>
      <c r="O7" s="102">
        <v>9.75</v>
      </c>
      <c r="P7" s="97">
        <v>262.39999999999998</v>
      </c>
      <c r="Q7" s="97">
        <v>1</v>
      </c>
      <c r="R7" s="97">
        <v>1350</v>
      </c>
      <c r="S7" s="99">
        <v>1.3</v>
      </c>
      <c r="T7" s="97">
        <v>50</v>
      </c>
      <c r="U7" s="101">
        <v>3.6999999999999998E-2</v>
      </c>
      <c r="V7" s="97" t="s">
        <v>28</v>
      </c>
      <c r="W7" s="97" t="s">
        <v>28</v>
      </c>
      <c r="X7" s="97" t="s">
        <v>28</v>
      </c>
      <c r="Y7" s="97" t="s">
        <v>27</v>
      </c>
      <c r="Z7" s="97" t="s">
        <v>27</v>
      </c>
      <c r="AA7" s="97" t="s">
        <v>39</v>
      </c>
      <c r="AB7" s="97" t="s">
        <v>466</v>
      </c>
    </row>
    <row r="8" spans="1:28" s="103" customFormat="1" ht="25.05" customHeight="1" x14ac:dyDescent="0.3">
      <c r="A8" s="97">
        <v>6</v>
      </c>
      <c r="B8" s="98" t="s">
        <v>161</v>
      </c>
      <c r="C8" s="97" t="s">
        <v>36</v>
      </c>
      <c r="D8" s="97" t="s">
        <v>457</v>
      </c>
      <c r="E8" s="97" t="s">
        <v>27</v>
      </c>
      <c r="F8" s="97">
        <v>262454</v>
      </c>
      <c r="G8" s="97" t="s">
        <v>462</v>
      </c>
      <c r="H8" s="97">
        <v>600</v>
      </c>
      <c r="I8" s="99">
        <v>1.054</v>
      </c>
      <c r="J8" s="99">
        <v>0.63</v>
      </c>
      <c r="K8" s="97" t="s">
        <v>464</v>
      </c>
      <c r="L8" s="99">
        <v>398.41199999999998</v>
      </c>
      <c r="M8" s="100">
        <v>378</v>
      </c>
      <c r="N8" s="101">
        <v>0.105</v>
      </c>
      <c r="O8" s="102">
        <v>6.3</v>
      </c>
      <c r="P8" s="97">
        <v>137.5</v>
      </c>
      <c r="Q8" s="97">
        <v>1</v>
      </c>
      <c r="R8" s="97">
        <v>1100</v>
      </c>
      <c r="S8" s="99">
        <v>1.054</v>
      </c>
      <c r="T8" s="97">
        <v>46</v>
      </c>
      <c r="U8" s="101">
        <v>4.1799999999999997E-2</v>
      </c>
      <c r="V8" s="97" t="s">
        <v>28</v>
      </c>
      <c r="W8" s="97" t="s">
        <v>28</v>
      </c>
      <c r="X8" s="97" t="s">
        <v>28</v>
      </c>
      <c r="Y8" s="97" t="s">
        <v>27</v>
      </c>
      <c r="Z8" s="97" t="s">
        <v>27</v>
      </c>
      <c r="AA8" s="97" t="s">
        <v>39</v>
      </c>
      <c r="AB8" s="97" t="s">
        <v>465</v>
      </c>
    </row>
    <row r="9" spans="1:28" s="103" customFormat="1" ht="25.05" customHeight="1" x14ac:dyDescent="0.3">
      <c r="A9" s="97">
        <v>7</v>
      </c>
      <c r="B9" s="98" t="s">
        <v>161</v>
      </c>
      <c r="C9" s="97" t="s">
        <v>36</v>
      </c>
      <c r="D9" s="97" t="s">
        <v>457</v>
      </c>
      <c r="E9" s="97" t="s">
        <v>27</v>
      </c>
      <c r="F9" s="97">
        <v>262455</v>
      </c>
      <c r="G9" s="97" t="s">
        <v>462</v>
      </c>
      <c r="H9" s="97">
        <v>600</v>
      </c>
      <c r="I9" s="99">
        <v>1.054</v>
      </c>
      <c r="J9" s="99">
        <v>0.75</v>
      </c>
      <c r="K9" s="97" t="s">
        <v>464</v>
      </c>
      <c r="L9" s="99">
        <v>474.3</v>
      </c>
      <c r="M9" s="100">
        <v>450</v>
      </c>
      <c r="N9" s="101">
        <v>0.125</v>
      </c>
      <c r="O9" s="102">
        <v>7.5</v>
      </c>
      <c r="P9" s="97">
        <v>163.6</v>
      </c>
      <c r="Q9" s="97">
        <v>1</v>
      </c>
      <c r="R9" s="97">
        <v>1100</v>
      </c>
      <c r="S9" s="99">
        <v>1.054</v>
      </c>
      <c r="T9" s="97">
        <v>46</v>
      </c>
      <c r="U9" s="101">
        <v>4.1799999999999997E-2</v>
      </c>
      <c r="V9" s="97" t="s">
        <v>28</v>
      </c>
      <c r="W9" s="97" t="s">
        <v>28</v>
      </c>
      <c r="X9" s="97" t="s">
        <v>28</v>
      </c>
      <c r="Y9" s="97" t="s">
        <v>27</v>
      </c>
      <c r="Z9" s="97" t="s">
        <v>27</v>
      </c>
      <c r="AA9" s="97" t="s">
        <v>39</v>
      </c>
      <c r="AB9" s="97" t="s">
        <v>463</v>
      </c>
    </row>
    <row r="10" spans="1:28" s="103" customFormat="1" ht="25.05" customHeight="1" x14ac:dyDescent="0.3">
      <c r="A10" s="97">
        <v>8</v>
      </c>
      <c r="B10" s="98" t="s">
        <v>161</v>
      </c>
      <c r="C10" s="97" t="s">
        <v>36</v>
      </c>
      <c r="D10" s="97" t="s">
        <v>457</v>
      </c>
      <c r="E10" s="97" t="s">
        <v>27</v>
      </c>
      <c r="F10" s="97">
        <v>262456</v>
      </c>
      <c r="G10" s="97" t="s">
        <v>462</v>
      </c>
      <c r="H10" s="97">
        <v>600</v>
      </c>
      <c r="I10" s="99">
        <v>0.98399999999999999</v>
      </c>
      <c r="J10" s="99">
        <v>0.63</v>
      </c>
      <c r="K10" s="97" t="s">
        <v>461</v>
      </c>
      <c r="L10" s="99">
        <v>371.952</v>
      </c>
      <c r="M10" s="100">
        <v>378</v>
      </c>
      <c r="N10" s="101">
        <v>0.105</v>
      </c>
      <c r="O10" s="102">
        <v>6.3</v>
      </c>
      <c r="P10" s="97">
        <v>128.30000000000001</v>
      </c>
      <c r="Q10" s="97">
        <v>1</v>
      </c>
      <c r="R10" s="97">
        <v>1050</v>
      </c>
      <c r="S10" s="99">
        <v>0.98399999999999999</v>
      </c>
      <c r="T10" s="97">
        <v>66</v>
      </c>
      <c r="U10" s="101">
        <v>6.2899999999999998E-2</v>
      </c>
      <c r="V10" s="97" t="s">
        <v>28</v>
      </c>
      <c r="W10" s="97" t="s">
        <v>28</v>
      </c>
      <c r="X10" s="97" t="s">
        <v>28</v>
      </c>
      <c r="Y10" s="97" t="s">
        <v>27</v>
      </c>
      <c r="Z10" s="97" t="s">
        <v>27</v>
      </c>
      <c r="AA10" s="97" t="s">
        <v>39</v>
      </c>
      <c r="AB10" s="97" t="s">
        <v>460</v>
      </c>
    </row>
    <row r="11" spans="1:28" s="103" customFormat="1" ht="25.05" customHeight="1" x14ac:dyDescent="0.3">
      <c r="A11" s="97">
        <v>9</v>
      </c>
      <c r="B11" s="98" t="s">
        <v>161</v>
      </c>
      <c r="C11" s="97" t="s">
        <v>36</v>
      </c>
      <c r="D11" s="97" t="s">
        <v>457</v>
      </c>
      <c r="E11" s="97" t="s">
        <v>27</v>
      </c>
      <c r="F11" s="97">
        <v>262453</v>
      </c>
      <c r="G11" s="97" t="s">
        <v>459</v>
      </c>
      <c r="H11" s="97">
        <v>100</v>
      </c>
      <c r="I11" s="99">
        <v>0.93700000000000006</v>
      </c>
      <c r="J11" s="99">
        <v>2.0680000000000001</v>
      </c>
      <c r="K11" s="97" t="s">
        <v>34</v>
      </c>
      <c r="L11" s="99">
        <v>193.77199999999999</v>
      </c>
      <c r="M11" s="100">
        <v>206.8</v>
      </c>
      <c r="N11" s="101">
        <v>5.74E-2</v>
      </c>
      <c r="O11" s="102">
        <v>3.45</v>
      </c>
      <c r="P11" s="97">
        <v>66.900000000000006</v>
      </c>
      <c r="Q11" s="97">
        <v>1</v>
      </c>
      <c r="R11" s="97">
        <v>1000</v>
      </c>
      <c r="S11" s="99">
        <v>0.93700000000000006</v>
      </c>
      <c r="T11" s="97">
        <v>63</v>
      </c>
      <c r="U11" s="101">
        <v>6.3E-2</v>
      </c>
      <c r="V11" s="97" t="s">
        <v>28</v>
      </c>
      <c r="W11" s="97" t="s">
        <v>28</v>
      </c>
      <c r="X11" s="97" t="s">
        <v>28</v>
      </c>
      <c r="Y11" s="97" t="s">
        <v>27</v>
      </c>
      <c r="Z11" s="97" t="s">
        <v>27</v>
      </c>
      <c r="AA11" s="97" t="s">
        <v>39</v>
      </c>
      <c r="AB11" s="97" t="s">
        <v>458</v>
      </c>
    </row>
    <row r="12" spans="1:28" s="103" customFormat="1" ht="25.05" customHeight="1" x14ac:dyDescent="0.3">
      <c r="A12" s="97">
        <v>10</v>
      </c>
      <c r="B12" s="98" t="s">
        <v>161</v>
      </c>
      <c r="C12" s="97" t="s">
        <v>36</v>
      </c>
      <c r="D12" s="97" t="s">
        <v>457</v>
      </c>
      <c r="E12" s="97" t="s">
        <v>27</v>
      </c>
      <c r="F12" s="97">
        <v>262461</v>
      </c>
      <c r="G12" s="97" t="s">
        <v>456</v>
      </c>
      <c r="H12" s="97">
        <v>205</v>
      </c>
      <c r="I12" s="99">
        <v>0.95</v>
      </c>
      <c r="J12" s="99">
        <v>1.345</v>
      </c>
      <c r="K12" s="97" t="s">
        <v>34</v>
      </c>
      <c r="L12" s="99">
        <v>261.93900000000002</v>
      </c>
      <c r="M12" s="100">
        <v>275.7</v>
      </c>
      <c r="N12" s="101">
        <v>7.6600000000000001E-2</v>
      </c>
      <c r="O12" s="102">
        <v>4.5999999999999996</v>
      </c>
      <c r="P12" s="97">
        <v>90.4</v>
      </c>
      <c r="Q12" s="97">
        <v>1</v>
      </c>
      <c r="R12" s="97">
        <v>1000</v>
      </c>
      <c r="S12" s="99">
        <v>0.95</v>
      </c>
      <c r="T12" s="97">
        <v>50</v>
      </c>
      <c r="U12" s="101">
        <v>0.05</v>
      </c>
      <c r="V12" s="97" t="s">
        <v>28</v>
      </c>
      <c r="W12" s="97" t="s">
        <v>28</v>
      </c>
      <c r="X12" s="97" t="s">
        <v>28</v>
      </c>
      <c r="Y12" s="97" t="s">
        <v>27</v>
      </c>
      <c r="Z12" s="97" t="s">
        <v>27</v>
      </c>
      <c r="AA12" s="97" t="s">
        <v>39</v>
      </c>
      <c r="AB12" s="97" t="s">
        <v>455</v>
      </c>
    </row>
    <row r="13" spans="1:28" s="12" customFormat="1" ht="25.05" customHeight="1" x14ac:dyDescent="0.3">
      <c r="A13" s="11" t="s">
        <v>27</v>
      </c>
      <c r="B13" s="11" t="s">
        <v>27</v>
      </c>
      <c r="C13" s="11" t="s">
        <v>27</v>
      </c>
      <c r="D13" s="11" t="s">
        <v>27</v>
      </c>
      <c r="E13" s="11" t="s">
        <v>27</v>
      </c>
      <c r="F13" s="11" t="s">
        <v>27</v>
      </c>
      <c r="G13" s="11" t="s">
        <v>27</v>
      </c>
      <c r="H13" s="11">
        <v>4805</v>
      </c>
      <c r="I13" s="11" t="s">
        <v>27</v>
      </c>
      <c r="J13" s="11" t="s">
        <v>27</v>
      </c>
      <c r="K13" s="11" t="s">
        <v>27</v>
      </c>
      <c r="L13" s="11" t="s">
        <v>27</v>
      </c>
      <c r="M13" s="11" t="s">
        <v>27</v>
      </c>
      <c r="N13" s="11" t="s">
        <v>27</v>
      </c>
      <c r="O13" s="11" t="s">
        <v>27</v>
      </c>
      <c r="P13" s="11">
        <v>2428.5</v>
      </c>
      <c r="Q13" s="11" t="s">
        <v>27</v>
      </c>
      <c r="R13" s="11" t="s">
        <v>27</v>
      </c>
      <c r="S13" s="11" t="s">
        <v>27</v>
      </c>
      <c r="T13" s="11" t="s">
        <v>27</v>
      </c>
      <c r="U13" s="11" t="s">
        <v>27</v>
      </c>
      <c r="V13" s="11" t="s">
        <v>27</v>
      </c>
      <c r="W13" s="11" t="s">
        <v>27</v>
      </c>
      <c r="X13" s="11" t="s">
        <v>27</v>
      </c>
      <c r="Y13" s="11" t="s">
        <v>27</v>
      </c>
      <c r="Z13" s="11" t="s">
        <v>27</v>
      </c>
      <c r="AA13" s="11" t="s">
        <v>27</v>
      </c>
      <c r="AB13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8" orientation="landscape" horizontalDpi="360" verticalDpi="36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77C209-0A7A-4EC4-A4D4-CB36EBB800B4}">
  <sheetPr>
    <pageSetUpPr fitToPage="1"/>
  </sheetPr>
  <dimension ref="A1:AB8"/>
  <sheetViews>
    <sheetView workbookViewId="0">
      <selection activeCell="AD4" sqref="AD4"/>
    </sheetView>
  </sheetViews>
  <sheetFormatPr defaultRowHeight="14.4" x14ac:dyDescent="0.3"/>
  <cols>
    <col min="1" max="1" width="3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33203125" style="1" customWidth="1"/>
    <col min="7" max="7" width="5.5546875" style="1" customWidth="1"/>
    <col min="8" max="8" width="5.33203125" style="1" customWidth="1"/>
    <col min="9" max="9" width="6.33203125" style="1" customWidth="1"/>
    <col min="10" max="10" width="5.6640625" style="1" customWidth="1"/>
    <col min="11" max="11" width="20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" style="1" customWidth="1"/>
    <col min="17" max="17" width="3.77734375" style="1" customWidth="1"/>
    <col min="18" max="18" width="6.2187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3" width="8.33203125" style="1" customWidth="1"/>
    <col min="24" max="24" width="7.88671875" style="1" customWidth="1"/>
    <col min="25" max="25" width="8.44140625" style="1" customWidth="1"/>
    <col min="26" max="26" width="8" style="1" customWidth="1"/>
    <col min="27" max="27" width="4.21875" style="1" customWidth="1"/>
    <col min="28" max="28" width="10.77734375" style="1" customWidth="1"/>
    <col min="29" max="16384" width="8.88671875" style="1"/>
  </cols>
  <sheetData>
    <row r="1" spans="1:28" ht="18" customHeight="1" x14ac:dyDescent="0.35">
      <c r="A1" s="222" t="s">
        <v>454</v>
      </c>
      <c r="B1" s="222" t="s">
        <v>27</v>
      </c>
      <c r="C1" s="222" t="s">
        <v>27</v>
      </c>
      <c r="D1" s="222" t="s">
        <v>27</v>
      </c>
      <c r="E1" s="222" t="s">
        <v>27</v>
      </c>
      <c r="F1" s="222" t="s">
        <v>27</v>
      </c>
      <c r="G1" s="222" t="s">
        <v>27</v>
      </c>
      <c r="H1" s="222" t="s">
        <v>27</v>
      </c>
      <c r="I1" s="222" t="s">
        <v>27</v>
      </c>
      <c r="J1" s="222" t="s">
        <v>27</v>
      </c>
      <c r="K1" s="222" t="s">
        <v>27</v>
      </c>
      <c r="L1" s="222" t="s">
        <v>27</v>
      </c>
      <c r="M1" s="222" t="s">
        <v>27</v>
      </c>
      <c r="N1" s="222" t="s">
        <v>27</v>
      </c>
      <c r="O1" s="222" t="s">
        <v>27</v>
      </c>
      <c r="P1" s="222" t="s">
        <v>27</v>
      </c>
      <c r="Q1" s="222" t="s">
        <v>27</v>
      </c>
      <c r="R1" s="222" t="s">
        <v>27</v>
      </c>
      <c r="S1" s="222" t="s">
        <v>27</v>
      </c>
      <c r="T1" s="222" t="s">
        <v>27</v>
      </c>
      <c r="U1" s="222" t="s">
        <v>27</v>
      </c>
      <c r="V1" s="222" t="s">
        <v>27</v>
      </c>
      <c r="W1" s="222" t="s">
        <v>27</v>
      </c>
      <c r="X1" s="222" t="s">
        <v>27</v>
      </c>
      <c r="Y1" s="222" t="s">
        <v>27</v>
      </c>
      <c r="Z1" s="222" t="s">
        <v>27</v>
      </c>
      <c r="AA1" s="222" t="s">
        <v>27</v>
      </c>
      <c r="AB1" s="222" t="s">
        <v>27</v>
      </c>
    </row>
    <row r="2" spans="1:28" ht="50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448</v>
      </c>
      <c r="C3" s="5" t="s">
        <v>45</v>
      </c>
      <c r="D3" s="5" t="s">
        <v>422</v>
      </c>
      <c r="E3" s="5" t="s">
        <v>27</v>
      </c>
      <c r="F3" s="5">
        <v>262450</v>
      </c>
      <c r="G3" s="5" t="s">
        <v>447</v>
      </c>
      <c r="H3" s="5">
        <v>500</v>
      </c>
      <c r="I3" s="7">
        <v>0.70399999999999996</v>
      </c>
      <c r="J3" s="7">
        <v>1.903</v>
      </c>
      <c r="K3" s="5" t="s">
        <v>453</v>
      </c>
      <c r="L3" s="7">
        <v>669.85599999999999</v>
      </c>
      <c r="M3" s="9">
        <v>475.8</v>
      </c>
      <c r="N3" s="6">
        <v>6.6100000000000006E-2</v>
      </c>
      <c r="O3" s="8">
        <v>3.96</v>
      </c>
      <c r="P3" s="5">
        <v>405.9</v>
      </c>
      <c r="Q3" s="5">
        <v>2</v>
      </c>
      <c r="R3" s="5">
        <v>1450</v>
      </c>
      <c r="S3" s="7">
        <v>1.4079999999999999</v>
      </c>
      <c r="T3" s="5">
        <v>42</v>
      </c>
      <c r="U3" s="6">
        <v>2.9000000000000001E-2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30</v>
      </c>
      <c r="AB3" s="5" t="s">
        <v>452</v>
      </c>
    </row>
    <row r="4" spans="1:28" s="12" customFormat="1" ht="25.05" customHeight="1" x14ac:dyDescent="0.3">
      <c r="A4" s="5">
        <v>2</v>
      </c>
      <c r="B4" s="10" t="s">
        <v>444</v>
      </c>
      <c r="C4" s="5" t="s">
        <v>26</v>
      </c>
      <c r="D4" s="5" t="s">
        <v>422</v>
      </c>
      <c r="E4" s="5" t="s">
        <v>27</v>
      </c>
      <c r="F4" s="5">
        <v>262447</v>
      </c>
      <c r="G4" s="5" t="s">
        <v>443</v>
      </c>
      <c r="H4" s="5">
        <v>150</v>
      </c>
      <c r="I4" s="7">
        <v>1.3480000000000001</v>
      </c>
      <c r="J4" s="7">
        <v>2.1930000000000001</v>
      </c>
      <c r="K4" s="5" t="s">
        <v>451</v>
      </c>
      <c r="L4" s="7">
        <v>443.42500000000001</v>
      </c>
      <c r="M4" s="9">
        <v>328.9</v>
      </c>
      <c r="N4" s="6">
        <v>9.1399999999999995E-2</v>
      </c>
      <c r="O4" s="8">
        <v>5.48</v>
      </c>
      <c r="P4" s="5">
        <v>263</v>
      </c>
      <c r="Q4" s="5">
        <v>1</v>
      </c>
      <c r="R4" s="5">
        <v>1400</v>
      </c>
      <c r="S4" s="7">
        <v>1.3480000000000001</v>
      </c>
      <c r="T4" s="5">
        <v>52</v>
      </c>
      <c r="U4" s="6">
        <v>3.7100000000000001E-2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71</v>
      </c>
      <c r="AB4" s="5" t="s">
        <v>431</v>
      </c>
    </row>
    <row r="5" spans="1:28" s="12" customFormat="1" ht="25.05" customHeight="1" x14ac:dyDescent="0.3">
      <c r="A5" s="5">
        <v>3</v>
      </c>
      <c r="B5" s="10" t="s">
        <v>444</v>
      </c>
      <c r="C5" s="5" t="s">
        <v>26</v>
      </c>
      <c r="D5" s="5" t="s">
        <v>422</v>
      </c>
      <c r="E5" s="5" t="s">
        <v>27</v>
      </c>
      <c r="F5" s="5">
        <v>262448</v>
      </c>
      <c r="G5" s="5" t="s">
        <v>443</v>
      </c>
      <c r="H5" s="5">
        <v>150</v>
      </c>
      <c r="I5" s="7">
        <v>1.3180000000000001</v>
      </c>
      <c r="J5" s="7">
        <v>2.1629999999999998</v>
      </c>
      <c r="K5" s="5" t="s">
        <v>450</v>
      </c>
      <c r="L5" s="7">
        <v>427.625</v>
      </c>
      <c r="M5" s="9">
        <v>324.39999999999998</v>
      </c>
      <c r="N5" s="6">
        <v>9.01E-2</v>
      </c>
      <c r="O5" s="8">
        <v>5.41</v>
      </c>
      <c r="P5" s="5">
        <v>253.6</v>
      </c>
      <c r="Q5" s="5">
        <v>1</v>
      </c>
      <c r="R5" s="5">
        <v>1350</v>
      </c>
      <c r="S5" s="7">
        <v>1.3180000000000001</v>
      </c>
      <c r="T5" s="5">
        <v>32</v>
      </c>
      <c r="U5" s="6">
        <v>2.3699999999999999E-2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39</v>
      </c>
      <c r="AB5" s="5" t="s">
        <v>449</v>
      </c>
    </row>
    <row r="6" spans="1:28" s="12" customFormat="1" ht="25.05" customHeight="1" x14ac:dyDescent="0.3">
      <c r="A6" s="5">
        <v>4</v>
      </c>
      <c r="B6" s="10" t="s">
        <v>448</v>
      </c>
      <c r="C6" s="5" t="s">
        <v>45</v>
      </c>
      <c r="D6" s="5" t="s">
        <v>422</v>
      </c>
      <c r="E6" s="5" t="s">
        <v>27</v>
      </c>
      <c r="F6" s="5">
        <v>262451</v>
      </c>
      <c r="G6" s="5" t="s">
        <v>447</v>
      </c>
      <c r="H6" s="5">
        <v>500</v>
      </c>
      <c r="I6" s="7">
        <v>0.55900000000000005</v>
      </c>
      <c r="J6" s="7">
        <v>1.389</v>
      </c>
      <c r="K6" s="5" t="s">
        <v>446</v>
      </c>
      <c r="L6" s="7">
        <v>388.226</v>
      </c>
      <c r="M6" s="9">
        <v>347.3</v>
      </c>
      <c r="N6" s="6">
        <v>4.82E-2</v>
      </c>
      <c r="O6" s="8">
        <v>2.89</v>
      </c>
      <c r="P6" s="5">
        <v>235.3</v>
      </c>
      <c r="Q6" s="5">
        <v>2</v>
      </c>
      <c r="R6" s="5">
        <v>1150</v>
      </c>
      <c r="S6" s="7">
        <v>1.1180000000000001</v>
      </c>
      <c r="T6" s="5">
        <v>32</v>
      </c>
      <c r="U6" s="6">
        <v>2.7799999999999998E-2</v>
      </c>
      <c r="V6" s="5" t="s">
        <v>35</v>
      </c>
      <c r="W6" s="5" t="s">
        <v>40</v>
      </c>
      <c r="X6" s="5" t="s">
        <v>35</v>
      </c>
      <c r="Y6" s="5" t="s">
        <v>35</v>
      </c>
      <c r="Z6" s="5" t="s">
        <v>35</v>
      </c>
      <c r="AA6" s="5" t="s">
        <v>33</v>
      </c>
      <c r="AB6" s="5" t="s">
        <v>445</v>
      </c>
    </row>
    <row r="7" spans="1:28" s="12" customFormat="1" ht="25.05" customHeight="1" x14ac:dyDescent="0.3">
      <c r="A7" s="5">
        <v>5</v>
      </c>
      <c r="B7" s="10" t="s">
        <v>444</v>
      </c>
      <c r="C7" s="5" t="s">
        <v>26</v>
      </c>
      <c r="D7" s="5" t="s">
        <v>422</v>
      </c>
      <c r="E7" s="5" t="s">
        <v>27</v>
      </c>
      <c r="F7" s="5">
        <v>262449</v>
      </c>
      <c r="G7" s="5" t="s">
        <v>443</v>
      </c>
      <c r="H7" s="5">
        <v>200</v>
      </c>
      <c r="I7" s="7">
        <v>1.016</v>
      </c>
      <c r="J7" s="7">
        <v>2.181</v>
      </c>
      <c r="K7" s="5" t="s">
        <v>442</v>
      </c>
      <c r="L7" s="7">
        <v>443.17899999999997</v>
      </c>
      <c r="M7" s="9">
        <v>436.2</v>
      </c>
      <c r="N7" s="6">
        <v>0.1212</v>
      </c>
      <c r="O7" s="8">
        <v>7.27</v>
      </c>
      <c r="P7" s="5">
        <v>262.8</v>
      </c>
      <c r="Q7" s="5">
        <v>1</v>
      </c>
      <c r="R7" s="5">
        <v>1050</v>
      </c>
      <c r="S7" s="7">
        <v>1.016</v>
      </c>
      <c r="T7" s="5">
        <v>34</v>
      </c>
      <c r="U7" s="6">
        <v>3.2399999999999998E-2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33</v>
      </c>
      <c r="AB7" s="5" t="s">
        <v>441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v>1500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v>1420.5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61" bottom="0.78740157499999996" header="0.31496062000000002" footer="0.31496062000000002"/>
  <pageSetup paperSize="9" scale="90" orientation="landscape" horizontalDpi="360" verticalDpi="36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18073-0ED0-490B-AE15-7C3B58333595}">
  <sheetPr>
    <pageSetUpPr fitToPage="1"/>
  </sheetPr>
  <dimension ref="A1:AB10"/>
  <sheetViews>
    <sheetView workbookViewId="0">
      <selection sqref="A1:AB10"/>
    </sheetView>
  </sheetViews>
  <sheetFormatPr defaultRowHeight="14.4" x14ac:dyDescent="0.3"/>
  <cols>
    <col min="1" max="1" width="3.77734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5546875" style="1" customWidth="1"/>
    <col min="6" max="6" width="7.5546875" style="1" customWidth="1"/>
    <col min="7" max="7" width="5.6640625" style="1" customWidth="1"/>
    <col min="8" max="8" width="6" style="1" customWidth="1"/>
    <col min="9" max="9" width="6.21875" style="1" customWidth="1"/>
    <col min="10" max="10" width="6.6640625" style="1" customWidth="1"/>
    <col min="11" max="11" width="11.77734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109375" style="1" customWidth="1"/>
    <col min="17" max="17" width="3.88671875" style="1" customWidth="1"/>
    <col min="18" max="18" width="6.21875" style="1" customWidth="1"/>
    <col min="19" max="19" width="6.109375" style="1" customWidth="1"/>
    <col min="20" max="20" width="11.77734375" style="1" hidden="1" customWidth="1"/>
    <col min="21" max="21" width="8.77734375" style="1" hidden="1" customWidth="1"/>
    <col min="22" max="22" width="8.33203125" style="1" customWidth="1"/>
    <col min="23" max="23" width="8" style="1" customWidth="1"/>
    <col min="24" max="24" width="8.109375" style="1" customWidth="1"/>
    <col min="25" max="25" width="8.44140625" style="1" customWidth="1"/>
    <col min="26" max="26" width="7.88671875" style="1" customWidth="1"/>
    <col min="27" max="27" width="4.109375" style="1" customWidth="1"/>
    <col min="28" max="28" width="13.21875" style="1" customWidth="1"/>
    <col min="29" max="16384" width="8.88671875" style="1"/>
  </cols>
  <sheetData>
    <row r="1" spans="1:28" ht="33" customHeight="1" x14ac:dyDescent="0.35">
      <c r="A1" s="222" t="s">
        <v>440</v>
      </c>
      <c r="B1" s="222" t="s">
        <v>27</v>
      </c>
      <c r="C1" s="222" t="s">
        <v>27</v>
      </c>
      <c r="D1" s="222" t="s">
        <v>27</v>
      </c>
      <c r="E1" s="222" t="s">
        <v>27</v>
      </c>
      <c r="F1" s="222" t="s">
        <v>27</v>
      </c>
      <c r="G1" s="222" t="s">
        <v>27</v>
      </c>
      <c r="H1" s="222" t="s">
        <v>27</v>
      </c>
      <c r="I1" s="222" t="s">
        <v>27</v>
      </c>
      <c r="J1" s="222" t="s">
        <v>27</v>
      </c>
      <c r="K1" s="222" t="s">
        <v>27</v>
      </c>
      <c r="L1" s="222" t="s">
        <v>27</v>
      </c>
      <c r="M1" s="222" t="s">
        <v>27</v>
      </c>
      <c r="N1" s="222" t="s">
        <v>27</v>
      </c>
      <c r="O1" s="222" t="s">
        <v>27</v>
      </c>
      <c r="P1" s="222" t="s">
        <v>27</v>
      </c>
      <c r="Q1" s="222" t="s">
        <v>27</v>
      </c>
      <c r="R1" s="222" t="s">
        <v>27</v>
      </c>
      <c r="S1" s="222" t="s">
        <v>27</v>
      </c>
      <c r="T1" s="222" t="s">
        <v>27</v>
      </c>
      <c r="U1" s="222" t="s">
        <v>27</v>
      </c>
      <c r="V1" s="222" t="s">
        <v>27</v>
      </c>
      <c r="W1" s="222" t="s">
        <v>27</v>
      </c>
      <c r="X1" s="222" t="s">
        <v>27</v>
      </c>
      <c r="Y1" s="222" t="s">
        <v>27</v>
      </c>
      <c r="Z1" s="222" t="s">
        <v>27</v>
      </c>
      <c r="AA1" s="222" t="s">
        <v>27</v>
      </c>
      <c r="AB1" s="222" t="s">
        <v>27</v>
      </c>
    </row>
    <row r="2" spans="1:28" ht="39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63</v>
      </c>
      <c r="C3" s="5" t="s">
        <v>26</v>
      </c>
      <c r="D3" s="5" t="s">
        <v>422</v>
      </c>
      <c r="E3" s="5" t="s">
        <v>27</v>
      </c>
      <c r="F3" s="5">
        <v>262443</v>
      </c>
      <c r="G3" s="5" t="s">
        <v>428</v>
      </c>
      <c r="H3" s="5">
        <v>500</v>
      </c>
      <c r="I3" s="7">
        <v>0.56200000000000006</v>
      </c>
      <c r="J3" s="7">
        <v>1.968</v>
      </c>
      <c r="K3" s="5" t="s">
        <v>439</v>
      </c>
      <c r="L3" s="7">
        <v>553.00800000000004</v>
      </c>
      <c r="M3" s="9">
        <v>492</v>
      </c>
      <c r="N3" s="6">
        <v>6.83E-2</v>
      </c>
      <c r="O3" s="8">
        <v>4.0999999999999996</v>
      </c>
      <c r="P3" s="5">
        <v>327.9</v>
      </c>
      <c r="Q3" s="5">
        <v>2</v>
      </c>
      <c r="R3" s="5">
        <v>1150</v>
      </c>
      <c r="S3" s="7">
        <v>1.1240000000000001</v>
      </c>
      <c r="T3" s="5">
        <v>26</v>
      </c>
      <c r="U3" s="6">
        <v>2.2599999999999999E-2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33</v>
      </c>
      <c r="AB3" s="5" t="s">
        <v>438</v>
      </c>
    </row>
    <row r="4" spans="1:28" s="12" customFormat="1" ht="25.05" customHeight="1" x14ac:dyDescent="0.3">
      <c r="A4" s="5">
        <v>2</v>
      </c>
      <c r="B4" s="10" t="s">
        <v>63</v>
      </c>
      <c r="C4" s="5" t="s">
        <v>26</v>
      </c>
      <c r="D4" s="5" t="s">
        <v>422</v>
      </c>
      <c r="E4" s="5" t="s">
        <v>27</v>
      </c>
      <c r="F4" s="5">
        <v>262445</v>
      </c>
      <c r="G4" s="5" t="s">
        <v>428</v>
      </c>
      <c r="H4" s="5">
        <v>6000</v>
      </c>
      <c r="I4" s="7">
        <v>1.0089999999999999</v>
      </c>
      <c r="J4" s="7">
        <v>1.4390000000000001</v>
      </c>
      <c r="K4" s="5" t="s">
        <v>34</v>
      </c>
      <c r="L4" s="7">
        <v>8711.7060000000001</v>
      </c>
      <c r="M4" s="9">
        <v>8634</v>
      </c>
      <c r="N4" s="6">
        <v>2.3982999999999999</v>
      </c>
      <c r="O4" s="8">
        <v>143.9</v>
      </c>
      <c r="P4" s="5">
        <v>5166</v>
      </c>
      <c r="Q4" s="5">
        <v>1</v>
      </c>
      <c r="R4" s="5">
        <v>1050</v>
      </c>
      <c r="S4" s="7">
        <v>1.0089999999999999</v>
      </c>
      <c r="T4" s="5">
        <v>41</v>
      </c>
      <c r="U4" s="6">
        <v>3.9E-2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437</v>
      </c>
      <c r="AB4" s="5" t="s">
        <v>436</v>
      </c>
    </row>
    <row r="5" spans="1:28" s="12" customFormat="1" ht="25.05" customHeight="1" x14ac:dyDescent="0.3">
      <c r="A5" s="5">
        <v>3</v>
      </c>
      <c r="B5" s="10" t="s">
        <v>63</v>
      </c>
      <c r="C5" s="5" t="s">
        <v>26</v>
      </c>
      <c r="D5" s="5" t="s">
        <v>422</v>
      </c>
      <c r="E5" s="5" t="s">
        <v>27</v>
      </c>
      <c r="F5" s="5">
        <v>262441</v>
      </c>
      <c r="G5" s="5" t="s">
        <v>428</v>
      </c>
      <c r="H5" s="5">
        <v>330</v>
      </c>
      <c r="I5" s="7">
        <v>0.95199999999999996</v>
      </c>
      <c r="J5" s="7">
        <v>2.44</v>
      </c>
      <c r="K5" s="5" t="s">
        <v>435</v>
      </c>
      <c r="L5" s="7">
        <v>766.55</v>
      </c>
      <c r="M5" s="9">
        <v>805.2</v>
      </c>
      <c r="N5" s="6">
        <v>0.22370000000000001</v>
      </c>
      <c r="O5" s="8">
        <v>13.42</v>
      </c>
      <c r="P5" s="5">
        <v>454.6</v>
      </c>
      <c r="Q5" s="5">
        <v>1</v>
      </c>
      <c r="R5" s="5">
        <v>1000</v>
      </c>
      <c r="S5" s="7">
        <v>0.95199999999999996</v>
      </c>
      <c r="T5" s="5">
        <v>48</v>
      </c>
      <c r="U5" s="6">
        <v>4.8000000000000001E-2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33</v>
      </c>
      <c r="AB5" s="5" t="s">
        <v>434</v>
      </c>
    </row>
    <row r="6" spans="1:28" s="12" customFormat="1" ht="25.05" customHeight="1" x14ac:dyDescent="0.3">
      <c r="A6" s="5">
        <v>4</v>
      </c>
      <c r="B6" s="10" t="s">
        <v>63</v>
      </c>
      <c r="C6" s="5" t="s">
        <v>26</v>
      </c>
      <c r="D6" s="5" t="s">
        <v>422</v>
      </c>
      <c r="E6" s="5" t="s">
        <v>27</v>
      </c>
      <c r="F6" s="5">
        <v>262440</v>
      </c>
      <c r="G6" s="5" t="s">
        <v>428</v>
      </c>
      <c r="H6" s="5">
        <v>3500</v>
      </c>
      <c r="I6" s="7">
        <v>0.92</v>
      </c>
      <c r="J6" s="7">
        <v>1.22</v>
      </c>
      <c r="K6" s="5" t="s">
        <v>34</v>
      </c>
      <c r="L6" s="7">
        <v>3928.4</v>
      </c>
      <c r="M6" s="9">
        <v>4270</v>
      </c>
      <c r="N6" s="6">
        <v>1.1860999999999999</v>
      </c>
      <c r="O6" s="8">
        <v>71.17</v>
      </c>
      <c r="P6" s="5">
        <v>2329.5</v>
      </c>
      <c r="Q6" s="5">
        <v>1</v>
      </c>
      <c r="R6" s="5">
        <v>950</v>
      </c>
      <c r="S6" s="7">
        <v>0.92</v>
      </c>
      <c r="T6" s="5">
        <v>30</v>
      </c>
      <c r="U6" s="6">
        <v>3.1600000000000003E-2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433</v>
      </c>
      <c r="AB6" s="5" t="s">
        <v>432</v>
      </c>
    </row>
    <row r="7" spans="1:28" s="12" customFormat="1" ht="25.05" customHeight="1" x14ac:dyDescent="0.3">
      <c r="A7" s="5">
        <v>5</v>
      </c>
      <c r="B7" s="10" t="s">
        <v>63</v>
      </c>
      <c r="C7" s="5" t="s">
        <v>26</v>
      </c>
      <c r="D7" s="5" t="s">
        <v>422</v>
      </c>
      <c r="E7" s="5" t="s">
        <v>27</v>
      </c>
      <c r="F7" s="5">
        <v>262446</v>
      </c>
      <c r="G7" s="5" t="s">
        <v>428</v>
      </c>
      <c r="H7" s="5">
        <v>6000</v>
      </c>
      <c r="I7" s="7">
        <v>0.88900000000000001</v>
      </c>
      <c r="J7" s="7">
        <v>1.099</v>
      </c>
      <c r="K7" s="5" t="s">
        <v>34</v>
      </c>
      <c r="L7" s="7">
        <v>5862.0659999999998</v>
      </c>
      <c r="M7" s="9">
        <v>6594</v>
      </c>
      <c r="N7" s="6">
        <v>1.8317000000000001</v>
      </c>
      <c r="O7" s="8">
        <v>109.9</v>
      </c>
      <c r="P7" s="5">
        <v>3476.2</v>
      </c>
      <c r="Q7" s="5">
        <v>1</v>
      </c>
      <c r="R7" s="5">
        <v>950</v>
      </c>
      <c r="S7" s="7">
        <v>0.88900000000000001</v>
      </c>
      <c r="T7" s="5">
        <v>61</v>
      </c>
      <c r="U7" s="6">
        <v>6.4199999999999993E-2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71</v>
      </c>
      <c r="AB7" s="5" t="s">
        <v>431</v>
      </c>
    </row>
    <row r="8" spans="1:28" s="12" customFormat="1" ht="25.05" customHeight="1" x14ac:dyDescent="0.3">
      <c r="A8" s="5">
        <v>6</v>
      </c>
      <c r="B8" s="10" t="s">
        <v>63</v>
      </c>
      <c r="C8" s="5" t="s">
        <v>26</v>
      </c>
      <c r="D8" s="5" t="s">
        <v>422</v>
      </c>
      <c r="E8" s="5" t="s">
        <v>27</v>
      </c>
      <c r="F8" s="5">
        <v>262442</v>
      </c>
      <c r="G8" s="5" t="s">
        <v>428</v>
      </c>
      <c r="H8" s="5">
        <v>375</v>
      </c>
      <c r="I8" s="7">
        <v>0.80500000000000005</v>
      </c>
      <c r="J8" s="7">
        <v>1.768</v>
      </c>
      <c r="K8" s="5" t="s">
        <v>430</v>
      </c>
      <c r="L8" s="7">
        <v>533.71500000000003</v>
      </c>
      <c r="M8" s="9">
        <v>663</v>
      </c>
      <c r="N8" s="6">
        <v>0.1842</v>
      </c>
      <c r="O8" s="8">
        <v>11.05</v>
      </c>
      <c r="P8" s="5">
        <v>316.5</v>
      </c>
      <c r="Q8" s="5">
        <v>1</v>
      </c>
      <c r="R8" s="5">
        <v>850</v>
      </c>
      <c r="S8" s="7">
        <v>0.80500000000000005</v>
      </c>
      <c r="T8" s="5">
        <v>45</v>
      </c>
      <c r="U8" s="6">
        <v>5.2900000000000003E-2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33</v>
      </c>
      <c r="AB8" s="5" t="s">
        <v>429</v>
      </c>
    </row>
    <row r="9" spans="1:28" s="12" customFormat="1" ht="25.05" customHeight="1" x14ac:dyDescent="0.3">
      <c r="A9" s="5">
        <v>7</v>
      </c>
      <c r="B9" s="10" t="s">
        <v>63</v>
      </c>
      <c r="C9" s="5" t="s">
        <v>36</v>
      </c>
      <c r="D9" s="5" t="s">
        <v>422</v>
      </c>
      <c r="E9" s="5" t="s">
        <v>27</v>
      </c>
      <c r="F9" s="5">
        <v>262444</v>
      </c>
      <c r="G9" s="5" t="s">
        <v>428</v>
      </c>
      <c r="H9" s="5">
        <v>11000</v>
      </c>
      <c r="I9" s="7">
        <v>0.44600000000000001</v>
      </c>
      <c r="J9" s="7">
        <v>1.23</v>
      </c>
      <c r="K9" s="5" t="s">
        <v>427</v>
      </c>
      <c r="L9" s="7">
        <v>6034.38</v>
      </c>
      <c r="M9" s="9">
        <v>6765</v>
      </c>
      <c r="N9" s="6">
        <v>0.93959999999999999</v>
      </c>
      <c r="O9" s="8">
        <v>56.38</v>
      </c>
      <c r="P9" s="5">
        <v>2081.9</v>
      </c>
      <c r="Q9" s="5">
        <v>2</v>
      </c>
      <c r="R9" s="5">
        <v>950</v>
      </c>
      <c r="S9" s="7">
        <v>0.89200000000000002</v>
      </c>
      <c r="T9" s="5">
        <v>58</v>
      </c>
      <c r="U9" s="6">
        <v>6.1100000000000002E-2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426</v>
      </c>
      <c r="AB9" s="5" t="s">
        <v>425</v>
      </c>
    </row>
    <row r="10" spans="1:28" s="12" customFormat="1" ht="25.05" customHeight="1" x14ac:dyDescent="0.3">
      <c r="A10" s="11" t="s">
        <v>27</v>
      </c>
      <c r="B10" s="11" t="s">
        <v>27</v>
      </c>
      <c r="C10" s="11" t="s">
        <v>27</v>
      </c>
      <c r="D10" s="11" t="s">
        <v>27</v>
      </c>
      <c r="E10" s="11" t="s">
        <v>27</v>
      </c>
      <c r="F10" s="11" t="s">
        <v>27</v>
      </c>
      <c r="G10" s="11" t="s">
        <v>27</v>
      </c>
      <c r="H10" s="11">
        <v>27705</v>
      </c>
      <c r="I10" s="11" t="s">
        <v>27</v>
      </c>
      <c r="J10" s="11" t="s">
        <v>27</v>
      </c>
      <c r="K10" s="11" t="s">
        <v>27</v>
      </c>
      <c r="L10" s="11" t="s">
        <v>27</v>
      </c>
      <c r="M10" s="11" t="s">
        <v>27</v>
      </c>
      <c r="N10" s="11" t="s">
        <v>27</v>
      </c>
      <c r="O10" s="11" t="s">
        <v>27</v>
      </c>
      <c r="P10" s="11">
        <v>14152.6</v>
      </c>
      <c r="Q10" s="11" t="s">
        <v>27</v>
      </c>
      <c r="R10" s="11" t="s">
        <v>27</v>
      </c>
      <c r="S10" s="11" t="s">
        <v>27</v>
      </c>
      <c r="T10" s="11" t="s">
        <v>27</v>
      </c>
      <c r="U10" s="11" t="s">
        <v>27</v>
      </c>
      <c r="V10" s="11" t="s">
        <v>27</v>
      </c>
      <c r="W10" s="11" t="s">
        <v>27</v>
      </c>
      <c r="X10" s="11" t="s">
        <v>27</v>
      </c>
      <c r="Y10" s="11" t="s">
        <v>27</v>
      </c>
      <c r="Z10" s="11" t="s">
        <v>27</v>
      </c>
      <c r="AA10" s="11" t="s">
        <v>27</v>
      </c>
      <c r="AB10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2" orientation="landscape" horizontalDpi="360" verticalDpi="36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1BCD80-663D-4336-A874-3B2401E381C9}">
  <sheetPr>
    <pageSetUpPr fitToPage="1"/>
  </sheetPr>
  <dimension ref="A1:AB9"/>
  <sheetViews>
    <sheetView workbookViewId="0">
      <selection activeCell="A4" sqref="A4:XFD4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8.77734375" style="1" customWidth="1"/>
    <col min="7" max="7" width="5.44140625" style="1" customWidth="1"/>
    <col min="8" max="8" width="5.109375" style="1" customWidth="1"/>
    <col min="9" max="9" width="9.77734375" style="1" customWidth="1"/>
    <col min="10" max="10" width="6.44140625" style="1" customWidth="1"/>
    <col min="11" max="11" width="16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5.88671875" style="1" customWidth="1"/>
    <col min="17" max="17" width="3.21875" style="1" customWidth="1"/>
    <col min="18" max="18" width="6.109375" style="1" customWidth="1"/>
    <col min="19" max="19" width="6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6.88671875" style="1" customWidth="1"/>
    <col min="24" max="24" width="7.21875" style="1" customWidth="1"/>
    <col min="25" max="26" width="7" style="1" customWidth="1"/>
    <col min="27" max="27" width="4.5546875" style="1" customWidth="1"/>
    <col min="28" max="28" width="10.21875" style="1" customWidth="1"/>
    <col min="29" max="16384" width="8.88671875" style="1"/>
  </cols>
  <sheetData>
    <row r="1" spans="1:28" ht="18" customHeight="1" x14ac:dyDescent="0.35">
      <c r="A1" s="222" t="s">
        <v>403</v>
      </c>
      <c r="B1" s="222" t="s">
        <v>27</v>
      </c>
      <c r="C1" s="222" t="s">
        <v>27</v>
      </c>
      <c r="D1" s="222" t="s">
        <v>27</v>
      </c>
      <c r="E1" s="222" t="s">
        <v>27</v>
      </c>
      <c r="F1" s="222" t="s">
        <v>27</v>
      </c>
      <c r="G1" s="222" t="s">
        <v>27</v>
      </c>
      <c r="H1" s="222" t="s">
        <v>27</v>
      </c>
      <c r="I1" s="222" t="s">
        <v>27</v>
      </c>
      <c r="J1" s="222" t="s">
        <v>27</v>
      </c>
      <c r="K1" s="222" t="s">
        <v>27</v>
      </c>
      <c r="L1" s="222" t="s">
        <v>27</v>
      </c>
      <c r="M1" s="222" t="s">
        <v>27</v>
      </c>
      <c r="N1" s="222" t="s">
        <v>27</v>
      </c>
      <c r="O1" s="222" t="s">
        <v>27</v>
      </c>
      <c r="P1" s="222" t="s">
        <v>27</v>
      </c>
      <c r="Q1" s="222" t="s">
        <v>27</v>
      </c>
      <c r="R1" s="222" t="s">
        <v>27</v>
      </c>
      <c r="S1" s="222" t="s">
        <v>27</v>
      </c>
      <c r="T1" s="222" t="s">
        <v>27</v>
      </c>
      <c r="U1" s="222" t="s">
        <v>27</v>
      </c>
      <c r="V1" s="222" t="s">
        <v>27</v>
      </c>
      <c r="W1" s="222" t="s">
        <v>27</v>
      </c>
      <c r="X1" s="222" t="s">
        <v>27</v>
      </c>
      <c r="Y1" s="222" t="s">
        <v>27</v>
      </c>
      <c r="Z1" s="222" t="s">
        <v>27</v>
      </c>
      <c r="AA1" s="222" t="s">
        <v>27</v>
      </c>
      <c r="AB1" s="222" t="s">
        <v>27</v>
      </c>
    </row>
    <row r="2" spans="1:28" s="88" customFormat="1" ht="53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218</v>
      </c>
      <c r="C3" s="5" t="s">
        <v>45</v>
      </c>
      <c r="D3" s="5" t="s">
        <v>399</v>
      </c>
      <c r="E3" s="5" t="s">
        <v>27</v>
      </c>
      <c r="F3" s="5">
        <v>262428</v>
      </c>
      <c r="G3" s="5" t="s">
        <v>398</v>
      </c>
      <c r="H3" s="5">
        <v>140</v>
      </c>
      <c r="I3" s="7">
        <v>1.518</v>
      </c>
      <c r="J3" s="7">
        <v>1.7809999999999999</v>
      </c>
      <c r="K3" s="5" t="s">
        <v>34</v>
      </c>
      <c r="L3" s="7">
        <v>378.49799999999999</v>
      </c>
      <c r="M3" s="9">
        <v>249.3</v>
      </c>
      <c r="N3" s="6">
        <v>6.93E-2</v>
      </c>
      <c r="O3" s="8">
        <v>4.16</v>
      </c>
      <c r="P3" s="5">
        <v>229.4</v>
      </c>
      <c r="Q3" s="5">
        <v>1</v>
      </c>
      <c r="R3" s="5">
        <v>1550</v>
      </c>
      <c r="S3" s="7">
        <v>1.518</v>
      </c>
      <c r="T3" s="5">
        <v>32</v>
      </c>
      <c r="U3" s="6">
        <v>2.06E-2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39</v>
      </c>
      <c r="AB3" s="5" t="s">
        <v>402</v>
      </c>
    </row>
    <row r="4" spans="1:28" s="12" customFormat="1" ht="25.05" customHeight="1" x14ac:dyDescent="0.3">
      <c r="A4" s="5">
        <v>2</v>
      </c>
      <c r="B4" s="10" t="s">
        <v>218</v>
      </c>
      <c r="C4" s="5" t="s">
        <v>26</v>
      </c>
      <c r="D4" s="13">
        <v>46265</v>
      </c>
      <c r="E4" s="5"/>
      <c r="F4" s="5">
        <v>262399</v>
      </c>
      <c r="G4" s="5">
        <v>1692</v>
      </c>
      <c r="H4" s="5">
        <v>300</v>
      </c>
      <c r="I4" s="7">
        <v>1.4850000000000001</v>
      </c>
      <c r="J4" s="7">
        <v>1.677</v>
      </c>
      <c r="K4" s="5" t="s">
        <v>334</v>
      </c>
      <c r="L4" s="7">
        <v>747104</v>
      </c>
      <c r="M4" s="9" t="s">
        <v>335</v>
      </c>
      <c r="N4" s="6" t="s">
        <v>336</v>
      </c>
      <c r="O4" s="8" t="s">
        <v>337</v>
      </c>
      <c r="P4" s="78" t="s">
        <v>338</v>
      </c>
      <c r="Q4" s="5">
        <v>1</v>
      </c>
      <c r="R4" s="5">
        <v>1550</v>
      </c>
      <c r="S4" s="7">
        <v>1.4850000000000001</v>
      </c>
      <c r="T4" s="5">
        <v>65</v>
      </c>
      <c r="U4" s="6" t="s">
        <v>339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>
        <v>2</v>
      </c>
      <c r="AB4" s="5" t="s">
        <v>340</v>
      </c>
    </row>
    <row r="5" spans="1:28" s="12" customFormat="1" ht="25.05" customHeight="1" x14ac:dyDescent="0.3">
      <c r="A5" s="5">
        <v>3</v>
      </c>
      <c r="B5" s="10" t="s">
        <v>218</v>
      </c>
      <c r="C5" s="5" t="s">
        <v>45</v>
      </c>
      <c r="D5" s="5" t="s">
        <v>399</v>
      </c>
      <c r="E5" s="5" t="s">
        <v>27</v>
      </c>
      <c r="F5" s="5">
        <v>262427</v>
      </c>
      <c r="G5" s="5" t="s">
        <v>398</v>
      </c>
      <c r="H5" s="5">
        <v>160</v>
      </c>
      <c r="I5" s="7">
        <v>1.3640000000000001</v>
      </c>
      <c r="J5" s="7">
        <v>2.5630000000000002</v>
      </c>
      <c r="K5" s="5" t="s">
        <v>401</v>
      </c>
      <c r="L5" s="7">
        <v>559.34900000000005</v>
      </c>
      <c r="M5" s="9">
        <v>410.1</v>
      </c>
      <c r="N5" s="6">
        <v>0.1139</v>
      </c>
      <c r="O5" s="8">
        <v>6.83</v>
      </c>
      <c r="P5" s="5">
        <v>339</v>
      </c>
      <c r="Q5" s="5">
        <v>1</v>
      </c>
      <c r="R5" s="5">
        <v>1400</v>
      </c>
      <c r="S5" s="7">
        <v>1.3640000000000001</v>
      </c>
      <c r="T5" s="5">
        <v>36</v>
      </c>
      <c r="U5" s="6">
        <v>2.5700000000000001E-2</v>
      </c>
      <c r="V5" s="5" t="s">
        <v>35</v>
      </c>
      <c r="W5" s="5" t="s">
        <v>40</v>
      </c>
      <c r="X5" s="5" t="s">
        <v>35</v>
      </c>
      <c r="Y5" s="5" t="s">
        <v>35</v>
      </c>
      <c r="Z5" s="5" t="s">
        <v>35</v>
      </c>
      <c r="AA5" s="5" t="s">
        <v>39</v>
      </c>
      <c r="AB5" s="5" t="s">
        <v>400</v>
      </c>
    </row>
    <row r="6" spans="1:28" s="12" customFormat="1" ht="25.05" customHeight="1" x14ac:dyDescent="0.3">
      <c r="A6" s="5">
        <v>4</v>
      </c>
      <c r="B6" s="10" t="s">
        <v>218</v>
      </c>
      <c r="C6" s="5" t="s">
        <v>45</v>
      </c>
      <c r="D6" s="5" t="s">
        <v>399</v>
      </c>
      <c r="E6" s="5" t="s">
        <v>27</v>
      </c>
      <c r="F6" s="5">
        <v>262426</v>
      </c>
      <c r="G6" s="5" t="s">
        <v>398</v>
      </c>
      <c r="H6" s="5">
        <v>160</v>
      </c>
      <c r="I6" s="7">
        <v>1.111</v>
      </c>
      <c r="J6" s="7">
        <v>2.2229999999999999</v>
      </c>
      <c r="K6" s="5" t="s">
        <v>397</v>
      </c>
      <c r="L6" s="7">
        <v>395.16</v>
      </c>
      <c r="M6" s="9">
        <v>355.7</v>
      </c>
      <c r="N6" s="6">
        <v>9.8799999999999999E-2</v>
      </c>
      <c r="O6" s="8">
        <v>5.93</v>
      </c>
      <c r="P6" s="5">
        <v>239.5</v>
      </c>
      <c r="Q6" s="5">
        <v>1</v>
      </c>
      <c r="R6" s="5">
        <v>1150</v>
      </c>
      <c r="S6" s="7">
        <v>1.111</v>
      </c>
      <c r="T6" s="5">
        <v>39</v>
      </c>
      <c r="U6" s="6">
        <v>3.39E-2</v>
      </c>
      <c r="V6" s="5" t="s">
        <v>35</v>
      </c>
      <c r="W6" s="5" t="s">
        <v>40</v>
      </c>
      <c r="X6" s="5" t="s">
        <v>35</v>
      </c>
      <c r="Y6" s="5" t="s">
        <v>35</v>
      </c>
      <c r="Z6" s="5" t="s">
        <v>35</v>
      </c>
      <c r="AA6" s="5" t="s">
        <v>39</v>
      </c>
      <c r="AB6" s="5" t="s">
        <v>396</v>
      </c>
    </row>
    <row r="7" spans="1:28" s="12" customFormat="1" ht="25.05" customHeight="1" x14ac:dyDescent="0.3">
      <c r="A7" s="5">
        <v>5</v>
      </c>
      <c r="B7" s="10" t="s">
        <v>218</v>
      </c>
      <c r="C7" s="5" t="s">
        <v>26</v>
      </c>
      <c r="D7" s="13">
        <v>46265</v>
      </c>
      <c r="E7" s="5"/>
      <c r="F7" s="5">
        <v>262424</v>
      </c>
      <c r="G7" s="5">
        <v>1694</v>
      </c>
      <c r="H7" s="5">
        <v>150</v>
      </c>
      <c r="I7" s="7">
        <v>1.105</v>
      </c>
      <c r="J7" s="7">
        <v>1.3620000000000001</v>
      </c>
      <c r="K7" s="5" t="s">
        <v>382</v>
      </c>
      <c r="L7" s="7">
        <v>225752</v>
      </c>
      <c r="M7" s="9" t="s">
        <v>383</v>
      </c>
      <c r="N7" s="6" t="s">
        <v>384</v>
      </c>
      <c r="O7" s="8" t="s">
        <v>385</v>
      </c>
      <c r="P7" s="78" t="s">
        <v>386</v>
      </c>
      <c r="Q7" s="5">
        <v>1</v>
      </c>
      <c r="R7" s="5">
        <v>1150</v>
      </c>
      <c r="S7" s="7">
        <v>1.105</v>
      </c>
      <c r="T7" s="5">
        <v>45</v>
      </c>
      <c r="U7" s="6" t="s">
        <v>387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1</v>
      </c>
      <c r="AB7" s="5" t="s">
        <v>388</v>
      </c>
    </row>
    <row r="8" spans="1:28" s="12" customFormat="1" ht="25.05" customHeight="1" x14ac:dyDescent="0.3">
      <c r="A8" s="5">
        <v>6</v>
      </c>
      <c r="B8" s="10" t="s">
        <v>218</v>
      </c>
      <c r="C8" s="5" t="s">
        <v>26</v>
      </c>
      <c r="D8" s="13">
        <v>46265</v>
      </c>
      <c r="E8" s="5"/>
      <c r="F8" s="5">
        <v>262425</v>
      </c>
      <c r="G8" s="5">
        <v>1694</v>
      </c>
      <c r="H8" s="5">
        <v>300</v>
      </c>
      <c r="I8" s="7">
        <v>0.95099999999999996</v>
      </c>
      <c r="J8" s="7">
        <v>1.7849999999999999</v>
      </c>
      <c r="K8" s="5" t="s">
        <v>34</v>
      </c>
      <c r="L8" s="7">
        <v>509260</v>
      </c>
      <c r="M8" s="9" t="s">
        <v>389</v>
      </c>
      <c r="N8" s="6" t="s">
        <v>390</v>
      </c>
      <c r="O8" s="8" t="s">
        <v>391</v>
      </c>
      <c r="P8" s="78" t="s">
        <v>392</v>
      </c>
      <c r="Q8" s="5">
        <v>1</v>
      </c>
      <c r="R8" s="5">
        <v>1000</v>
      </c>
      <c r="S8" s="7">
        <v>0.95099999999999996</v>
      </c>
      <c r="T8" s="5">
        <v>49</v>
      </c>
      <c r="U8" s="6" t="s">
        <v>393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>
        <v>2</v>
      </c>
      <c r="AB8" s="5" t="s">
        <v>394</v>
      </c>
    </row>
    <row r="9" spans="1:28" s="12" customFormat="1" ht="25.05" customHeight="1" x14ac:dyDescent="0.3">
      <c r="A9" s="11" t="s">
        <v>27</v>
      </c>
      <c r="B9" s="11" t="s">
        <v>27</v>
      </c>
      <c r="C9" s="11" t="s">
        <v>27</v>
      </c>
      <c r="D9" s="11" t="s">
        <v>27</v>
      </c>
      <c r="E9" s="11" t="s">
        <v>27</v>
      </c>
      <c r="F9" s="11" t="s">
        <v>27</v>
      </c>
      <c r="G9" s="11" t="s">
        <v>27</v>
      </c>
      <c r="H9" s="11">
        <v>1210</v>
      </c>
      <c r="I9" s="11" t="s">
        <v>27</v>
      </c>
      <c r="J9" s="11" t="s">
        <v>27</v>
      </c>
      <c r="K9" s="11" t="s">
        <v>27</v>
      </c>
      <c r="L9" s="11" t="s">
        <v>27</v>
      </c>
      <c r="M9" s="11" t="s">
        <v>27</v>
      </c>
      <c r="N9" s="11" t="s">
        <v>27</v>
      </c>
      <c r="O9" s="11" t="s">
        <v>27</v>
      </c>
      <c r="P9" s="11">
        <v>1685</v>
      </c>
      <c r="Q9" s="11" t="s">
        <v>27</v>
      </c>
      <c r="R9" s="11" t="s">
        <v>27</v>
      </c>
      <c r="S9" s="11" t="s">
        <v>27</v>
      </c>
      <c r="T9" s="11" t="s">
        <v>27</v>
      </c>
      <c r="U9" s="11" t="s">
        <v>27</v>
      </c>
      <c r="V9" s="11" t="s">
        <v>27</v>
      </c>
      <c r="W9" s="11" t="s">
        <v>27</v>
      </c>
      <c r="X9" s="11" t="s">
        <v>27</v>
      </c>
      <c r="Y9" s="11" t="s">
        <v>27</v>
      </c>
      <c r="Z9" s="11" t="s">
        <v>27</v>
      </c>
      <c r="AA9" s="11" t="s">
        <v>27</v>
      </c>
      <c r="AB9" s="11" t="s">
        <v>27</v>
      </c>
    </row>
  </sheetData>
  <mergeCells count="1">
    <mergeCell ref="A1:AB1"/>
  </mergeCells>
  <pageMargins left="0.46" right="0.61" top="1.29" bottom="0.78740157499999996" header="0.31496062000000002" footer="0.31496062000000002"/>
  <pageSetup paperSize="9" scale="93" orientation="landscape" horizontalDpi="360" verticalDpi="36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F6B5E2-2341-42E0-9118-0A9691AC7BEF}">
  <sheetPr>
    <pageSetUpPr fitToPage="1"/>
  </sheetPr>
  <dimension ref="A1:AB28"/>
  <sheetViews>
    <sheetView zoomScale="85" zoomScaleNormal="85" workbookViewId="0">
      <selection activeCell="AE5" sqref="AE5"/>
    </sheetView>
  </sheetViews>
  <sheetFormatPr defaultRowHeight="14.4" x14ac:dyDescent="0.3"/>
  <cols>
    <col min="1" max="1" width="5.33203125" style="3" customWidth="1"/>
    <col min="2" max="2" width="20.77734375" style="3" customWidth="1"/>
    <col min="3" max="3" width="6.88671875" style="3" customWidth="1"/>
    <col min="4" max="4" width="11.77734375" style="3" hidden="1" customWidth="1"/>
    <col min="5" max="5" width="10.33203125" style="3" customWidth="1"/>
    <col min="6" max="6" width="8.77734375" style="3" customWidth="1"/>
    <col min="7" max="7" width="9.88671875" style="3" customWidth="1"/>
    <col min="8" max="8" width="8" style="3" customWidth="1"/>
    <col min="9" max="9" width="7.5546875" style="3" customWidth="1"/>
    <col min="10" max="10" width="7.33203125" style="3" customWidth="1"/>
    <col min="11" max="11" width="13.4414062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77734375" style="3" customWidth="1"/>
    <col min="17" max="17" width="3.88671875" style="3" customWidth="1"/>
    <col min="18" max="19" width="7" style="3" customWidth="1"/>
    <col min="20" max="20" width="11.77734375" style="3" hidden="1" customWidth="1"/>
    <col min="21" max="21" width="8.77734375" style="3" hidden="1" customWidth="1"/>
    <col min="22" max="22" width="8.6640625" style="3" customWidth="1"/>
    <col min="23" max="23" width="8.109375" style="3" customWidth="1"/>
    <col min="24" max="25" width="7.5546875" style="3" customWidth="1"/>
    <col min="26" max="26" width="8.109375" style="3" customWidth="1"/>
    <col min="27" max="27" width="4.6640625" style="3" customWidth="1"/>
    <col min="28" max="28" width="15.21875" style="3" customWidth="1"/>
    <col min="29" max="16384" width="8.88671875" style="3"/>
  </cols>
  <sheetData>
    <row r="1" spans="1:28" ht="18" customHeight="1" x14ac:dyDescent="0.3">
      <c r="A1" s="227" t="s">
        <v>380</v>
      </c>
      <c r="B1" s="227" t="s">
        <v>27</v>
      </c>
      <c r="C1" s="227" t="s">
        <v>27</v>
      </c>
      <c r="D1" s="227" t="s">
        <v>27</v>
      </c>
      <c r="E1" s="227" t="s">
        <v>27</v>
      </c>
      <c r="F1" s="227" t="s">
        <v>27</v>
      </c>
      <c r="G1" s="227" t="s">
        <v>27</v>
      </c>
      <c r="H1" s="227" t="s">
        <v>27</v>
      </c>
      <c r="I1" s="227" t="s">
        <v>27</v>
      </c>
      <c r="J1" s="227" t="s">
        <v>27</v>
      </c>
      <c r="K1" s="227" t="s">
        <v>27</v>
      </c>
      <c r="L1" s="227" t="s">
        <v>27</v>
      </c>
      <c r="M1" s="227" t="s">
        <v>27</v>
      </c>
      <c r="N1" s="227" t="s">
        <v>27</v>
      </c>
      <c r="O1" s="227" t="s">
        <v>27</v>
      </c>
      <c r="P1" s="227" t="s">
        <v>27</v>
      </c>
      <c r="Q1" s="227" t="s">
        <v>27</v>
      </c>
      <c r="R1" s="227" t="s">
        <v>27</v>
      </c>
      <c r="S1" s="227" t="s">
        <v>27</v>
      </c>
      <c r="T1" s="227" t="s">
        <v>27</v>
      </c>
      <c r="U1" s="227" t="s">
        <v>27</v>
      </c>
      <c r="V1" s="227" t="s">
        <v>27</v>
      </c>
      <c r="W1" s="227" t="s">
        <v>27</v>
      </c>
      <c r="X1" s="227" t="s">
        <v>27</v>
      </c>
      <c r="Y1" s="227" t="s">
        <v>27</v>
      </c>
      <c r="Z1" s="227" t="s">
        <v>27</v>
      </c>
      <c r="AA1" s="227" t="s">
        <v>27</v>
      </c>
      <c r="AB1" s="227" t="s">
        <v>27</v>
      </c>
    </row>
    <row r="2" spans="1:28" ht="47.4" customHeight="1" x14ac:dyDescent="0.3">
      <c r="A2" s="89" t="s">
        <v>0</v>
      </c>
      <c r="B2" s="89" t="s">
        <v>37</v>
      </c>
      <c r="C2" s="89" t="s">
        <v>1</v>
      </c>
      <c r="D2" s="89" t="s">
        <v>2</v>
      </c>
      <c r="E2" s="89" t="s">
        <v>3</v>
      </c>
      <c r="F2" s="89" t="s">
        <v>56</v>
      </c>
      <c r="G2" s="89" t="s">
        <v>4</v>
      </c>
      <c r="H2" s="89" t="s">
        <v>5</v>
      </c>
      <c r="I2" s="89" t="s">
        <v>6</v>
      </c>
      <c r="J2" s="89" t="s">
        <v>7</v>
      </c>
      <c r="K2" s="89" t="s">
        <v>8</v>
      </c>
      <c r="L2" s="89" t="s">
        <v>9</v>
      </c>
      <c r="M2" s="89" t="s">
        <v>10</v>
      </c>
      <c r="N2" s="89" t="s">
        <v>11</v>
      </c>
      <c r="O2" s="89" t="s">
        <v>12</v>
      </c>
      <c r="P2" s="89" t="s">
        <v>13</v>
      </c>
      <c r="Q2" s="89" t="s">
        <v>14</v>
      </c>
      <c r="R2" s="89" t="s">
        <v>15</v>
      </c>
      <c r="S2" s="89" t="s">
        <v>16</v>
      </c>
      <c r="T2" s="89" t="s">
        <v>17</v>
      </c>
      <c r="U2" s="89" t="s">
        <v>18</v>
      </c>
      <c r="V2" s="89" t="s">
        <v>19</v>
      </c>
      <c r="W2" s="89" t="s">
        <v>20</v>
      </c>
      <c r="X2" s="89" t="s">
        <v>21</v>
      </c>
      <c r="Y2" s="89" t="s">
        <v>22</v>
      </c>
      <c r="Z2" s="89" t="s">
        <v>23</v>
      </c>
      <c r="AA2" s="89" t="s">
        <v>24</v>
      </c>
      <c r="AB2" s="89" t="s">
        <v>25</v>
      </c>
    </row>
    <row r="3" spans="1:28" ht="25.05" customHeight="1" x14ac:dyDescent="0.3">
      <c r="A3" s="14">
        <v>1</v>
      </c>
      <c r="B3" s="15" t="s">
        <v>66</v>
      </c>
      <c r="C3" s="14" t="s">
        <v>26</v>
      </c>
      <c r="D3" s="14" t="s">
        <v>295</v>
      </c>
      <c r="E3" s="14" t="s">
        <v>27</v>
      </c>
      <c r="F3" s="14">
        <v>262401</v>
      </c>
      <c r="G3" s="14" t="s">
        <v>331</v>
      </c>
      <c r="H3" s="14">
        <v>100</v>
      </c>
      <c r="I3" s="16">
        <v>1.4379999999999999</v>
      </c>
      <c r="J3" s="16">
        <v>2.4910000000000001</v>
      </c>
      <c r="K3" s="14" t="s">
        <v>379</v>
      </c>
      <c r="L3" s="16">
        <v>358.20600000000002</v>
      </c>
      <c r="M3" s="17">
        <v>249.1</v>
      </c>
      <c r="N3" s="18">
        <v>6.9199999999999998E-2</v>
      </c>
      <c r="O3" s="19">
        <v>4.1500000000000004</v>
      </c>
      <c r="P3" s="14">
        <v>212.4</v>
      </c>
      <c r="Q3" s="14">
        <v>1</v>
      </c>
      <c r="R3" s="14">
        <v>1500</v>
      </c>
      <c r="S3" s="16">
        <v>1.4379999999999999</v>
      </c>
      <c r="T3" s="14">
        <v>62</v>
      </c>
      <c r="U3" s="18">
        <v>4.1300000000000003E-2</v>
      </c>
      <c r="V3" s="14" t="s">
        <v>28</v>
      </c>
      <c r="W3" s="14" t="s">
        <v>29</v>
      </c>
      <c r="X3" s="14" t="s">
        <v>28</v>
      </c>
      <c r="Y3" s="14" t="s">
        <v>28</v>
      </c>
      <c r="Z3" s="14" t="s">
        <v>28</v>
      </c>
      <c r="AA3" s="14" t="s">
        <v>39</v>
      </c>
      <c r="AB3" s="14" t="s">
        <v>378</v>
      </c>
    </row>
    <row r="4" spans="1:28" ht="25.05" customHeight="1" x14ac:dyDescent="0.3">
      <c r="A4" s="14">
        <v>2</v>
      </c>
      <c r="B4" s="15" t="s">
        <v>66</v>
      </c>
      <c r="C4" s="14" t="s">
        <v>26</v>
      </c>
      <c r="D4" s="14" t="s">
        <v>214</v>
      </c>
      <c r="E4" s="14" t="s">
        <v>27</v>
      </c>
      <c r="F4" s="14">
        <v>262413</v>
      </c>
      <c r="G4" s="14" t="s">
        <v>344</v>
      </c>
      <c r="H4" s="14">
        <v>400</v>
      </c>
      <c r="I4" s="16">
        <v>0.70499999999999996</v>
      </c>
      <c r="J4" s="16">
        <v>1.839</v>
      </c>
      <c r="K4" s="14" t="s">
        <v>377</v>
      </c>
      <c r="L4" s="16">
        <v>518.59799999999996</v>
      </c>
      <c r="M4" s="17">
        <v>367.8</v>
      </c>
      <c r="N4" s="18">
        <v>5.11E-2</v>
      </c>
      <c r="O4" s="19">
        <v>3.06</v>
      </c>
      <c r="P4" s="14">
        <v>307.5</v>
      </c>
      <c r="Q4" s="14">
        <v>2</v>
      </c>
      <c r="R4" s="14">
        <v>1450</v>
      </c>
      <c r="S4" s="16">
        <v>1.41</v>
      </c>
      <c r="T4" s="14">
        <v>40</v>
      </c>
      <c r="U4" s="18">
        <v>2.76E-2</v>
      </c>
      <c r="V4" s="14" t="s">
        <v>28</v>
      </c>
      <c r="W4" s="14" t="s">
        <v>29</v>
      </c>
      <c r="X4" s="14" t="s">
        <v>28</v>
      </c>
      <c r="Y4" s="14" t="s">
        <v>28</v>
      </c>
      <c r="Z4" s="14" t="s">
        <v>28</v>
      </c>
      <c r="AA4" s="14" t="s">
        <v>30</v>
      </c>
      <c r="AB4" s="14" t="s">
        <v>376</v>
      </c>
    </row>
    <row r="5" spans="1:28" ht="25.05" customHeight="1" x14ac:dyDescent="0.3">
      <c r="A5" s="14">
        <v>3</v>
      </c>
      <c r="B5" s="15" t="s">
        <v>66</v>
      </c>
      <c r="C5" s="14" t="s">
        <v>26</v>
      </c>
      <c r="D5" s="14" t="s">
        <v>214</v>
      </c>
      <c r="E5" s="14" t="s">
        <v>27</v>
      </c>
      <c r="F5" s="14">
        <v>262411</v>
      </c>
      <c r="G5" s="14" t="s">
        <v>344</v>
      </c>
      <c r="H5" s="14">
        <v>150</v>
      </c>
      <c r="I5" s="16">
        <v>0.7</v>
      </c>
      <c r="J5" s="16">
        <v>1.7190000000000001</v>
      </c>
      <c r="K5" s="14" t="s">
        <v>375</v>
      </c>
      <c r="L5" s="16">
        <v>180.495</v>
      </c>
      <c r="M5" s="17">
        <v>128.9</v>
      </c>
      <c r="N5" s="18">
        <v>1.7899999999999999E-2</v>
      </c>
      <c r="O5" s="19">
        <v>1.07</v>
      </c>
      <c r="P5" s="14">
        <v>107</v>
      </c>
      <c r="Q5" s="14">
        <v>2</v>
      </c>
      <c r="R5" s="14">
        <v>1450</v>
      </c>
      <c r="S5" s="16">
        <v>1.4</v>
      </c>
      <c r="T5" s="14">
        <v>50</v>
      </c>
      <c r="U5" s="18">
        <v>3.4500000000000003E-2</v>
      </c>
      <c r="V5" s="14" t="s">
        <v>28</v>
      </c>
      <c r="W5" s="14" t="s">
        <v>29</v>
      </c>
      <c r="X5" s="14" t="s">
        <v>28</v>
      </c>
      <c r="Y5" s="14" t="s">
        <v>28</v>
      </c>
      <c r="Z5" s="14" t="s">
        <v>28</v>
      </c>
      <c r="AA5" s="14" t="s">
        <v>39</v>
      </c>
      <c r="AB5" s="14" t="s">
        <v>374</v>
      </c>
    </row>
    <row r="6" spans="1:28" ht="25.05" customHeight="1" x14ac:dyDescent="0.3">
      <c r="A6" s="14">
        <v>4</v>
      </c>
      <c r="B6" s="15" t="s">
        <v>66</v>
      </c>
      <c r="C6" s="14" t="s">
        <v>62</v>
      </c>
      <c r="D6" s="14" t="s">
        <v>214</v>
      </c>
      <c r="E6" s="14" t="s">
        <v>27</v>
      </c>
      <c r="F6" s="14">
        <v>262423</v>
      </c>
      <c r="G6" s="14" t="s">
        <v>363</v>
      </c>
      <c r="H6" s="14">
        <v>400</v>
      </c>
      <c r="I6" s="16">
        <v>1.246</v>
      </c>
      <c r="J6" s="16">
        <v>2.5910000000000002</v>
      </c>
      <c r="K6" s="14" t="s">
        <v>51</v>
      </c>
      <c r="L6" s="16">
        <v>1291.354</v>
      </c>
      <c r="M6" s="17">
        <v>1036.4000000000001</v>
      </c>
      <c r="N6" s="18">
        <v>0.28789999999999999</v>
      </c>
      <c r="O6" s="19">
        <v>17.27</v>
      </c>
      <c r="P6" s="14">
        <v>808.4</v>
      </c>
      <c r="Q6" s="14">
        <v>1</v>
      </c>
      <c r="R6" s="14">
        <v>1300</v>
      </c>
      <c r="S6" s="16">
        <v>1.246</v>
      </c>
      <c r="T6" s="14">
        <v>54</v>
      </c>
      <c r="U6" s="18">
        <v>4.1500000000000002E-2</v>
      </c>
      <c r="V6" s="14" t="s">
        <v>29</v>
      </c>
      <c r="W6" s="14" t="s">
        <v>40</v>
      </c>
      <c r="X6" s="14" t="s">
        <v>28</v>
      </c>
      <c r="Y6" s="14" t="s">
        <v>28</v>
      </c>
      <c r="Z6" s="14" t="s">
        <v>29</v>
      </c>
      <c r="AA6" s="14" t="s">
        <v>30</v>
      </c>
      <c r="AB6" s="14" t="s">
        <v>52</v>
      </c>
    </row>
    <row r="7" spans="1:28" ht="25.05" customHeight="1" x14ac:dyDescent="0.3">
      <c r="A7" s="14">
        <v>5</v>
      </c>
      <c r="B7" s="15" t="s">
        <v>66</v>
      </c>
      <c r="C7" s="14" t="s">
        <v>26</v>
      </c>
      <c r="D7" s="14" t="s">
        <v>214</v>
      </c>
      <c r="E7" s="14" t="s">
        <v>27</v>
      </c>
      <c r="F7" s="14">
        <v>262412</v>
      </c>
      <c r="G7" s="14" t="s">
        <v>344</v>
      </c>
      <c r="H7" s="14">
        <v>200</v>
      </c>
      <c r="I7" s="16">
        <v>0.61399999999999999</v>
      </c>
      <c r="J7" s="16">
        <v>1.2589999999999999</v>
      </c>
      <c r="K7" s="14" t="s">
        <v>373</v>
      </c>
      <c r="L7" s="16">
        <v>154.60499999999999</v>
      </c>
      <c r="M7" s="17">
        <v>125.9</v>
      </c>
      <c r="N7" s="18">
        <v>1.7500000000000002E-2</v>
      </c>
      <c r="O7" s="19">
        <v>1.05</v>
      </c>
      <c r="P7" s="14">
        <v>91.7</v>
      </c>
      <c r="Q7" s="14">
        <v>2</v>
      </c>
      <c r="R7" s="14">
        <v>1250</v>
      </c>
      <c r="S7" s="16">
        <v>1.228</v>
      </c>
      <c r="T7" s="14">
        <v>22</v>
      </c>
      <c r="U7" s="18">
        <v>1.7600000000000001E-2</v>
      </c>
      <c r="V7" s="14" t="s">
        <v>28</v>
      </c>
      <c r="W7" s="14" t="s">
        <v>29</v>
      </c>
      <c r="X7" s="14" t="s">
        <v>28</v>
      </c>
      <c r="Y7" s="14" t="s">
        <v>28</v>
      </c>
      <c r="Z7" s="14" t="s">
        <v>28</v>
      </c>
      <c r="AA7" s="14" t="s">
        <v>33</v>
      </c>
      <c r="AB7" s="14" t="s">
        <v>372</v>
      </c>
    </row>
    <row r="8" spans="1:28" ht="25.05" customHeight="1" x14ac:dyDescent="0.3">
      <c r="A8" s="14">
        <v>6</v>
      </c>
      <c r="B8" s="15" t="s">
        <v>66</v>
      </c>
      <c r="C8" s="14" t="s">
        <v>26</v>
      </c>
      <c r="D8" s="14" t="s">
        <v>295</v>
      </c>
      <c r="E8" s="14" t="s">
        <v>27</v>
      </c>
      <c r="F8" s="14">
        <v>262406</v>
      </c>
      <c r="G8" s="14" t="s">
        <v>331</v>
      </c>
      <c r="H8" s="14">
        <v>250</v>
      </c>
      <c r="I8" s="16">
        <v>0.59199999999999997</v>
      </c>
      <c r="J8" s="16">
        <v>1.5349999999999999</v>
      </c>
      <c r="K8" s="14" t="s">
        <v>371</v>
      </c>
      <c r="L8" s="16">
        <v>227.18</v>
      </c>
      <c r="M8" s="17">
        <v>191.9</v>
      </c>
      <c r="N8" s="18">
        <v>2.6599999999999999E-2</v>
      </c>
      <c r="O8" s="19">
        <v>1.6</v>
      </c>
      <c r="P8" s="14">
        <v>134.69999999999999</v>
      </c>
      <c r="Q8" s="14">
        <v>2</v>
      </c>
      <c r="R8" s="14">
        <v>1250</v>
      </c>
      <c r="S8" s="16">
        <v>1.1839999999999999</v>
      </c>
      <c r="T8" s="14">
        <v>66</v>
      </c>
      <c r="U8" s="18">
        <v>5.28E-2</v>
      </c>
      <c r="V8" s="14" t="s">
        <v>28</v>
      </c>
      <c r="W8" s="14" t="s">
        <v>29</v>
      </c>
      <c r="X8" s="14" t="s">
        <v>28</v>
      </c>
      <c r="Y8" s="14" t="s">
        <v>28</v>
      </c>
      <c r="Z8" s="14" t="s">
        <v>28</v>
      </c>
      <c r="AA8" s="14" t="s">
        <v>33</v>
      </c>
      <c r="AB8" s="14" t="s">
        <v>370</v>
      </c>
    </row>
    <row r="9" spans="1:28" ht="25.05" customHeight="1" x14ac:dyDescent="0.3">
      <c r="A9" s="14">
        <v>7</v>
      </c>
      <c r="B9" s="15" t="s">
        <v>66</v>
      </c>
      <c r="C9" s="14" t="s">
        <v>45</v>
      </c>
      <c r="D9" s="14" t="s">
        <v>214</v>
      </c>
      <c r="E9" s="14" t="s">
        <v>27</v>
      </c>
      <c r="F9" s="14">
        <v>262421</v>
      </c>
      <c r="G9" s="14" t="s">
        <v>363</v>
      </c>
      <c r="H9" s="14">
        <v>1700</v>
      </c>
      <c r="I9" s="16">
        <v>1.2050000000000001</v>
      </c>
      <c r="J9" s="16">
        <v>2.5110000000000001</v>
      </c>
      <c r="K9" s="14" t="s">
        <v>369</v>
      </c>
      <c r="L9" s="16">
        <v>5143.7839999999997</v>
      </c>
      <c r="M9" s="17">
        <v>4268.7</v>
      </c>
      <c r="N9" s="18">
        <v>1.1857</v>
      </c>
      <c r="O9" s="19">
        <v>71.14</v>
      </c>
      <c r="P9" s="14">
        <v>3117.1</v>
      </c>
      <c r="Q9" s="14">
        <v>1</v>
      </c>
      <c r="R9" s="14">
        <v>1250</v>
      </c>
      <c r="S9" s="16">
        <v>1.2050000000000001</v>
      </c>
      <c r="T9" s="14">
        <v>45</v>
      </c>
      <c r="U9" s="18">
        <v>3.5999999999999997E-2</v>
      </c>
      <c r="V9" s="14" t="s">
        <v>35</v>
      </c>
      <c r="W9" s="14" t="s">
        <v>40</v>
      </c>
      <c r="X9" s="14" t="s">
        <v>35</v>
      </c>
      <c r="Y9" s="14" t="s">
        <v>35</v>
      </c>
      <c r="Z9" s="14" t="s">
        <v>35</v>
      </c>
      <c r="AA9" s="14" t="s">
        <v>70</v>
      </c>
      <c r="AB9" s="14" t="s">
        <v>368</v>
      </c>
    </row>
    <row r="10" spans="1:28" ht="25.05" customHeight="1" x14ac:dyDescent="0.3">
      <c r="A10" s="14">
        <v>8</v>
      </c>
      <c r="B10" s="15" t="s">
        <v>66</v>
      </c>
      <c r="C10" s="14" t="s">
        <v>45</v>
      </c>
      <c r="D10" s="14" t="s">
        <v>214</v>
      </c>
      <c r="E10" s="14" t="s">
        <v>27</v>
      </c>
      <c r="F10" s="14">
        <v>262420</v>
      </c>
      <c r="G10" s="14" t="s">
        <v>363</v>
      </c>
      <c r="H10" s="14">
        <v>1200</v>
      </c>
      <c r="I10" s="16">
        <v>1.2050000000000001</v>
      </c>
      <c r="J10" s="16">
        <v>2.5910000000000002</v>
      </c>
      <c r="K10" s="14" t="s">
        <v>53</v>
      </c>
      <c r="L10" s="16">
        <v>3746.5859999999998</v>
      </c>
      <c r="M10" s="17">
        <v>3109.2</v>
      </c>
      <c r="N10" s="18">
        <v>0.86370000000000002</v>
      </c>
      <c r="O10" s="19">
        <v>51.82</v>
      </c>
      <c r="P10" s="14">
        <v>2270.4</v>
      </c>
      <c r="Q10" s="14">
        <v>1</v>
      </c>
      <c r="R10" s="14">
        <v>1250</v>
      </c>
      <c r="S10" s="16">
        <v>1.2050000000000001</v>
      </c>
      <c r="T10" s="14">
        <v>45</v>
      </c>
      <c r="U10" s="18">
        <v>3.5999999999999997E-2</v>
      </c>
      <c r="V10" s="14" t="s">
        <v>35</v>
      </c>
      <c r="W10" s="14" t="s">
        <v>40</v>
      </c>
      <c r="X10" s="14" t="s">
        <v>35</v>
      </c>
      <c r="Y10" s="14" t="s">
        <v>35</v>
      </c>
      <c r="Z10" s="14" t="s">
        <v>35</v>
      </c>
      <c r="AA10" s="14" t="s">
        <v>57</v>
      </c>
      <c r="AB10" s="14" t="s">
        <v>54</v>
      </c>
    </row>
    <row r="11" spans="1:28" ht="25.05" customHeight="1" x14ac:dyDescent="0.3">
      <c r="A11" s="14">
        <v>9</v>
      </c>
      <c r="B11" s="15" t="s">
        <v>66</v>
      </c>
      <c r="C11" s="14" t="s">
        <v>26</v>
      </c>
      <c r="D11" s="14" t="s">
        <v>295</v>
      </c>
      <c r="E11" s="14" t="s">
        <v>27</v>
      </c>
      <c r="F11" s="14">
        <v>262400</v>
      </c>
      <c r="G11" s="14" t="s">
        <v>331</v>
      </c>
      <c r="H11" s="14">
        <v>100</v>
      </c>
      <c r="I11" s="16">
        <v>1.1539999999999999</v>
      </c>
      <c r="J11" s="16">
        <v>1.9710000000000001</v>
      </c>
      <c r="K11" s="14" t="s">
        <v>367</v>
      </c>
      <c r="L11" s="16">
        <v>227.453</v>
      </c>
      <c r="M11" s="17">
        <v>197.1</v>
      </c>
      <c r="N11" s="18">
        <v>5.4800000000000001E-2</v>
      </c>
      <c r="O11" s="19">
        <v>3.29</v>
      </c>
      <c r="P11" s="14">
        <v>134.9</v>
      </c>
      <c r="Q11" s="14">
        <v>1</v>
      </c>
      <c r="R11" s="14">
        <v>1200</v>
      </c>
      <c r="S11" s="16">
        <v>1.1539999999999999</v>
      </c>
      <c r="T11" s="14">
        <v>46</v>
      </c>
      <c r="U11" s="18">
        <v>3.8300000000000001E-2</v>
      </c>
      <c r="V11" s="14" t="s">
        <v>28</v>
      </c>
      <c r="W11" s="14" t="s">
        <v>29</v>
      </c>
      <c r="X11" s="14" t="s">
        <v>28</v>
      </c>
      <c r="Y11" s="14" t="s">
        <v>28</v>
      </c>
      <c r="Z11" s="14" t="s">
        <v>28</v>
      </c>
      <c r="AA11" s="14" t="s">
        <v>39</v>
      </c>
      <c r="AB11" s="14" t="s">
        <v>366</v>
      </c>
    </row>
    <row r="12" spans="1:28" ht="25.05" customHeight="1" x14ac:dyDescent="0.3">
      <c r="A12" s="14">
        <v>10</v>
      </c>
      <c r="B12" s="15" t="s">
        <v>66</v>
      </c>
      <c r="C12" s="14" t="s">
        <v>45</v>
      </c>
      <c r="D12" s="14" t="s">
        <v>214</v>
      </c>
      <c r="E12" s="14" t="s">
        <v>27</v>
      </c>
      <c r="F12" s="14">
        <v>262419</v>
      </c>
      <c r="G12" s="14" t="s">
        <v>363</v>
      </c>
      <c r="H12" s="14">
        <v>800</v>
      </c>
      <c r="I12" s="16">
        <v>1.1359999999999999</v>
      </c>
      <c r="J12" s="16">
        <v>2.431</v>
      </c>
      <c r="K12" s="14" t="s">
        <v>147</v>
      </c>
      <c r="L12" s="16">
        <v>2209.2930000000001</v>
      </c>
      <c r="M12" s="17">
        <v>1944.8</v>
      </c>
      <c r="N12" s="18">
        <v>0.54020000000000001</v>
      </c>
      <c r="O12" s="19">
        <v>32.409999999999997</v>
      </c>
      <c r="P12" s="14">
        <v>1338.8</v>
      </c>
      <c r="Q12" s="14">
        <v>1</v>
      </c>
      <c r="R12" s="14">
        <v>1200</v>
      </c>
      <c r="S12" s="16">
        <v>1.1359999999999999</v>
      </c>
      <c r="T12" s="14">
        <v>64</v>
      </c>
      <c r="U12" s="18">
        <v>5.33E-2</v>
      </c>
      <c r="V12" s="14" t="s">
        <v>35</v>
      </c>
      <c r="W12" s="14" t="s">
        <v>40</v>
      </c>
      <c r="X12" s="14" t="s">
        <v>35</v>
      </c>
      <c r="Y12" s="14" t="s">
        <v>35</v>
      </c>
      <c r="Z12" s="14" t="s">
        <v>35</v>
      </c>
      <c r="AA12" s="14" t="s">
        <v>49</v>
      </c>
      <c r="AB12" s="14" t="s">
        <v>146</v>
      </c>
    </row>
    <row r="13" spans="1:28" ht="25.05" customHeight="1" x14ac:dyDescent="0.3">
      <c r="A13" s="14">
        <v>11</v>
      </c>
      <c r="B13" s="15" t="s">
        <v>66</v>
      </c>
      <c r="C13" s="14" t="s">
        <v>26</v>
      </c>
      <c r="D13" s="14" t="s">
        <v>295</v>
      </c>
      <c r="E13" s="14" t="s">
        <v>27</v>
      </c>
      <c r="F13" s="14">
        <v>262405</v>
      </c>
      <c r="G13" s="14" t="s">
        <v>331</v>
      </c>
      <c r="H13" s="14">
        <v>500</v>
      </c>
      <c r="I13" s="16">
        <v>0.52</v>
      </c>
      <c r="J13" s="16">
        <v>1.639</v>
      </c>
      <c r="K13" s="14" t="s">
        <v>365</v>
      </c>
      <c r="L13" s="16">
        <v>426.14</v>
      </c>
      <c r="M13" s="17">
        <v>409.8</v>
      </c>
      <c r="N13" s="18">
        <v>5.6899999999999999E-2</v>
      </c>
      <c r="O13" s="19">
        <v>3.41</v>
      </c>
      <c r="P13" s="14">
        <v>252.7</v>
      </c>
      <c r="Q13" s="14">
        <v>2</v>
      </c>
      <c r="R13" s="14">
        <v>1100</v>
      </c>
      <c r="S13" s="16">
        <v>1.04</v>
      </c>
      <c r="T13" s="14">
        <v>60</v>
      </c>
      <c r="U13" s="18">
        <v>5.45E-2</v>
      </c>
      <c r="V13" s="14" t="s">
        <v>28</v>
      </c>
      <c r="W13" s="14" t="s">
        <v>29</v>
      </c>
      <c r="X13" s="14" t="s">
        <v>28</v>
      </c>
      <c r="Y13" s="14" t="s">
        <v>28</v>
      </c>
      <c r="Z13" s="14" t="s">
        <v>28</v>
      </c>
      <c r="AA13" s="14" t="s">
        <v>33</v>
      </c>
      <c r="AB13" s="14" t="s">
        <v>364</v>
      </c>
    </row>
    <row r="14" spans="1:28" ht="25.05" customHeight="1" x14ac:dyDescent="0.3">
      <c r="A14" s="14">
        <v>12</v>
      </c>
      <c r="B14" s="15" t="s">
        <v>66</v>
      </c>
      <c r="C14" s="14" t="s">
        <v>26</v>
      </c>
      <c r="D14" s="14" t="s">
        <v>214</v>
      </c>
      <c r="E14" s="14" t="s">
        <v>27</v>
      </c>
      <c r="F14" s="14">
        <v>262418</v>
      </c>
      <c r="G14" s="14" t="s">
        <v>363</v>
      </c>
      <c r="H14" s="14">
        <v>600</v>
      </c>
      <c r="I14" s="16">
        <v>0.98599999999999999</v>
      </c>
      <c r="J14" s="16">
        <v>2.371</v>
      </c>
      <c r="K14" s="14" t="s">
        <v>145</v>
      </c>
      <c r="L14" s="16">
        <v>1402.684</v>
      </c>
      <c r="M14" s="17">
        <v>1422.6</v>
      </c>
      <c r="N14" s="18">
        <v>0.3952</v>
      </c>
      <c r="O14" s="19">
        <v>23.71</v>
      </c>
      <c r="P14" s="14">
        <v>831.8</v>
      </c>
      <c r="Q14" s="14">
        <v>1</v>
      </c>
      <c r="R14" s="14">
        <v>1050</v>
      </c>
      <c r="S14" s="16">
        <v>0.98599999999999999</v>
      </c>
      <c r="T14" s="14">
        <v>64</v>
      </c>
      <c r="U14" s="18">
        <v>6.0999999999999999E-2</v>
      </c>
      <c r="V14" s="14" t="s">
        <v>28</v>
      </c>
      <c r="W14" s="14" t="s">
        <v>29</v>
      </c>
      <c r="X14" s="14" t="s">
        <v>28</v>
      </c>
      <c r="Y14" s="14" t="s">
        <v>28</v>
      </c>
      <c r="Z14" s="14" t="s">
        <v>28</v>
      </c>
      <c r="AA14" s="14" t="s">
        <v>32</v>
      </c>
      <c r="AB14" s="14" t="s">
        <v>144</v>
      </c>
    </row>
    <row r="15" spans="1:28" ht="25.05" customHeight="1" x14ac:dyDescent="0.3">
      <c r="A15" s="14">
        <v>13</v>
      </c>
      <c r="B15" s="15" t="s">
        <v>66</v>
      </c>
      <c r="C15" s="14" t="s">
        <v>26</v>
      </c>
      <c r="D15" s="14" t="s">
        <v>214</v>
      </c>
      <c r="E15" s="14" t="s">
        <v>27</v>
      </c>
      <c r="F15" s="14">
        <v>262422</v>
      </c>
      <c r="G15" s="14" t="s">
        <v>363</v>
      </c>
      <c r="H15" s="14">
        <v>1000</v>
      </c>
      <c r="I15" s="16">
        <v>0.97599999999999998</v>
      </c>
      <c r="J15" s="16">
        <v>2.331</v>
      </c>
      <c r="K15" s="14" t="s">
        <v>362</v>
      </c>
      <c r="L15" s="16">
        <v>2275.056</v>
      </c>
      <c r="M15" s="17">
        <v>2331</v>
      </c>
      <c r="N15" s="18">
        <v>0.64749999999999996</v>
      </c>
      <c r="O15" s="19">
        <v>38.85</v>
      </c>
      <c r="P15" s="14">
        <v>1349.1</v>
      </c>
      <c r="Q15" s="14">
        <v>1</v>
      </c>
      <c r="R15" s="14">
        <v>1000</v>
      </c>
      <c r="S15" s="16">
        <v>0.97599999999999998</v>
      </c>
      <c r="T15" s="14">
        <v>24</v>
      </c>
      <c r="U15" s="18">
        <v>2.4E-2</v>
      </c>
      <c r="V15" s="14" t="s">
        <v>28</v>
      </c>
      <c r="W15" s="14" t="s">
        <v>29</v>
      </c>
      <c r="X15" s="14" t="s">
        <v>28</v>
      </c>
      <c r="Y15" s="14" t="s">
        <v>28</v>
      </c>
      <c r="Z15" s="14" t="s">
        <v>28</v>
      </c>
      <c r="AA15" s="14" t="s">
        <v>41</v>
      </c>
      <c r="AB15" s="14" t="s">
        <v>361</v>
      </c>
    </row>
    <row r="16" spans="1:28" ht="25.05" customHeight="1" x14ac:dyDescent="0.3">
      <c r="A16" s="14">
        <v>14</v>
      </c>
      <c r="B16" s="15" t="s">
        <v>66</v>
      </c>
      <c r="C16" s="14" t="s">
        <v>26</v>
      </c>
      <c r="D16" s="14" t="s">
        <v>214</v>
      </c>
      <c r="E16" s="14" t="s">
        <v>27</v>
      </c>
      <c r="F16" s="14">
        <v>262410</v>
      </c>
      <c r="G16" s="14" t="s">
        <v>344</v>
      </c>
      <c r="H16" s="14">
        <v>250</v>
      </c>
      <c r="I16" s="16">
        <v>0.45900000000000002</v>
      </c>
      <c r="J16" s="16">
        <v>1.5089999999999999</v>
      </c>
      <c r="K16" s="14" t="s">
        <v>360</v>
      </c>
      <c r="L16" s="16">
        <v>173.15799999999999</v>
      </c>
      <c r="M16" s="17">
        <v>188.6</v>
      </c>
      <c r="N16" s="18">
        <v>2.6200000000000001E-2</v>
      </c>
      <c r="O16" s="19">
        <v>1.57</v>
      </c>
      <c r="P16" s="14">
        <v>102.7</v>
      </c>
      <c r="Q16" s="14">
        <v>2</v>
      </c>
      <c r="R16" s="14">
        <v>950</v>
      </c>
      <c r="S16" s="16">
        <v>0.91800000000000004</v>
      </c>
      <c r="T16" s="14">
        <v>32</v>
      </c>
      <c r="U16" s="18">
        <v>3.3700000000000001E-2</v>
      </c>
      <c r="V16" s="14" t="s">
        <v>28</v>
      </c>
      <c r="W16" s="14" t="s">
        <v>29</v>
      </c>
      <c r="X16" s="14" t="s">
        <v>28</v>
      </c>
      <c r="Y16" s="14" t="s">
        <v>28</v>
      </c>
      <c r="Z16" s="14" t="s">
        <v>28</v>
      </c>
      <c r="AA16" s="14" t="s">
        <v>39</v>
      </c>
      <c r="AB16" s="14" t="s">
        <v>359</v>
      </c>
    </row>
    <row r="17" spans="1:28" ht="25.05" customHeight="1" x14ac:dyDescent="0.3">
      <c r="A17" s="14">
        <v>15</v>
      </c>
      <c r="B17" s="15" t="s">
        <v>66</v>
      </c>
      <c r="C17" s="14" t="s">
        <v>26</v>
      </c>
      <c r="D17" s="14" t="s">
        <v>214</v>
      </c>
      <c r="E17" s="14" t="s">
        <v>27</v>
      </c>
      <c r="F17" s="14">
        <v>262415</v>
      </c>
      <c r="G17" s="14" t="s">
        <v>344</v>
      </c>
      <c r="H17" s="14">
        <v>300</v>
      </c>
      <c r="I17" s="16">
        <v>0.80400000000000005</v>
      </c>
      <c r="J17" s="16">
        <v>1.9390000000000001</v>
      </c>
      <c r="K17" s="14" t="s">
        <v>358</v>
      </c>
      <c r="L17" s="16">
        <v>467.68700000000001</v>
      </c>
      <c r="M17" s="17">
        <v>581.70000000000005</v>
      </c>
      <c r="N17" s="18">
        <v>0.16159999999999999</v>
      </c>
      <c r="O17" s="19">
        <v>9.6999999999999993</v>
      </c>
      <c r="P17" s="14">
        <v>277.3</v>
      </c>
      <c r="Q17" s="14">
        <v>1</v>
      </c>
      <c r="R17" s="14">
        <v>850</v>
      </c>
      <c r="S17" s="16">
        <v>0.80400000000000005</v>
      </c>
      <c r="T17" s="14">
        <v>46</v>
      </c>
      <c r="U17" s="18">
        <v>5.4100000000000002E-2</v>
      </c>
      <c r="V17" s="14" t="s">
        <v>28</v>
      </c>
      <c r="W17" s="14" t="s">
        <v>29</v>
      </c>
      <c r="X17" s="14" t="s">
        <v>28</v>
      </c>
      <c r="Y17" s="14" t="s">
        <v>28</v>
      </c>
      <c r="Z17" s="14" t="s">
        <v>28</v>
      </c>
      <c r="AA17" s="14" t="s">
        <v>33</v>
      </c>
      <c r="AB17" s="14" t="s">
        <v>357</v>
      </c>
    </row>
    <row r="18" spans="1:28" ht="25.05" customHeight="1" x14ac:dyDescent="0.3">
      <c r="A18" s="14">
        <v>16</v>
      </c>
      <c r="B18" s="15" t="s">
        <v>66</v>
      </c>
      <c r="C18" s="14" t="s">
        <v>26</v>
      </c>
      <c r="D18" s="14" t="s">
        <v>295</v>
      </c>
      <c r="E18" s="14" t="s">
        <v>27</v>
      </c>
      <c r="F18" s="14">
        <v>262409</v>
      </c>
      <c r="G18" s="14" t="s">
        <v>331</v>
      </c>
      <c r="H18" s="14">
        <v>4000</v>
      </c>
      <c r="I18" s="16">
        <v>1.196</v>
      </c>
      <c r="J18" s="16">
        <v>0.95899999999999996</v>
      </c>
      <c r="K18" s="14" t="s">
        <v>356</v>
      </c>
      <c r="L18" s="16">
        <v>4313.7740000000003</v>
      </c>
      <c r="M18" s="17">
        <v>7336.3</v>
      </c>
      <c r="N18" s="18">
        <v>1.0188999999999999</v>
      </c>
      <c r="O18" s="19">
        <v>61.14</v>
      </c>
      <c r="P18" s="14">
        <v>2558.1</v>
      </c>
      <c r="Q18" s="14">
        <v>2</v>
      </c>
      <c r="R18" s="14">
        <v>650</v>
      </c>
      <c r="S18" s="16">
        <v>0.58799999999999997</v>
      </c>
      <c r="T18" s="14">
        <v>62</v>
      </c>
      <c r="U18" s="18">
        <v>9.5399999999999999E-2</v>
      </c>
      <c r="V18" s="14" t="s">
        <v>28</v>
      </c>
      <c r="W18" s="14" t="s">
        <v>29</v>
      </c>
      <c r="X18" s="14" t="s">
        <v>28</v>
      </c>
      <c r="Y18" s="14" t="s">
        <v>28</v>
      </c>
      <c r="Z18" s="14" t="s">
        <v>28</v>
      </c>
      <c r="AA18" s="14" t="s">
        <v>355</v>
      </c>
      <c r="AB18" s="14" t="s">
        <v>354</v>
      </c>
    </row>
    <row r="19" spans="1:28" ht="25.05" customHeight="1" x14ac:dyDescent="0.3">
      <c r="A19" s="14">
        <v>17</v>
      </c>
      <c r="B19" s="15" t="s">
        <v>66</v>
      </c>
      <c r="C19" s="14" t="s">
        <v>36</v>
      </c>
      <c r="D19" s="14" t="s">
        <v>295</v>
      </c>
      <c r="E19" s="14" t="s">
        <v>27</v>
      </c>
      <c r="F19" s="14">
        <v>262407</v>
      </c>
      <c r="G19" s="14" t="s">
        <v>331</v>
      </c>
      <c r="H19" s="14">
        <v>800</v>
      </c>
      <c r="I19" s="16">
        <v>0.53400000000000003</v>
      </c>
      <c r="J19" s="16">
        <v>0.879</v>
      </c>
      <c r="K19" s="14" t="s">
        <v>353</v>
      </c>
      <c r="L19" s="16">
        <v>375.50900000000001</v>
      </c>
      <c r="M19" s="17">
        <v>351.6</v>
      </c>
      <c r="N19" s="18">
        <v>4.8800000000000003E-2</v>
      </c>
      <c r="O19" s="19">
        <v>2.93</v>
      </c>
      <c r="P19" s="14">
        <v>129.6</v>
      </c>
      <c r="Q19" s="14">
        <v>2</v>
      </c>
      <c r="R19" s="14">
        <v>1100</v>
      </c>
      <c r="S19" s="16">
        <v>1.0680000000000001</v>
      </c>
      <c r="T19" s="14">
        <v>32</v>
      </c>
      <c r="U19" s="18">
        <v>2.9100000000000001E-2</v>
      </c>
      <c r="V19" s="14" t="s">
        <v>28</v>
      </c>
      <c r="W19" s="14" t="s">
        <v>28</v>
      </c>
      <c r="X19" s="14" t="s">
        <v>28</v>
      </c>
      <c r="Y19" s="14" t="s">
        <v>27</v>
      </c>
      <c r="Z19" s="14" t="s">
        <v>27</v>
      </c>
      <c r="AA19" s="14" t="s">
        <v>39</v>
      </c>
      <c r="AB19" s="14" t="s">
        <v>352</v>
      </c>
    </row>
    <row r="20" spans="1:28" ht="25.05" customHeight="1" x14ac:dyDescent="0.3">
      <c r="A20" s="14">
        <v>18</v>
      </c>
      <c r="B20" s="15" t="s">
        <v>66</v>
      </c>
      <c r="C20" s="14" t="s">
        <v>36</v>
      </c>
      <c r="D20" s="14" t="s">
        <v>295</v>
      </c>
      <c r="E20" s="14" t="s">
        <v>27</v>
      </c>
      <c r="F20" s="14">
        <v>262402</v>
      </c>
      <c r="G20" s="14" t="s">
        <v>331</v>
      </c>
      <c r="H20" s="14">
        <v>800</v>
      </c>
      <c r="I20" s="16">
        <v>0.502</v>
      </c>
      <c r="J20" s="16">
        <v>1.0129999999999999</v>
      </c>
      <c r="K20" s="14" t="s">
        <v>351</v>
      </c>
      <c r="L20" s="16">
        <v>406.82100000000003</v>
      </c>
      <c r="M20" s="17">
        <v>405.2</v>
      </c>
      <c r="N20" s="18">
        <v>5.6300000000000003E-2</v>
      </c>
      <c r="O20" s="19">
        <v>3.38</v>
      </c>
      <c r="P20" s="14">
        <v>140.4</v>
      </c>
      <c r="Q20" s="14">
        <v>2</v>
      </c>
      <c r="R20" s="14">
        <v>1050</v>
      </c>
      <c r="S20" s="16">
        <v>1.004</v>
      </c>
      <c r="T20" s="14">
        <v>46</v>
      </c>
      <c r="U20" s="18">
        <v>4.3799999999999999E-2</v>
      </c>
      <c r="V20" s="14" t="s">
        <v>28</v>
      </c>
      <c r="W20" s="14" t="s">
        <v>28</v>
      </c>
      <c r="X20" s="14" t="s">
        <v>28</v>
      </c>
      <c r="Y20" s="14" t="s">
        <v>27</v>
      </c>
      <c r="Z20" s="14" t="s">
        <v>27</v>
      </c>
      <c r="AA20" s="14" t="s">
        <v>39</v>
      </c>
      <c r="AB20" s="14" t="s">
        <v>350</v>
      </c>
    </row>
    <row r="21" spans="1:28" ht="25.05" customHeight="1" x14ac:dyDescent="0.3">
      <c r="A21" s="14">
        <v>19</v>
      </c>
      <c r="B21" s="15" t="s">
        <v>66</v>
      </c>
      <c r="C21" s="14" t="s">
        <v>36</v>
      </c>
      <c r="D21" s="14" t="s">
        <v>214</v>
      </c>
      <c r="E21" s="14" t="s">
        <v>27</v>
      </c>
      <c r="F21" s="14">
        <v>262414</v>
      </c>
      <c r="G21" s="14" t="s">
        <v>344</v>
      </c>
      <c r="H21" s="14">
        <v>1000</v>
      </c>
      <c r="I21" s="16">
        <v>1</v>
      </c>
      <c r="J21" s="16">
        <v>1.2</v>
      </c>
      <c r="K21" s="14" t="s">
        <v>34</v>
      </c>
      <c r="L21" s="16">
        <v>1200</v>
      </c>
      <c r="M21" s="17">
        <v>1200</v>
      </c>
      <c r="N21" s="18">
        <v>0.33329999999999999</v>
      </c>
      <c r="O21" s="19">
        <v>20</v>
      </c>
      <c r="P21" s="14">
        <v>414</v>
      </c>
      <c r="Q21" s="14">
        <v>1</v>
      </c>
      <c r="R21" s="14">
        <v>1050</v>
      </c>
      <c r="S21" s="16">
        <v>1</v>
      </c>
      <c r="T21" s="14">
        <v>50</v>
      </c>
      <c r="U21" s="18">
        <v>4.7600000000000003E-2</v>
      </c>
      <c r="V21" s="14" t="s">
        <v>28</v>
      </c>
      <c r="W21" s="14" t="s">
        <v>28</v>
      </c>
      <c r="X21" s="14" t="s">
        <v>28</v>
      </c>
      <c r="Y21" s="14" t="s">
        <v>27</v>
      </c>
      <c r="Z21" s="14" t="s">
        <v>27</v>
      </c>
      <c r="AA21" s="14" t="s">
        <v>30</v>
      </c>
      <c r="AB21" s="14" t="s">
        <v>80</v>
      </c>
    </row>
    <row r="22" spans="1:28" ht="25.05" customHeight="1" x14ac:dyDescent="0.3">
      <c r="A22" s="14">
        <v>20</v>
      </c>
      <c r="B22" s="15" t="s">
        <v>66</v>
      </c>
      <c r="C22" s="14" t="s">
        <v>36</v>
      </c>
      <c r="D22" s="14" t="s">
        <v>295</v>
      </c>
      <c r="E22" s="14" t="s">
        <v>27</v>
      </c>
      <c r="F22" s="14">
        <v>262408</v>
      </c>
      <c r="G22" s="14" t="s">
        <v>331</v>
      </c>
      <c r="H22" s="14">
        <v>1100</v>
      </c>
      <c r="I22" s="16">
        <v>0.47399999999999998</v>
      </c>
      <c r="J22" s="16">
        <v>0.72899999999999998</v>
      </c>
      <c r="K22" s="14" t="s">
        <v>349</v>
      </c>
      <c r="L22" s="16">
        <v>380.101</v>
      </c>
      <c r="M22" s="17">
        <v>400.9</v>
      </c>
      <c r="N22" s="18">
        <v>5.57E-2</v>
      </c>
      <c r="O22" s="19">
        <v>3.34</v>
      </c>
      <c r="P22" s="14">
        <v>131.1</v>
      </c>
      <c r="Q22" s="14">
        <v>2</v>
      </c>
      <c r="R22" s="14">
        <v>1000</v>
      </c>
      <c r="S22" s="16">
        <v>0.94799999999999995</v>
      </c>
      <c r="T22" s="14">
        <v>52</v>
      </c>
      <c r="U22" s="18">
        <v>5.1999999999999998E-2</v>
      </c>
      <c r="V22" s="14" t="s">
        <v>28</v>
      </c>
      <c r="W22" s="14" t="s">
        <v>28</v>
      </c>
      <c r="X22" s="14" t="s">
        <v>28</v>
      </c>
      <c r="Y22" s="14" t="s">
        <v>27</v>
      </c>
      <c r="Z22" s="14" t="s">
        <v>27</v>
      </c>
      <c r="AA22" s="14" t="s">
        <v>39</v>
      </c>
      <c r="AB22" s="14" t="s">
        <v>348</v>
      </c>
    </row>
    <row r="23" spans="1:28" ht="25.05" customHeight="1" x14ac:dyDescent="0.3">
      <c r="A23" s="14">
        <v>21</v>
      </c>
      <c r="B23" s="15" t="s">
        <v>66</v>
      </c>
      <c r="C23" s="14" t="s">
        <v>36</v>
      </c>
      <c r="D23" s="14" t="s">
        <v>295</v>
      </c>
      <c r="E23" s="14" t="s">
        <v>27</v>
      </c>
      <c r="F23" s="14">
        <v>262403</v>
      </c>
      <c r="G23" s="14" t="s">
        <v>331</v>
      </c>
      <c r="H23" s="14">
        <v>200</v>
      </c>
      <c r="I23" s="16">
        <v>0.93400000000000005</v>
      </c>
      <c r="J23" s="16">
        <v>1.113</v>
      </c>
      <c r="K23" s="14" t="s">
        <v>34</v>
      </c>
      <c r="L23" s="16">
        <v>207.90799999999999</v>
      </c>
      <c r="M23" s="17">
        <v>222.6</v>
      </c>
      <c r="N23" s="18">
        <v>6.1800000000000001E-2</v>
      </c>
      <c r="O23" s="19">
        <v>3.71</v>
      </c>
      <c r="P23" s="14">
        <v>71.7</v>
      </c>
      <c r="Q23" s="14">
        <v>1</v>
      </c>
      <c r="R23" s="14">
        <v>1000</v>
      </c>
      <c r="S23" s="16">
        <v>0.93400000000000005</v>
      </c>
      <c r="T23" s="14">
        <v>66</v>
      </c>
      <c r="U23" s="18">
        <v>6.6000000000000003E-2</v>
      </c>
      <c r="V23" s="14" t="s">
        <v>28</v>
      </c>
      <c r="W23" s="14" t="s">
        <v>28</v>
      </c>
      <c r="X23" s="14" t="s">
        <v>28</v>
      </c>
      <c r="Y23" s="14" t="s">
        <v>27</v>
      </c>
      <c r="Z23" s="14" t="s">
        <v>27</v>
      </c>
      <c r="AA23" s="14" t="s">
        <v>39</v>
      </c>
      <c r="AB23" s="14" t="s">
        <v>347</v>
      </c>
    </row>
    <row r="24" spans="1:28" ht="25.05" customHeight="1" x14ac:dyDescent="0.3">
      <c r="A24" s="14">
        <v>22</v>
      </c>
      <c r="B24" s="15" t="s">
        <v>66</v>
      </c>
      <c r="C24" s="14" t="s">
        <v>36</v>
      </c>
      <c r="D24" s="14" t="s">
        <v>295</v>
      </c>
      <c r="E24" s="14" t="s">
        <v>27</v>
      </c>
      <c r="F24" s="14">
        <v>262404</v>
      </c>
      <c r="G24" s="14" t="s">
        <v>331</v>
      </c>
      <c r="H24" s="14">
        <v>1100</v>
      </c>
      <c r="I24" s="16">
        <v>0.45</v>
      </c>
      <c r="J24" s="16">
        <v>0.85899999999999999</v>
      </c>
      <c r="K24" s="14" t="s">
        <v>346</v>
      </c>
      <c r="L24" s="16">
        <v>425.20499999999998</v>
      </c>
      <c r="M24" s="17">
        <v>472.4</v>
      </c>
      <c r="N24" s="18">
        <v>6.5600000000000006E-2</v>
      </c>
      <c r="O24" s="19">
        <v>3.94</v>
      </c>
      <c r="P24" s="14">
        <v>146.69999999999999</v>
      </c>
      <c r="Q24" s="14">
        <v>2</v>
      </c>
      <c r="R24" s="14">
        <v>950</v>
      </c>
      <c r="S24" s="16">
        <v>0.9</v>
      </c>
      <c r="T24" s="14">
        <v>50</v>
      </c>
      <c r="U24" s="18">
        <v>5.2600000000000001E-2</v>
      </c>
      <c r="V24" s="14" t="s">
        <v>28</v>
      </c>
      <c r="W24" s="14" t="s">
        <v>28</v>
      </c>
      <c r="X24" s="14" t="s">
        <v>28</v>
      </c>
      <c r="Y24" s="14" t="s">
        <v>27</v>
      </c>
      <c r="Z24" s="14" t="s">
        <v>27</v>
      </c>
      <c r="AA24" s="14" t="s">
        <v>39</v>
      </c>
      <c r="AB24" s="14" t="s">
        <v>345</v>
      </c>
    </row>
    <row r="25" spans="1:28" ht="25.05" customHeight="1" x14ac:dyDescent="0.3">
      <c r="A25" s="14">
        <v>23</v>
      </c>
      <c r="B25" s="15" t="s">
        <v>66</v>
      </c>
      <c r="C25" s="14" t="s">
        <v>36</v>
      </c>
      <c r="D25" s="14" t="s">
        <v>214</v>
      </c>
      <c r="E25" s="14" t="s">
        <v>27</v>
      </c>
      <c r="F25" s="14">
        <v>262417</v>
      </c>
      <c r="G25" s="14" t="s">
        <v>344</v>
      </c>
      <c r="H25" s="14">
        <v>2800</v>
      </c>
      <c r="I25" s="16">
        <v>0.40200000000000002</v>
      </c>
      <c r="J25" s="16">
        <v>1.1930000000000001</v>
      </c>
      <c r="K25" s="14" t="s">
        <v>67</v>
      </c>
      <c r="L25" s="16">
        <v>1342.8409999999999</v>
      </c>
      <c r="M25" s="17">
        <v>1670.2</v>
      </c>
      <c r="N25" s="18">
        <v>0.23200000000000001</v>
      </c>
      <c r="O25" s="19">
        <v>13.92</v>
      </c>
      <c r="P25" s="14">
        <v>463.3</v>
      </c>
      <c r="Q25" s="14">
        <v>2</v>
      </c>
      <c r="R25" s="14">
        <v>850</v>
      </c>
      <c r="S25" s="16">
        <v>0.80400000000000005</v>
      </c>
      <c r="T25" s="14">
        <v>46</v>
      </c>
      <c r="U25" s="18">
        <v>5.4100000000000002E-2</v>
      </c>
      <c r="V25" s="14" t="s">
        <v>28</v>
      </c>
      <c r="W25" s="14" t="s">
        <v>28</v>
      </c>
      <c r="X25" s="14" t="s">
        <v>28</v>
      </c>
      <c r="Y25" s="14" t="s">
        <v>27</v>
      </c>
      <c r="Z25" s="14" t="s">
        <v>27</v>
      </c>
      <c r="AA25" s="14" t="s">
        <v>32</v>
      </c>
      <c r="AB25" s="14" t="s">
        <v>142</v>
      </c>
    </row>
    <row r="26" spans="1:28" ht="25.05" customHeight="1" x14ac:dyDescent="0.3">
      <c r="A26" s="14">
        <v>24</v>
      </c>
      <c r="B26" s="15" t="s">
        <v>66</v>
      </c>
      <c r="C26" s="14" t="s">
        <v>36</v>
      </c>
      <c r="D26" s="14" t="s">
        <v>214</v>
      </c>
      <c r="E26" s="14" t="s">
        <v>27</v>
      </c>
      <c r="F26" s="14">
        <v>262416</v>
      </c>
      <c r="G26" s="14" t="s">
        <v>344</v>
      </c>
      <c r="H26" s="14">
        <v>1100</v>
      </c>
      <c r="I26" s="16">
        <v>0.38400000000000001</v>
      </c>
      <c r="J26" s="16">
        <v>0.76900000000000002</v>
      </c>
      <c r="K26" s="14" t="s">
        <v>343</v>
      </c>
      <c r="L26" s="16">
        <v>324.82600000000002</v>
      </c>
      <c r="M26" s="17">
        <v>422.9</v>
      </c>
      <c r="N26" s="18">
        <v>5.8700000000000002E-2</v>
      </c>
      <c r="O26" s="19">
        <v>3.52</v>
      </c>
      <c r="P26" s="14">
        <v>112.1</v>
      </c>
      <c r="Q26" s="14">
        <v>2</v>
      </c>
      <c r="R26" s="14">
        <v>800</v>
      </c>
      <c r="S26" s="16">
        <v>0.76800000000000002</v>
      </c>
      <c r="T26" s="14">
        <v>32</v>
      </c>
      <c r="U26" s="18">
        <v>0.04</v>
      </c>
      <c r="V26" s="14" t="s">
        <v>28</v>
      </c>
      <c r="W26" s="14" t="s">
        <v>28</v>
      </c>
      <c r="X26" s="14" t="s">
        <v>28</v>
      </c>
      <c r="Y26" s="14" t="s">
        <v>27</v>
      </c>
      <c r="Z26" s="14" t="s">
        <v>27</v>
      </c>
      <c r="AA26" s="14" t="s">
        <v>39</v>
      </c>
      <c r="AB26" s="14" t="s">
        <v>342</v>
      </c>
    </row>
    <row r="27" spans="1:28" s="96" customFormat="1" ht="25.05" customHeight="1" x14ac:dyDescent="0.3">
      <c r="A27" s="90">
        <v>10</v>
      </c>
      <c r="B27" s="91" t="s">
        <v>66</v>
      </c>
      <c r="C27" s="90" t="s">
        <v>36</v>
      </c>
      <c r="D27" s="90" t="s">
        <v>143</v>
      </c>
      <c r="E27" s="90" t="s">
        <v>27</v>
      </c>
      <c r="F27" s="90">
        <v>262331</v>
      </c>
      <c r="G27" s="90" t="s">
        <v>341</v>
      </c>
      <c r="H27" s="90">
        <v>5000</v>
      </c>
      <c r="I27" s="92">
        <v>0.28399999999999997</v>
      </c>
      <c r="J27" s="92">
        <v>1.369</v>
      </c>
      <c r="K27" s="90" t="s">
        <v>59</v>
      </c>
      <c r="L27" s="92">
        <v>1943.98</v>
      </c>
      <c r="M27" s="93">
        <v>3422.5</v>
      </c>
      <c r="N27" s="94">
        <v>0.4753</v>
      </c>
      <c r="O27" s="95">
        <v>28.52</v>
      </c>
      <c r="P27" s="90">
        <v>670.7</v>
      </c>
      <c r="Q27" s="90">
        <v>2</v>
      </c>
      <c r="R27" s="90">
        <v>600</v>
      </c>
      <c r="S27" s="92">
        <v>0.56799999999999995</v>
      </c>
      <c r="T27" s="90">
        <v>32</v>
      </c>
      <c r="U27" s="94">
        <v>5.33E-2</v>
      </c>
      <c r="V27" s="90" t="s">
        <v>28</v>
      </c>
      <c r="W27" s="90" t="s">
        <v>28</v>
      </c>
      <c r="X27" s="90" t="s">
        <v>28</v>
      </c>
      <c r="Y27" s="90" t="s">
        <v>27</v>
      </c>
      <c r="Z27" s="90" t="s">
        <v>27</v>
      </c>
      <c r="AA27" s="90" t="s">
        <v>32</v>
      </c>
      <c r="AB27" s="90" t="s">
        <v>58</v>
      </c>
    </row>
    <row r="28" spans="1:28" ht="25.05" customHeight="1" x14ac:dyDescent="0.3">
      <c r="A28" s="20" t="s">
        <v>27</v>
      </c>
      <c r="B28" s="20" t="s">
        <v>27</v>
      </c>
      <c r="C28" s="20" t="s">
        <v>27</v>
      </c>
      <c r="D28" s="20" t="s">
        <v>27</v>
      </c>
      <c r="E28" s="20" t="s">
        <v>27</v>
      </c>
      <c r="F28" s="20" t="s">
        <v>27</v>
      </c>
      <c r="G28" s="20" t="s">
        <v>27</v>
      </c>
      <c r="H28" s="20">
        <v>37150</v>
      </c>
      <c r="I28" s="20" t="s">
        <v>27</v>
      </c>
      <c r="J28" s="20" t="s">
        <v>27</v>
      </c>
      <c r="K28" s="20" t="s">
        <v>27</v>
      </c>
      <c r="L28" s="20" t="s">
        <v>27</v>
      </c>
      <c r="M28" s="20" t="s">
        <v>27</v>
      </c>
      <c r="N28" s="20" t="s">
        <v>27</v>
      </c>
      <c r="O28" s="20" t="s">
        <v>27</v>
      </c>
      <c r="P28" s="20">
        <v>16174</v>
      </c>
      <c r="Q28" s="20" t="s">
        <v>27</v>
      </c>
      <c r="R28" s="20" t="s">
        <v>27</v>
      </c>
      <c r="S28" s="20" t="s">
        <v>27</v>
      </c>
      <c r="T28" s="20" t="s">
        <v>27</v>
      </c>
      <c r="U28" s="20" t="s">
        <v>27</v>
      </c>
      <c r="V28" s="20" t="s">
        <v>27</v>
      </c>
      <c r="W28" s="20" t="s">
        <v>27</v>
      </c>
      <c r="X28" s="20" t="s">
        <v>27</v>
      </c>
      <c r="Y28" s="20" t="s">
        <v>27</v>
      </c>
      <c r="Z28" s="20" t="s">
        <v>27</v>
      </c>
      <c r="AA28" s="20" t="s">
        <v>27</v>
      </c>
      <c r="AB28" s="20" t="s">
        <v>27</v>
      </c>
    </row>
  </sheetData>
  <mergeCells count="1">
    <mergeCell ref="A1:AB1"/>
  </mergeCells>
  <pageMargins left="0.511811024" right="0.511811024" top="0.44" bottom="0.34" header="0.31496062000000002" footer="0.31496062000000002"/>
  <pageSetup paperSize="9" scale="75" orientation="landscape" horizontalDpi="360" verticalDpi="36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0DFD54-CA58-468C-8D57-D00EBCBE667F}">
  <sheetPr>
    <pageSetUpPr fitToPage="1"/>
  </sheetPr>
  <dimension ref="A1:AB14"/>
  <sheetViews>
    <sheetView workbookViewId="0">
      <selection activeCell="G10" sqref="G10"/>
    </sheetView>
  </sheetViews>
  <sheetFormatPr defaultRowHeight="14.4" x14ac:dyDescent="0.3"/>
  <cols>
    <col min="1" max="1" width="4.21875" style="3" customWidth="1"/>
    <col min="2" max="2" width="17.5546875" style="3" customWidth="1"/>
    <col min="3" max="3" width="7.77734375" style="3" customWidth="1"/>
    <col min="4" max="4" width="11.77734375" style="3" hidden="1" customWidth="1"/>
    <col min="5" max="5" width="10.21875" style="3" customWidth="1"/>
    <col min="6" max="6" width="7.21875" style="3" customWidth="1"/>
    <col min="7" max="7" width="9.5546875" style="3" customWidth="1"/>
    <col min="8" max="8" width="5.44140625" style="3" customWidth="1"/>
    <col min="9" max="9" width="5.88671875" style="3" customWidth="1"/>
    <col min="10" max="10" width="6.44140625" style="3" customWidth="1"/>
    <col min="11" max="11" width="6.886718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6.33203125" style="3" customWidth="1"/>
    <col min="17" max="17" width="3.33203125" style="3" customWidth="1"/>
    <col min="18" max="18" width="6.109375" style="3" customWidth="1"/>
    <col min="19" max="19" width="6.6640625" style="3" customWidth="1"/>
    <col min="20" max="20" width="11.77734375" style="3" hidden="1" customWidth="1"/>
    <col min="21" max="21" width="8.77734375" style="3" hidden="1" customWidth="1"/>
    <col min="22" max="22" width="8" style="3" customWidth="1"/>
    <col min="23" max="23" width="7.21875" style="3" customWidth="1"/>
    <col min="24" max="24" width="7" style="3" customWidth="1"/>
    <col min="25" max="25" width="8.109375" style="3" customWidth="1"/>
    <col min="26" max="26" width="8.6640625" style="3" customWidth="1"/>
    <col min="27" max="27" width="3.77734375" style="3" customWidth="1"/>
    <col min="28" max="28" width="10.5546875" style="3" customWidth="1"/>
    <col min="29" max="16384" width="8.88671875" style="3"/>
  </cols>
  <sheetData>
    <row r="1" spans="1:28" ht="18" customHeight="1" x14ac:dyDescent="0.35">
      <c r="A1" s="226" t="s">
        <v>332</v>
      </c>
      <c r="B1" s="226" t="s">
        <v>27</v>
      </c>
      <c r="C1" s="226" t="s">
        <v>27</v>
      </c>
      <c r="D1" s="226" t="s">
        <v>27</v>
      </c>
      <c r="E1" s="226" t="s">
        <v>27</v>
      </c>
      <c r="F1" s="226" t="s">
        <v>27</v>
      </c>
      <c r="G1" s="226" t="s">
        <v>27</v>
      </c>
      <c r="H1" s="226" t="s">
        <v>27</v>
      </c>
      <c r="I1" s="226" t="s">
        <v>27</v>
      </c>
      <c r="J1" s="226" t="s">
        <v>27</v>
      </c>
      <c r="K1" s="226" t="s">
        <v>27</v>
      </c>
      <c r="L1" s="226" t="s">
        <v>27</v>
      </c>
      <c r="M1" s="226" t="s">
        <v>27</v>
      </c>
      <c r="N1" s="226" t="s">
        <v>27</v>
      </c>
      <c r="O1" s="226" t="s">
        <v>27</v>
      </c>
      <c r="P1" s="226" t="s">
        <v>27</v>
      </c>
      <c r="Q1" s="226" t="s">
        <v>27</v>
      </c>
      <c r="R1" s="226" t="s">
        <v>27</v>
      </c>
      <c r="S1" s="226" t="s">
        <v>27</v>
      </c>
      <c r="T1" s="226" t="s">
        <v>27</v>
      </c>
      <c r="U1" s="226" t="s">
        <v>27</v>
      </c>
      <c r="V1" s="226" t="s">
        <v>27</v>
      </c>
      <c r="W1" s="226" t="s">
        <v>27</v>
      </c>
      <c r="X1" s="226" t="s">
        <v>27</v>
      </c>
      <c r="Y1" s="226" t="s">
        <v>27</v>
      </c>
      <c r="Z1" s="226" t="s">
        <v>27</v>
      </c>
      <c r="AA1" s="226" t="s">
        <v>27</v>
      </c>
      <c r="AB1" s="226" t="s">
        <v>27</v>
      </c>
    </row>
    <row r="2" spans="1:28" ht="56.4" customHeight="1" x14ac:dyDescent="0.3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 x14ac:dyDescent="0.3">
      <c r="A3" s="74">
        <v>1</v>
      </c>
      <c r="B3" s="76" t="s">
        <v>333</v>
      </c>
      <c r="C3" s="74" t="s">
        <v>60</v>
      </c>
      <c r="D3" s="74" t="s">
        <v>295</v>
      </c>
      <c r="E3" s="74" t="s">
        <v>27</v>
      </c>
      <c r="F3" s="74">
        <v>262396</v>
      </c>
      <c r="G3" s="74" t="s">
        <v>331</v>
      </c>
      <c r="H3" s="74">
        <v>2000</v>
      </c>
      <c r="I3" s="75">
        <v>0.51</v>
      </c>
      <c r="J3" s="75">
        <v>1.02</v>
      </c>
      <c r="K3" s="74" t="s">
        <v>34</v>
      </c>
      <c r="L3" s="71">
        <v>1040.4000000000001</v>
      </c>
      <c r="M3" s="73">
        <v>680</v>
      </c>
      <c r="N3" s="70">
        <v>6.3E-2</v>
      </c>
      <c r="O3" s="72">
        <v>3.78</v>
      </c>
      <c r="P3" s="69">
        <v>393.3</v>
      </c>
      <c r="Q3" s="69">
        <v>3</v>
      </c>
      <c r="R3" s="69">
        <v>1550</v>
      </c>
      <c r="S3" s="71">
        <v>1.53</v>
      </c>
      <c r="T3" s="69">
        <v>20</v>
      </c>
      <c r="U3" s="70">
        <v>1.29E-2</v>
      </c>
      <c r="V3" s="69" t="s">
        <v>38</v>
      </c>
      <c r="W3" s="69" t="s">
        <v>29</v>
      </c>
      <c r="X3" s="69" t="s">
        <v>35</v>
      </c>
      <c r="Y3" s="69" t="s">
        <v>27</v>
      </c>
      <c r="Z3" s="69" t="s">
        <v>27</v>
      </c>
      <c r="AA3" s="69" t="s">
        <v>33</v>
      </c>
      <c r="AB3" s="69" t="s">
        <v>213</v>
      </c>
    </row>
    <row r="4" spans="1:28" ht="25.05" customHeight="1" x14ac:dyDescent="0.3">
      <c r="A4" s="74">
        <v>2</v>
      </c>
      <c r="B4" s="76" t="s">
        <v>333</v>
      </c>
      <c r="C4" s="74" t="s">
        <v>36</v>
      </c>
      <c r="D4" s="74" t="s">
        <v>295</v>
      </c>
      <c r="E4" s="74" t="s">
        <v>27</v>
      </c>
      <c r="F4" s="74">
        <v>262397</v>
      </c>
      <c r="G4" s="74" t="s">
        <v>331</v>
      </c>
      <c r="H4" s="74">
        <v>2000</v>
      </c>
      <c r="I4" s="75">
        <v>0.51</v>
      </c>
      <c r="J4" s="75">
        <v>1.02</v>
      </c>
      <c r="K4" s="74" t="s">
        <v>34</v>
      </c>
      <c r="L4" s="71">
        <v>1040.4000000000001</v>
      </c>
      <c r="M4" s="73">
        <v>680</v>
      </c>
      <c r="N4" s="70">
        <v>6.3E-2</v>
      </c>
      <c r="O4" s="72">
        <v>3.78</v>
      </c>
      <c r="P4" s="69">
        <v>358.9</v>
      </c>
      <c r="Q4" s="69">
        <v>3</v>
      </c>
      <c r="R4" s="69">
        <v>1550</v>
      </c>
      <c r="S4" s="71">
        <v>1.53</v>
      </c>
      <c r="T4" s="69">
        <v>20</v>
      </c>
      <c r="U4" s="70">
        <v>1.29E-2</v>
      </c>
      <c r="V4" s="69" t="s">
        <v>28</v>
      </c>
      <c r="W4" s="69" t="s">
        <v>28</v>
      </c>
      <c r="X4" s="69" t="s">
        <v>28</v>
      </c>
      <c r="Y4" s="69" t="s">
        <v>27</v>
      </c>
      <c r="Z4" s="69" t="s">
        <v>27</v>
      </c>
      <c r="AA4" s="69" t="s">
        <v>33</v>
      </c>
      <c r="AB4" s="69" t="s">
        <v>213</v>
      </c>
    </row>
    <row r="5" spans="1:28" ht="25.05" customHeight="1" x14ac:dyDescent="0.3">
      <c r="A5" s="74">
        <v>3</v>
      </c>
      <c r="B5" s="76" t="s">
        <v>333</v>
      </c>
      <c r="C5" s="74" t="s">
        <v>60</v>
      </c>
      <c r="D5" s="74" t="s">
        <v>295</v>
      </c>
      <c r="E5" s="74" t="s">
        <v>27</v>
      </c>
      <c r="F5" s="74">
        <v>262395</v>
      </c>
      <c r="G5" s="74" t="s">
        <v>331</v>
      </c>
      <c r="H5" s="74">
        <v>3000</v>
      </c>
      <c r="I5" s="75">
        <v>0.46</v>
      </c>
      <c r="J5" s="75">
        <v>0.92</v>
      </c>
      <c r="K5" s="74" t="s">
        <v>34</v>
      </c>
      <c r="L5" s="71">
        <v>1269.5999999999999</v>
      </c>
      <c r="M5" s="73">
        <v>920</v>
      </c>
      <c r="N5" s="70">
        <v>8.5199999999999998E-2</v>
      </c>
      <c r="O5" s="72">
        <v>5.1100000000000003</v>
      </c>
      <c r="P5" s="69">
        <v>479.9</v>
      </c>
      <c r="Q5" s="69">
        <v>3</v>
      </c>
      <c r="R5" s="69">
        <v>1400</v>
      </c>
      <c r="S5" s="71">
        <v>1.38</v>
      </c>
      <c r="T5" s="69">
        <v>20</v>
      </c>
      <c r="U5" s="70">
        <v>1.43E-2</v>
      </c>
      <c r="V5" s="69" t="s">
        <v>38</v>
      </c>
      <c r="W5" s="69" t="s">
        <v>29</v>
      </c>
      <c r="X5" s="69" t="s">
        <v>35</v>
      </c>
      <c r="Y5" s="69" t="s">
        <v>27</v>
      </c>
      <c r="Z5" s="69" t="s">
        <v>27</v>
      </c>
      <c r="AA5" s="69" t="s">
        <v>33</v>
      </c>
      <c r="AB5" s="69" t="s">
        <v>64</v>
      </c>
    </row>
    <row r="6" spans="1:28" ht="25.05" customHeight="1" x14ac:dyDescent="0.3">
      <c r="A6" s="74">
        <v>4</v>
      </c>
      <c r="B6" s="76" t="s">
        <v>333</v>
      </c>
      <c r="C6" s="74" t="s">
        <v>36</v>
      </c>
      <c r="D6" s="74" t="s">
        <v>295</v>
      </c>
      <c r="E6" s="74" t="s">
        <v>27</v>
      </c>
      <c r="F6" s="74">
        <v>262398</v>
      </c>
      <c r="G6" s="74" t="s">
        <v>331</v>
      </c>
      <c r="H6" s="74">
        <v>2000</v>
      </c>
      <c r="I6" s="75">
        <v>0.39</v>
      </c>
      <c r="J6" s="75">
        <v>0.61</v>
      </c>
      <c r="K6" s="74" t="s">
        <v>34</v>
      </c>
      <c r="L6" s="71">
        <v>475.8</v>
      </c>
      <c r="M6" s="73">
        <v>406.7</v>
      </c>
      <c r="N6" s="70">
        <v>3.7699999999999997E-2</v>
      </c>
      <c r="O6" s="72">
        <v>2.2599999999999998</v>
      </c>
      <c r="P6" s="69">
        <v>164.2</v>
      </c>
      <c r="Q6" s="69">
        <v>3</v>
      </c>
      <c r="R6" s="69">
        <v>1200</v>
      </c>
      <c r="S6" s="71">
        <v>1.17</v>
      </c>
      <c r="T6" s="69">
        <v>30</v>
      </c>
      <c r="U6" s="70">
        <v>2.5000000000000001E-2</v>
      </c>
      <c r="V6" s="69" t="s">
        <v>28</v>
      </c>
      <c r="W6" s="69" t="s">
        <v>28</v>
      </c>
      <c r="X6" s="69" t="s">
        <v>28</v>
      </c>
      <c r="Y6" s="69" t="s">
        <v>27</v>
      </c>
      <c r="Z6" s="69" t="s">
        <v>27</v>
      </c>
      <c r="AA6" s="69" t="s">
        <v>39</v>
      </c>
      <c r="AB6" s="69" t="s">
        <v>330</v>
      </c>
    </row>
    <row r="7" spans="1:28" ht="25.05" customHeight="1" x14ac:dyDescent="0.3">
      <c r="A7" s="68" t="s">
        <v>27</v>
      </c>
      <c r="B7" s="68" t="s">
        <v>27</v>
      </c>
      <c r="C7" s="68" t="s">
        <v>27</v>
      </c>
      <c r="D7" s="68" t="s">
        <v>27</v>
      </c>
      <c r="E7" s="68" t="s">
        <v>27</v>
      </c>
      <c r="F7" s="68" t="s">
        <v>27</v>
      </c>
      <c r="G7" s="68" t="s">
        <v>27</v>
      </c>
      <c r="H7" s="68">
        <v>9000</v>
      </c>
      <c r="I7" s="68" t="s">
        <v>27</v>
      </c>
      <c r="J7" s="68" t="s">
        <v>27</v>
      </c>
      <c r="K7" s="68" t="s">
        <v>27</v>
      </c>
      <c r="L7" s="67" t="s">
        <v>27</v>
      </c>
      <c r="M7" s="67" t="s">
        <v>27</v>
      </c>
      <c r="N7" s="67" t="s">
        <v>27</v>
      </c>
      <c r="O7" s="67" t="s">
        <v>27</v>
      </c>
      <c r="P7" s="67">
        <v>1396.3</v>
      </c>
      <c r="Q7" s="67" t="s">
        <v>27</v>
      </c>
      <c r="R7" s="67" t="s">
        <v>27</v>
      </c>
      <c r="S7" s="67" t="s">
        <v>27</v>
      </c>
      <c r="T7" s="67" t="s">
        <v>27</v>
      </c>
      <c r="U7" s="67" t="s">
        <v>27</v>
      </c>
      <c r="V7" s="67" t="s">
        <v>27</v>
      </c>
      <c r="W7" s="67" t="s">
        <v>27</v>
      </c>
      <c r="X7" s="67" t="s">
        <v>27</v>
      </c>
      <c r="Y7" s="67" t="s">
        <v>27</v>
      </c>
      <c r="Z7" s="67" t="s">
        <v>27</v>
      </c>
      <c r="AA7" s="67" t="s">
        <v>27</v>
      </c>
      <c r="AB7" s="67" t="s">
        <v>27</v>
      </c>
    </row>
    <row r="14" spans="1:28" x14ac:dyDescent="0.3">
      <c r="F14" s="3" t="s">
        <v>395</v>
      </c>
    </row>
  </sheetData>
  <mergeCells count="1">
    <mergeCell ref="A1:AB1"/>
  </mergeCells>
  <pageMargins left="0.511811024" right="0.511811024" top="1.74" bottom="0.78740157499999996" header="0.31496062000000002" footer="0.31496062000000002"/>
  <pageSetup paperSize="9" scale="87" orientation="landscape" horizontalDpi="300" verticalDpi="30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D6999-BEA6-40D8-A6EA-4ED7379016C6}">
  <sheetPr>
    <pageSetUpPr fitToPage="1"/>
  </sheetPr>
  <dimension ref="A1:AB8"/>
  <sheetViews>
    <sheetView workbookViewId="0">
      <selection activeCell="V23" sqref="V23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6.21875" style="1" customWidth="1"/>
    <col min="4" max="4" width="11.77734375" style="1" customWidth="1"/>
    <col min="5" max="5" width="8.21875" style="1" customWidth="1"/>
    <col min="6" max="6" width="7.77734375" style="1" customWidth="1"/>
    <col min="7" max="7" width="5.6640625" style="1" customWidth="1"/>
    <col min="8" max="8" width="7.5546875" style="1" customWidth="1"/>
    <col min="9" max="9" width="6.5546875" style="1" customWidth="1"/>
    <col min="10" max="10" width="7" style="1" customWidth="1"/>
    <col min="11" max="11" width="1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6640625" style="1" customWidth="1"/>
    <col min="17" max="17" width="4.33203125" style="1" customWidth="1"/>
    <col min="18" max="18" width="7.21875" style="1" customWidth="1"/>
    <col min="19" max="19" width="7" style="1" customWidth="1"/>
    <col min="20" max="20" width="11.77734375" style="1" hidden="1" customWidth="1"/>
    <col min="21" max="21" width="8.77734375" style="1" hidden="1" customWidth="1"/>
    <col min="22" max="22" width="7.88671875" style="1" customWidth="1"/>
    <col min="23" max="23" width="8.33203125" style="1" customWidth="1"/>
    <col min="24" max="24" width="8.6640625" style="1" customWidth="1"/>
    <col min="25" max="26" width="11.77734375" style="1" customWidth="1"/>
    <col min="27" max="27" width="5.33203125" style="1" customWidth="1"/>
    <col min="28" max="28" width="11.109375" style="1" customWidth="1"/>
    <col min="29" max="16384" width="8.88671875" style="1"/>
  </cols>
  <sheetData>
    <row r="1" spans="1:28" ht="18" customHeight="1" x14ac:dyDescent="0.35">
      <c r="A1" s="222" t="s">
        <v>329</v>
      </c>
      <c r="B1" s="222" t="s">
        <v>27</v>
      </c>
      <c r="C1" s="222" t="s">
        <v>27</v>
      </c>
      <c r="D1" s="222" t="s">
        <v>27</v>
      </c>
      <c r="E1" s="222" t="s">
        <v>27</v>
      </c>
      <c r="F1" s="222" t="s">
        <v>27</v>
      </c>
      <c r="G1" s="222" t="s">
        <v>27</v>
      </c>
      <c r="H1" s="222" t="s">
        <v>27</v>
      </c>
      <c r="I1" s="222" t="s">
        <v>27</v>
      </c>
      <c r="J1" s="222" t="s">
        <v>27</v>
      </c>
      <c r="K1" s="222" t="s">
        <v>27</v>
      </c>
      <c r="L1" s="222" t="s">
        <v>27</v>
      </c>
      <c r="M1" s="222" t="s">
        <v>27</v>
      </c>
      <c r="N1" s="222" t="s">
        <v>27</v>
      </c>
      <c r="O1" s="222" t="s">
        <v>27</v>
      </c>
      <c r="P1" s="222" t="s">
        <v>27</v>
      </c>
      <c r="Q1" s="222" t="s">
        <v>27</v>
      </c>
      <c r="R1" s="222" t="s">
        <v>27</v>
      </c>
      <c r="S1" s="222" t="s">
        <v>27</v>
      </c>
      <c r="T1" s="222" t="s">
        <v>27</v>
      </c>
      <c r="U1" s="222" t="s">
        <v>27</v>
      </c>
      <c r="V1" s="222" t="s">
        <v>27</v>
      </c>
      <c r="W1" s="222" t="s">
        <v>27</v>
      </c>
      <c r="X1" s="222" t="s">
        <v>27</v>
      </c>
      <c r="Y1" s="222" t="s">
        <v>27</v>
      </c>
      <c r="Z1" s="222" t="s">
        <v>27</v>
      </c>
      <c r="AA1" s="222" t="s">
        <v>27</v>
      </c>
      <c r="AB1" s="222" t="s">
        <v>27</v>
      </c>
    </row>
    <row r="2" spans="1:28" s="44" customFormat="1" ht="40.799999999999997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87" customFormat="1" ht="25.05" customHeight="1" x14ac:dyDescent="0.3">
      <c r="A3" s="81">
        <v>1</v>
      </c>
      <c r="B3" s="82" t="s">
        <v>326</v>
      </c>
      <c r="C3" s="81" t="s">
        <v>46</v>
      </c>
      <c r="D3" s="81" t="s">
        <v>236</v>
      </c>
      <c r="E3" s="81" t="s">
        <v>27</v>
      </c>
      <c r="F3" s="81">
        <v>262393</v>
      </c>
      <c r="G3" s="81" t="s">
        <v>328</v>
      </c>
      <c r="H3" s="81">
        <v>11000</v>
      </c>
      <c r="I3" s="83">
        <v>0.622</v>
      </c>
      <c r="J3" s="83">
        <v>1.8089999999999999</v>
      </c>
      <c r="K3" s="81" t="s">
        <v>61</v>
      </c>
      <c r="L3" s="83">
        <v>12377.178</v>
      </c>
      <c r="M3" s="84">
        <v>9949.5</v>
      </c>
      <c r="N3" s="85">
        <v>1.3818999999999999</v>
      </c>
      <c r="O3" s="86">
        <v>82.91</v>
      </c>
      <c r="P3" s="81">
        <v>5291.2</v>
      </c>
      <c r="Q3" s="81">
        <v>2</v>
      </c>
      <c r="R3" s="81">
        <v>1300</v>
      </c>
      <c r="S3" s="83">
        <v>1.244</v>
      </c>
      <c r="T3" s="81">
        <v>56</v>
      </c>
      <c r="U3" s="85">
        <v>4.3099999999999999E-2</v>
      </c>
      <c r="V3" s="81" t="s">
        <v>42</v>
      </c>
      <c r="W3" s="81" t="s">
        <v>42</v>
      </c>
      <c r="X3" s="81" t="s">
        <v>42</v>
      </c>
      <c r="Y3" s="81" t="s">
        <v>27</v>
      </c>
      <c r="Z3" s="81" t="s">
        <v>27</v>
      </c>
      <c r="AA3" s="81" t="s">
        <v>327</v>
      </c>
      <c r="AB3" s="81" t="s">
        <v>47</v>
      </c>
    </row>
    <row r="4" spans="1:28" s="87" customFormat="1" ht="25.05" customHeight="1" x14ac:dyDescent="0.3">
      <c r="A4" s="81">
        <v>2</v>
      </c>
      <c r="B4" s="82" t="s">
        <v>326</v>
      </c>
      <c r="C4" s="81" t="s">
        <v>46</v>
      </c>
      <c r="D4" s="81" t="s">
        <v>236</v>
      </c>
      <c r="E4" s="81" t="s">
        <v>27</v>
      </c>
      <c r="F4" s="81">
        <v>262394</v>
      </c>
      <c r="G4" s="81" t="s">
        <v>325</v>
      </c>
      <c r="H4" s="81">
        <v>5500</v>
      </c>
      <c r="I4" s="83">
        <v>0.32</v>
      </c>
      <c r="J4" s="83">
        <v>0.86599999999999999</v>
      </c>
      <c r="K4" s="81" t="s">
        <v>34</v>
      </c>
      <c r="L4" s="83">
        <v>1524.16</v>
      </c>
      <c r="M4" s="84">
        <v>1587.7</v>
      </c>
      <c r="N4" s="85">
        <v>0.14699999999999999</v>
      </c>
      <c r="O4" s="86">
        <v>8.82</v>
      </c>
      <c r="P4" s="81">
        <v>651.6</v>
      </c>
      <c r="Q4" s="81">
        <v>3</v>
      </c>
      <c r="R4" s="81">
        <v>1000</v>
      </c>
      <c r="S4" s="83">
        <v>0.96</v>
      </c>
      <c r="T4" s="81">
        <v>40</v>
      </c>
      <c r="U4" s="85">
        <v>0.04</v>
      </c>
      <c r="V4" s="81" t="s">
        <v>42</v>
      </c>
      <c r="W4" s="81" t="s">
        <v>42</v>
      </c>
      <c r="X4" s="81" t="s">
        <v>42</v>
      </c>
      <c r="Y4" s="81" t="s">
        <v>27</v>
      </c>
      <c r="Z4" s="81" t="s">
        <v>27</v>
      </c>
      <c r="AA4" s="81" t="s">
        <v>30</v>
      </c>
      <c r="AB4" s="81" t="s">
        <v>48</v>
      </c>
    </row>
    <row r="5" spans="1:28" s="44" customFormat="1" ht="25.05" customHeight="1" x14ac:dyDescent="0.3">
      <c r="A5" s="37" t="s">
        <v>27</v>
      </c>
      <c r="B5" s="37" t="s">
        <v>27</v>
      </c>
      <c r="C5" s="37" t="s">
        <v>27</v>
      </c>
      <c r="D5" s="37" t="s">
        <v>27</v>
      </c>
      <c r="E5" s="37" t="s">
        <v>27</v>
      </c>
      <c r="F5" s="37" t="s">
        <v>27</v>
      </c>
      <c r="G5" s="37" t="s">
        <v>27</v>
      </c>
      <c r="H5" s="37">
        <v>16500</v>
      </c>
      <c r="I5" s="37" t="s">
        <v>27</v>
      </c>
      <c r="J5" s="37" t="s">
        <v>27</v>
      </c>
      <c r="K5" s="37" t="s">
        <v>27</v>
      </c>
      <c r="L5" s="37" t="s">
        <v>27</v>
      </c>
      <c r="M5" s="37" t="s">
        <v>27</v>
      </c>
      <c r="N5" s="37" t="s">
        <v>27</v>
      </c>
      <c r="O5" s="37" t="s">
        <v>27</v>
      </c>
      <c r="P5" s="37">
        <v>5942.8</v>
      </c>
      <c r="Q5" s="37" t="s">
        <v>27</v>
      </c>
      <c r="R5" s="37" t="s">
        <v>27</v>
      </c>
      <c r="S5" s="37" t="s">
        <v>27</v>
      </c>
      <c r="T5" s="37" t="s">
        <v>27</v>
      </c>
      <c r="U5" s="37" t="s">
        <v>27</v>
      </c>
      <c r="V5" s="37" t="s">
        <v>27</v>
      </c>
      <c r="W5" s="37" t="s">
        <v>27</v>
      </c>
      <c r="X5" s="37" t="s">
        <v>27</v>
      </c>
      <c r="Y5" s="37" t="s">
        <v>27</v>
      </c>
      <c r="Z5" s="37" t="s">
        <v>27</v>
      </c>
      <c r="AA5" s="37" t="s">
        <v>27</v>
      </c>
      <c r="AB5" s="37" t="s">
        <v>27</v>
      </c>
    </row>
    <row r="6" spans="1:28" ht="25.05" customHeight="1" x14ac:dyDescent="0.3"/>
    <row r="8" spans="1:28" x14ac:dyDescent="0.3">
      <c r="D8" s="160"/>
    </row>
  </sheetData>
  <mergeCells count="1">
    <mergeCell ref="A1:AB1"/>
  </mergeCells>
  <pageMargins left="0.511811024" right="0.511811024" top="1.84" bottom="0.78740157499999996" header="0.31496062000000002" footer="0.31496062000000002"/>
  <pageSetup paperSize="9" scale="86" orientation="landscape" horizontalDpi="360" verticalDpi="36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849B34-DC86-4B33-9B23-710B823BB188}">
  <sheetPr>
    <pageSetUpPr fitToPage="1"/>
  </sheetPr>
  <dimension ref="A1:AB9"/>
  <sheetViews>
    <sheetView workbookViewId="0">
      <selection activeCell="H16" sqref="H16"/>
    </sheetView>
  </sheetViews>
  <sheetFormatPr defaultRowHeight="14.4" x14ac:dyDescent="0.3"/>
  <cols>
    <col min="1" max="1" width="4.21875" style="1" customWidth="1"/>
    <col min="2" max="2" width="20.77734375" style="1" customWidth="1"/>
    <col min="3" max="3" width="6.109375" style="1" customWidth="1"/>
    <col min="4" max="4" width="11.77734375" style="1" hidden="1" customWidth="1"/>
    <col min="5" max="5" width="8" style="1" customWidth="1"/>
    <col min="6" max="6" width="7.21875" style="1" customWidth="1"/>
    <col min="7" max="7" width="5" style="1" customWidth="1"/>
    <col min="8" max="8" width="6.21875" style="1" customWidth="1"/>
    <col min="9" max="9" width="7" style="1" customWidth="1"/>
    <col min="10" max="10" width="6.77734375" style="1" customWidth="1"/>
    <col min="11" max="11" width="13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44140625" style="1" customWidth="1"/>
    <col min="17" max="17" width="3.88671875" style="1" customWidth="1"/>
    <col min="18" max="18" width="5.77734375" style="1" customWidth="1"/>
    <col min="19" max="19" width="6.6640625" style="1" customWidth="1"/>
    <col min="20" max="20" width="11.77734375" style="1" hidden="1" customWidth="1"/>
    <col min="21" max="21" width="8.77734375" style="1" hidden="1" customWidth="1"/>
    <col min="22" max="24" width="8.109375" style="1" customWidth="1"/>
    <col min="25" max="25" width="7.5546875" style="1" customWidth="1"/>
    <col min="26" max="26" width="7.6640625" style="1" customWidth="1"/>
    <col min="27" max="27" width="3.77734375" style="1" customWidth="1"/>
    <col min="28" max="28" width="10.5546875" style="1" customWidth="1"/>
    <col min="29" max="16384" width="8.88671875" style="1"/>
  </cols>
  <sheetData>
    <row r="1" spans="1:28" ht="18" customHeight="1" x14ac:dyDescent="0.35">
      <c r="A1" s="222" t="s">
        <v>324</v>
      </c>
      <c r="B1" s="222" t="s">
        <v>27</v>
      </c>
      <c r="C1" s="222" t="s">
        <v>27</v>
      </c>
      <c r="D1" s="222" t="s">
        <v>27</v>
      </c>
      <c r="E1" s="222" t="s">
        <v>27</v>
      </c>
      <c r="F1" s="222" t="s">
        <v>27</v>
      </c>
      <c r="G1" s="222" t="s">
        <v>27</v>
      </c>
      <c r="H1" s="222" t="s">
        <v>27</v>
      </c>
      <c r="I1" s="222" t="s">
        <v>27</v>
      </c>
      <c r="J1" s="222" t="s">
        <v>27</v>
      </c>
      <c r="K1" s="222" t="s">
        <v>27</v>
      </c>
      <c r="L1" s="222" t="s">
        <v>27</v>
      </c>
      <c r="M1" s="222" t="s">
        <v>27</v>
      </c>
      <c r="N1" s="222" t="s">
        <v>27</v>
      </c>
      <c r="O1" s="222" t="s">
        <v>27</v>
      </c>
      <c r="P1" s="222" t="s">
        <v>27</v>
      </c>
      <c r="Q1" s="222" t="s">
        <v>27</v>
      </c>
      <c r="R1" s="222" t="s">
        <v>27</v>
      </c>
      <c r="S1" s="222" t="s">
        <v>27</v>
      </c>
      <c r="T1" s="222" t="s">
        <v>27</v>
      </c>
      <c r="U1" s="222" t="s">
        <v>27</v>
      </c>
      <c r="V1" s="222" t="s">
        <v>27</v>
      </c>
      <c r="W1" s="222" t="s">
        <v>27</v>
      </c>
      <c r="X1" s="222" t="s">
        <v>27</v>
      </c>
      <c r="Y1" s="222" t="s">
        <v>27</v>
      </c>
      <c r="Z1" s="222" t="s">
        <v>27</v>
      </c>
      <c r="AA1" s="222" t="s">
        <v>27</v>
      </c>
      <c r="AB1" s="222" t="s">
        <v>27</v>
      </c>
    </row>
    <row r="2" spans="1:28" ht="54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ht="25.05" customHeight="1" x14ac:dyDescent="0.3">
      <c r="A3" s="34">
        <v>1</v>
      </c>
      <c r="B3" s="36" t="s">
        <v>135</v>
      </c>
      <c r="C3" s="34" t="s">
        <v>26</v>
      </c>
      <c r="D3" s="34" t="s">
        <v>276</v>
      </c>
      <c r="E3" s="34" t="s">
        <v>27</v>
      </c>
      <c r="F3" s="34">
        <v>262392</v>
      </c>
      <c r="G3" s="34" t="s">
        <v>317</v>
      </c>
      <c r="H3" s="34">
        <v>510</v>
      </c>
      <c r="I3" s="35">
        <v>0.76600000000000001</v>
      </c>
      <c r="J3" s="35">
        <v>1.43</v>
      </c>
      <c r="K3" s="34" t="s">
        <v>139</v>
      </c>
      <c r="L3" s="31">
        <v>558.64400000000001</v>
      </c>
      <c r="M3" s="33">
        <v>364.6</v>
      </c>
      <c r="N3" s="30">
        <v>5.0599999999999999E-2</v>
      </c>
      <c r="O3" s="32">
        <v>3.04</v>
      </c>
      <c r="P3" s="29">
        <v>331.3</v>
      </c>
      <c r="Q3" s="29">
        <v>2</v>
      </c>
      <c r="R3" s="29">
        <v>1600</v>
      </c>
      <c r="S3" s="31">
        <v>1.532</v>
      </c>
      <c r="T3" s="29">
        <v>68</v>
      </c>
      <c r="U3" s="30">
        <v>4.2500000000000003E-2</v>
      </c>
      <c r="V3" s="29" t="s">
        <v>28</v>
      </c>
      <c r="W3" s="29" t="s">
        <v>29</v>
      </c>
      <c r="X3" s="29" t="s">
        <v>28</v>
      </c>
      <c r="Y3" s="29" t="s">
        <v>28</v>
      </c>
      <c r="Z3" s="29" t="s">
        <v>28</v>
      </c>
      <c r="AA3" s="29" t="s">
        <v>30</v>
      </c>
      <c r="AB3" s="29" t="s">
        <v>138</v>
      </c>
    </row>
    <row r="4" spans="1:28" ht="25.05" customHeight="1" x14ac:dyDescent="0.3">
      <c r="A4" s="34">
        <v>2</v>
      </c>
      <c r="B4" s="36" t="s">
        <v>135</v>
      </c>
      <c r="C4" s="34" t="s">
        <v>26</v>
      </c>
      <c r="D4" s="34" t="s">
        <v>276</v>
      </c>
      <c r="E4" s="34" t="s">
        <v>27</v>
      </c>
      <c r="F4" s="34">
        <v>262391</v>
      </c>
      <c r="G4" s="34" t="s">
        <v>317</v>
      </c>
      <c r="H4" s="34">
        <v>380</v>
      </c>
      <c r="I4" s="35">
        <v>0.94599999999999995</v>
      </c>
      <c r="J4" s="35">
        <v>1.48</v>
      </c>
      <c r="K4" s="34" t="s">
        <v>137</v>
      </c>
      <c r="L4" s="31">
        <v>532.03</v>
      </c>
      <c r="M4" s="33">
        <v>562.4</v>
      </c>
      <c r="N4" s="30">
        <v>0.15620000000000001</v>
      </c>
      <c r="O4" s="32">
        <v>9.3699999999999992</v>
      </c>
      <c r="P4" s="29">
        <v>315.5</v>
      </c>
      <c r="Q4" s="29">
        <v>1</v>
      </c>
      <c r="R4" s="29">
        <v>1000</v>
      </c>
      <c r="S4" s="31">
        <v>0.94599999999999995</v>
      </c>
      <c r="T4" s="29">
        <v>54</v>
      </c>
      <c r="U4" s="30">
        <v>5.3999999999999999E-2</v>
      </c>
      <c r="V4" s="29" t="s">
        <v>28</v>
      </c>
      <c r="W4" s="29" t="s">
        <v>29</v>
      </c>
      <c r="X4" s="29" t="s">
        <v>28</v>
      </c>
      <c r="Y4" s="29" t="s">
        <v>28</v>
      </c>
      <c r="Z4" s="29" t="s">
        <v>28</v>
      </c>
      <c r="AA4" s="29" t="s">
        <v>33</v>
      </c>
      <c r="AB4" s="29" t="s">
        <v>136</v>
      </c>
    </row>
    <row r="5" spans="1:28" ht="25.05" customHeight="1" x14ac:dyDescent="0.3">
      <c r="A5" s="34">
        <v>3</v>
      </c>
      <c r="B5" s="36" t="s">
        <v>135</v>
      </c>
      <c r="C5" s="34" t="s">
        <v>296</v>
      </c>
      <c r="D5" s="34" t="s">
        <v>276</v>
      </c>
      <c r="E5" s="34" t="s">
        <v>27</v>
      </c>
      <c r="F5" s="34">
        <v>262388</v>
      </c>
      <c r="G5" s="34" t="s">
        <v>317</v>
      </c>
      <c r="H5" s="34">
        <v>1100</v>
      </c>
      <c r="I5" s="35">
        <v>0.57999999999999996</v>
      </c>
      <c r="J5" s="35">
        <v>1.38</v>
      </c>
      <c r="K5" s="34" t="s">
        <v>323</v>
      </c>
      <c r="L5" s="31">
        <v>880.44</v>
      </c>
      <c r="M5" s="33">
        <v>759</v>
      </c>
      <c r="N5" s="30">
        <v>0.10539999999999999</v>
      </c>
      <c r="O5" s="32">
        <v>6.32</v>
      </c>
      <c r="P5" s="29">
        <v>337.2</v>
      </c>
      <c r="Q5" s="29">
        <v>2</v>
      </c>
      <c r="R5" s="29">
        <v>1200</v>
      </c>
      <c r="S5" s="31">
        <v>1.1599999999999999</v>
      </c>
      <c r="T5" s="29">
        <v>40</v>
      </c>
      <c r="U5" s="30">
        <v>3.3300000000000003E-2</v>
      </c>
      <c r="V5" s="29" t="s">
        <v>42</v>
      </c>
      <c r="W5" s="29" t="s">
        <v>29</v>
      </c>
      <c r="X5" s="29" t="s">
        <v>28</v>
      </c>
      <c r="Y5" s="29" t="s">
        <v>27</v>
      </c>
      <c r="Z5" s="29" t="s">
        <v>27</v>
      </c>
      <c r="AA5" s="29" t="s">
        <v>33</v>
      </c>
      <c r="AB5" s="29" t="s">
        <v>322</v>
      </c>
    </row>
    <row r="6" spans="1:28" ht="25.05" customHeight="1" x14ac:dyDescent="0.3">
      <c r="A6" s="34">
        <v>4</v>
      </c>
      <c r="B6" s="36" t="s">
        <v>135</v>
      </c>
      <c r="C6" s="34" t="s">
        <v>36</v>
      </c>
      <c r="D6" s="34" t="s">
        <v>276</v>
      </c>
      <c r="E6" s="34" t="s">
        <v>27</v>
      </c>
      <c r="F6" s="34">
        <v>262387</v>
      </c>
      <c r="G6" s="34" t="s">
        <v>317</v>
      </c>
      <c r="H6" s="34">
        <v>2000</v>
      </c>
      <c r="I6" s="35">
        <v>0.56499999999999995</v>
      </c>
      <c r="J6" s="35">
        <v>2.2200000000000002</v>
      </c>
      <c r="K6" s="34" t="s">
        <v>321</v>
      </c>
      <c r="L6" s="31">
        <v>2508.6</v>
      </c>
      <c r="M6" s="33">
        <v>2220</v>
      </c>
      <c r="N6" s="30">
        <v>0.30830000000000002</v>
      </c>
      <c r="O6" s="32">
        <v>18.5</v>
      </c>
      <c r="P6" s="29">
        <v>865.5</v>
      </c>
      <c r="Q6" s="29">
        <v>2</v>
      </c>
      <c r="R6" s="29">
        <v>1150</v>
      </c>
      <c r="S6" s="31">
        <v>1.1299999999999999</v>
      </c>
      <c r="T6" s="29">
        <v>20</v>
      </c>
      <c r="U6" s="30">
        <v>1.7399999999999999E-2</v>
      </c>
      <c r="V6" s="29" t="s">
        <v>28</v>
      </c>
      <c r="W6" s="29" t="s">
        <v>28</v>
      </c>
      <c r="X6" s="29" t="s">
        <v>28</v>
      </c>
      <c r="Y6" s="29" t="s">
        <v>27</v>
      </c>
      <c r="Z6" s="29" t="s">
        <v>27</v>
      </c>
      <c r="AA6" s="29" t="s">
        <v>49</v>
      </c>
      <c r="AB6" s="29" t="s">
        <v>320</v>
      </c>
    </row>
    <row r="7" spans="1:28" ht="25.05" customHeight="1" x14ac:dyDescent="0.3">
      <c r="A7" s="34">
        <v>5</v>
      </c>
      <c r="B7" s="36" t="s">
        <v>135</v>
      </c>
      <c r="C7" s="34" t="s">
        <v>36</v>
      </c>
      <c r="D7" s="34" t="s">
        <v>276</v>
      </c>
      <c r="E7" s="34" t="s">
        <v>27</v>
      </c>
      <c r="F7" s="34">
        <v>262390</v>
      </c>
      <c r="G7" s="34" t="s">
        <v>317</v>
      </c>
      <c r="H7" s="34">
        <v>4000</v>
      </c>
      <c r="I7" s="35">
        <v>0.30399999999999999</v>
      </c>
      <c r="J7" s="35">
        <v>0.98</v>
      </c>
      <c r="K7" s="34" t="s">
        <v>319</v>
      </c>
      <c r="L7" s="31">
        <v>1191.68</v>
      </c>
      <c r="M7" s="33">
        <v>1960</v>
      </c>
      <c r="N7" s="30">
        <v>0.2722</v>
      </c>
      <c r="O7" s="32">
        <v>16.329999999999998</v>
      </c>
      <c r="P7" s="29">
        <v>411.1</v>
      </c>
      <c r="Q7" s="29">
        <v>2</v>
      </c>
      <c r="R7" s="29">
        <v>650</v>
      </c>
      <c r="S7" s="31">
        <v>0.60799999999999998</v>
      </c>
      <c r="T7" s="29">
        <v>42</v>
      </c>
      <c r="U7" s="30">
        <v>6.4600000000000005E-2</v>
      </c>
      <c r="V7" s="29" t="s">
        <v>28</v>
      </c>
      <c r="W7" s="29" t="s">
        <v>28</v>
      </c>
      <c r="X7" s="29" t="s">
        <v>28</v>
      </c>
      <c r="Y7" s="29" t="s">
        <v>27</v>
      </c>
      <c r="Z7" s="29" t="s">
        <v>27</v>
      </c>
      <c r="AA7" s="29" t="s">
        <v>33</v>
      </c>
      <c r="AB7" s="29" t="s">
        <v>318</v>
      </c>
    </row>
    <row r="8" spans="1:28" ht="25.05" customHeight="1" x14ac:dyDescent="0.3">
      <c r="A8" s="34">
        <v>6</v>
      </c>
      <c r="B8" s="36" t="s">
        <v>135</v>
      </c>
      <c r="C8" s="34" t="s">
        <v>36</v>
      </c>
      <c r="D8" s="34" t="s">
        <v>276</v>
      </c>
      <c r="E8" s="34" t="s">
        <v>27</v>
      </c>
      <c r="F8" s="34">
        <v>262389</v>
      </c>
      <c r="G8" s="34" t="s">
        <v>317</v>
      </c>
      <c r="H8" s="34">
        <v>2750</v>
      </c>
      <c r="I8" s="35">
        <v>0.27900000000000003</v>
      </c>
      <c r="J8" s="35">
        <v>1.26</v>
      </c>
      <c r="K8" s="34" t="s">
        <v>316</v>
      </c>
      <c r="L8" s="31">
        <v>966.73500000000001</v>
      </c>
      <c r="M8" s="33">
        <v>1732.5</v>
      </c>
      <c r="N8" s="30">
        <v>0.24060000000000001</v>
      </c>
      <c r="O8" s="32">
        <v>14.44</v>
      </c>
      <c r="P8" s="29">
        <v>333.5</v>
      </c>
      <c r="Q8" s="29">
        <v>2</v>
      </c>
      <c r="R8" s="29">
        <v>600</v>
      </c>
      <c r="S8" s="31">
        <v>0.55800000000000005</v>
      </c>
      <c r="T8" s="29">
        <v>42</v>
      </c>
      <c r="U8" s="30">
        <v>7.0000000000000007E-2</v>
      </c>
      <c r="V8" s="29" t="s">
        <v>28</v>
      </c>
      <c r="W8" s="29" t="s">
        <v>28</v>
      </c>
      <c r="X8" s="29" t="s">
        <v>28</v>
      </c>
      <c r="Y8" s="29" t="s">
        <v>27</v>
      </c>
      <c r="Z8" s="29" t="s">
        <v>27</v>
      </c>
      <c r="AA8" s="29" t="s">
        <v>33</v>
      </c>
      <c r="AB8" s="29" t="s">
        <v>315</v>
      </c>
    </row>
    <row r="9" spans="1:28" ht="25.05" customHeight="1" x14ac:dyDescent="0.3">
      <c r="A9" s="28" t="s">
        <v>27</v>
      </c>
      <c r="B9" s="28" t="s">
        <v>27</v>
      </c>
      <c r="C9" s="28" t="s">
        <v>27</v>
      </c>
      <c r="D9" s="28" t="s">
        <v>27</v>
      </c>
      <c r="E9" s="28" t="s">
        <v>27</v>
      </c>
      <c r="F9" s="28" t="s">
        <v>27</v>
      </c>
      <c r="G9" s="28" t="s">
        <v>27</v>
      </c>
      <c r="H9" s="28">
        <v>10740</v>
      </c>
      <c r="I9" s="28" t="s">
        <v>27</v>
      </c>
      <c r="J9" s="28" t="s">
        <v>27</v>
      </c>
      <c r="K9" s="28" t="s">
        <v>27</v>
      </c>
      <c r="L9" s="27" t="s">
        <v>27</v>
      </c>
      <c r="M9" s="27" t="s">
        <v>27</v>
      </c>
      <c r="N9" s="27" t="s">
        <v>27</v>
      </c>
      <c r="O9" s="27" t="s">
        <v>27</v>
      </c>
      <c r="P9" s="27">
        <v>2594.1</v>
      </c>
      <c r="Q9" s="27" t="s">
        <v>27</v>
      </c>
      <c r="R9" s="27" t="s">
        <v>27</v>
      </c>
      <c r="S9" s="27" t="s">
        <v>27</v>
      </c>
      <c r="T9" s="27" t="s">
        <v>27</v>
      </c>
      <c r="U9" s="27" t="s">
        <v>27</v>
      </c>
      <c r="V9" s="27" t="s">
        <v>27</v>
      </c>
      <c r="W9" s="27" t="s">
        <v>27</v>
      </c>
      <c r="X9" s="27" t="s">
        <v>27</v>
      </c>
      <c r="Y9" s="27" t="s">
        <v>27</v>
      </c>
      <c r="Z9" s="27" t="s">
        <v>27</v>
      </c>
      <c r="AA9" s="27" t="s">
        <v>27</v>
      </c>
      <c r="AB9" s="27" t="s">
        <v>27</v>
      </c>
    </row>
  </sheetData>
  <mergeCells count="1">
    <mergeCell ref="A1:AB1"/>
  </mergeCells>
  <pageMargins left="0.511811024" right="0.511811024" top="1.63" bottom="0.78740157499999996" header="0.31496062000000002" footer="0.31496062000000002"/>
  <pageSetup scale="79" orientation="landscape" horizontalDpi="360" verticalDpi="36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D4A50-F39E-46BC-B44A-89840FB14E42}">
  <sheetPr>
    <pageSetUpPr fitToPage="1"/>
  </sheetPr>
  <dimension ref="A1:AB7"/>
  <sheetViews>
    <sheetView workbookViewId="0">
      <selection activeCell="I3" sqref="I3"/>
    </sheetView>
  </sheetViews>
  <sheetFormatPr defaultRowHeight="14.4" x14ac:dyDescent="0.3"/>
  <cols>
    <col min="1" max="1" width="4.332031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8.44140625" style="3" customWidth="1"/>
    <col min="6" max="6" width="7.6640625" style="3" customWidth="1"/>
    <col min="7" max="7" width="7.77734375" style="3" hidden="1" customWidth="1"/>
    <col min="8" max="8" width="5.6640625" style="3" customWidth="1"/>
    <col min="9" max="9" width="6.33203125" style="3" customWidth="1"/>
    <col min="10" max="10" width="7.5546875" style="3" customWidth="1"/>
    <col min="11" max="11" width="18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109375" style="3" customWidth="1"/>
    <col min="17" max="17" width="3.88671875" style="3" customWidth="1"/>
    <col min="18" max="18" width="6.109375" style="3" customWidth="1"/>
    <col min="19" max="19" width="6.5546875" style="3" customWidth="1"/>
    <col min="20" max="20" width="11.77734375" style="3" hidden="1" customWidth="1"/>
    <col min="21" max="21" width="8.77734375" style="3" hidden="1" customWidth="1"/>
    <col min="22" max="23" width="8" style="3" customWidth="1"/>
    <col min="24" max="24" width="7.44140625" style="3" customWidth="1"/>
    <col min="25" max="25" width="8.6640625" style="3" customWidth="1"/>
    <col min="26" max="26" width="8.88671875" style="3" customWidth="1"/>
    <col min="27" max="27" width="4.21875" style="3" customWidth="1"/>
    <col min="28" max="28" width="11.33203125" style="3" customWidth="1"/>
    <col min="29" max="16384" width="8.88671875" style="3"/>
  </cols>
  <sheetData>
    <row r="1" spans="1:28" ht="18" customHeight="1" x14ac:dyDescent="0.35">
      <c r="A1" s="226" t="s">
        <v>281</v>
      </c>
      <c r="B1" s="226" t="s">
        <v>27</v>
      </c>
      <c r="C1" s="226" t="s">
        <v>27</v>
      </c>
      <c r="D1" s="226" t="s">
        <v>27</v>
      </c>
      <c r="E1" s="226" t="s">
        <v>27</v>
      </c>
      <c r="F1" s="226" t="s">
        <v>27</v>
      </c>
      <c r="G1" s="226" t="s">
        <v>27</v>
      </c>
      <c r="H1" s="226" t="s">
        <v>27</v>
      </c>
      <c r="I1" s="226" t="s">
        <v>27</v>
      </c>
      <c r="J1" s="226" t="s">
        <v>27</v>
      </c>
      <c r="K1" s="226" t="s">
        <v>27</v>
      </c>
      <c r="L1" s="226" t="s">
        <v>27</v>
      </c>
      <c r="M1" s="226" t="s">
        <v>27</v>
      </c>
      <c r="N1" s="226" t="s">
        <v>27</v>
      </c>
      <c r="O1" s="226" t="s">
        <v>27</v>
      </c>
      <c r="P1" s="226" t="s">
        <v>27</v>
      </c>
      <c r="Q1" s="226" t="s">
        <v>27</v>
      </c>
      <c r="R1" s="226" t="s">
        <v>27</v>
      </c>
      <c r="S1" s="226" t="s">
        <v>27</v>
      </c>
      <c r="T1" s="226" t="s">
        <v>27</v>
      </c>
      <c r="U1" s="226" t="s">
        <v>27</v>
      </c>
      <c r="V1" s="226" t="s">
        <v>27</v>
      </c>
      <c r="W1" s="226" t="s">
        <v>27</v>
      </c>
      <c r="X1" s="226" t="s">
        <v>27</v>
      </c>
      <c r="Y1" s="226" t="s">
        <v>27</v>
      </c>
      <c r="Z1" s="226" t="s">
        <v>27</v>
      </c>
      <c r="AA1" s="226" t="s">
        <v>27</v>
      </c>
      <c r="AB1" s="226" t="s">
        <v>27</v>
      </c>
    </row>
    <row r="2" spans="1:28" ht="51" customHeight="1" x14ac:dyDescent="0.3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 x14ac:dyDescent="0.3">
      <c r="A3" s="74">
        <v>1</v>
      </c>
      <c r="B3" s="76" t="s">
        <v>277</v>
      </c>
      <c r="C3" s="74" t="s">
        <v>36</v>
      </c>
      <c r="D3" s="74" t="s">
        <v>276</v>
      </c>
      <c r="E3" s="74" t="s">
        <v>27</v>
      </c>
      <c r="F3" s="74">
        <v>262365</v>
      </c>
      <c r="G3" s="74" t="s">
        <v>275</v>
      </c>
      <c r="H3" s="74">
        <v>700</v>
      </c>
      <c r="I3" s="75">
        <v>0.55000000000000004</v>
      </c>
      <c r="J3" s="75">
        <v>1.0900000000000001</v>
      </c>
      <c r="K3" s="74" t="s">
        <v>34</v>
      </c>
      <c r="L3" s="71">
        <v>289.8</v>
      </c>
      <c r="M3" s="73">
        <v>210</v>
      </c>
      <c r="N3" s="70">
        <v>1.9400000000000001E-2</v>
      </c>
      <c r="O3" s="72">
        <v>1.17</v>
      </c>
      <c r="P3" s="69">
        <v>100</v>
      </c>
      <c r="Q3" s="69">
        <v>3</v>
      </c>
      <c r="R3" s="69">
        <v>1400</v>
      </c>
      <c r="S3" s="71">
        <v>1.38</v>
      </c>
      <c r="T3" s="69">
        <v>20</v>
      </c>
      <c r="U3" s="70">
        <v>1.43E-2</v>
      </c>
      <c r="V3" s="69" t="s">
        <v>28</v>
      </c>
      <c r="W3" s="69" t="s">
        <v>28</v>
      </c>
      <c r="X3" s="69" t="s">
        <v>28</v>
      </c>
      <c r="Y3" s="69" t="s">
        <v>27</v>
      </c>
      <c r="Z3" s="69" t="s">
        <v>27</v>
      </c>
      <c r="AA3" s="69" t="s">
        <v>39</v>
      </c>
      <c r="AB3" s="69" t="s">
        <v>280</v>
      </c>
    </row>
    <row r="4" spans="1:28" ht="25.05" customHeight="1" x14ac:dyDescent="0.3">
      <c r="A4" s="74">
        <v>2</v>
      </c>
      <c r="B4" s="76" t="s">
        <v>277</v>
      </c>
      <c r="C4" s="74" t="s">
        <v>43</v>
      </c>
      <c r="D4" s="74" t="s">
        <v>236</v>
      </c>
      <c r="E4" s="74" t="s">
        <v>27</v>
      </c>
      <c r="F4" s="74">
        <v>262362</v>
      </c>
      <c r="G4" s="74" t="s">
        <v>275</v>
      </c>
      <c r="H4" s="74">
        <v>3000</v>
      </c>
      <c r="I4" s="75">
        <v>0.55400000000000005</v>
      </c>
      <c r="J4" s="75">
        <v>2.2040000000000002</v>
      </c>
      <c r="K4" s="74" t="s">
        <v>69</v>
      </c>
      <c r="L4" s="71">
        <v>3663.0479999999998</v>
      </c>
      <c r="M4" s="73">
        <v>3306</v>
      </c>
      <c r="N4" s="70">
        <v>0.4592</v>
      </c>
      <c r="O4" s="72">
        <v>27.55</v>
      </c>
      <c r="P4" s="69">
        <v>1348</v>
      </c>
      <c r="Q4" s="69">
        <v>2</v>
      </c>
      <c r="R4" s="69">
        <v>1150</v>
      </c>
      <c r="S4" s="71">
        <v>1.1080000000000001</v>
      </c>
      <c r="T4" s="69">
        <v>42</v>
      </c>
      <c r="U4" s="70">
        <v>3.6499999999999998E-2</v>
      </c>
      <c r="V4" s="69" t="s">
        <v>29</v>
      </c>
      <c r="W4" s="69" t="s">
        <v>29</v>
      </c>
      <c r="X4" s="69" t="s">
        <v>28</v>
      </c>
      <c r="Y4" s="69" t="s">
        <v>27</v>
      </c>
      <c r="Z4" s="69" t="s">
        <v>27</v>
      </c>
      <c r="AA4" s="69" t="s">
        <v>55</v>
      </c>
      <c r="AB4" s="69" t="s">
        <v>68</v>
      </c>
    </row>
    <row r="5" spans="1:28" ht="25.05" customHeight="1" x14ac:dyDescent="0.3">
      <c r="A5" s="74">
        <v>3</v>
      </c>
      <c r="B5" s="76" t="s">
        <v>277</v>
      </c>
      <c r="C5" s="74" t="s">
        <v>36</v>
      </c>
      <c r="D5" s="74" t="s">
        <v>276</v>
      </c>
      <c r="E5" s="74" t="s">
        <v>27</v>
      </c>
      <c r="F5" s="74">
        <v>262363</v>
      </c>
      <c r="G5" s="74" t="s">
        <v>275</v>
      </c>
      <c r="H5" s="74">
        <v>2000</v>
      </c>
      <c r="I5" s="75">
        <v>0.40400000000000003</v>
      </c>
      <c r="J5" s="75">
        <v>1.39</v>
      </c>
      <c r="K5" s="74" t="s">
        <v>279</v>
      </c>
      <c r="L5" s="71">
        <v>1123.1199999999999</v>
      </c>
      <c r="M5" s="73">
        <v>1390</v>
      </c>
      <c r="N5" s="70">
        <v>0.19309999999999999</v>
      </c>
      <c r="O5" s="72">
        <v>11.58</v>
      </c>
      <c r="P5" s="69">
        <v>387.5</v>
      </c>
      <c r="Q5" s="69">
        <v>2</v>
      </c>
      <c r="R5" s="69">
        <v>850</v>
      </c>
      <c r="S5" s="71">
        <v>0.80800000000000005</v>
      </c>
      <c r="T5" s="69">
        <v>42</v>
      </c>
      <c r="U5" s="70">
        <v>4.9399999999999999E-2</v>
      </c>
      <c r="V5" s="69" t="s">
        <v>28</v>
      </c>
      <c r="W5" s="69" t="s">
        <v>28</v>
      </c>
      <c r="X5" s="69" t="s">
        <v>28</v>
      </c>
      <c r="Y5" s="69" t="s">
        <v>27</v>
      </c>
      <c r="Z5" s="69" t="s">
        <v>27</v>
      </c>
      <c r="AA5" s="69" t="s">
        <v>30</v>
      </c>
      <c r="AB5" s="69" t="s">
        <v>278</v>
      </c>
    </row>
    <row r="6" spans="1:28" ht="25.05" customHeight="1" x14ac:dyDescent="0.3">
      <c r="A6" s="74">
        <v>4</v>
      </c>
      <c r="B6" s="76" t="s">
        <v>277</v>
      </c>
      <c r="C6" s="74" t="s">
        <v>36</v>
      </c>
      <c r="D6" s="74" t="s">
        <v>276</v>
      </c>
      <c r="E6" s="74" t="s">
        <v>27</v>
      </c>
      <c r="F6" s="74">
        <v>262364</v>
      </c>
      <c r="G6" s="74" t="s">
        <v>275</v>
      </c>
      <c r="H6" s="74">
        <v>6000</v>
      </c>
      <c r="I6" s="75">
        <v>0.41</v>
      </c>
      <c r="J6" s="75">
        <v>0.59</v>
      </c>
      <c r="K6" s="74" t="s">
        <v>44</v>
      </c>
      <c r="L6" s="71">
        <v>725.7</v>
      </c>
      <c r="M6" s="73">
        <v>1770</v>
      </c>
      <c r="N6" s="70">
        <v>0.49170000000000003</v>
      </c>
      <c r="O6" s="72">
        <v>29.5</v>
      </c>
      <c r="P6" s="69">
        <v>250.4</v>
      </c>
      <c r="Q6" s="69">
        <v>1</v>
      </c>
      <c r="R6" s="69">
        <v>450</v>
      </c>
      <c r="S6" s="71">
        <v>0.41</v>
      </c>
      <c r="T6" s="69">
        <v>40</v>
      </c>
      <c r="U6" s="70">
        <v>8.8900000000000007E-2</v>
      </c>
      <c r="V6" s="69" t="s">
        <v>28</v>
      </c>
      <c r="W6" s="69" t="s">
        <v>28</v>
      </c>
      <c r="X6" s="69" t="s">
        <v>28</v>
      </c>
      <c r="Y6" s="69" t="s">
        <v>27</v>
      </c>
      <c r="Z6" s="69" t="s">
        <v>27</v>
      </c>
      <c r="AA6" s="69" t="s">
        <v>39</v>
      </c>
      <c r="AB6" s="69" t="s">
        <v>274</v>
      </c>
    </row>
    <row r="7" spans="1:28" ht="25.05" customHeight="1" x14ac:dyDescent="0.3">
      <c r="A7" s="68" t="s">
        <v>27</v>
      </c>
      <c r="B7" s="68" t="s">
        <v>27</v>
      </c>
      <c r="C7" s="68" t="s">
        <v>27</v>
      </c>
      <c r="D7" s="68" t="s">
        <v>27</v>
      </c>
      <c r="E7" s="68" t="s">
        <v>27</v>
      </c>
      <c r="F7" s="68" t="s">
        <v>27</v>
      </c>
      <c r="G7" s="68" t="s">
        <v>27</v>
      </c>
      <c r="H7" s="68">
        <v>8700</v>
      </c>
      <c r="I7" s="68" t="s">
        <v>27</v>
      </c>
      <c r="J7" s="68" t="s">
        <v>27</v>
      </c>
      <c r="K7" s="68" t="s">
        <v>27</v>
      </c>
      <c r="L7" s="67" t="s">
        <v>27</v>
      </c>
      <c r="M7" s="67" t="s">
        <v>27</v>
      </c>
      <c r="N7" s="67" t="s">
        <v>27</v>
      </c>
      <c r="O7" s="67" t="s">
        <v>27</v>
      </c>
      <c r="P7" s="67">
        <v>2085.8000000000002</v>
      </c>
      <c r="Q7" s="67" t="s">
        <v>27</v>
      </c>
      <c r="R7" s="67" t="s">
        <v>27</v>
      </c>
      <c r="S7" s="67" t="s">
        <v>27</v>
      </c>
      <c r="T7" s="67" t="s">
        <v>27</v>
      </c>
      <c r="U7" s="67" t="s">
        <v>27</v>
      </c>
      <c r="V7" s="67" t="s">
        <v>27</v>
      </c>
      <c r="W7" s="67" t="s">
        <v>27</v>
      </c>
      <c r="X7" s="67" t="s">
        <v>27</v>
      </c>
      <c r="Y7" s="67" t="s">
        <v>27</v>
      </c>
      <c r="Z7" s="67" t="s">
        <v>27</v>
      </c>
      <c r="AA7" s="67" t="s">
        <v>27</v>
      </c>
      <c r="AB7" s="67" t="s">
        <v>27</v>
      </c>
    </row>
  </sheetData>
  <mergeCells count="1">
    <mergeCell ref="A1:AB1"/>
  </mergeCells>
  <pageMargins left="0.511811024" right="0.511811024" top="1.49" bottom="0.78740157499999996" header="0.31496062000000002" footer="0.31496062000000002"/>
  <pageSetup paperSize="9" scale="93" orientation="landscape" horizontalDpi="360" verticalDpi="36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2D508C-7F8C-4A64-B0B5-51BA58B65EAF}">
  <sheetPr>
    <pageSetUpPr fitToPage="1"/>
  </sheetPr>
  <dimension ref="A1:AB27"/>
  <sheetViews>
    <sheetView topLeftCell="A4" workbookViewId="0">
      <selection activeCell="AD8" sqref="AD8"/>
    </sheetView>
  </sheetViews>
  <sheetFormatPr defaultRowHeight="14.4" x14ac:dyDescent="0.3"/>
  <cols>
    <col min="1" max="1" width="4.6640625" style="1" customWidth="1"/>
    <col min="2" max="2" width="20.77734375" style="1" hidden="1" customWidth="1"/>
    <col min="3" max="3" width="6" style="1" customWidth="1"/>
    <col min="4" max="4" width="11.77734375" style="1" hidden="1" customWidth="1"/>
    <col min="5" max="5" width="8.77734375" style="1" customWidth="1"/>
    <col min="6" max="6" width="6.77734375" style="1" customWidth="1"/>
    <col min="7" max="7" width="5.5546875" style="1" customWidth="1"/>
    <col min="8" max="8" width="6.44140625" style="1" customWidth="1"/>
    <col min="9" max="9" width="5.88671875" style="1" customWidth="1"/>
    <col min="10" max="10" width="6.6640625" style="1" customWidth="1"/>
    <col min="11" max="11" width="13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77734375" style="1" customWidth="1"/>
    <col min="17" max="17" width="3.88671875" style="1" customWidth="1"/>
    <col min="18" max="18" width="5.21875" style="1" customWidth="1"/>
    <col min="19" max="19" width="5.8867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7.5546875" style="1" customWidth="1"/>
    <col min="24" max="25" width="8.33203125" style="1" customWidth="1"/>
    <col min="26" max="26" width="7.88671875" style="1" customWidth="1"/>
    <col min="27" max="27" width="3.109375" style="1" customWidth="1"/>
    <col min="28" max="28" width="16.77734375" style="1" customWidth="1"/>
    <col min="29" max="16384" width="8.88671875" style="1"/>
  </cols>
  <sheetData>
    <row r="1" spans="1:28" ht="18" customHeight="1" x14ac:dyDescent="0.35">
      <c r="A1" s="222" t="s">
        <v>258</v>
      </c>
      <c r="B1" s="222" t="s">
        <v>27</v>
      </c>
      <c r="C1" s="222" t="s">
        <v>27</v>
      </c>
      <c r="D1" s="222" t="s">
        <v>27</v>
      </c>
      <c r="E1" s="222" t="s">
        <v>27</v>
      </c>
      <c r="F1" s="222" t="s">
        <v>27</v>
      </c>
      <c r="G1" s="222" t="s">
        <v>27</v>
      </c>
      <c r="H1" s="222" t="s">
        <v>27</v>
      </c>
      <c r="I1" s="222" t="s">
        <v>27</v>
      </c>
      <c r="J1" s="222" t="s">
        <v>27</v>
      </c>
      <c r="K1" s="222" t="s">
        <v>27</v>
      </c>
      <c r="L1" s="222" t="s">
        <v>27</v>
      </c>
      <c r="M1" s="222" t="s">
        <v>27</v>
      </c>
      <c r="N1" s="222" t="s">
        <v>27</v>
      </c>
      <c r="O1" s="222" t="s">
        <v>27</v>
      </c>
      <c r="P1" s="222" t="s">
        <v>27</v>
      </c>
      <c r="Q1" s="222" t="s">
        <v>27</v>
      </c>
      <c r="R1" s="222" t="s">
        <v>27</v>
      </c>
      <c r="S1" s="222" t="s">
        <v>27</v>
      </c>
      <c r="T1" s="222" t="s">
        <v>27</v>
      </c>
      <c r="U1" s="222" t="s">
        <v>27</v>
      </c>
      <c r="V1" s="222" t="s">
        <v>27</v>
      </c>
      <c r="W1" s="222" t="s">
        <v>27</v>
      </c>
      <c r="X1" s="222" t="s">
        <v>27</v>
      </c>
      <c r="Y1" s="222" t="s">
        <v>27</v>
      </c>
      <c r="Z1" s="222" t="s">
        <v>27</v>
      </c>
      <c r="AA1" s="222" t="s">
        <v>27</v>
      </c>
      <c r="AB1" s="222" t="s">
        <v>27</v>
      </c>
    </row>
    <row r="2" spans="1:28" ht="51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63</v>
      </c>
      <c r="C3" s="5" t="s">
        <v>26</v>
      </c>
      <c r="D3" s="5" t="s">
        <v>236</v>
      </c>
      <c r="E3" s="5" t="s">
        <v>27</v>
      </c>
      <c r="F3" s="5">
        <v>262353</v>
      </c>
      <c r="G3" s="5" t="s">
        <v>243</v>
      </c>
      <c r="H3" s="5">
        <v>1750</v>
      </c>
      <c r="I3" s="7">
        <v>0.73699999999999999</v>
      </c>
      <c r="J3" s="7">
        <v>1.845</v>
      </c>
      <c r="K3" s="5" t="s">
        <v>212</v>
      </c>
      <c r="L3" s="7">
        <v>2379.5889999999999</v>
      </c>
      <c r="M3" s="9">
        <v>1614.4</v>
      </c>
      <c r="N3" s="6">
        <v>0.22420000000000001</v>
      </c>
      <c r="O3" s="8">
        <v>13.45</v>
      </c>
      <c r="P3" s="5">
        <v>1411.1</v>
      </c>
      <c r="Q3" s="5">
        <v>2</v>
      </c>
      <c r="R3" s="5">
        <v>1500</v>
      </c>
      <c r="S3" s="7">
        <v>1.474</v>
      </c>
      <c r="T3" s="5">
        <v>26</v>
      </c>
      <c r="U3" s="6">
        <v>1.7299999999999999E-2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70</v>
      </c>
      <c r="AB3" s="5" t="s">
        <v>257</v>
      </c>
    </row>
    <row r="4" spans="1:28" s="12" customFormat="1" ht="25.05" customHeight="1" x14ac:dyDescent="0.3">
      <c r="A4" s="5">
        <v>2</v>
      </c>
      <c r="B4" s="10" t="s">
        <v>63</v>
      </c>
      <c r="C4" s="5" t="s">
        <v>26</v>
      </c>
      <c r="D4" s="5" t="s">
        <v>236</v>
      </c>
      <c r="E4" s="5" t="s">
        <v>27</v>
      </c>
      <c r="F4" s="5">
        <v>262351</v>
      </c>
      <c r="G4" s="5" t="s">
        <v>243</v>
      </c>
      <c r="H4" s="5">
        <v>600</v>
      </c>
      <c r="I4" s="7">
        <v>0.70599999999999996</v>
      </c>
      <c r="J4" s="7">
        <v>1.498</v>
      </c>
      <c r="K4" s="5" t="s">
        <v>256</v>
      </c>
      <c r="L4" s="7">
        <v>634.553</v>
      </c>
      <c r="M4" s="9">
        <v>449.4</v>
      </c>
      <c r="N4" s="6">
        <v>6.2399999999999997E-2</v>
      </c>
      <c r="O4" s="8">
        <v>3.74</v>
      </c>
      <c r="P4" s="5">
        <v>376.3</v>
      </c>
      <c r="Q4" s="5">
        <v>2</v>
      </c>
      <c r="R4" s="5">
        <v>1450</v>
      </c>
      <c r="S4" s="7">
        <v>1.4119999999999999</v>
      </c>
      <c r="T4" s="5">
        <v>38</v>
      </c>
      <c r="U4" s="6">
        <v>2.6200000000000001E-2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32</v>
      </c>
      <c r="AB4" s="5" t="s">
        <v>255</v>
      </c>
    </row>
    <row r="5" spans="1:28" s="12" customFormat="1" ht="25.05" customHeight="1" x14ac:dyDescent="0.3">
      <c r="A5" s="5">
        <v>3</v>
      </c>
      <c r="B5" s="10" t="s">
        <v>63</v>
      </c>
      <c r="C5" s="5" t="s">
        <v>26</v>
      </c>
      <c r="D5" s="5" t="s">
        <v>399</v>
      </c>
      <c r="E5" s="5" t="s">
        <v>27</v>
      </c>
      <c r="F5" s="5">
        <v>262432</v>
      </c>
      <c r="G5" s="5" t="s">
        <v>405</v>
      </c>
      <c r="H5" s="5">
        <v>660</v>
      </c>
      <c r="I5" s="7">
        <v>0.70199999999999996</v>
      </c>
      <c r="J5" s="7">
        <v>2.1280000000000001</v>
      </c>
      <c r="K5" s="5" t="s">
        <v>413</v>
      </c>
      <c r="L5" s="7">
        <v>985.94500000000005</v>
      </c>
      <c r="M5" s="9">
        <v>702.2</v>
      </c>
      <c r="N5" s="6">
        <v>9.7500000000000003E-2</v>
      </c>
      <c r="O5" s="8">
        <v>5.85</v>
      </c>
      <c r="P5" s="5">
        <v>584.70000000000005</v>
      </c>
      <c r="Q5" s="5">
        <v>2</v>
      </c>
      <c r="R5" s="5">
        <v>1450</v>
      </c>
      <c r="S5" s="7">
        <v>1.4039999999999999</v>
      </c>
      <c r="T5" s="5">
        <v>46</v>
      </c>
      <c r="U5" s="6">
        <v>3.1699999999999999E-2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32</v>
      </c>
      <c r="AB5" s="5" t="s">
        <v>412</v>
      </c>
    </row>
    <row r="6" spans="1:28" s="12" customFormat="1" ht="25.05" customHeight="1" x14ac:dyDescent="0.3">
      <c r="A6" s="5">
        <v>4</v>
      </c>
      <c r="B6" s="10" t="s">
        <v>63</v>
      </c>
      <c r="C6" s="5" t="s">
        <v>26</v>
      </c>
      <c r="D6" s="5" t="s">
        <v>236</v>
      </c>
      <c r="E6" s="5" t="s">
        <v>27</v>
      </c>
      <c r="F6" s="5">
        <v>262354</v>
      </c>
      <c r="G6" s="5" t="s">
        <v>243</v>
      </c>
      <c r="H6" s="5">
        <v>600</v>
      </c>
      <c r="I6" s="7">
        <v>0.64700000000000002</v>
      </c>
      <c r="J6" s="7">
        <v>1.679</v>
      </c>
      <c r="K6" s="5" t="s">
        <v>211</v>
      </c>
      <c r="L6" s="7">
        <v>651.78800000000001</v>
      </c>
      <c r="M6" s="9">
        <v>503.7</v>
      </c>
      <c r="N6" s="6">
        <v>7.0000000000000007E-2</v>
      </c>
      <c r="O6" s="8">
        <v>4.2</v>
      </c>
      <c r="P6" s="5">
        <v>386.5</v>
      </c>
      <c r="Q6" s="5">
        <v>2</v>
      </c>
      <c r="R6" s="5">
        <v>1350</v>
      </c>
      <c r="S6" s="7">
        <v>1.294</v>
      </c>
      <c r="T6" s="5">
        <v>56</v>
      </c>
      <c r="U6" s="6">
        <v>4.1500000000000002E-2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32</v>
      </c>
      <c r="AB6" s="5" t="s">
        <v>254</v>
      </c>
    </row>
    <row r="7" spans="1:28" s="12" customFormat="1" ht="25.05" customHeight="1" x14ac:dyDescent="0.3">
      <c r="A7" s="5">
        <v>5</v>
      </c>
      <c r="B7" s="10" t="s">
        <v>63</v>
      </c>
      <c r="C7" s="5" t="s">
        <v>26</v>
      </c>
      <c r="D7" s="5" t="s">
        <v>236</v>
      </c>
      <c r="E7" s="5" t="s">
        <v>27</v>
      </c>
      <c r="F7" s="5">
        <v>262355</v>
      </c>
      <c r="G7" s="5" t="s">
        <v>243</v>
      </c>
      <c r="H7" s="5">
        <v>330</v>
      </c>
      <c r="I7" s="7">
        <v>1.238</v>
      </c>
      <c r="J7" s="7">
        <v>2.0489999999999999</v>
      </c>
      <c r="K7" s="5" t="s">
        <v>209</v>
      </c>
      <c r="L7" s="7">
        <v>837.09799999999996</v>
      </c>
      <c r="M7" s="9">
        <v>676.2</v>
      </c>
      <c r="N7" s="6">
        <v>0.18779999999999999</v>
      </c>
      <c r="O7" s="8">
        <v>11.27</v>
      </c>
      <c r="P7" s="5">
        <v>496.4</v>
      </c>
      <c r="Q7" s="5">
        <v>1</v>
      </c>
      <c r="R7" s="5">
        <v>1300</v>
      </c>
      <c r="S7" s="7">
        <v>1.238</v>
      </c>
      <c r="T7" s="5">
        <v>62</v>
      </c>
      <c r="U7" s="6">
        <v>4.7699999999999999E-2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33</v>
      </c>
      <c r="AB7" s="5" t="s">
        <v>253</v>
      </c>
    </row>
    <row r="8" spans="1:28" s="12" customFormat="1" ht="25.05" customHeight="1" x14ac:dyDescent="0.3">
      <c r="A8" s="5">
        <v>6</v>
      </c>
      <c r="B8" s="10" t="s">
        <v>63</v>
      </c>
      <c r="C8" s="5" t="s">
        <v>26</v>
      </c>
      <c r="D8" s="5" t="s">
        <v>236</v>
      </c>
      <c r="E8" s="5" t="s">
        <v>27</v>
      </c>
      <c r="F8" s="5">
        <v>262430</v>
      </c>
      <c r="G8" s="5" t="s">
        <v>407</v>
      </c>
      <c r="H8" s="5">
        <v>4000</v>
      </c>
      <c r="I8" s="7">
        <v>0.58499999999999996</v>
      </c>
      <c r="J8" s="7">
        <v>1.2669999999999999</v>
      </c>
      <c r="K8" s="5" t="s">
        <v>411</v>
      </c>
      <c r="L8" s="7">
        <v>2964.78</v>
      </c>
      <c r="M8" s="9">
        <v>2534</v>
      </c>
      <c r="N8" s="6">
        <v>0.35189999999999999</v>
      </c>
      <c r="O8" s="8">
        <v>21.12</v>
      </c>
      <c r="P8" s="5">
        <v>1758.1</v>
      </c>
      <c r="Q8" s="5">
        <v>2</v>
      </c>
      <c r="R8" s="5">
        <v>1200</v>
      </c>
      <c r="S8" s="7">
        <v>1.17</v>
      </c>
      <c r="T8" s="5">
        <v>30</v>
      </c>
      <c r="U8" s="6">
        <v>2.5000000000000001E-2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72</v>
      </c>
      <c r="AB8" s="5" t="s">
        <v>410</v>
      </c>
    </row>
    <row r="9" spans="1:28" s="12" customFormat="1" ht="25.05" customHeight="1" x14ac:dyDescent="0.3">
      <c r="A9" s="5">
        <v>7</v>
      </c>
      <c r="B9" s="10" t="s">
        <v>63</v>
      </c>
      <c r="C9" s="5" t="s">
        <v>26</v>
      </c>
      <c r="D9" s="5" t="s">
        <v>236</v>
      </c>
      <c r="E9" s="5" t="s">
        <v>27</v>
      </c>
      <c r="F9" s="5">
        <v>262356</v>
      </c>
      <c r="G9" s="5" t="s">
        <v>243</v>
      </c>
      <c r="H9" s="5">
        <v>2200</v>
      </c>
      <c r="I9" s="7">
        <v>0.56200000000000006</v>
      </c>
      <c r="J9" s="7">
        <v>1.298</v>
      </c>
      <c r="K9" s="5" t="s">
        <v>206</v>
      </c>
      <c r="L9" s="7">
        <v>1604.847</v>
      </c>
      <c r="M9" s="9">
        <v>1427.8</v>
      </c>
      <c r="N9" s="6">
        <v>0.1983</v>
      </c>
      <c r="O9" s="8">
        <v>11.9</v>
      </c>
      <c r="P9" s="5">
        <v>951.7</v>
      </c>
      <c r="Q9" s="5">
        <v>2</v>
      </c>
      <c r="R9" s="5">
        <v>1150</v>
      </c>
      <c r="S9" s="7">
        <v>1.1240000000000001</v>
      </c>
      <c r="T9" s="5">
        <v>26</v>
      </c>
      <c r="U9" s="6">
        <v>2.2599999999999999E-2</v>
      </c>
      <c r="V9" s="5" t="s">
        <v>28</v>
      </c>
      <c r="W9" s="5" t="s">
        <v>29</v>
      </c>
      <c r="X9" s="5" t="s">
        <v>28</v>
      </c>
      <c r="Y9" s="5" t="s">
        <v>28</v>
      </c>
      <c r="Z9" s="5" t="s">
        <v>28</v>
      </c>
      <c r="AA9" s="5" t="s">
        <v>41</v>
      </c>
      <c r="AB9" s="5" t="s">
        <v>252</v>
      </c>
    </row>
    <row r="10" spans="1:28" s="12" customFormat="1" ht="25.05" customHeight="1" x14ac:dyDescent="0.3">
      <c r="A10" s="5">
        <v>8</v>
      </c>
      <c r="B10" s="10" t="s">
        <v>63</v>
      </c>
      <c r="C10" s="5" t="s">
        <v>26</v>
      </c>
      <c r="D10" s="5" t="s">
        <v>236</v>
      </c>
      <c r="E10" s="5" t="s">
        <v>27</v>
      </c>
      <c r="F10" s="5">
        <v>262358</v>
      </c>
      <c r="G10" s="5" t="s">
        <v>243</v>
      </c>
      <c r="H10" s="5">
        <v>250</v>
      </c>
      <c r="I10" s="7">
        <v>1.0009999999999999</v>
      </c>
      <c r="J10" s="7">
        <v>2.4390000000000001</v>
      </c>
      <c r="K10" s="5" t="s">
        <v>251</v>
      </c>
      <c r="L10" s="7">
        <v>610.36</v>
      </c>
      <c r="M10" s="9">
        <v>609.79999999999995</v>
      </c>
      <c r="N10" s="6">
        <v>0.1694</v>
      </c>
      <c r="O10" s="8">
        <v>10.16</v>
      </c>
      <c r="P10" s="5">
        <v>361.9</v>
      </c>
      <c r="Q10" s="5">
        <v>1</v>
      </c>
      <c r="R10" s="5">
        <v>1050</v>
      </c>
      <c r="S10" s="7">
        <v>1.0009999999999999</v>
      </c>
      <c r="T10" s="5">
        <v>49</v>
      </c>
      <c r="U10" s="6">
        <v>4.6699999999999998E-2</v>
      </c>
      <c r="V10" s="5" t="s">
        <v>28</v>
      </c>
      <c r="W10" s="5" t="s">
        <v>29</v>
      </c>
      <c r="X10" s="5" t="s">
        <v>28</v>
      </c>
      <c r="Y10" s="5" t="s">
        <v>28</v>
      </c>
      <c r="Z10" s="5" t="s">
        <v>28</v>
      </c>
      <c r="AA10" s="5" t="s">
        <v>33</v>
      </c>
      <c r="AB10" s="5" t="s">
        <v>250</v>
      </c>
    </row>
    <row r="11" spans="1:28" s="12" customFormat="1" ht="25.05" customHeight="1" x14ac:dyDescent="0.3">
      <c r="A11" s="5">
        <v>9</v>
      </c>
      <c r="B11" s="10" t="s">
        <v>63</v>
      </c>
      <c r="C11" s="5" t="s">
        <v>26</v>
      </c>
      <c r="D11" s="5" t="s">
        <v>236</v>
      </c>
      <c r="E11" s="5" t="s">
        <v>27</v>
      </c>
      <c r="F11" s="5">
        <v>262359</v>
      </c>
      <c r="G11" s="5" t="s">
        <v>243</v>
      </c>
      <c r="H11" s="5">
        <v>300</v>
      </c>
      <c r="I11" s="7">
        <v>0.98099999999999998</v>
      </c>
      <c r="J11" s="7">
        <v>2.0379999999999998</v>
      </c>
      <c r="K11" s="5" t="s">
        <v>249</v>
      </c>
      <c r="L11" s="7">
        <v>599.78300000000002</v>
      </c>
      <c r="M11" s="9">
        <v>611.4</v>
      </c>
      <c r="N11" s="6">
        <v>0.16980000000000001</v>
      </c>
      <c r="O11" s="8">
        <v>10.19</v>
      </c>
      <c r="P11" s="5">
        <v>355.7</v>
      </c>
      <c r="Q11" s="5">
        <v>1</v>
      </c>
      <c r="R11" s="5">
        <v>1050</v>
      </c>
      <c r="S11" s="7">
        <v>0.98099999999999998</v>
      </c>
      <c r="T11" s="5">
        <v>69</v>
      </c>
      <c r="U11" s="6">
        <v>6.5699999999999995E-2</v>
      </c>
      <c r="V11" s="5" t="s">
        <v>28</v>
      </c>
      <c r="W11" s="5" t="s">
        <v>29</v>
      </c>
      <c r="X11" s="5" t="s">
        <v>28</v>
      </c>
      <c r="Y11" s="5" t="s">
        <v>28</v>
      </c>
      <c r="Z11" s="5" t="s">
        <v>28</v>
      </c>
      <c r="AA11" s="5" t="s">
        <v>33</v>
      </c>
      <c r="AB11" s="5" t="s">
        <v>248</v>
      </c>
    </row>
    <row r="12" spans="1:28" s="12" customFormat="1" ht="25.05" customHeight="1" x14ac:dyDescent="0.3">
      <c r="A12" s="5">
        <v>10</v>
      </c>
      <c r="B12" s="10" t="s">
        <v>63</v>
      </c>
      <c r="C12" s="5" t="s">
        <v>26</v>
      </c>
      <c r="D12" s="5" t="s">
        <v>236</v>
      </c>
      <c r="E12" s="5" t="s">
        <v>27</v>
      </c>
      <c r="F12" s="5">
        <v>262352</v>
      </c>
      <c r="G12" s="5" t="s">
        <v>243</v>
      </c>
      <c r="H12" s="5">
        <v>600</v>
      </c>
      <c r="I12" s="7">
        <v>0.89900000000000002</v>
      </c>
      <c r="J12" s="7">
        <v>1.4279999999999999</v>
      </c>
      <c r="K12" s="5" t="s">
        <v>247</v>
      </c>
      <c r="L12" s="7">
        <v>770.26300000000003</v>
      </c>
      <c r="M12" s="9">
        <v>856.8</v>
      </c>
      <c r="N12" s="6">
        <v>0.23799999999999999</v>
      </c>
      <c r="O12" s="8">
        <v>14.28</v>
      </c>
      <c r="P12" s="5">
        <v>456.8</v>
      </c>
      <c r="Q12" s="5">
        <v>1</v>
      </c>
      <c r="R12" s="5">
        <v>950</v>
      </c>
      <c r="S12" s="7">
        <v>0.89900000000000002</v>
      </c>
      <c r="T12" s="5">
        <v>51</v>
      </c>
      <c r="U12" s="6">
        <v>5.3699999999999998E-2</v>
      </c>
      <c r="V12" s="5" t="s">
        <v>28</v>
      </c>
      <c r="W12" s="5" t="s">
        <v>29</v>
      </c>
      <c r="X12" s="5" t="s">
        <v>28</v>
      </c>
      <c r="Y12" s="5" t="s">
        <v>28</v>
      </c>
      <c r="Z12" s="5" t="s">
        <v>28</v>
      </c>
      <c r="AA12" s="5" t="s">
        <v>32</v>
      </c>
      <c r="AB12" s="5" t="s">
        <v>246</v>
      </c>
    </row>
    <row r="13" spans="1:28" s="12" customFormat="1" ht="25.05" customHeight="1" x14ac:dyDescent="0.3">
      <c r="A13" s="5">
        <v>11</v>
      </c>
      <c r="B13" s="10" t="s">
        <v>63</v>
      </c>
      <c r="C13" s="5" t="s">
        <v>26</v>
      </c>
      <c r="D13" s="5" t="s">
        <v>236</v>
      </c>
      <c r="E13" s="5" t="s">
        <v>27</v>
      </c>
      <c r="F13" s="5">
        <v>262350</v>
      </c>
      <c r="G13" s="5" t="s">
        <v>243</v>
      </c>
      <c r="H13" s="5">
        <v>1100</v>
      </c>
      <c r="I13" s="7">
        <v>0.85299999999999998</v>
      </c>
      <c r="J13" s="7">
        <v>2.1059999999999999</v>
      </c>
      <c r="K13" s="5" t="s">
        <v>245</v>
      </c>
      <c r="L13" s="7">
        <v>1976.06</v>
      </c>
      <c r="M13" s="9">
        <v>2316.6</v>
      </c>
      <c r="N13" s="6">
        <v>0.64349999999999996</v>
      </c>
      <c r="O13" s="8">
        <v>38.61</v>
      </c>
      <c r="P13" s="5">
        <v>1171.8</v>
      </c>
      <c r="Q13" s="5">
        <v>1</v>
      </c>
      <c r="R13" s="5">
        <v>900</v>
      </c>
      <c r="S13" s="7">
        <v>0.85299999999999998</v>
      </c>
      <c r="T13" s="5">
        <v>47</v>
      </c>
      <c r="U13" s="6">
        <v>5.2200000000000003E-2</v>
      </c>
      <c r="V13" s="5" t="s">
        <v>28</v>
      </c>
      <c r="W13" s="5" t="s">
        <v>29</v>
      </c>
      <c r="X13" s="5" t="s">
        <v>28</v>
      </c>
      <c r="Y13" s="5" t="s">
        <v>28</v>
      </c>
      <c r="Z13" s="5" t="s">
        <v>28</v>
      </c>
      <c r="AA13" s="5" t="s">
        <v>41</v>
      </c>
      <c r="AB13" s="5" t="s">
        <v>244</v>
      </c>
    </row>
    <row r="14" spans="1:28" s="12" customFormat="1" ht="25.05" customHeight="1" x14ac:dyDescent="0.3">
      <c r="A14" s="5">
        <v>12</v>
      </c>
      <c r="B14" s="10" t="s">
        <v>63</v>
      </c>
      <c r="C14" s="5" t="s">
        <v>26</v>
      </c>
      <c r="D14" s="13">
        <v>46262</v>
      </c>
      <c r="E14" s="5"/>
      <c r="F14" s="5">
        <v>262367</v>
      </c>
      <c r="G14" s="5">
        <v>8196</v>
      </c>
      <c r="H14" s="5">
        <v>500</v>
      </c>
      <c r="I14" s="7">
        <v>0.80700000000000005</v>
      </c>
      <c r="J14" s="7">
        <v>2.0379999999999998</v>
      </c>
      <c r="K14" s="5" t="s">
        <v>288</v>
      </c>
      <c r="L14" s="7">
        <v>822333</v>
      </c>
      <c r="M14" s="9" t="s">
        <v>289</v>
      </c>
      <c r="N14" s="6" t="s">
        <v>290</v>
      </c>
      <c r="O14" s="8" t="s">
        <v>291</v>
      </c>
      <c r="P14" s="5" t="s">
        <v>292</v>
      </c>
      <c r="Q14" s="5">
        <v>1</v>
      </c>
      <c r="R14" s="5">
        <v>850</v>
      </c>
      <c r="S14" s="7">
        <v>0.80700000000000005</v>
      </c>
      <c r="T14" s="5">
        <v>43</v>
      </c>
      <c r="U14" s="6" t="s">
        <v>293</v>
      </c>
      <c r="V14" s="5" t="s">
        <v>28</v>
      </c>
      <c r="W14" s="5" t="s">
        <v>29</v>
      </c>
      <c r="X14" s="5" t="s">
        <v>28</v>
      </c>
      <c r="Y14" s="5" t="s">
        <v>28</v>
      </c>
      <c r="Z14" s="5" t="s">
        <v>28</v>
      </c>
      <c r="AA14" s="5">
        <v>3</v>
      </c>
      <c r="AB14" s="5" t="s">
        <v>294</v>
      </c>
    </row>
    <row r="15" spans="1:28" s="12" customFormat="1" ht="25.05" customHeight="1" x14ac:dyDescent="0.3">
      <c r="A15" s="5">
        <v>13</v>
      </c>
      <c r="B15" s="10" t="s">
        <v>63</v>
      </c>
      <c r="C15" s="5" t="s">
        <v>65</v>
      </c>
      <c r="D15" s="5" t="s">
        <v>399</v>
      </c>
      <c r="E15" s="5" t="s">
        <v>27</v>
      </c>
      <c r="F15" s="5">
        <v>262431</v>
      </c>
      <c r="G15" s="5" t="s">
        <v>405</v>
      </c>
      <c r="H15" s="5">
        <v>710</v>
      </c>
      <c r="I15" s="7">
        <v>0.70199999999999996</v>
      </c>
      <c r="J15" s="7">
        <v>1.7989999999999999</v>
      </c>
      <c r="K15" s="5" t="s">
        <v>409</v>
      </c>
      <c r="L15" s="7">
        <v>896.65800000000002</v>
      </c>
      <c r="M15" s="9">
        <v>638.6</v>
      </c>
      <c r="N15" s="6">
        <v>8.8700000000000001E-2</v>
      </c>
      <c r="O15" s="8">
        <v>5.32</v>
      </c>
      <c r="P15" s="5">
        <v>309.3</v>
      </c>
      <c r="Q15" s="5">
        <v>2</v>
      </c>
      <c r="R15" s="5">
        <v>1450</v>
      </c>
      <c r="S15" s="7">
        <v>1.4039999999999999</v>
      </c>
      <c r="T15" s="5">
        <v>46</v>
      </c>
      <c r="U15" s="6">
        <v>3.1699999999999999E-2</v>
      </c>
      <c r="V15" s="5" t="s">
        <v>28</v>
      </c>
      <c r="W15" s="5" t="s">
        <v>28</v>
      </c>
      <c r="X15" s="5" t="s">
        <v>28</v>
      </c>
      <c r="Y15" s="5" t="s">
        <v>27</v>
      </c>
      <c r="Z15" s="5" t="s">
        <v>27</v>
      </c>
      <c r="AA15" s="5" t="s">
        <v>30</v>
      </c>
      <c r="AB15" s="5" t="s">
        <v>408</v>
      </c>
    </row>
    <row r="16" spans="1:28" s="12" customFormat="1" ht="25.05" customHeight="1" x14ac:dyDescent="0.3">
      <c r="A16" s="5">
        <v>14</v>
      </c>
      <c r="B16" s="10" t="s">
        <v>63</v>
      </c>
      <c r="C16" s="5" t="s">
        <v>65</v>
      </c>
      <c r="D16" s="5" t="s">
        <v>236</v>
      </c>
      <c r="E16" s="5" t="s">
        <v>27</v>
      </c>
      <c r="F16" s="5">
        <v>262429</v>
      </c>
      <c r="G16" s="5" t="s">
        <v>407</v>
      </c>
      <c r="H16" s="5">
        <v>6000</v>
      </c>
      <c r="I16" s="7">
        <v>0.873</v>
      </c>
      <c r="J16" s="7">
        <v>0.94299999999999995</v>
      </c>
      <c r="K16" s="5" t="s">
        <v>34</v>
      </c>
      <c r="L16" s="7">
        <v>4939.4340000000002</v>
      </c>
      <c r="M16" s="9">
        <v>5658</v>
      </c>
      <c r="N16" s="6">
        <v>1.5717000000000001</v>
      </c>
      <c r="O16" s="8">
        <v>94.3</v>
      </c>
      <c r="P16" s="5">
        <v>1704.1</v>
      </c>
      <c r="Q16" s="5">
        <v>1</v>
      </c>
      <c r="R16" s="5">
        <v>900</v>
      </c>
      <c r="S16" s="7">
        <v>0.873</v>
      </c>
      <c r="T16" s="5">
        <v>27</v>
      </c>
      <c r="U16" s="6">
        <v>0.03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355</v>
      </c>
      <c r="AB16" s="5" t="s">
        <v>406</v>
      </c>
    </row>
    <row r="17" spans="1:28" s="12" customFormat="1" ht="25.05" customHeight="1" x14ac:dyDescent="0.3">
      <c r="A17" s="5">
        <v>15</v>
      </c>
      <c r="B17" s="10" t="s">
        <v>63</v>
      </c>
      <c r="C17" s="5" t="s">
        <v>36</v>
      </c>
      <c r="D17" s="5" t="s">
        <v>399</v>
      </c>
      <c r="E17" s="5" t="s">
        <v>27</v>
      </c>
      <c r="F17" s="5">
        <v>262433</v>
      </c>
      <c r="G17" s="5" t="s">
        <v>405</v>
      </c>
      <c r="H17" s="5">
        <v>2800</v>
      </c>
      <c r="I17" s="7">
        <v>0.86399999999999999</v>
      </c>
      <c r="J17" s="7">
        <v>0.86399999999999999</v>
      </c>
      <c r="K17" s="5" t="s">
        <v>34</v>
      </c>
      <c r="L17" s="7">
        <v>2090.1889999999999</v>
      </c>
      <c r="M17" s="9">
        <v>2419.1999999999998</v>
      </c>
      <c r="N17" s="6">
        <v>0.67200000000000004</v>
      </c>
      <c r="O17" s="8">
        <v>40.32</v>
      </c>
      <c r="P17" s="5">
        <v>721.1</v>
      </c>
      <c r="Q17" s="5">
        <v>1</v>
      </c>
      <c r="R17" s="5">
        <v>900</v>
      </c>
      <c r="S17" s="7">
        <v>0.86399999999999999</v>
      </c>
      <c r="T17" s="5">
        <v>36</v>
      </c>
      <c r="U17" s="6">
        <v>0.04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32</v>
      </c>
      <c r="AB17" s="5" t="s">
        <v>404</v>
      </c>
    </row>
    <row r="18" spans="1:28" s="12" customFormat="1" ht="25.05" customHeight="1" x14ac:dyDescent="0.3">
      <c r="A18" s="5">
        <v>16</v>
      </c>
      <c r="B18" s="10" t="s">
        <v>63</v>
      </c>
      <c r="C18" s="5" t="s">
        <v>65</v>
      </c>
      <c r="D18" s="5" t="s">
        <v>236</v>
      </c>
      <c r="E18" s="5" t="s">
        <v>27</v>
      </c>
      <c r="F18" s="5">
        <v>262357</v>
      </c>
      <c r="G18" s="5" t="s">
        <v>243</v>
      </c>
      <c r="H18" s="5">
        <v>1200</v>
      </c>
      <c r="I18" s="7">
        <v>0.80100000000000005</v>
      </c>
      <c r="J18" s="7">
        <v>1.8380000000000001</v>
      </c>
      <c r="K18" s="5" t="s">
        <v>242</v>
      </c>
      <c r="L18" s="7">
        <v>1766.6859999999999</v>
      </c>
      <c r="M18" s="9">
        <v>2205.6</v>
      </c>
      <c r="N18" s="6">
        <v>0.61270000000000002</v>
      </c>
      <c r="O18" s="8">
        <v>36.76</v>
      </c>
      <c r="P18" s="5">
        <v>609.5</v>
      </c>
      <c r="Q18" s="5">
        <v>1</v>
      </c>
      <c r="R18" s="5">
        <v>850</v>
      </c>
      <c r="S18" s="7">
        <v>0.80100000000000005</v>
      </c>
      <c r="T18" s="5">
        <v>49</v>
      </c>
      <c r="U18" s="6">
        <v>5.7599999999999998E-2</v>
      </c>
      <c r="V18" s="5" t="s">
        <v>28</v>
      </c>
      <c r="W18" s="5" t="s">
        <v>28</v>
      </c>
      <c r="X18" s="5" t="s">
        <v>28</v>
      </c>
      <c r="Y18" s="5" t="s">
        <v>27</v>
      </c>
      <c r="Z18" s="5" t="s">
        <v>27</v>
      </c>
      <c r="AA18" s="5" t="s">
        <v>32</v>
      </c>
      <c r="AB18" s="5" t="s">
        <v>241</v>
      </c>
    </row>
    <row r="19" spans="1:28" s="12" customFormat="1" ht="25.05" customHeight="1" x14ac:dyDescent="0.3">
      <c r="A19" s="11" t="s">
        <v>27</v>
      </c>
      <c r="B19" s="11" t="s">
        <v>27</v>
      </c>
      <c r="C19" s="11" t="s">
        <v>27</v>
      </c>
      <c r="D19" s="11" t="s">
        <v>27</v>
      </c>
      <c r="E19" s="11" t="s">
        <v>27</v>
      </c>
      <c r="F19" s="11" t="s">
        <v>27</v>
      </c>
      <c r="G19" s="11" t="s">
        <v>27</v>
      </c>
      <c r="H19" s="11">
        <v>23600</v>
      </c>
      <c r="I19" s="11" t="s">
        <v>27</v>
      </c>
      <c r="J19" s="11" t="s">
        <v>27</v>
      </c>
      <c r="K19" s="11" t="s">
        <v>27</v>
      </c>
      <c r="L19" s="11" t="s">
        <v>27</v>
      </c>
      <c r="M19" s="11" t="s">
        <v>27</v>
      </c>
      <c r="N19" s="11" t="s">
        <v>27</v>
      </c>
      <c r="O19" s="11" t="s">
        <v>27</v>
      </c>
      <c r="P19" s="11">
        <v>11650</v>
      </c>
      <c r="Q19" s="11" t="s">
        <v>27</v>
      </c>
      <c r="R19" s="11" t="s">
        <v>27</v>
      </c>
      <c r="S19" s="11" t="s">
        <v>27</v>
      </c>
      <c r="T19" s="11" t="s">
        <v>27</v>
      </c>
      <c r="U19" s="11" t="s">
        <v>27</v>
      </c>
      <c r="V19" s="11" t="s">
        <v>27</v>
      </c>
      <c r="W19" s="11" t="s">
        <v>27</v>
      </c>
      <c r="X19" s="11" t="s">
        <v>27</v>
      </c>
      <c r="Y19" s="11" t="s">
        <v>27</v>
      </c>
      <c r="Z19" s="11" t="s">
        <v>27</v>
      </c>
      <c r="AA19" s="11" t="s">
        <v>27</v>
      </c>
      <c r="AB19" s="11" t="s">
        <v>27</v>
      </c>
    </row>
    <row r="27" spans="1:28" x14ac:dyDescent="0.3">
      <c r="K27" s="1" t="s">
        <v>259</v>
      </c>
    </row>
  </sheetData>
  <mergeCells count="1">
    <mergeCell ref="A1:AB1"/>
  </mergeCells>
  <pageMargins left="1.08" right="0.511811024" top="0.78740157499999996" bottom="0.78740157499999996" header="0.31496062000000002" footer="0.31496062000000002"/>
  <pageSetup paperSize="9" scale="78" orientation="landscape" horizontalDpi="300" verticalDpi="30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E02E20-38D6-4EFE-B90B-B596BB4061C2}">
  <sheetPr>
    <pageSetUpPr fitToPage="1"/>
  </sheetPr>
  <dimension ref="A1:AB18"/>
  <sheetViews>
    <sheetView zoomScale="84" zoomScaleNormal="84" workbookViewId="0">
      <selection activeCell="A14" sqref="A14:XFD14"/>
    </sheetView>
  </sheetViews>
  <sheetFormatPr defaultRowHeight="14.4" x14ac:dyDescent="0.3"/>
  <cols>
    <col min="1" max="1" width="4.109375" style="1" customWidth="1"/>
    <col min="2" max="2" width="20.77734375" style="1" hidden="1" customWidth="1"/>
    <col min="3" max="3" width="6.21875" style="1" customWidth="1"/>
    <col min="4" max="4" width="11.77734375" style="1" customWidth="1"/>
    <col min="5" max="5" width="9.33203125" style="1" customWidth="1"/>
    <col min="6" max="6" width="7.77734375" style="1" customWidth="1"/>
    <col min="7" max="7" width="5.6640625" style="1" customWidth="1"/>
    <col min="8" max="8" width="6.21875" style="1" customWidth="1"/>
    <col min="9" max="9" width="6.44140625" style="1" customWidth="1"/>
    <col min="10" max="10" width="6.6640625" style="1" customWidth="1"/>
    <col min="11" max="11" width="22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79" customWidth="1"/>
    <col min="17" max="17" width="3.21875" style="1" customWidth="1"/>
    <col min="18" max="18" width="6.4414062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7.21875" style="1" customWidth="1"/>
    <col min="23" max="23" width="7.6640625" style="1" customWidth="1"/>
    <col min="24" max="24" width="8" style="1" customWidth="1"/>
    <col min="25" max="25" width="7.21875" style="1" customWidth="1"/>
    <col min="26" max="26" width="6.77734375" style="1" customWidth="1"/>
    <col min="27" max="27" width="3.21875" style="1" customWidth="1"/>
    <col min="28" max="28" width="9.77734375" style="1" customWidth="1"/>
    <col min="29" max="16384" width="8.88671875" style="1"/>
  </cols>
  <sheetData>
    <row r="1" spans="1:28" ht="18" customHeight="1" x14ac:dyDescent="0.35">
      <c r="A1" s="222" t="s">
        <v>240</v>
      </c>
      <c r="B1" s="222" t="s">
        <v>27</v>
      </c>
      <c r="C1" s="222" t="s">
        <v>27</v>
      </c>
      <c r="D1" s="222" t="s">
        <v>27</v>
      </c>
      <c r="E1" s="222" t="s">
        <v>27</v>
      </c>
      <c r="F1" s="222" t="s">
        <v>27</v>
      </c>
      <c r="G1" s="222" t="s">
        <v>27</v>
      </c>
      <c r="H1" s="222" t="s">
        <v>27</v>
      </c>
      <c r="I1" s="222" t="s">
        <v>27</v>
      </c>
      <c r="J1" s="222" t="s">
        <v>27</v>
      </c>
      <c r="K1" s="222" t="s">
        <v>27</v>
      </c>
      <c r="L1" s="222" t="s">
        <v>27</v>
      </c>
      <c r="M1" s="222" t="s">
        <v>27</v>
      </c>
      <c r="N1" s="222" t="s">
        <v>27</v>
      </c>
      <c r="O1" s="222" t="s">
        <v>27</v>
      </c>
      <c r="P1" s="222" t="s">
        <v>27</v>
      </c>
      <c r="Q1" s="222" t="s">
        <v>27</v>
      </c>
      <c r="R1" s="222" t="s">
        <v>27</v>
      </c>
      <c r="S1" s="222" t="s">
        <v>27</v>
      </c>
      <c r="T1" s="222" t="s">
        <v>27</v>
      </c>
      <c r="U1" s="222" t="s">
        <v>27</v>
      </c>
      <c r="V1" s="222" t="s">
        <v>27</v>
      </c>
      <c r="W1" s="222" t="s">
        <v>27</v>
      </c>
      <c r="X1" s="222" t="s">
        <v>27</v>
      </c>
      <c r="Y1" s="222" t="s">
        <v>27</v>
      </c>
      <c r="Z1" s="222" t="s">
        <v>27</v>
      </c>
      <c r="AA1" s="222" t="s">
        <v>27</v>
      </c>
      <c r="AB1" s="222" t="s">
        <v>27</v>
      </c>
    </row>
    <row r="2" spans="1:28" ht="51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77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218</v>
      </c>
      <c r="C3" s="5" t="s">
        <v>45</v>
      </c>
      <c r="D3" s="5" t="s">
        <v>214</v>
      </c>
      <c r="E3" s="5" t="s">
        <v>27</v>
      </c>
      <c r="F3" s="5">
        <v>262343</v>
      </c>
      <c r="G3" s="5" t="s">
        <v>239</v>
      </c>
      <c r="H3" s="5">
        <v>160</v>
      </c>
      <c r="I3" s="7">
        <v>1.548</v>
      </c>
      <c r="J3" s="7">
        <v>2.5830000000000002</v>
      </c>
      <c r="K3" s="5" t="s">
        <v>238</v>
      </c>
      <c r="L3" s="7">
        <v>639.75699999999995</v>
      </c>
      <c r="M3" s="9">
        <v>413.3</v>
      </c>
      <c r="N3" s="6">
        <v>0.1148</v>
      </c>
      <c r="O3" s="8">
        <v>6.89</v>
      </c>
      <c r="P3" s="78">
        <v>387.7</v>
      </c>
      <c r="Q3" s="5">
        <v>1</v>
      </c>
      <c r="R3" s="5">
        <v>1600</v>
      </c>
      <c r="S3" s="7">
        <v>1.548</v>
      </c>
      <c r="T3" s="5">
        <v>52</v>
      </c>
      <c r="U3" s="6">
        <v>3.2500000000000001E-2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39</v>
      </c>
      <c r="AB3" s="5" t="s">
        <v>237</v>
      </c>
    </row>
    <row r="4" spans="1:28" s="12" customFormat="1" ht="25.05" customHeight="1" x14ac:dyDescent="0.3">
      <c r="A4" s="5">
        <v>2</v>
      </c>
      <c r="B4" s="10" t="s">
        <v>161</v>
      </c>
      <c r="C4" s="5" t="s">
        <v>45</v>
      </c>
      <c r="D4" s="5" t="s">
        <v>236</v>
      </c>
      <c r="E4" s="5" t="s">
        <v>27</v>
      </c>
      <c r="F4" s="5">
        <v>262341</v>
      </c>
      <c r="G4" s="5" t="s">
        <v>235</v>
      </c>
      <c r="H4" s="5">
        <v>250</v>
      </c>
      <c r="I4" s="7">
        <v>1.0880000000000001</v>
      </c>
      <c r="J4" s="7">
        <v>2.343</v>
      </c>
      <c r="K4" s="5" t="s">
        <v>234</v>
      </c>
      <c r="L4" s="7">
        <v>637.29600000000005</v>
      </c>
      <c r="M4" s="9">
        <v>585.79999999999995</v>
      </c>
      <c r="N4" s="6">
        <v>0.16270000000000001</v>
      </c>
      <c r="O4" s="8">
        <v>9.76</v>
      </c>
      <c r="P4" s="78">
        <v>386.2</v>
      </c>
      <c r="Q4" s="5">
        <v>1</v>
      </c>
      <c r="R4" s="5">
        <v>1150</v>
      </c>
      <c r="S4" s="7">
        <v>1.0880000000000001</v>
      </c>
      <c r="T4" s="5">
        <v>62</v>
      </c>
      <c r="U4" s="6">
        <v>5.3900000000000003E-2</v>
      </c>
      <c r="V4" s="5" t="s">
        <v>35</v>
      </c>
      <c r="W4" s="5" t="s">
        <v>40</v>
      </c>
      <c r="X4" s="5" t="s">
        <v>35</v>
      </c>
      <c r="Y4" s="5" t="s">
        <v>35</v>
      </c>
      <c r="Z4" s="5" t="s">
        <v>35</v>
      </c>
      <c r="AA4" s="5" t="s">
        <v>33</v>
      </c>
      <c r="AB4" s="5" t="s">
        <v>233</v>
      </c>
    </row>
    <row r="5" spans="1:28" s="12" customFormat="1" ht="25.05" customHeight="1" x14ac:dyDescent="0.3">
      <c r="A5" s="5">
        <v>3</v>
      </c>
      <c r="B5" s="10" t="s">
        <v>260</v>
      </c>
      <c r="C5" s="5" t="s">
        <v>45</v>
      </c>
      <c r="D5" s="13">
        <v>46261</v>
      </c>
      <c r="E5" s="5"/>
      <c r="F5" s="5">
        <v>262360</v>
      </c>
      <c r="G5" s="5">
        <v>1673</v>
      </c>
      <c r="H5" s="5">
        <v>1000</v>
      </c>
      <c r="I5" s="7">
        <v>1.05</v>
      </c>
      <c r="J5" s="7">
        <v>2.5369999999999999</v>
      </c>
      <c r="K5" s="5" t="s">
        <v>261</v>
      </c>
      <c r="L5" s="7">
        <v>2663850</v>
      </c>
      <c r="M5" s="9" t="s">
        <v>262</v>
      </c>
      <c r="N5" s="6" t="s">
        <v>263</v>
      </c>
      <c r="O5" s="8" t="s">
        <v>264</v>
      </c>
      <c r="P5" s="78" t="s">
        <v>265</v>
      </c>
      <c r="Q5" s="5">
        <v>1</v>
      </c>
      <c r="R5" s="5">
        <v>1100</v>
      </c>
      <c r="S5" s="7">
        <v>1.05</v>
      </c>
      <c r="T5" s="5">
        <v>50</v>
      </c>
      <c r="U5" s="6" t="s">
        <v>266</v>
      </c>
      <c r="V5" s="5" t="s">
        <v>35</v>
      </c>
      <c r="W5" s="5" t="s">
        <v>40</v>
      </c>
      <c r="X5" s="5" t="s">
        <v>35</v>
      </c>
      <c r="Y5" s="5" t="s">
        <v>35</v>
      </c>
      <c r="Z5" s="5" t="s">
        <v>35</v>
      </c>
      <c r="AA5" s="5">
        <v>6</v>
      </c>
      <c r="AB5" s="5" t="s">
        <v>267</v>
      </c>
    </row>
    <row r="6" spans="1:28" s="12" customFormat="1" ht="25.05" customHeight="1" x14ac:dyDescent="0.3">
      <c r="A6" s="5">
        <v>4</v>
      </c>
      <c r="B6" s="10" t="s">
        <v>218</v>
      </c>
      <c r="C6" s="5" t="s">
        <v>26</v>
      </c>
      <c r="D6" s="5" t="s">
        <v>214</v>
      </c>
      <c r="E6" s="5" t="s">
        <v>27</v>
      </c>
      <c r="F6" s="5">
        <v>262347</v>
      </c>
      <c r="G6" s="5" t="s">
        <v>217</v>
      </c>
      <c r="H6" s="5">
        <v>100</v>
      </c>
      <c r="I6" s="7">
        <v>1.0449999999999999</v>
      </c>
      <c r="J6" s="7">
        <v>1.9970000000000001</v>
      </c>
      <c r="K6" s="5" t="s">
        <v>232</v>
      </c>
      <c r="L6" s="7">
        <v>208.68600000000001</v>
      </c>
      <c r="M6" s="9">
        <v>199.7</v>
      </c>
      <c r="N6" s="6">
        <v>5.5500000000000001E-2</v>
      </c>
      <c r="O6" s="8">
        <v>3.33</v>
      </c>
      <c r="P6" s="78">
        <v>123.8</v>
      </c>
      <c r="Q6" s="5">
        <v>1</v>
      </c>
      <c r="R6" s="5">
        <v>1100</v>
      </c>
      <c r="S6" s="7">
        <v>1.0449999999999999</v>
      </c>
      <c r="T6" s="5">
        <v>55</v>
      </c>
      <c r="U6" s="6">
        <v>0.05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39</v>
      </c>
      <c r="AB6" s="5" t="s">
        <v>231</v>
      </c>
    </row>
    <row r="7" spans="1:28" s="12" customFormat="1" ht="25.05" customHeight="1" x14ac:dyDescent="0.3">
      <c r="A7" s="5">
        <v>5</v>
      </c>
      <c r="B7" s="10" t="s">
        <v>218</v>
      </c>
      <c r="C7" s="5" t="s">
        <v>26</v>
      </c>
      <c r="D7" s="13">
        <v>46261</v>
      </c>
      <c r="E7" s="5"/>
      <c r="F7" s="5">
        <v>262361</v>
      </c>
      <c r="G7" s="5">
        <v>1677</v>
      </c>
      <c r="H7" s="5">
        <v>320</v>
      </c>
      <c r="I7" s="7">
        <v>1.026</v>
      </c>
      <c r="J7" s="7">
        <v>1.8380000000000001</v>
      </c>
      <c r="K7" s="5" t="s">
        <v>34</v>
      </c>
      <c r="L7" s="7">
        <v>603452</v>
      </c>
      <c r="M7" s="9" t="s">
        <v>268</v>
      </c>
      <c r="N7" s="6" t="s">
        <v>269</v>
      </c>
      <c r="O7" s="8" t="s">
        <v>270</v>
      </c>
      <c r="P7" s="78" t="s">
        <v>271</v>
      </c>
      <c r="Q7" s="5">
        <v>1</v>
      </c>
      <c r="R7" s="5">
        <v>1050</v>
      </c>
      <c r="S7" s="7">
        <v>1.026</v>
      </c>
      <c r="T7" s="5">
        <v>24</v>
      </c>
      <c r="U7" s="6" t="s">
        <v>272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2</v>
      </c>
      <c r="AB7" s="5" t="s">
        <v>273</v>
      </c>
    </row>
    <row r="8" spans="1:28" s="12" customFormat="1" ht="25.05" customHeight="1" x14ac:dyDescent="0.3">
      <c r="A8" s="5">
        <v>6</v>
      </c>
      <c r="B8" s="10" t="s">
        <v>218</v>
      </c>
      <c r="C8" s="5" t="s">
        <v>43</v>
      </c>
      <c r="D8" s="13">
        <v>46262</v>
      </c>
      <c r="E8" s="5"/>
      <c r="F8" s="5">
        <v>262386</v>
      </c>
      <c r="G8" s="5">
        <v>1687</v>
      </c>
      <c r="H8" s="5">
        <v>300</v>
      </c>
      <c r="I8" s="7">
        <v>1.38</v>
      </c>
      <c r="J8" s="7">
        <v>2.02</v>
      </c>
      <c r="K8" s="5" t="s">
        <v>34</v>
      </c>
      <c r="L8" s="7">
        <v>836280</v>
      </c>
      <c r="M8" s="9" t="s">
        <v>310</v>
      </c>
      <c r="N8" s="6" t="s">
        <v>311</v>
      </c>
      <c r="O8" s="8" t="s">
        <v>312</v>
      </c>
      <c r="P8" s="78" t="s">
        <v>313</v>
      </c>
      <c r="Q8" s="5">
        <v>1</v>
      </c>
      <c r="R8" s="5">
        <v>1400</v>
      </c>
      <c r="S8" s="7">
        <v>1.38</v>
      </c>
      <c r="T8" s="5">
        <v>20</v>
      </c>
      <c r="U8" s="6" t="s">
        <v>82</v>
      </c>
      <c r="V8" s="5" t="s">
        <v>29</v>
      </c>
      <c r="W8" s="5" t="s">
        <v>29</v>
      </c>
      <c r="X8" s="5" t="s">
        <v>28</v>
      </c>
      <c r="Y8" s="5"/>
      <c r="Z8" s="5"/>
      <c r="AA8" s="5">
        <v>1</v>
      </c>
      <c r="AB8" s="5" t="s">
        <v>314</v>
      </c>
    </row>
    <row r="9" spans="1:28" s="12" customFormat="1" ht="25.05" customHeight="1" x14ac:dyDescent="0.3">
      <c r="A9" s="5">
        <v>7</v>
      </c>
      <c r="B9" s="10" t="s">
        <v>218</v>
      </c>
      <c r="C9" s="5" t="s">
        <v>36</v>
      </c>
      <c r="D9" s="13">
        <v>46262</v>
      </c>
      <c r="E9" s="5"/>
      <c r="F9" s="5">
        <v>262385</v>
      </c>
      <c r="G9" s="5">
        <v>1685</v>
      </c>
      <c r="H9" s="5">
        <v>250</v>
      </c>
      <c r="I9" s="7">
        <v>1.256</v>
      </c>
      <c r="J9" s="7">
        <v>1.306</v>
      </c>
      <c r="K9" s="5" t="s">
        <v>303</v>
      </c>
      <c r="L9" s="7">
        <v>410084</v>
      </c>
      <c r="M9" s="9" t="s">
        <v>304</v>
      </c>
      <c r="N9" s="6" t="s">
        <v>305</v>
      </c>
      <c r="O9" s="8" t="s">
        <v>306</v>
      </c>
      <c r="P9" s="78" t="s">
        <v>307</v>
      </c>
      <c r="Q9" s="5">
        <v>1</v>
      </c>
      <c r="R9" s="5">
        <v>1300</v>
      </c>
      <c r="S9" s="7">
        <v>1.256</v>
      </c>
      <c r="T9" s="5">
        <v>44</v>
      </c>
      <c r="U9" s="6" t="s">
        <v>308</v>
      </c>
      <c r="V9" s="5" t="s">
        <v>28</v>
      </c>
      <c r="W9" s="5" t="s">
        <v>28</v>
      </c>
      <c r="X9" s="5" t="s">
        <v>28</v>
      </c>
      <c r="Y9" s="5"/>
      <c r="Z9" s="5"/>
      <c r="AA9" s="5">
        <v>1</v>
      </c>
      <c r="AB9" s="5" t="s">
        <v>309</v>
      </c>
    </row>
    <row r="10" spans="1:28" s="12" customFormat="1" ht="25.05" customHeight="1" x14ac:dyDescent="0.3">
      <c r="A10" s="5">
        <v>8</v>
      </c>
      <c r="B10" s="10" t="s">
        <v>161</v>
      </c>
      <c r="C10" s="5" t="s">
        <v>36</v>
      </c>
      <c r="D10" s="13">
        <v>46262</v>
      </c>
      <c r="E10" s="5"/>
      <c r="F10" s="5">
        <v>262384</v>
      </c>
      <c r="G10" s="5">
        <v>1684</v>
      </c>
      <c r="H10" s="5">
        <v>200</v>
      </c>
      <c r="I10" s="7">
        <v>1.08</v>
      </c>
      <c r="J10" s="7">
        <v>2.1850000000000001</v>
      </c>
      <c r="K10" s="5" t="s">
        <v>34</v>
      </c>
      <c r="L10" s="7">
        <v>471960</v>
      </c>
      <c r="M10" s="9" t="s">
        <v>297</v>
      </c>
      <c r="N10" s="6" t="s">
        <v>298</v>
      </c>
      <c r="O10" s="8" t="s">
        <v>299</v>
      </c>
      <c r="P10" s="78" t="s">
        <v>300</v>
      </c>
      <c r="Q10" s="5">
        <v>1</v>
      </c>
      <c r="R10" s="5">
        <v>1100</v>
      </c>
      <c r="S10" s="7">
        <v>1.08</v>
      </c>
      <c r="T10" s="5">
        <v>20</v>
      </c>
      <c r="U10" s="6" t="s">
        <v>301</v>
      </c>
      <c r="V10" s="5" t="s">
        <v>28</v>
      </c>
      <c r="W10" s="5" t="s">
        <v>28</v>
      </c>
      <c r="X10" s="5" t="s">
        <v>28</v>
      </c>
      <c r="Y10" s="5"/>
      <c r="Z10" s="5"/>
      <c r="AA10" s="5">
        <v>1</v>
      </c>
      <c r="AB10" s="5" t="s">
        <v>302</v>
      </c>
    </row>
    <row r="11" spans="1:28" s="12" customFormat="1" ht="25.05" customHeight="1" x14ac:dyDescent="0.3">
      <c r="A11" s="5">
        <v>9</v>
      </c>
      <c r="B11" s="10" t="s">
        <v>218</v>
      </c>
      <c r="C11" s="5" t="s">
        <v>36</v>
      </c>
      <c r="D11" s="13">
        <v>46262</v>
      </c>
      <c r="E11" s="5"/>
      <c r="F11" s="5">
        <v>262366</v>
      </c>
      <c r="G11" s="5">
        <v>1681</v>
      </c>
      <c r="H11" s="5">
        <v>800</v>
      </c>
      <c r="I11" s="7">
        <v>1</v>
      </c>
      <c r="J11" s="7">
        <v>3.4</v>
      </c>
      <c r="K11" s="5" t="s">
        <v>34</v>
      </c>
      <c r="L11" s="7">
        <v>2720000</v>
      </c>
      <c r="M11" s="9" t="s">
        <v>282</v>
      </c>
      <c r="N11" s="6" t="s">
        <v>283</v>
      </c>
      <c r="O11" s="8" t="s">
        <v>284</v>
      </c>
      <c r="P11" s="78" t="s">
        <v>285</v>
      </c>
      <c r="Q11" s="5">
        <v>1</v>
      </c>
      <c r="R11" s="5">
        <v>1050</v>
      </c>
      <c r="S11" s="7">
        <v>1</v>
      </c>
      <c r="T11" s="5">
        <v>50</v>
      </c>
      <c r="U11" s="6" t="s">
        <v>286</v>
      </c>
      <c r="V11" s="5" t="s">
        <v>28</v>
      </c>
      <c r="W11" s="5" t="s">
        <v>28</v>
      </c>
      <c r="X11" s="5" t="s">
        <v>28</v>
      </c>
      <c r="Y11" s="5"/>
      <c r="Z11" s="5"/>
      <c r="AA11" s="5">
        <v>2</v>
      </c>
      <c r="AB11" s="5" t="s">
        <v>287</v>
      </c>
    </row>
    <row r="12" spans="1:28" s="12" customFormat="1" ht="25.05" customHeight="1" x14ac:dyDescent="0.3">
      <c r="A12" s="5">
        <v>10</v>
      </c>
      <c r="B12" s="10" t="s">
        <v>218</v>
      </c>
      <c r="C12" s="5" t="s">
        <v>36</v>
      </c>
      <c r="D12" s="5" t="s">
        <v>214</v>
      </c>
      <c r="E12" s="5" t="s">
        <v>27</v>
      </c>
      <c r="F12" s="5">
        <v>262342</v>
      </c>
      <c r="G12" s="5" t="s">
        <v>230</v>
      </c>
      <c r="H12" s="5">
        <v>2000</v>
      </c>
      <c r="I12" s="7">
        <v>0.65200000000000002</v>
      </c>
      <c r="J12" s="7">
        <v>1.4830000000000001</v>
      </c>
      <c r="K12" s="5" t="s">
        <v>229</v>
      </c>
      <c r="L12" s="7">
        <v>1933.8320000000001</v>
      </c>
      <c r="M12" s="9">
        <v>1483</v>
      </c>
      <c r="N12" s="6">
        <v>0.20599999999999999</v>
      </c>
      <c r="O12" s="8">
        <v>12.36</v>
      </c>
      <c r="P12" s="78">
        <v>667.2</v>
      </c>
      <c r="Q12" s="5">
        <v>2</v>
      </c>
      <c r="R12" s="5">
        <v>1350</v>
      </c>
      <c r="S12" s="7">
        <v>1.304</v>
      </c>
      <c r="T12" s="5">
        <v>46</v>
      </c>
      <c r="U12" s="6">
        <v>3.4099999999999998E-2</v>
      </c>
      <c r="V12" s="5" t="s">
        <v>28</v>
      </c>
      <c r="W12" s="5" t="s">
        <v>28</v>
      </c>
      <c r="X12" s="5" t="s">
        <v>28</v>
      </c>
      <c r="Y12" s="5" t="s">
        <v>27</v>
      </c>
      <c r="Z12" s="5" t="s">
        <v>27</v>
      </c>
      <c r="AA12" s="5" t="s">
        <v>49</v>
      </c>
      <c r="AB12" s="5" t="s">
        <v>228</v>
      </c>
    </row>
    <row r="13" spans="1:28" s="12" customFormat="1" ht="25.05" customHeight="1" x14ac:dyDescent="0.3">
      <c r="A13" s="5">
        <v>11</v>
      </c>
      <c r="B13" s="10" t="s">
        <v>218</v>
      </c>
      <c r="C13" s="5" t="s">
        <v>36</v>
      </c>
      <c r="D13" s="5" t="s">
        <v>214</v>
      </c>
      <c r="E13" s="5" t="s">
        <v>27</v>
      </c>
      <c r="F13" s="5">
        <v>262345</v>
      </c>
      <c r="G13" s="5" t="s">
        <v>221</v>
      </c>
      <c r="H13" s="5">
        <v>250</v>
      </c>
      <c r="I13" s="7">
        <v>1.1579999999999999</v>
      </c>
      <c r="J13" s="7">
        <v>2.5209999999999999</v>
      </c>
      <c r="K13" s="5" t="s">
        <v>227</v>
      </c>
      <c r="L13" s="7">
        <v>729.82899999999995</v>
      </c>
      <c r="M13" s="9">
        <v>630.29999999999995</v>
      </c>
      <c r="N13" s="6">
        <v>0.17510000000000001</v>
      </c>
      <c r="O13" s="8">
        <v>10.5</v>
      </c>
      <c r="P13" s="78">
        <v>251.8</v>
      </c>
      <c r="Q13" s="5">
        <v>1</v>
      </c>
      <c r="R13" s="5">
        <v>1200</v>
      </c>
      <c r="S13" s="7">
        <v>1.1579999999999999</v>
      </c>
      <c r="T13" s="5">
        <v>42</v>
      </c>
      <c r="U13" s="6">
        <v>3.5000000000000003E-2</v>
      </c>
      <c r="V13" s="5" t="s">
        <v>28</v>
      </c>
      <c r="W13" s="5" t="s">
        <v>28</v>
      </c>
      <c r="X13" s="5" t="s">
        <v>28</v>
      </c>
      <c r="Y13" s="5" t="s">
        <v>27</v>
      </c>
      <c r="Z13" s="5" t="s">
        <v>27</v>
      </c>
      <c r="AA13" s="5" t="s">
        <v>39</v>
      </c>
      <c r="AB13" s="5" t="s">
        <v>226</v>
      </c>
    </row>
    <row r="14" spans="1:28" s="12" customFormat="1" ht="25.05" customHeight="1" x14ac:dyDescent="0.3">
      <c r="A14" s="5">
        <v>12</v>
      </c>
      <c r="B14" s="10" t="s">
        <v>218</v>
      </c>
      <c r="C14" s="5" t="s">
        <v>36</v>
      </c>
      <c r="D14" s="5" t="s">
        <v>214</v>
      </c>
      <c r="E14" s="5" t="s">
        <v>27</v>
      </c>
      <c r="F14" s="5">
        <v>262348</v>
      </c>
      <c r="G14" s="5" t="s">
        <v>217</v>
      </c>
      <c r="H14" s="5">
        <v>100</v>
      </c>
      <c r="I14" s="7">
        <v>1.05</v>
      </c>
      <c r="J14" s="7">
        <v>1.1970000000000001</v>
      </c>
      <c r="K14" s="5" t="s">
        <v>225</v>
      </c>
      <c r="L14" s="7">
        <v>125.685</v>
      </c>
      <c r="M14" s="9">
        <v>119.7</v>
      </c>
      <c r="N14" s="6">
        <v>3.3300000000000003E-2</v>
      </c>
      <c r="O14" s="8">
        <v>2</v>
      </c>
      <c r="P14" s="78">
        <v>43.4</v>
      </c>
      <c r="Q14" s="5">
        <v>1</v>
      </c>
      <c r="R14" s="5">
        <v>1100</v>
      </c>
      <c r="S14" s="7">
        <v>1.05</v>
      </c>
      <c r="T14" s="5">
        <v>50</v>
      </c>
      <c r="U14" s="6">
        <v>4.5499999999999999E-2</v>
      </c>
      <c r="V14" s="5" t="s">
        <v>28</v>
      </c>
      <c r="W14" s="5" t="s">
        <v>28</v>
      </c>
      <c r="X14" s="5" t="s">
        <v>28</v>
      </c>
      <c r="Y14" s="5" t="s">
        <v>27</v>
      </c>
      <c r="Z14" s="5" t="s">
        <v>27</v>
      </c>
      <c r="AA14" s="5" t="s">
        <v>39</v>
      </c>
      <c r="AB14" s="5" t="s">
        <v>224</v>
      </c>
    </row>
    <row r="15" spans="1:28" s="12" customFormat="1" ht="25.05" customHeight="1" x14ac:dyDescent="0.3">
      <c r="A15" s="5">
        <v>13</v>
      </c>
      <c r="B15" s="10" t="s">
        <v>218</v>
      </c>
      <c r="C15" s="5" t="s">
        <v>36</v>
      </c>
      <c r="D15" s="5" t="s">
        <v>214</v>
      </c>
      <c r="E15" s="5" t="s">
        <v>27</v>
      </c>
      <c r="F15" s="5">
        <v>262349</v>
      </c>
      <c r="G15" s="5" t="s">
        <v>217</v>
      </c>
      <c r="H15" s="5">
        <v>300</v>
      </c>
      <c r="I15" s="7">
        <v>1.026</v>
      </c>
      <c r="J15" s="7">
        <v>1.9970000000000001</v>
      </c>
      <c r="K15" s="5" t="s">
        <v>223</v>
      </c>
      <c r="L15" s="7">
        <v>614.67700000000002</v>
      </c>
      <c r="M15" s="9">
        <v>599.1</v>
      </c>
      <c r="N15" s="6">
        <v>0.16639999999999999</v>
      </c>
      <c r="O15" s="8">
        <v>9.99</v>
      </c>
      <c r="P15" s="78">
        <v>212.1</v>
      </c>
      <c r="Q15" s="5">
        <v>1</v>
      </c>
      <c r="R15" s="5">
        <v>1050</v>
      </c>
      <c r="S15" s="7">
        <v>1.026</v>
      </c>
      <c r="T15" s="5">
        <v>24</v>
      </c>
      <c r="U15" s="6">
        <v>2.29E-2</v>
      </c>
      <c r="V15" s="5" t="s">
        <v>28</v>
      </c>
      <c r="W15" s="5" t="s">
        <v>28</v>
      </c>
      <c r="X15" s="5" t="s">
        <v>28</v>
      </c>
      <c r="Y15" s="5" t="s">
        <v>27</v>
      </c>
      <c r="Z15" s="5" t="s">
        <v>27</v>
      </c>
      <c r="AA15" s="5" t="s">
        <v>39</v>
      </c>
      <c r="AB15" s="5" t="s">
        <v>222</v>
      </c>
    </row>
    <row r="16" spans="1:28" s="12" customFormat="1" ht="25.05" customHeight="1" x14ac:dyDescent="0.3">
      <c r="A16" s="5">
        <v>14</v>
      </c>
      <c r="B16" s="10" t="s">
        <v>218</v>
      </c>
      <c r="C16" s="5" t="s">
        <v>36</v>
      </c>
      <c r="D16" s="5" t="s">
        <v>214</v>
      </c>
      <c r="E16" s="5" t="s">
        <v>27</v>
      </c>
      <c r="F16" s="5">
        <v>262344</v>
      </c>
      <c r="G16" s="5" t="s">
        <v>221</v>
      </c>
      <c r="H16" s="5">
        <v>250</v>
      </c>
      <c r="I16" s="7">
        <v>0.88400000000000001</v>
      </c>
      <c r="J16" s="7">
        <v>3.2719999999999998</v>
      </c>
      <c r="K16" s="5" t="s">
        <v>220</v>
      </c>
      <c r="L16" s="7">
        <v>723.11199999999997</v>
      </c>
      <c r="M16" s="9">
        <v>818</v>
      </c>
      <c r="N16" s="6">
        <v>0.22720000000000001</v>
      </c>
      <c r="O16" s="8">
        <v>13.63</v>
      </c>
      <c r="P16" s="78">
        <v>249.5</v>
      </c>
      <c r="Q16" s="5">
        <v>1</v>
      </c>
      <c r="R16" s="5">
        <v>950</v>
      </c>
      <c r="S16" s="7">
        <v>0.88400000000000001</v>
      </c>
      <c r="T16" s="5">
        <v>66</v>
      </c>
      <c r="U16" s="6">
        <v>6.9500000000000006E-2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39</v>
      </c>
      <c r="AB16" s="5" t="s">
        <v>219</v>
      </c>
    </row>
    <row r="17" spans="1:28" s="12" customFormat="1" ht="25.05" customHeight="1" x14ac:dyDescent="0.3">
      <c r="A17" s="5">
        <v>15</v>
      </c>
      <c r="B17" s="10" t="s">
        <v>218</v>
      </c>
      <c r="C17" s="5" t="s">
        <v>36</v>
      </c>
      <c r="D17" s="5" t="s">
        <v>214</v>
      </c>
      <c r="E17" s="5" t="s">
        <v>27</v>
      </c>
      <c r="F17" s="5">
        <v>262346</v>
      </c>
      <c r="G17" s="5" t="s">
        <v>217</v>
      </c>
      <c r="H17" s="5">
        <v>200</v>
      </c>
      <c r="I17" s="7">
        <v>0.88100000000000001</v>
      </c>
      <c r="J17" s="7">
        <v>1.857</v>
      </c>
      <c r="K17" s="5" t="s">
        <v>216</v>
      </c>
      <c r="L17" s="7">
        <v>327.20299999999997</v>
      </c>
      <c r="M17" s="9">
        <v>371.4</v>
      </c>
      <c r="N17" s="6">
        <v>0.1032</v>
      </c>
      <c r="O17" s="8">
        <v>6.19</v>
      </c>
      <c r="P17" s="78">
        <v>112.9</v>
      </c>
      <c r="Q17" s="5">
        <v>1</v>
      </c>
      <c r="R17" s="5">
        <v>950</v>
      </c>
      <c r="S17" s="7">
        <v>0.88100000000000001</v>
      </c>
      <c r="T17" s="5">
        <v>69</v>
      </c>
      <c r="U17" s="6">
        <v>7.2599999999999998E-2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39</v>
      </c>
      <c r="AB17" s="5" t="s">
        <v>215</v>
      </c>
    </row>
    <row r="18" spans="1:28" s="12" customFormat="1" ht="25.05" customHeight="1" x14ac:dyDescent="0.3">
      <c r="A18" s="11" t="s">
        <v>27</v>
      </c>
      <c r="B18" s="11" t="s">
        <v>27</v>
      </c>
      <c r="C18" s="11" t="s">
        <v>27</v>
      </c>
      <c r="D18" s="11" t="s">
        <v>27</v>
      </c>
      <c r="E18" s="11" t="s">
        <v>27</v>
      </c>
      <c r="F18" s="11" t="s">
        <v>27</v>
      </c>
      <c r="G18" s="11" t="s">
        <v>27</v>
      </c>
      <c r="H18" s="11">
        <v>6780</v>
      </c>
      <c r="I18" s="11" t="s">
        <v>27</v>
      </c>
      <c r="J18" s="11" t="s">
        <v>27</v>
      </c>
      <c r="K18" s="11" t="s">
        <v>27</v>
      </c>
      <c r="L18" s="11" t="s">
        <v>27</v>
      </c>
      <c r="M18" s="11" t="s">
        <v>27</v>
      </c>
      <c r="N18" s="11" t="s">
        <v>27</v>
      </c>
      <c r="O18" s="11" t="s">
        <v>27</v>
      </c>
      <c r="P18" s="80" t="s">
        <v>381</v>
      </c>
      <c r="Q18" s="11" t="s">
        <v>27</v>
      </c>
      <c r="R18" s="11" t="s">
        <v>27</v>
      </c>
      <c r="S18" s="11" t="s">
        <v>27</v>
      </c>
      <c r="T18" s="11" t="s">
        <v>27</v>
      </c>
      <c r="U18" s="11" t="s">
        <v>27</v>
      </c>
      <c r="V18" s="11" t="s">
        <v>27</v>
      </c>
      <c r="W18" s="11" t="s">
        <v>27</v>
      </c>
      <c r="X18" s="11" t="s">
        <v>27</v>
      </c>
      <c r="Y18" s="11" t="s">
        <v>27</v>
      </c>
      <c r="Z18" s="11" t="s">
        <v>27</v>
      </c>
      <c r="AA18" s="11" t="s">
        <v>27</v>
      </c>
      <c r="AB18" s="11" t="s">
        <v>27</v>
      </c>
    </row>
  </sheetData>
  <mergeCells count="1">
    <mergeCell ref="A1:AB1"/>
  </mergeCells>
  <pageMargins left="0.43" right="0.25" top="0.75" bottom="0.75" header="0.3" footer="0.3"/>
  <pageSetup paperSize="9" scale="89" orientation="landscape" horizontalDpi="300" verticalDpi="30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A0FD6D-3669-4171-9B71-647616E6370B}">
  <sheetPr>
    <pageSetUpPr fitToPage="1"/>
  </sheetPr>
  <dimension ref="A1:AB8"/>
  <sheetViews>
    <sheetView workbookViewId="0">
      <selection sqref="A1:AB8"/>
    </sheetView>
  </sheetViews>
  <sheetFormatPr defaultRowHeight="14.4" x14ac:dyDescent="0.3"/>
  <cols>
    <col min="1" max="1" width="3.332031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" style="1" customWidth="1"/>
    <col min="7" max="7" width="5.6640625" style="1" customWidth="1"/>
    <col min="8" max="9" width="6.6640625" style="1" customWidth="1"/>
    <col min="10" max="10" width="7.21875" style="1" customWidth="1"/>
    <col min="11" max="11" width="14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33203125" style="1" customWidth="1"/>
    <col min="17" max="17" width="3.5546875" style="1" customWidth="1"/>
    <col min="18" max="18" width="6.3320312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7.44140625" style="1" customWidth="1"/>
    <col min="24" max="24" width="8.109375" style="1" customWidth="1"/>
    <col min="25" max="26" width="7" style="1" customWidth="1"/>
    <col min="27" max="27" width="3.5546875" style="1" customWidth="1"/>
    <col min="28" max="28" width="10.44140625" style="1" customWidth="1"/>
    <col min="29" max="16384" width="8.88671875" style="1"/>
  </cols>
  <sheetData>
    <row r="1" spans="1:28" ht="18" customHeight="1" x14ac:dyDescent="0.35">
      <c r="A1" s="222" t="s">
        <v>202</v>
      </c>
      <c r="B1" s="222" t="s">
        <v>27</v>
      </c>
      <c r="C1" s="222" t="s">
        <v>27</v>
      </c>
      <c r="D1" s="222" t="s">
        <v>27</v>
      </c>
      <c r="E1" s="222" t="s">
        <v>27</v>
      </c>
      <c r="F1" s="222" t="s">
        <v>27</v>
      </c>
      <c r="G1" s="222" t="s">
        <v>27</v>
      </c>
      <c r="H1" s="222" t="s">
        <v>27</v>
      </c>
      <c r="I1" s="222" t="s">
        <v>27</v>
      </c>
      <c r="J1" s="222" t="s">
        <v>27</v>
      </c>
      <c r="K1" s="222" t="s">
        <v>27</v>
      </c>
      <c r="L1" s="222" t="s">
        <v>27</v>
      </c>
      <c r="M1" s="222" t="s">
        <v>27</v>
      </c>
      <c r="N1" s="222" t="s">
        <v>27</v>
      </c>
      <c r="O1" s="222" t="s">
        <v>27</v>
      </c>
      <c r="P1" s="222" t="s">
        <v>27</v>
      </c>
      <c r="Q1" s="222" t="s">
        <v>27</v>
      </c>
      <c r="R1" s="222" t="s">
        <v>27</v>
      </c>
      <c r="S1" s="222" t="s">
        <v>27</v>
      </c>
      <c r="T1" s="222" t="s">
        <v>27</v>
      </c>
      <c r="U1" s="222" t="s">
        <v>27</v>
      </c>
      <c r="V1" s="222" t="s">
        <v>27</v>
      </c>
      <c r="W1" s="222" t="s">
        <v>27</v>
      </c>
      <c r="X1" s="222" t="s">
        <v>27</v>
      </c>
      <c r="Y1" s="222" t="s">
        <v>27</v>
      </c>
      <c r="Z1" s="222" t="s">
        <v>27</v>
      </c>
      <c r="AA1" s="222" t="s">
        <v>27</v>
      </c>
      <c r="AB1" s="222" t="s">
        <v>27</v>
      </c>
    </row>
    <row r="2" spans="1:28" s="12" customFormat="1" ht="57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38" customFormat="1" ht="25.05" customHeight="1" x14ac:dyDescent="0.3">
      <c r="A3" s="21">
        <v>1</v>
      </c>
      <c r="B3" s="22" t="s">
        <v>63</v>
      </c>
      <c r="C3" s="21" t="s">
        <v>26</v>
      </c>
      <c r="D3" s="21" t="s">
        <v>203</v>
      </c>
      <c r="E3" s="21" t="s">
        <v>27</v>
      </c>
      <c r="F3" s="21">
        <v>262284</v>
      </c>
      <c r="G3" s="21" t="s">
        <v>207</v>
      </c>
      <c r="H3" s="21">
        <v>1760</v>
      </c>
      <c r="I3" s="23">
        <v>0.73699999999999999</v>
      </c>
      <c r="J3" s="23">
        <v>1.8460000000000001</v>
      </c>
      <c r="K3" s="21" t="s">
        <v>212</v>
      </c>
      <c r="L3" s="23">
        <v>2394.4839999999999</v>
      </c>
      <c r="M3" s="24">
        <v>1624.5</v>
      </c>
      <c r="N3" s="25">
        <v>0.22559999999999999</v>
      </c>
      <c r="O3" s="26">
        <v>13.54</v>
      </c>
      <c r="P3" s="21">
        <v>1419.9</v>
      </c>
      <c r="Q3" s="21">
        <v>2</v>
      </c>
      <c r="R3" s="21">
        <v>1500</v>
      </c>
      <c r="S3" s="23">
        <v>1.474</v>
      </c>
      <c r="T3" s="21">
        <v>26</v>
      </c>
      <c r="U3" s="25">
        <v>1.7299999999999999E-2</v>
      </c>
      <c r="V3" s="21" t="s">
        <v>28</v>
      </c>
      <c r="W3" s="21" t="s">
        <v>29</v>
      </c>
      <c r="X3" s="21" t="s">
        <v>28</v>
      </c>
      <c r="Y3" s="21" t="s">
        <v>28</v>
      </c>
      <c r="Z3" s="21" t="s">
        <v>28</v>
      </c>
      <c r="AA3" s="21" t="s">
        <v>39</v>
      </c>
      <c r="AB3" s="21" t="s">
        <v>204</v>
      </c>
    </row>
    <row r="4" spans="1:28" s="103" customFormat="1" ht="25.05" customHeight="1" x14ac:dyDescent="0.3">
      <c r="A4" s="185">
        <v>1</v>
      </c>
      <c r="B4" s="186" t="s">
        <v>63</v>
      </c>
      <c r="C4" s="185" t="s">
        <v>26</v>
      </c>
      <c r="D4" s="185" t="s">
        <v>199</v>
      </c>
      <c r="E4" s="185" t="s">
        <v>27</v>
      </c>
      <c r="F4" s="185">
        <v>262278</v>
      </c>
      <c r="G4" s="185" t="s">
        <v>201</v>
      </c>
      <c r="H4" s="185">
        <v>210</v>
      </c>
      <c r="I4" s="187">
        <v>1.389</v>
      </c>
      <c r="J4" s="187">
        <v>1.91</v>
      </c>
      <c r="K4" s="185" t="s">
        <v>34</v>
      </c>
      <c r="L4" s="187">
        <v>557.12800000000004</v>
      </c>
      <c r="M4" s="188">
        <v>401.1</v>
      </c>
      <c r="N4" s="189">
        <v>0.1114</v>
      </c>
      <c r="O4" s="190">
        <v>6.68</v>
      </c>
      <c r="P4" s="185">
        <v>330.4</v>
      </c>
      <c r="Q4" s="185">
        <v>1</v>
      </c>
      <c r="R4" s="185">
        <v>1450</v>
      </c>
      <c r="S4" s="187">
        <v>1.389</v>
      </c>
      <c r="T4" s="185">
        <v>61</v>
      </c>
      <c r="U4" s="189">
        <v>4.2099999999999999E-2</v>
      </c>
      <c r="V4" s="185" t="s">
        <v>28</v>
      </c>
      <c r="W4" s="185" t="s">
        <v>29</v>
      </c>
      <c r="X4" s="185" t="s">
        <v>28</v>
      </c>
      <c r="Y4" s="185" t="s">
        <v>28</v>
      </c>
      <c r="Z4" s="185" t="s">
        <v>28</v>
      </c>
      <c r="AA4" s="185" t="s">
        <v>33</v>
      </c>
      <c r="AB4" s="185" t="s">
        <v>200</v>
      </c>
    </row>
    <row r="5" spans="1:28" s="38" customFormat="1" ht="25.05" customHeight="1" x14ac:dyDescent="0.3">
      <c r="A5" s="21">
        <v>2</v>
      </c>
      <c r="B5" s="22" t="s">
        <v>63</v>
      </c>
      <c r="C5" s="21" t="s">
        <v>26</v>
      </c>
      <c r="D5" s="21" t="s">
        <v>203</v>
      </c>
      <c r="E5" s="21" t="s">
        <v>27</v>
      </c>
      <c r="F5" s="21">
        <v>262285</v>
      </c>
      <c r="G5" s="21" t="s">
        <v>207</v>
      </c>
      <c r="H5" s="21">
        <v>600</v>
      </c>
      <c r="I5" s="23">
        <v>0.64700000000000002</v>
      </c>
      <c r="J5" s="23">
        <v>1.68</v>
      </c>
      <c r="K5" s="21" t="s">
        <v>211</v>
      </c>
      <c r="L5" s="23">
        <v>652.17600000000004</v>
      </c>
      <c r="M5" s="24">
        <v>504</v>
      </c>
      <c r="N5" s="25">
        <v>7.0000000000000007E-2</v>
      </c>
      <c r="O5" s="26">
        <v>4.2</v>
      </c>
      <c r="P5" s="21">
        <v>386.7</v>
      </c>
      <c r="Q5" s="21">
        <v>2</v>
      </c>
      <c r="R5" s="21">
        <v>1350</v>
      </c>
      <c r="S5" s="23">
        <v>1.294</v>
      </c>
      <c r="T5" s="21">
        <v>56</v>
      </c>
      <c r="U5" s="25">
        <v>4.1500000000000002E-2</v>
      </c>
      <c r="V5" s="21" t="s">
        <v>28</v>
      </c>
      <c r="W5" s="21" t="s">
        <v>29</v>
      </c>
      <c r="X5" s="21" t="s">
        <v>28</v>
      </c>
      <c r="Y5" s="21" t="s">
        <v>28</v>
      </c>
      <c r="Z5" s="21" t="s">
        <v>28</v>
      </c>
      <c r="AA5" s="21" t="s">
        <v>32</v>
      </c>
      <c r="AB5" s="21" t="s">
        <v>210</v>
      </c>
    </row>
    <row r="6" spans="1:28" s="38" customFormat="1" ht="25.05" customHeight="1" x14ac:dyDescent="0.3">
      <c r="A6" s="21">
        <v>3</v>
      </c>
      <c r="B6" s="22" t="s">
        <v>63</v>
      </c>
      <c r="C6" s="21" t="s">
        <v>26</v>
      </c>
      <c r="D6" s="21" t="s">
        <v>203</v>
      </c>
      <c r="E6" s="21" t="s">
        <v>27</v>
      </c>
      <c r="F6" s="21">
        <v>262286</v>
      </c>
      <c r="G6" s="21" t="s">
        <v>207</v>
      </c>
      <c r="H6" s="21">
        <v>330</v>
      </c>
      <c r="I6" s="23">
        <v>1.238</v>
      </c>
      <c r="J6" s="23">
        <v>2.0499999999999998</v>
      </c>
      <c r="K6" s="21" t="s">
        <v>209</v>
      </c>
      <c r="L6" s="23">
        <v>837.50699999999995</v>
      </c>
      <c r="M6" s="24">
        <v>676.5</v>
      </c>
      <c r="N6" s="25">
        <v>0.18790000000000001</v>
      </c>
      <c r="O6" s="26">
        <v>11.27</v>
      </c>
      <c r="P6" s="21">
        <v>496.6</v>
      </c>
      <c r="Q6" s="21">
        <v>1</v>
      </c>
      <c r="R6" s="21">
        <v>1300</v>
      </c>
      <c r="S6" s="23">
        <v>1.238</v>
      </c>
      <c r="T6" s="21">
        <v>62</v>
      </c>
      <c r="U6" s="25">
        <v>4.7699999999999999E-2</v>
      </c>
      <c r="V6" s="21" t="s">
        <v>28</v>
      </c>
      <c r="W6" s="21" t="s">
        <v>29</v>
      </c>
      <c r="X6" s="21" t="s">
        <v>28</v>
      </c>
      <c r="Y6" s="21" t="s">
        <v>28</v>
      </c>
      <c r="Z6" s="21" t="s">
        <v>28</v>
      </c>
      <c r="AA6" s="21" t="s">
        <v>33</v>
      </c>
      <c r="AB6" s="21" t="s">
        <v>208</v>
      </c>
    </row>
    <row r="7" spans="1:28" s="38" customFormat="1" ht="25.05" customHeight="1" x14ac:dyDescent="0.3">
      <c r="A7" s="21">
        <v>4</v>
      </c>
      <c r="B7" s="22" t="s">
        <v>63</v>
      </c>
      <c r="C7" s="21" t="s">
        <v>26</v>
      </c>
      <c r="D7" s="21" t="s">
        <v>203</v>
      </c>
      <c r="E7" s="21" t="s">
        <v>27</v>
      </c>
      <c r="F7" s="21">
        <v>262287</v>
      </c>
      <c r="G7" s="21" t="s">
        <v>207</v>
      </c>
      <c r="H7" s="21">
        <v>2200</v>
      </c>
      <c r="I7" s="23">
        <v>0.56200000000000006</v>
      </c>
      <c r="J7" s="23">
        <v>1.3</v>
      </c>
      <c r="K7" s="21" t="s">
        <v>206</v>
      </c>
      <c r="L7" s="23">
        <v>1607.32</v>
      </c>
      <c r="M7" s="24">
        <v>1430</v>
      </c>
      <c r="N7" s="25">
        <v>0.1986</v>
      </c>
      <c r="O7" s="26">
        <v>11.92</v>
      </c>
      <c r="P7" s="21">
        <v>953.1</v>
      </c>
      <c r="Q7" s="21">
        <v>2</v>
      </c>
      <c r="R7" s="21">
        <v>1150</v>
      </c>
      <c r="S7" s="23">
        <v>1.1240000000000001</v>
      </c>
      <c r="T7" s="21">
        <v>26</v>
      </c>
      <c r="U7" s="25">
        <v>2.2599999999999999E-2</v>
      </c>
      <c r="V7" s="21" t="s">
        <v>28</v>
      </c>
      <c r="W7" s="21" t="s">
        <v>29</v>
      </c>
      <c r="X7" s="21" t="s">
        <v>28</v>
      </c>
      <c r="Y7" s="21" t="s">
        <v>28</v>
      </c>
      <c r="Z7" s="21" t="s">
        <v>28</v>
      </c>
      <c r="AA7" s="21" t="s">
        <v>41</v>
      </c>
      <c r="AB7" s="21" t="s">
        <v>205</v>
      </c>
    </row>
    <row r="8" spans="1:28" s="12" customForma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v>5100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v>3586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35" bottom="0.78740157499999996" header="0.31496062000000002" footer="0.31496062000000002"/>
  <pageSetup paperSize="9" scale="95" orientation="landscape" horizontalDpi="360" verticalDpi="36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1C19F-B778-411E-B5A9-47E49EFF6DE3}">
  <sheetPr>
    <pageSetUpPr fitToPage="1"/>
  </sheetPr>
  <dimension ref="A1:AB12"/>
  <sheetViews>
    <sheetView workbookViewId="0">
      <selection activeCell="R19" sqref="R19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10.5546875" style="1" customWidth="1"/>
    <col min="4" max="4" width="11.77734375" style="1" hidden="1" customWidth="1"/>
    <col min="5" max="5" width="10.77734375" style="1" customWidth="1"/>
    <col min="6" max="6" width="8.77734375" style="1" customWidth="1"/>
    <col min="7" max="7" width="5.44140625" style="1" customWidth="1"/>
    <col min="8" max="9" width="5.6640625" style="1" customWidth="1"/>
    <col min="10" max="10" width="6" style="1" customWidth="1"/>
    <col min="11" max="11" width="13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6640625" style="1" customWidth="1"/>
    <col min="17" max="17" width="3.77734375" style="1" customWidth="1"/>
    <col min="18" max="18" width="6.218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8.21875" style="1" customWidth="1"/>
    <col min="23" max="24" width="7.44140625" style="1" customWidth="1"/>
    <col min="25" max="25" width="6.88671875" style="1" customWidth="1"/>
    <col min="26" max="26" width="7.21875" style="1" customWidth="1"/>
    <col min="27" max="27" width="3.6640625" style="1" customWidth="1"/>
    <col min="28" max="28" width="10.5546875" style="1" customWidth="1"/>
    <col min="29" max="16384" width="8.88671875" style="1"/>
  </cols>
  <sheetData>
    <row r="1" spans="1:28" ht="18" customHeight="1" x14ac:dyDescent="0.35">
      <c r="A1" s="222" t="s">
        <v>192</v>
      </c>
      <c r="B1" s="222" t="s">
        <v>27</v>
      </c>
      <c r="C1" s="222" t="s">
        <v>27</v>
      </c>
      <c r="D1" s="222" t="s">
        <v>27</v>
      </c>
      <c r="E1" s="222" t="s">
        <v>27</v>
      </c>
      <c r="F1" s="222" t="s">
        <v>27</v>
      </c>
      <c r="G1" s="222" t="s">
        <v>27</v>
      </c>
      <c r="H1" s="222" t="s">
        <v>27</v>
      </c>
      <c r="I1" s="222" t="s">
        <v>27</v>
      </c>
      <c r="J1" s="222" t="s">
        <v>27</v>
      </c>
      <c r="K1" s="222" t="s">
        <v>27</v>
      </c>
      <c r="L1" s="222" t="s">
        <v>27</v>
      </c>
      <c r="M1" s="222" t="s">
        <v>27</v>
      </c>
      <c r="N1" s="222" t="s">
        <v>27</v>
      </c>
      <c r="O1" s="222" t="s">
        <v>27</v>
      </c>
      <c r="P1" s="222" t="s">
        <v>27</v>
      </c>
      <c r="Q1" s="222" t="s">
        <v>27</v>
      </c>
      <c r="R1" s="222" t="s">
        <v>27</v>
      </c>
      <c r="S1" s="222" t="s">
        <v>27</v>
      </c>
      <c r="T1" s="222" t="s">
        <v>27</v>
      </c>
      <c r="U1" s="222" t="s">
        <v>27</v>
      </c>
      <c r="V1" s="222" t="s">
        <v>27</v>
      </c>
      <c r="W1" s="222" t="s">
        <v>27</v>
      </c>
      <c r="X1" s="222" t="s">
        <v>27</v>
      </c>
      <c r="Y1" s="222" t="s">
        <v>27</v>
      </c>
      <c r="Z1" s="222" t="s">
        <v>27</v>
      </c>
      <c r="AA1" s="222" t="s">
        <v>27</v>
      </c>
      <c r="AB1" s="222" t="s">
        <v>27</v>
      </c>
    </row>
    <row r="2" spans="1:28" ht="38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66</v>
      </c>
      <c r="C3" s="5" t="s">
        <v>26</v>
      </c>
      <c r="D3" s="5" t="s">
        <v>176</v>
      </c>
      <c r="E3" s="5" t="s">
        <v>27</v>
      </c>
      <c r="F3" s="5">
        <v>262264</v>
      </c>
      <c r="G3" s="5" t="s">
        <v>175</v>
      </c>
      <c r="H3" s="5">
        <v>300</v>
      </c>
      <c r="I3" s="7">
        <v>1.474</v>
      </c>
      <c r="J3" s="7">
        <v>1.5549999999999999</v>
      </c>
      <c r="K3" s="5" t="s">
        <v>191</v>
      </c>
      <c r="L3" s="7">
        <v>687.62099999999998</v>
      </c>
      <c r="M3" s="9">
        <v>466.5</v>
      </c>
      <c r="N3" s="6">
        <v>0.12959999999999999</v>
      </c>
      <c r="O3" s="8">
        <v>7.78</v>
      </c>
      <c r="P3" s="5">
        <v>407.8</v>
      </c>
      <c r="Q3" s="5">
        <v>1</v>
      </c>
      <c r="R3" s="5">
        <v>1500</v>
      </c>
      <c r="S3" s="7">
        <v>1.474</v>
      </c>
      <c r="T3" s="5">
        <v>26</v>
      </c>
      <c r="U3" s="6">
        <v>1.7299999999999999E-2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33</v>
      </c>
      <c r="AB3" s="5" t="s">
        <v>190</v>
      </c>
    </row>
    <row r="4" spans="1:28" s="12" customFormat="1" ht="25.05" customHeight="1" x14ac:dyDescent="0.3">
      <c r="A4" s="5">
        <v>2</v>
      </c>
      <c r="B4" s="10" t="s">
        <v>66</v>
      </c>
      <c r="C4" s="5" t="s">
        <v>26</v>
      </c>
      <c r="D4" s="5" t="s">
        <v>176</v>
      </c>
      <c r="E4" s="5" t="s">
        <v>27</v>
      </c>
      <c r="F4" s="5">
        <v>262263</v>
      </c>
      <c r="G4" s="5" t="s">
        <v>175</v>
      </c>
      <c r="H4" s="5">
        <v>500</v>
      </c>
      <c r="I4" s="7">
        <v>0.72399999999999998</v>
      </c>
      <c r="J4" s="7">
        <v>1.5249999999999999</v>
      </c>
      <c r="K4" s="5" t="s">
        <v>189</v>
      </c>
      <c r="L4" s="7">
        <v>552.04999999999995</v>
      </c>
      <c r="M4" s="9">
        <v>381.3</v>
      </c>
      <c r="N4" s="6">
        <v>5.2999999999999999E-2</v>
      </c>
      <c r="O4" s="8">
        <v>3.18</v>
      </c>
      <c r="P4" s="5">
        <v>327.39999999999998</v>
      </c>
      <c r="Q4" s="5">
        <v>2</v>
      </c>
      <c r="R4" s="5">
        <v>1500</v>
      </c>
      <c r="S4" s="7">
        <v>1.448</v>
      </c>
      <c r="T4" s="5">
        <v>52</v>
      </c>
      <c r="U4" s="6">
        <v>3.4700000000000002E-2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30</v>
      </c>
      <c r="AB4" s="5" t="s">
        <v>188</v>
      </c>
    </row>
    <row r="5" spans="1:28" s="12" customFormat="1" ht="25.05" customHeight="1" x14ac:dyDescent="0.3">
      <c r="A5" s="5">
        <v>3</v>
      </c>
      <c r="B5" s="10" t="s">
        <v>66</v>
      </c>
      <c r="C5" s="5" t="s">
        <v>26</v>
      </c>
      <c r="D5" s="5" t="s">
        <v>176</v>
      </c>
      <c r="E5" s="5" t="s">
        <v>27</v>
      </c>
      <c r="F5" s="5">
        <v>262262</v>
      </c>
      <c r="G5" s="5" t="s">
        <v>175</v>
      </c>
      <c r="H5" s="5">
        <v>2500</v>
      </c>
      <c r="I5" s="7">
        <v>0.49</v>
      </c>
      <c r="J5" s="7">
        <v>1.36</v>
      </c>
      <c r="K5" s="5" t="s">
        <v>34</v>
      </c>
      <c r="L5" s="7">
        <v>1666</v>
      </c>
      <c r="M5" s="9">
        <v>1133.3</v>
      </c>
      <c r="N5" s="6">
        <v>0.10489999999999999</v>
      </c>
      <c r="O5" s="8">
        <v>6.3</v>
      </c>
      <c r="P5" s="5">
        <v>987.9</v>
      </c>
      <c r="Q5" s="5">
        <v>3</v>
      </c>
      <c r="R5" s="5">
        <v>1500</v>
      </c>
      <c r="S5" s="7">
        <v>1.47</v>
      </c>
      <c r="T5" s="5">
        <v>30</v>
      </c>
      <c r="U5" s="6">
        <v>0.02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57</v>
      </c>
      <c r="AB5" s="5" t="s">
        <v>187</v>
      </c>
    </row>
    <row r="6" spans="1:28" s="12" customFormat="1" ht="25.05" customHeight="1" x14ac:dyDescent="0.3">
      <c r="A6" s="5">
        <v>4</v>
      </c>
      <c r="B6" s="10" t="s">
        <v>66</v>
      </c>
      <c r="C6" s="5" t="s">
        <v>26</v>
      </c>
      <c r="D6" s="5" t="s">
        <v>176</v>
      </c>
      <c r="E6" s="5" t="s">
        <v>27</v>
      </c>
      <c r="F6" s="5">
        <v>262259</v>
      </c>
      <c r="G6" s="5" t="s">
        <v>175</v>
      </c>
      <c r="H6" s="5">
        <v>200</v>
      </c>
      <c r="I6" s="7">
        <v>0.56000000000000005</v>
      </c>
      <c r="J6" s="7">
        <v>1.7190000000000001</v>
      </c>
      <c r="K6" s="5" t="s">
        <v>186</v>
      </c>
      <c r="L6" s="7">
        <v>192.52799999999999</v>
      </c>
      <c r="M6" s="9">
        <v>171.9</v>
      </c>
      <c r="N6" s="6">
        <v>2.3900000000000001E-2</v>
      </c>
      <c r="O6" s="8">
        <v>1.43</v>
      </c>
      <c r="P6" s="5">
        <v>114.2</v>
      </c>
      <c r="Q6" s="5">
        <v>2</v>
      </c>
      <c r="R6" s="5">
        <v>1150</v>
      </c>
      <c r="S6" s="7">
        <v>1.1200000000000001</v>
      </c>
      <c r="T6" s="5">
        <v>30</v>
      </c>
      <c r="U6" s="6">
        <v>2.6100000000000002E-2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39</v>
      </c>
      <c r="AB6" s="5" t="s">
        <v>185</v>
      </c>
    </row>
    <row r="7" spans="1:28" s="12" customFormat="1" ht="25.05" customHeight="1" x14ac:dyDescent="0.3">
      <c r="A7" s="5">
        <v>5</v>
      </c>
      <c r="B7" s="10" t="s">
        <v>66</v>
      </c>
      <c r="C7" s="5" t="s">
        <v>26</v>
      </c>
      <c r="D7" s="5" t="s">
        <v>176</v>
      </c>
      <c r="E7" s="5" t="s">
        <v>27</v>
      </c>
      <c r="F7" s="5">
        <v>262258</v>
      </c>
      <c r="G7" s="5" t="s">
        <v>175</v>
      </c>
      <c r="H7" s="5">
        <v>300</v>
      </c>
      <c r="I7" s="7">
        <v>0.5</v>
      </c>
      <c r="J7" s="7">
        <v>1.7190000000000001</v>
      </c>
      <c r="K7" s="5" t="s">
        <v>184</v>
      </c>
      <c r="L7" s="7">
        <v>257.85000000000002</v>
      </c>
      <c r="M7" s="9">
        <v>257.89999999999998</v>
      </c>
      <c r="N7" s="6">
        <v>3.5799999999999998E-2</v>
      </c>
      <c r="O7" s="8">
        <v>2.15</v>
      </c>
      <c r="P7" s="5">
        <v>152.9</v>
      </c>
      <c r="Q7" s="5">
        <v>2</v>
      </c>
      <c r="R7" s="5">
        <v>1050</v>
      </c>
      <c r="S7" s="7">
        <v>1</v>
      </c>
      <c r="T7" s="5">
        <v>50</v>
      </c>
      <c r="U7" s="6">
        <v>4.7600000000000003E-2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39</v>
      </c>
      <c r="AB7" s="5" t="s">
        <v>183</v>
      </c>
    </row>
    <row r="8" spans="1:28" s="12" customFormat="1" ht="25.05" customHeight="1" x14ac:dyDescent="0.3">
      <c r="A8" s="5">
        <v>6</v>
      </c>
      <c r="B8" s="10" t="s">
        <v>66</v>
      </c>
      <c r="C8" s="5" t="s">
        <v>182</v>
      </c>
      <c r="D8" s="5" t="s">
        <v>176</v>
      </c>
      <c r="E8" s="5" t="s">
        <v>27</v>
      </c>
      <c r="F8" s="5">
        <v>262266</v>
      </c>
      <c r="G8" s="5" t="s">
        <v>175</v>
      </c>
      <c r="H8" s="5">
        <v>500</v>
      </c>
      <c r="I8" s="7">
        <v>0.7</v>
      </c>
      <c r="J8" s="7">
        <v>1.85</v>
      </c>
      <c r="K8" s="5" t="s">
        <v>34</v>
      </c>
      <c r="L8" s="7">
        <v>647.5</v>
      </c>
      <c r="M8" s="9">
        <v>462.5</v>
      </c>
      <c r="N8" s="6">
        <v>6.4199999999999993E-2</v>
      </c>
      <c r="O8" s="8">
        <v>3.85</v>
      </c>
      <c r="P8" s="5">
        <v>223.4</v>
      </c>
      <c r="Q8" s="5">
        <v>2</v>
      </c>
      <c r="R8" s="5">
        <v>1450</v>
      </c>
      <c r="S8" s="7">
        <v>1.4</v>
      </c>
      <c r="T8" s="5">
        <v>50</v>
      </c>
      <c r="U8" s="6">
        <v>3.4500000000000003E-2</v>
      </c>
      <c r="V8" s="5" t="s">
        <v>28</v>
      </c>
      <c r="W8" s="5" t="s">
        <v>28</v>
      </c>
      <c r="X8" s="5" t="s">
        <v>28</v>
      </c>
      <c r="Y8" s="5" t="s">
        <v>27</v>
      </c>
      <c r="Z8" s="5" t="s">
        <v>27</v>
      </c>
      <c r="AA8" s="5" t="s">
        <v>33</v>
      </c>
      <c r="AB8" s="5" t="s">
        <v>181</v>
      </c>
    </row>
    <row r="9" spans="1:28" s="12" customFormat="1" ht="25.05" customHeight="1" x14ac:dyDescent="0.3">
      <c r="A9" s="5">
        <v>7</v>
      </c>
      <c r="B9" s="10" t="s">
        <v>66</v>
      </c>
      <c r="C9" s="5" t="s">
        <v>50</v>
      </c>
      <c r="D9" s="5" t="s">
        <v>176</v>
      </c>
      <c r="E9" s="5" t="s">
        <v>27</v>
      </c>
      <c r="F9" s="5">
        <v>262260</v>
      </c>
      <c r="G9" s="5" t="s">
        <v>175</v>
      </c>
      <c r="H9" s="5">
        <v>500</v>
      </c>
      <c r="I9" s="7">
        <v>0.48099999999999998</v>
      </c>
      <c r="J9" s="7">
        <v>1.169</v>
      </c>
      <c r="K9" s="5" t="s">
        <v>180</v>
      </c>
      <c r="L9" s="7">
        <v>281.14400000000001</v>
      </c>
      <c r="M9" s="9">
        <v>292.3</v>
      </c>
      <c r="N9" s="6">
        <v>4.0599999999999997E-2</v>
      </c>
      <c r="O9" s="8">
        <v>2.44</v>
      </c>
      <c r="P9" s="5">
        <v>102.6</v>
      </c>
      <c r="Q9" s="5">
        <v>2</v>
      </c>
      <c r="R9" s="5">
        <v>1000</v>
      </c>
      <c r="S9" s="7">
        <v>0.96199999999999997</v>
      </c>
      <c r="T9" s="5">
        <v>38</v>
      </c>
      <c r="U9" s="6">
        <v>3.7999999999999999E-2</v>
      </c>
      <c r="V9" s="5" t="s">
        <v>29</v>
      </c>
      <c r="W9" s="5" t="s">
        <v>28</v>
      </c>
      <c r="X9" s="5" t="s">
        <v>29</v>
      </c>
      <c r="Y9" s="5" t="s">
        <v>27</v>
      </c>
      <c r="Z9" s="5" t="s">
        <v>27</v>
      </c>
      <c r="AA9" s="5" t="s">
        <v>39</v>
      </c>
      <c r="AB9" s="5" t="s">
        <v>179</v>
      </c>
    </row>
    <row r="10" spans="1:28" s="12" customFormat="1" ht="25.05" customHeight="1" x14ac:dyDescent="0.3">
      <c r="A10" s="5">
        <v>8</v>
      </c>
      <c r="B10" s="10" t="s">
        <v>66</v>
      </c>
      <c r="C10" s="5" t="s">
        <v>50</v>
      </c>
      <c r="D10" s="5" t="s">
        <v>176</v>
      </c>
      <c r="E10" s="5" t="s">
        <v>27</v>
      </c>
      <c r="F10" s="5">
        <v>262261</v>
      </c>
      <c r="G10" s="5" t="s">
        <v>175</v>
      </c>
      <c r="H10" s="5">
        <v>500</v>
      </c>
      <c r="I10" s="7">
        <v>0.40300000000000002</v>
      </c>
      <c r="J10" s="7">
        <v>1.2589999999999999</v>
      </c>
      <c r="K10" s="5" t="s">
        <v>178</v>
      </c>
      <c r="L10" s="7">
        <v>253.68799999999999</v>
      </c>
      <c r="M10" s="9">
        <v>314.8</v>
      </c>
      <c r="N10" s="6">
        <v>4.3700000000000003E-2</v>
      </c>
      <c r="O10" s="8">
        <v>2.62</v>
      </c>
      <c r="P10" s="5">
        <v>92.6</v>
      </c>
      <c r="Q10" s="5">
        <v>2</v>
      </c>
      <c r="R10" s="5">
        <v>850</v>
      </c>
      <c r="S10" s="7">
        <v>0.80600000000000005</v>
      </c>
      <c r="T10" s="5">
        <v>44</v>
      </c>
      <c r="U10" s="6">
        <v>5.1799999999999999E-2</v>
      </c>
      <c r="V10" s="5" t="s">
        <v>29</v>
      </c>
      <c r="W10" s="5" t="s">
        <v>28</v>
      </c>
      <c r="X10" s="5" t="s">
        <v>29</v>
      </c>
      <c r="Y10" s="5" t="s">
        <v>27</v>
      </c>
      <c r="Z10" s="5" t="s">
        <v>27</v>
      </c>
      <c r="AA10" s="5" t="s">
        <v>39</v>
      </c>
      <c r="AB10" s="5" t="s">
        <v>177</v>
      </c>
    </row>
    <row r="11" spans="1:28" s="12" customFormat="1" ht="25.05" customHeight="1" x14ac:dyDescent="0.3">
      <c r="A11" s="5">
        <v>9</v>
      </c>
      <c r="B11" s="10" t="s">
        <v>66</v>
      </c>
      <c r="C11" s="5" t="s">
        <v>36</v>
      </c>
      <c r="D11" s="5" t="s">
        <v>176</v>
      </c>
      <c r="E11" s="5" t="s">
        <v>27</v>
      </c>
      <c r="F11" s="5">
        <v>262265</v>
      </c>
      <c r="G11" s="5" t="s">
        <v>175</v>
      </c>
      <c r="H11" s="5">
        <v>1000</v>
      </c>
      <c r="I11" s="7">
        <v>0.36199999999999999</v>
      </c>
      <c r="J11" s="7">
        <v>0.95299999999999996</v>
      </c>
      <c r="K11" s="5" t="s">
        <v>174</v>
      </c>
      <c r="L11" s="7">
        <v>344.98599999999999</v>
      </c>
      <c r="M11" s="9">
        <v>476.5</v>
      </c>
      <c r="N11" s="6">
        <v>6.6199999999999995E-2</v>
      </c>
      <c r="O11" s="8">
        <v>3.97</v>
      </c>
      <c r="P11" s="5">
        <v>119</v>
      </c>
      <c r="Q11" s="5">
        <v>2</v>
      </c>
      <c r="R11" s="5">
        <v>750</v>
      </c>
      <c r="S11" s="7">
        <v>0.72399999999999998</v>
      </c>
      <c r="T11" s="5">
        <v>26</v>
      </c>
      <c r="U11" s="6">
        <v>3.4700000000000002E-2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39</v>
      </c>
      <c r="AB11" s="5" t="s">
        <v>173</v>
      </c>
    </row>
    <row r="12" spans="1:28" s="12" customFormat="1" ht="25.05" customHeight="1" x14ac:dyDescent="0.3">
      <c r="A12" s="11" t="s">
        <v>27</v>
      </c>
      <c r="B12" s="11" t="s">
        <v>27</v>
      </c>
      <c r="C12" s="11" t="s">
        <v>27</v>
      </c>
      <c r="D12" s="11" t="s">
        <v>27</v>
      </c>
      <c r="E12" s="11" t="s">
        <v>27</v>
      </c>
      <c r="F12" s="11" t="s">
        <v>27</v>
      </c>
      <c r="G12" s="11" t="s">
        <v>27</v>
      </c>
      <c r="H12" s="11">
        <v>6300</v>
      </c>
      <c r="I12" s="11" t="s">
        <v>27</v>
      </c>
      <c r="J12" s="11" t="s">
        <v>27</v>
      </c>
      <c r="K12" s="11" t="s">
        <v>27</v>
      </c>
      <c r="L12" s="11" t="s">
        <v>27</v>
      </c>
      <c r="M12" s="11" t="s">
        <v>27</v>
      </c>
      <c r="N12" s="11" t="s">
        <v>27</v>
      </c>
      <c r="O12" s="11" t="s">
        <v>27</v>
      </c>
      <c r="P12" s="11">
        <v>2527.8000000000002</v>
      </c>
      <c r="Q12" s="11" t="s">
        <v>27</v>
      </c>
      <c r="R12" s="11" t="s">
        <v>27</v>
      </c>
      <c r="S12" s="11" t="s">
        <v>27</v>
      </c>
      <c r="T12" s="11" t="s">
        <v>27</v>
      </c>
      <c r="U12" s="11" t="s">
        <v>27</v>
      </c>
      <c r="V12" s="11" t="s">
        <v>27</v>
      </c>
      <c r="W12" s="11" t="s">
        <v>27</v>
      </c>
      <c r="X12" s="11" t="s">
        <v>27</v>
      </c>
      <c r="Y12" s="11" t="s">
        <v>27</v>
      </c>
      <c r="Z12" s="11" t="s">
        <v>27</v>
      </c>
      <c r="AA12" s="11" t="s">
        <v>27</v>
      </c>
      <c r="AB12" s="11" t="s">
        <v>27</v>
      </c>
    </row>
  </sheetData>
  <mergeCells count="1">
    <mergeCell ref="A1:AB1"/>
  </mergeCells>
  <pageMargins left="0.511811024" right="0.511811024" top="1.29" bottom="0.78740157499999996" header="0.31496062000000002" footer="0.31496062000000002"/>
  <pageSetup paperSize="9" scale="94" orientation="landscape" horizontalDpi="360" verticalDpi="36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EA5D1-ECC5-4448-9C9A-C7C9B2D3608D}">
  <sheetPr>
    <pageSetUpPr fitToPage="1"/>
  </sheetPr>
  <dimension ref="A1:AB14"/>
  <sheetViews>
    <sheetView topLeftCell="A7" workbookViewId="0">
      <selection activeCell="B2" sqref="B1:B1048576"/>
    </sheetView>
  </sheetViews>
  <sheetFormatPr defaultRowHeight="14.4" x14ac:dyDescent="0.3"/>
  <cols>
    <col min="1" max="1" width="4.109375" style="3" customWidth="1"/>
    <col min="2" max="2" width="17.6640625" style="3" hidden="1" customWidth="1"/>
    <col min="3" max="3" width="7.77734375" style="3" customWidth="1"/>
    <col min="4" max="4" width="11.77734375" style="3" hidden="1" customWidth="1"/>
    <col min="5" max="5" width="10.77734375" style="3" customWidth="1"/>
    <col min="6" max="6" width="7.6640625" style="3" customWidth="1"/>
    <col min="7" max="7" width="5.109375" style="3" customWidth="1"/>
    <col min="8" max="8" width="9.77734375" style="3" customWidth="1"/>
    <col min="9" max="9" width="6.33203125" style="3" customWidth="1"/>
    <col min="10" max="10" width="6.109375" style="3" customWidth="1"/>
    <col min="11" max="11" width="12.777343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7.6640625" style="3" customWidth="1"/>
    <col min="17" max="17" width="4.33203125" style="3" customWidth="1"/>
    <col min="18" max="18" width="5.88671875" style="3" customWidth="1"/>
    <col min="19" max="19" width="6.33203125" style="3" customWidth="1"/>
    <col min="20" max="20" width="11.77734375" style="3" hidden="1" customWidth="1"/>
    <col min="21" max="21" width="8.77734375" style="3" hidden="1" customWidth="1"/>
    <col min="22" max="22" width="8.21875" style="3" customWidth="1"/>
    <col min="23" max="23" width="8.33203125" style="3" customWidth="1"/>
    <col min="24" max="24" width="7.33203125" style="3" customWidth="1"/>
    <col min="25" max="25" width="7.44140625" style="3" customWidth="1"/>
    <col min="26" max="26" width="7.88671875" style="3" customWidth="1"/>
    <col min="27" max="27" width="4.88671875" style="3" customWidth="1"/>
    <col min="28" max="28" width="10.21875" style="3" customWidth="1"/>
    <col min="29" max="16384" width="8.88671875" style="3"/>
  </cols>
  <sheetData>
    <row r="1" spans="1:28" s="45" customFormat="1" ht="18" customHeight="1" x14ac:dyDescent="0.3">
      <c r="A1" s="228" t="s">
        <v>155</v>
      </c>
      <c r="B1" s="228" t="s">
        <v>27</v>
      </c>
      <c r="C1" s="228" t="s">
        <v>27</v>
      </c>
      <c r="D1" s="228" t="s">
        <v>27</v>
      </c>
      <c r="E1" s="228" t="s">
        <v>27</v>
      </c>
      <c r="F1" s="228" t="s">
        <v>27</v>
      </c>
      <c r="G1" s="228" t="s">
        <v>27</v>
      </c>
      <c r="H1" s="228" t="s">
        <v>27</v>
      </c>
      <c r="I1" s="228" t="s">
        <v>27</v>
      </c>
      <c r="J1" s="228" t="s">
        <v>27</v>
      </c>
      <c r="K1" s="228" t="s">
        <v>27</v>
      </c>
      <c r="L1" s="228" t="s">
        <v>27</v>
      </c>
      <c r="M1" s="228" t="s">
        <v>27</v>
      </c>
      <c r="N1" s="228" t="s">
        <v>27</v>
      </c>
      <c r="O1" s="228" t="s">
        <v>27</v>
      </c>
      <c r="P1" s="228" t="s">
        <v>27</v>
      </c>
      <c r="Q1" s="228" t="s">
        <v>27</v>
      </c>
      <c r="R1" s="228" t="s">
        <v>27</v>
      </c>
      <c r="S1" s="228" t="s">
        <v>27</v>
      </c>
      <c r="T1" s="228" t="s">
        <v>27</v>
      </c>
      <c r="U1" s="228" t="s">
        <v>27</v>
      </c>
      <c r="V1" s="228" t="s">
        <v>27</v>
      </c>
      <c r="W1" s="228" t="s">
        <v>27</v>
      </c>
      <c r="X1" s="228" t="s">
        <v>27</v>
      </c>
      <c r="Y1" s="228" t="s">
        <v>27</v>
      </c>
      <c r="Z1" s="228" t="s">
        <v>27</v>
      </c>
      <c r="AA1" s="228" t="s">
        <v>27</v>
      </c>
      <c r="AB1" s="228" t="s">
        <v>27</v>
      </c>
    </row>
    <row r="2" spans="1:28" s="45" customFormat="1" ht="56.4" customHeight="1" x14ac:dyDescent="0.3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s="45" customFormat="1" ht="27.6" customHeight="1" x14ac:dyDescent="0.3">
      <c r="A3" s="47">
        <v>1</v>
      </c>
      <c r="B3" s="52" t="s">
        <v>31</v>
      </c>
      <c r="C3" s="47" t="s">
        <v>26</v>
      </c>
      <c r="D3" s="47" t="s">
        <v>143</v>
      </c>
      <c r="E3" s="47" t="s">
        <v>27</v>
      </c>
      <c r="F3" s="47">
        <v>262238</v>
      </c>
      <c r="G3" s="47" t="s">
        <v>149</v>
      </c>
      <c r="H3" s="47">
        <v>550</v>
      </c>
      <c r="I3" s="49">
        <v>0.70699999999999996</v>
      </c>
      <c r="J3" s="49">
        <v>1.5</v>
      </c>
      <c r="K3" s="47" t="s">
        <v>154</v>
      </c>
      <c r="L3" s="49">
        <v>583.27499999999998</v>
      </c>
      <c r="M3" s="51">
        <v>412.5</v>
      </c>
      <c r="N3" s="48">
        <v>5.7299999999999997E-2</v>
      </c>
      <c r="O3" s="50">
        <v>3.44</v>
      </c>
      <c r="P3" s="47">
        <v>345.9</v>
      </c>
      <c r="Q3" s="47">
        <v>2</v>
      </c>
      <c r="R3" s="47">
        <v>1450</v>
      </c>
      <c r="S3" s="49">
        <v>1.4139999999999999</v>
      </c>
      <c r="T3" s="47">
        <v>36</v>
      </c>
      <c r="U3" s="48">
        <v>2.4799999999999999E-2</v>
      </c>
      <c r="V3" s="47" t="s">
        <v>28</v>
      </c>
      <c r="W3" s="47" t="s">
        <v>29</v>
      </c>
      <c r="X3" s="47" t="s">
        <v>28</v>
      </c>
      <c r="Y3" s="47" t="s">
        <v>28</v>
      </c>
      <c r="Z3" s="47" t="s">
        <v>28</v>
      </c>
      <c r="AA3" s="47" t="s">
        <v>30</v>
      </c>
      <c r="AB3" s="47" t="s">
        <v>153</v>
      </c>
    </row>
    <row r="4" spans="1:28" s="45" customFormat="1" ht="27.6" customHeight="1" x14ac:dyDescent="0.3">
      <c r="A4" s="47">
        <v>2</v>
      </c>
      <c r="B4" s="52" t="s">
        <v>31</v>
      </c>
      <c r="C4" s="47" t="s">
        <v>26</v>
      </c>
      <c r="D4" s="47" t="s">
        <v>143</v>
      </c>
      <c r="E4" s="47" t="s">
        <v>27</v>
      </c>
      <c r="F4" s="47">
        <v>262237</v>
      </c>
      <c r="G4" s="47" t="s">
        <v>149</v>
      </c>
      <c r="H4" s="47">
        <v>330</v>
      </c>
      <c r="I4" s="49">
        <v>0.71299999999999997</v>
      </c>
      <c r="J4" s="49">
        <v>2.1</v>
      </c>
      <c r="K4" s="47" t="s">
        <v>152</v>
      </c>
      <c r="L4" s="49">
        <v>494.10899999999998</v>
      </c>
      <c r="M4" s="51">
        <v>346.5</v>
      </c>
      <c r="N4" s="48">
        <v>4.8099999999999997E-2</v>
      </c>
      <c r="O4" s="50">
        <v>2.89</v>
      </c>
      <c r="P4" s="47">
        <v>293</v>
      </c>
      <c r="Q4" s="47">
        <v>2</v>
      </c>
      <c r="R4" s="47">
        <v>1450</v>
      </c>
      <c r="S4" s="49">
        <v>1.4259999999999999</v>
      </c>
      <c r="T4" s="47">
        <v>24</v>
      </c>
      <c r="U4" s="48">
        <v>1.66E-2</v>
      </c>
      <c r="V4" s="47" t="s">
        <v>28</v>
      </c>
      <c r="W4" s="47" t="s">
        <v>29</v>
      </c>
      <c r="X4" s="47" t="s">
        <v>28</v>
      </c>
      <c r="Y4" s="47" t="s">
        <v>28</v>
      </c>
      <c r="Z4" s="47" t="s">
        <v>28</v>
      </c>
      <c r="AA4" s="47" t="s">
        <v>33</v>
      </c>
      <c r="AB4" s="47" t="s">
        <v>151</v>
      </c>
    </row>
    <row r="5" spans="1:28" s="38" customFormat="1" ht="27.6" customHeight="1" x14ac:dyDescent="0.3">
      <c r="A5" s="47">
        <v>3</v>
      </c>
      <c r="B5" s="52" t="s">
        <v>31</v>
      </c>
      <c r="C5" s="21" t="s">
        <v>26</v>
      </c>
      <c r="D5" s="21" t="s">
        <v>141</v>
      </c>
      <c r="E5" s="21" t="s">
        <v>27</v>
      </c>
      <c r="F5" s="21">
        <v>262247</v>
      </c>
      <c r="G5" s="21" t="s">
        <v>158</v>
      </c>
      <c r="H5" s="21">
        <v>700</v>
      </c>
      <c r="I5" s="23">
        <v>0.63700000000000001</v>
      </c>
      <c r="J5" s="23">
        <v>1.7450000000000001</v>
      </c>
      <c r="K5" s="21" t="s">
        <v>157</v>
      </c>
      <c r="L5" s="23">
        <v>778.096</v>
      </c>
      <c r="M5" s="24">
        <v>610.79999999999995</v>
      </c>
      <c r="N5" s="25">
        <v>8.48E-2</v>
      </c>
      <c r="O5" s="26">
        <v>5.09</v>
      </c>
      <c r="P5" s="21">
        <v>461.4</v>
      </c>
      <c r="Q5" s="21">
        <v>2</v>
      </c>
      <c r="R5" s="21">
        <v>1300</v>
      </c>
      <c r="S5" s="23">
        <v>1.274</v>
      </c>
      <c r="T5" s="21">
        <v>26</v>
      </c>
      <c r="U5" s="25">
        <v>0.02</v>
      </c>
      <c r="V5" s="21" t="s">
        <v>28</v>
      </c>
      <c r="W5" s="21" t="s">
        <v>29</v>
      </c>
      <c r="X5" s="21" t="s">
        <v>28</v>
      </c>
      <c r="Y5" s="21" t="s">
        <v>28</v>
      </c>
      <c r="Z5" s="21" t="s">
        <v>28</v>
      </c>
      <c r="AA5" s="21" t="s">
        <v>32</v>
      </c>
      <c r="AB5" s="21" t="s">
        <v>156</v>
      </c>
    </row>
    <row r="6" spans="1:28" s="38" customFormat="1" ht="27.6" customHeight="1" x14ac:dyDescent="0.3">
      <c r="A6" s="47">
        <v>4</v>
      </c>
      <c r="B6" s="52" t="s">
        <v>31</v>
      </c>
      <c r="C6" s="21" t="s">
        <v>26</v>
      </c>
      <c r="D6" s="21" t="s">
        <v>141</v>
      </c>
      <c r="E6" s="21" t="s">
        <v>27</v>
      </c>
      <c r="F6" s="21">
        <v>262246</v>
      </c>
      <c r="G6" s="21" t="s">
        <v>158</v>
      </c>
      <c r="H6" s="21">
        <v>900</v>
      </c>
      <c r="I6" s="23">
        <v>1.24</v>
      </c>
      <c r="J6" s="23">
        <v>1.33</v>
      </c>
      <c r="K6" s="21" t="s">
        <v>160</v>
      </c>
      <c r="L6" s="23">
        <v>1484.28</v>
      </c>
      <c r="M6" s="24">
        <v>1197</v>
      </c>
      <c r="N6" s="25">
        <v>0.33250000000000002</v>
      </c>
      <c r="O6" s="26">
        <v>19.95</v>
      </c>
      <c r="P6" s="21">
        <v>880.2</v>
      </c>
      <c r="Q6" s="21">
        <v>1</v>
      </c>
      <c r="R6" s="21">
        <v>1300</v>
      </c>
      <c r="S6" s="23">
        <v>1.24</v>
      </c>
      <c r="T6" s="21">
        <v>60</v>
      </c>
      <c r="U6" s="25">
        <v>4.6199999999999998E-2</v>
      </c>
      <c r="V6" s="21" t="s">
        <v>28</v>
      </c>
      <c r="W6" s="21" t="s">
        <v>29</v>
      </c>
      <c r="X6" s="21" t="s">
        <v>28</v>
      </c>
      <c r="Y6" s="21" t="s">
        <v>28</v>
      </c>
      <c r="Z6" s="21" t="s">
        <v>28</v>
      </c>
      <c r="AA6" s="21" t="s">
        <v>33</v>
      </c>
      <c r="AB6" s="21" t="s">
        <v>159</v>
      </c>
    </row>
    <row r="7" spans="1:28" s="38" customFormat="1" ht="25.05" customHeight="1" x14ac:dyDescent="0.3">
      <c r="A7" s="21">
        <v>1</v>
      </c>
      <c r="B7" s="52" t="s">
        <v>31</v>
      </c>
      <c r="C7" s="21" t="s">
        <v>26</v>
      </c>
      <c r="D7" s="21" t="s">
        <v>165</v>
      </c>
      <c r="E7" s="21" t="s">
        <v>27</v>
      </c>
      <c r="F7" s="21">
        <v>262250</v>
      </c>
      <c r="G7" s="21" t="s">
        <v>164</v>
      </c>
      <c r="H7" s="21">
        <v>600</v>
      </c>
      <c r="I7" s="23">
        <v>0.56699999999999995</v>
      </c>
      <c r="J7" s="23">
        <v>1.6</v>
      </c>
      <c r="K7" s="21" t="s">
        <v>167</v>
      </c>
      <c r="L7" s="23">
        <v>544.32000000000005</v>
      </c>
      <c r="M7" s="24">
        <v>480</v>
      </c>
      <c r="N7" s="25">
        <v>6.6699999999999995E-2</v>
      </c>
      <c r="O7" s="26">
        <v>4</v>
      </c>
      <c r="P7" s="21">
        <v>322.8</v>
      </c>
      <c r="Q7" s="21">
        <v>2</v>
      </c>
      <c r="R7" s="21">
        <v>1200</v>
      </c>
      <c r="S7" s="23">
        <v>1.1339999999999999</v>
      </c>
      <c r="T7" s="21">
        <v>66</v>
      </c>
      <c r="U7" s="25">
        <v>5.5E-2</v>
      </c>
      <c r="V7" s="21" t="s">
        <v>28</v>
      </c>
      <c r="W7" s="21" t="s">
        <v>29</v>
      </c>
      <c r="X7" s="21" t="s">
        <v>28</v>
      </c>
      <c r="Y7" s="21" t="s">
        <v>28</v>
      </c>
      <c r="Z7" s="21" t="s">
        <v>28</v>
      </c>
      <c r="AA7" s="21" t="s">
        <v>33</v>
      </c>
      <c r="AB7" s="21" t="s">
        <v>166</v>
      </c>
    </row>
    <row r="8" spans="1:28" s="38" customFormat="1" ht="25.05" customHeight="1" x14ac:dyDescent="0.3">
      <c r="A8" s="21">
        <v>2</v>
      </c>
      <c r="B8" s="52" t="s">
        <v>31</v>
      </c>
      <c r="C8" s="21" t="s">
        <v>26</v>
      </c>
      <c r="D8" s="21" t="s">
        <v>165</v>
      </c>
      <c r="E8" s="21" t="s">
        <v>27</v>
      </c>
      <c r="F8" s="21">
        <v>262251</v>
      </c>
      <c r="G8" s="21" t="s">
        <v>164</v>
      </c>
      <c r="H8" s="21">
        <v>1200</v>
      </c>
      <c r="I8" s="23">
        <v>1.155</v>
      </c>
      <c r="J8" s="23">
        <v>1.5640000000000001</v>
      </c>
      <c r="K8" s="21" t="s">
        <v>163</v>
      </c>
      <c r="L8" s="23">
        <v>2167.7040000000002</v>
      </c>
      <c r="M8" s="24">
        <v>1876.8</v>
      </c>
      <c r="N8" s="25">
        <v>0.52129999999999999</v>
      </c>
      <c r="O8" s="26">
        <v>31.28</v>
      </c>
      <c r="P8" s="21">
        <v>1285.4000000000001</v>
      </c>
      <c r="Q8" s="21">
        <v>1</v>
      </c>
      <c r="R8" s="21">
        <v>1200</v>
      </c>
      <c r="S8" s="23">
        <v>1.155</v>
      </c>
      <c r="T8" s="21">
        <v>45</v>
      </c>
      <c r="U8" s="25">
        <v>3.7499999999999999E-2</v>
      </c>
      <c r="V8" s="21" t="s">
        <v>28</v>
      </c>
      <c r="W8" s="21" t="s">
        <v>29</v>
      </c>
      <c r="X8" s="21" t="s">
        <v>28</v>
      </c>
      <c r="Y8" s="21" t="s">
        <v>28</v>
      </c>
      <c r="Z8" s="21" t="s">
        <v>28</v>
      </c>
      <c r="AA8" s="21" t="s">
        <v>57</v>
      </c>
      <c r="AB8" s="21" t="s">
        <v>162</v>
      </c>
    </row>
    <row r="9" spans="1:28" s="45" customFormat="1" ht="27.6" customHeight="1" x14ac:dyDescent="0.3">
      <c r="A9" s="47">
        <v>5</v>
      </c>
      <c r="B9" s="52" t="s">
        <v>31</v>
      </c>
      <c r="C9" s="47" t="s">
        <v>26</v>
      </c>
      <c r="D9" s="47" t="s">
        <v>143</v>
      </c>
      <c r="E9" s="47" t="s">
        <v>27</v>
      </c>
      <c r="F9" s="47">
        <v>262236</v>
      </c>
      <c r="G9" s="47" t="s">
        <v>149</v>
      </c>
      <c r="H9" s="47">
        <v>330</v>
      </c>
      <c r="I9" s="49">
        <v>0.96199999999999997</v>
      </c>
      <c r="J9" s="49">
        <v>2.12</v>
      </c>
      <c r="K9" s="47" t="s">
        <v>150</v>
      </c>
      <c r="L9" s="49">
        <v>673.01499999999999</v>
      </c>
      <c r="M9" s="51">
        <v>699.6</v>
      </c>
      <c r="N9" s="48">
        <v>0.1943</v>
      </c>
      <c r="O9" s="50">
        <v>11.66</v>
      </c>
      <c r="P9" s="47">
        <v>399.1</v>
      </c>
      <c r="Q9" s="47">
        <v>1</v>
      </c>
      <c r="R9" s="47">
        <v>1000</v>
      </c>
      <c r="S9" s="49">
        <v>0.96199999999999997</v>
      </c>
      <c r="T9" s="47">
        <v>38</v>
      </c>
      <c r="U9" s="48">
        <v>3.7999999999999999E-2</v>
      </c>
      <c r="V9" s="47" t="s">
        <v>28</v>
      </c>
      <c r="W9" s="47" t="s">
        <v>29</v>
      </c>
      <c r="X9" s="47" t="s">
        <v>28</v>
      </c>
      <c r="Y9" s="47" t="s">
        <v>28</v>
      </c>
      <c r="Z9" s="47" t="s">
        <v>28</v>
      </c>
      <c r="AA9" s="47" t="s">
        <v>39</v>
      </c>
      <c r="AB9" s="47" t="s">
        <v>52</v>
      </c>
    </row>
    <row r="10" spans="1:28" s="38" customFormat="1" ht="27.6" customHeight="1" x14ac:dyDescent="0.3">
      <c r="A10" s="47">
        <v>6</v>
      </c>
      <c r="B10" s="52" t="s">
        <v>31</v>
      </c>
      <c r="C10" s="21" t="s">
        <v>36</v>
      </c>
      <c r="D10" s="21" t="s">
        <v>141</v>
      </c>
      <c r="E10" s="21" t="s">
        <v>27</v>
      </c>
      <c r="F10" s="21">
        <v>262255</v>
      </c>
      <c r="G10" s="21" t="s">
        <v>169</v>
      </c>
      <c r="H10" s="21">
        <v>3125</v>
      </c>
      <c r="I10" s="23">
        <v>0.89400000000000002</v>
      </c>
      <c r="J10" s="23">
        <v>0.71</v>
      </c>
      <c r="K10" s="21" t="s">
        <v>34</v>
      </c>
      <c r="L10" s="23">
        <v>1983.5630000000001</v>
      </c>
      <c r="M10" s="24">
        <v>2218.8000000000002</v>
      </c>
      <c r="N10" s="25">
        <v>0.61629999999999996</v>
      </c>
      <c r="O10" s="26">
        <v>36.979999999999997</v>
      </c>
      <c r="P10" s="21">
        <v>684.3</v>
      </c>
      <c r="Q10" s="21">
        <v>1</v>
      </c>
      <c r="R10" s="21">
        <v>950</v>
      </c>
      <c r="S10" s="23">
        <v>0.89400000000000002</v>
      </c>
      <c r="T10" s="21">
        <v>56</v>
      </c>
      <c r="U10" s="25">
        <v>5.8900000000000001E-2</v>
      </c>
      <c r="V10" s="21" t="s">
        <v>28</v>
      </c>
      <c r="W10" s="21" t="s">
        <v>28</v>
      </c>
      <c r="X10" s="21" t="s">
        <v>28</v>
      </c>
      <c r="Y10" s="21" t="s">
        <v>27</v>
      </c>
      <c r="Z10" s="21" t="s">
        <v>27</v>
      </c>
      <c r="AA10" s="21" t="s">
        <v>30</v>
      </c>
      <c r="AB10" s="21" t="s">
        <v>172</v>
      </c>
    </row>
    <row r="11" spans="1:28" s="45" customFormat="1" ht="27.6" customHeight="1" x14ac:dyDescent="0.3">
      <c r="A11" s="47">
        <v>7</v>
      </c>
      <c r="B11" s="52" t="s">
        <v>31</v>
      </c>
      <c r="C11" s="47" t="s">
        <v>36</v>
      </c>
      <c r="D11" s="47" t="s">
        <v>143</v>
      </c>
      <c r="E11" s="47" t="s">
        <v>27</v>
      </c>
      <c r="F11" s="47">
        <v>262239</v>
      </c>
      <c r="G11" s="47" t="s">
        <v>149</v>
      </c>
      <c r="H11" s="47">
        <v>5200</v>
      </c>
      <c r="I11" s="49">
        <v>0.81799999999999995</v>
      </c>
      <c r="J11" s="49">
        <v>1.7050000000000001</v>
      </c>
      <c r="K11" s="47" t="s">
        <v>34</v>
      </c>
      <c r="L11" s="49">
        <v>7252.3879999999999</v>
      </c>
      <c r="M11" s="51">
        <v>8866</v>
      </c>
      <c r="N11" s="48">
        <v>2.4628000000000001</v>
      </c>
      <c r="O11" s="50">
        <v>147.77000000000001</v>
      </c>
      <c r="P11" s="47">
        <v>2502.1</v>
      </c>
      <c r="Q11" s="47">
        <v>1</v>
      </c>
      <c r="R11" s="47">
        <v>850</v>
      </c>
      <c r="S11" s="49">
        <v>0.81799999999999995</v>
      </c>
      <c r="T11" s="47">
        <v>32</v>
      </c>
      <c r="U11" s="48">
        <v>3.7600000000000001E-2</v>
      </c>
      <c r="V11" s="47" t="s">
        <v>28</v>
      </c>
      <c r="W11" s="47" t="s">
        <v>28</v>
      </c>
      <c r="X11" s="47" t="s">
        <v>28</v>
      </c>
      <c r="Y11" s="47" t="s">
        <v>27</v>
      </c>
      <c r="Z11" s="47" t="s">
        <v>27</v>
      </c>
      <c r="AA11" s="47" t="s">
        <v>73</v>
      </c>
      <c r="AB11" s="47" t="s">
        <v>148</v>
      </c>
    </row>
    <row r="12" spans="1:28" s="38" customFormat="1" ht="27.6" customHeight="1" x14ac:dyDescent="0.3">
      <c r="A12" s="47">
        <v>8</v>
      </c>
      <c r="B12" s="52" t="s">
        <v>31</v>
      </c>
      <c r="C12" s="21" t="s">
        <v>65</v>
      </c>
      <c r="D12" s="21" t="s">
        <v>141</v>
      </c>
      <c r="E12" s="21" t="s">
        <v>27</v>
      </c>
      <c r="F12" s="21">
        <v>262256</v>
      </c>
      <c r="G12" s="21" t="s">
        <v>169</v>
      </c>
      <c r="H12" s="21">
        <v>750</v>
      </c>
      <c r="I12" s="23">
        <v>0.64200000000000002</v>
      </c>
      <c r="J12" s="23">
        <v>1.84</v>
      </c>
      <c r="K12" s="21" t="s">
        <v>129</v>
      </c>
      <c r="L12" s="23">
        <v>885.96</v>
      </c>
      <c r="M12" s="24">
        <v>690</v>
      </c>
      <c r="N12" s="25">
        <v>9.5799999999999996E-2</v>
      </c>
      <c r="O12" s="26">
        <v>5.75</v>
      </c>
      <c r="P12" s="21">
        <v>305.7</v>
      </c>
      <c r="Q12" s="21">
        <v>2</v>
      </c>
      <c r="R12" s="21">
        <v>1350</v>
      </c>
      <c r="S12" s="23">
        <v>1.284</v>
      </c>
      <c r="T12" s="21">
        <v>66</v>
      </c>
      <c r="U12" s="25">
        <v>4.8899999999999999E-2</v>
      </c>
      <c r="V12" s="21" t="s">
        <v>28</v>
      </c>
      <c r="W12" s="21" t="s">
        <v>28</v>
      </c>
      <c r="X12" s="21" t="s">
        <v>28</v>
      </c>
      <c r="Y12" s="21" t="s">
        <v>27</v>
      </c>
      <c r="Z12" s="21" t="s">
        <v>27</v>
      </c>
      <c r="AA12" s="21" t="s">
        <v>30</v>
      </c>
      <c r="AB12" s="21" t="s">
        <v>168</v>
      </c>
    </row>
    <row r="13" spans="1:28" s="38" customFormat="1" ht="27.6" customHeight="1" x14ac:dyDescent="0.3">
      <c r="A13" s="47">
        <v>9</v>
      </c>
      <c r="B13" s="52" t="s">
        <v>31</v>
      </c>
      <c r="C13" s="21" t="s">
        <v>65</v>
      </c>
      <c r="D13" s="21" t="s">
        <v>141</v>
      </c>
      <c r="E13" s="21" t="s">
        <v>27</v>
      </c>
      <c r="F13" s="21">
        <v>262257</v>
      </c>
      <c r="G13" s="21" t="s">
        <v>169</v>
      </c>
      <c r="H13" s="21">
        <v>550</v>
      </c>
      <c r="I13" s="23">
        <v>0.95199999999999996</v>
      </c>
      <c r="J13" s="23">
        <v>1.74</v>
      </c>
      <c r="K13" s="21" t="s">
        <v>171</v>
      </c>
      <c r="L13" s="23">
        <v>911.06399999999996</v>
      </c>
      <c r="M13" s="24">
        <v>957</v>
      </c>
      <c r="N13" s="25">
        <v>0.26579999999999998</v>
      </c>
      <c r="O13" s="26">
        <v>15.95</v>
      </c>
      <c r="P13" s="21">
        <v>314.3</v>
      </c>
      <c r="Q13" s="21">
        <v>1</v>
      </c>
      <c r="R13" s="21">
        <v>1000</v>
      </c>
      <c r="S13" s="23">
        <v>0.95199999999999996</v>
      </c>
      <c r="T13" s="21">
        <v>48</v>
      </c>
      <c r="U13" s="25">
        <v>4.8000000000000001E-2</v>
      </c>
      <c r="V13" s="21" t="s">
        <v>28</v>
      </c>
      <c r="W13" s="21" t="s">
        <v>28</v>
      </c>
      <c r="X13" s="21" t="s">
        <v>28</v>
      </c>
      <c r="Y13" s="21" t="s">
        <v>27</v>
      </c>
      <c r="Z13" s="21" t="s">
        <v>27</v>
      </c>
      <c r="AA13" s="21" t="s">
        <v>33</v>
      </c>
      <c r="AB13" s="21" t="s">
        <v>170</v>
      </c>
    </row>
    <row r="14" spans="1:28" s="45" customFormat="1" ht="27.6" customHeight="1" x14ac:dyDescent="0.3">
      <c r="A14" s="46" t="s">
        <v>27</v>
      </c>
      <c r="B14" s="46" t="s">
        <v>27</v>
      </c>
      <c r="C14" s="46" t="s">
        <v>27</v>
      </c>
      <c r="D14" s="46" t="s">
        <v>27</v>
      </c>
      <c r="E14" s="46" t="s">
        <v>27</v>
      </c>
      <c r="F14" s="46" t="s">
        <v>27</v>
      </c>
      <c r="G14" s="46" t="s">
        <v>27</v>
      </c>
      <c r="H14" s="46">
        <v>14235</v>
      </c>
      <c r="I14" s="46" t="s">
        <v>27</v>
      </c>
      <c r="J14" s="46" t="s">
        <v>27</v>
      </c>
      <c r="K14" s="46" t="s">
        <v>27</v>
      </c>
      <c r="L14" s="46" t="s">
        <v>27</v>
      </c>
      <c r="M14" s="46" t="s">
        <v>27</v>
      </c>
      <c r="N14" s="46" t="s">
        <v>27</v>
      </c>
      <c r="O14" s="46" t="s">
        <v>27</v>
      </c>
      <c r="P14" s="46">
        <v>7794</v>
      </c>
      <c r="Q14" s="46" t="s">
        <v>27</v>
      </c>
      <c r="R14" s="46" t="s">
        <v>27</v>
      </c>
      <c r="S14" s="46" t="s">
        <v>27</v>
      </c>
      <c r="T14" s="46" t="s">
        <v>27</v>
      </c>
      <c r="U14" s="46" t="s">
        <v>27</v>
      </c>
      <c r="V14" s="46" t="s">
        <v>27</v>
      </c>
      <c r="W14" s="46" t="s">
        <v>27</v>
      </c>
      <c r="X14" s="46" t="s">
        <v>27</v>
      </c>
      <c r="Y14" s="46" t="s">
        <v>27</v>
      </c>
      <c r="Z14" s="46" t="s">
        <v>27</v>
      </c>
      <c r="AA14" s="46" t="s">
        <v>27</v>
      </c>
      <c r="AB14" s="46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1" orientation="landscape" horizontalDpi="360" verticalDpi="36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F195B3-1D12-452C-933A-2BCDEAFCB384}">
  <sheetPr>
    <pageSetUpPr fitToPage="1"/>
  </sheetPr>
  <dimension ref="A1:AB14"/>
  <sheetViews>
    <sheetView workbookViewId="0">
      <selection activeCell="AE7" sqref="AE7"/>
    </sheetView>
  </sheetViews>
  <sheetFormatPr defaultRowHeight="14.4" x14ac:dyDescent="0.3"/>
  <cols>
    <col min="1" max="1" width="3.6640625" style="1" customWidth="1"/>
    <col min="2" max="2" width="10.3320312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8.33203125" style="1" customWidth="1"/>
    <col min="7" max="7" width="5.6640625" style="1" customWidth="1"/>
    <col min="8" max="8" width="6" style="1" customWidth="1"/>
    <col min="9" max="9" width="5.88671875" style="1" customWidth="1"/>
    <col min="10" max="10" width="5.44140625" style="1" customWidth="1"/>
    <col min="11" max="11" width="11.8867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" style="1" customWidth="1"/>
    <col min="17" max="17" width="3.21875" style="1" customWidth="1"/>
    <col min="18" max="18" width="5.88671875" style="1" customWidth="1"/>
    <col min="19" max="19" width="5.6640625" style="1" customWidth="1"/>
    <col min="20" max="20" width="11.77734375" style="1" hidden="1" customWidth="1"/>
    <col min="21" max="21" width="8.77734375" style="1" hidden="1" customWidth="1"/>
    <col min="22" max="22" width="6.77734375" style="1" customWidth="1"/>
    <col min="23" max="23" width="7.44140625" style="1" customWidth="1"/>
    <col min="24" max="24" width="7.5546875" style="1" customWidth="1"/>
    <col min="25" max="25" width="8" style="1" customWidth="1"/>
    <col min="26" max="26" width="8.33203125" style="1" customWidth="1"/>
    <col min="27" max="27" width="4.21875" style="1" customWidth="1"/>
    <col min="28" max="28" width="10.109375" style="1" customWidth="1"/>
    <col min="29" max="16384" width="8.88671875" style="1"/>
  </cols>
  <sheetData>
    <row r="1" spans="1:28" ht="18" customHeight="1" x14ac:dyDescent="0.35">
      <c r="A1" s="222" t="s">
        <v>79</v>
      </c>
      <c r="B1" s="222" t="s">
        <v>27</v>
      </c>
      <c r="C1" s="222" t="s">
        <v>27</v>
      </c>
      <c r="D1" s="222" t="s">
        <v>27</v>
      </c>
      <c r="E1" s="222" t="s">
        <v>27</v>
      </c>
      <c r="F1" s="222" t="s">
        <v>27</v>
      </c>
      <c r="G1" s="222" t="s">
        <v>27</v>
      </c>
      <c r="H1" s="222" t="s">
        <v>27</v>
      </c>
      <c r="I1" s="222" t="s">
        <v>27</v>
      </c>
      <c r="J1" s="222" t="s">
        <v>27</v>
      </c>
      <c r="K1" s="222" t="s">
        <v>27</v>
      </c>
      <c r="L1" s="222" t="s">
        <v>27</v>
      </c>
      <c r="M1" s="222" t="s">
        <v>27</v>
      </c>
      <c r="N1" s="222" t="s">
        <v>27</v>
      </c>
      <c r="O1" s="222" t="s">
        <v>27</v>
      </c>
      <c r="P1" s="222" t="s">
        <v>27</v>
      </c>
      <c r="Q1" s="222" t="s">
        <v>27</v>
      </c>
      <c r="R1" s="222" t="s">
        <v>27</v>
      </c>
      <c r="S1" s="222" t="s">
        <v>27</v>
      </c>
      <c r="T1" s="222" t="s">
        <v>27</v>
      </c>
      <c r="U1" s="222" t="s">
        <v>27</v>
      </c>
      <c r="V1" s="222" t="s">
        <v>27</v>
      </c>
      <c r="W1" s="222" t="s">
        <v>27</v>
      </c>
      <c r="X1" s="222" t="s">
        <v>27</v>
      </c>
      <c r="Y1" s="222" t="s">
        <v>27</v>
      </c>
      <c r="Z1" s="222" t="s">
        <v>27</v>
      </c>
      <c r="AA1" s="222" t="s">
        <v>27</v>
      </c>
      <c r="AB1" s="222" t="s">
        <v>27</v>
      </c>
    </row>
    <row r="2" spans="1:28" ht="63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59" customFormat="1" ht="25.05" customHeight="1" x14ac:dyDescent="0.3">
      <c r="A3" s="53">
        <v>1</v>
      </c>
      <c r="B3" s="54" t="s">
        <v>31</v>
      </c>
      <c r="C3" s="53" t="s">
        <v>26</v>
      </c>
      <c r="D3" s="53" t="s">
        <v>113</v>
      </c>
      <c r="E3" s="53" t="s">
        <v>27</v>
      </c>
      <c r="F3" s="53">
        <v>262195</v>
      </c>
      <c r="G3" s="53" t="s">
        <v>112</v>
      </c>
      <c r="H3" s="53">
        <v>550</v>
      </c>
      <c r="I3" s="55">
        <v>0.72199999999999998</v>
      </c>
      <c r="J3" s="55">
        <v>1.56</v>
      </c>
      <c r="K3" s="53" t="s">
        <v>111</v>
      </c>
      <c r="L3" s="55">
        <v>619.476</v>
      </c>
      <c r="M3" s="56">
        <v>429</v>
      </c>
      <c r="N3" s="57">
        <v>5.96E-2</v>
      </c>
      <c r="O3" s="58">
        <v>3.58</v>
      </c>
      <c r="P3" s="53">
        <v>367.3</v>
      </c>
      <c r="Q3" s="53">
        <v>2</v>
      </c>
      <c r="R3" s="53">
        <v>1500</v>
      </c>
      <c r="S3" s="55">
        <v>1.444</v>
      </c>
      <c r="T3" s="53">
        <v>56</v>
      </c>
      <c r="U3" s="57">
        <v>3.73E-2</v>
      </c>
      <c r="V3" s="53" t="s">
        <v>28</v>
      </c>
      <c r="W3" s="53" t="s">
        <v>29</v>
      </c>
      <c r="X3" s="53" t="s">
        <v>28</v>
      </c>
      <c r="Y3" s="53" t="s">
        <v>28</v>
      </c>
      <c r="Z3" s="53" t="s">
        <v>28</v>
      </c>
      <c r="AA3" s="53" t="s">
        <v>30</v>
      </c>
      <c r="AB3" s="53" t="s">
        <v>110</v>
      </c>
    </row>
    <row r="4" spans="1:28" s="38" customFormat="1" ht="25.05" customHeight="1" x14ac:dyDescent="0.3">
      <c r="A4" s="53">
        <v>2</v>
      </c>
      <c r="B4" s="54" t="s">
        <v>31</v>
      </c>
      <c r="C4" s="39" t="s">
        <v>26</v>
      </c>
      <c r="D4" s="39" t="s">
        <v>113</v>
      </c>
      <c r="E4" s="39" t="s">
        <v>27</v>
      </c>
      <c r="F4" s="39">
        <v>262203</v>
      </c>
      <c r="G4" s="39" t="s">
        <v>130</v>
      </c>
      <c r="H4" s="39">
        <v>1200</v>
      </c>
      <c r="I4" s="40">
        <v>0.64200000000000002</v>
      </c>
      <c r="J4" s="40">
        <v>2.08</v>
      </c>
      <c r="K4" s="39" t="s">
        <v>129</v>
      </c>
      <c r="L4" s="40">
        <v>1602.432</v>
      </c>
      <c r="M4" s="41">
        <v>1248</v>
      </c>
      <c r="N4" s="42">
        <v>0.17330000000000001</v>
      </c>
      <c r="O4" s="43">
        <v>10.4</v>
      </c>
      <c r="P4" s="39">
        <v>950.2</v>
      </c>
      <c r="Q4" s="39">
        <v>2</v>
      </c>
      <c r="R4" s="39">
        <v>1350</v>
      </c>
      <c r="S4" s="40">
        <v>1.284</v>
      </c>
      <c r="T4" s="39">
        <v>66</v>
      </c>
      <c r="U4" s="42">
        <v>4.8899999999999999E-2</v>
      </c>
      <c r="V4" s="39" t="s">
        <v>28</v>
      </c>
      <c r="W4" s="39" t="s">
        <v>29</v>
      </c>
      <c r="X4" s="39" t="s">
        <v>28</v>
      </c>
      <c r="Y4" s="39" t="s">
        <v>28</v>
      </c>
      <c r="Z4" s="39" t="s">
        <v>28</v>
      </c>
      <c r="AA4" s="39" t="s">
        <v>57</v>
      </c>
      <c r="AB4" s="39" t="s">
        <v>128</v>
      </c>
    </row>
    <row r="5" spans="1:28" s="59" customFormat="1" ht="25.05" customHeight="1" x14ac:dyDescent="0.3">
      <c r="A5" s="53">
        <v>4</v>
      </c>
      <c r="B5" s="54" t="s">
        <v>31</v>
      </c>
      <c r="C5" s="53" t="s">
        <v>26</v>
      </c>
      <c r="D5" s="53" t="s">
        <v>113</v>
      </c>
      <c r="E5" s="53" t="s">
        <v>27</v>
      </c>
      <c r="F5" s="53">
        <v>262196</v>
      </c>
      <c r="G5" s="53" t="s">
        <v>112</v>
      </c>
      <c r="H5" s="53">
        <v>370</v>
      </c>
      <c r="I5" s="55">
        <v>0.85199999999999998</v>
      </c>
      <c r="J5" s="55">
        <v>1.74</v>
      </c>
      <c r="K5" s="53" t="s">
        <v>115</v>
      </c>
      <c r="L5" s="55">
        <v>548.51800000000003</v>
      </c>
      <c r="M5" s="56">
        <v>643.79999999999995</v>
      </c>
      <c r="N5" s="57">
        <v>0.17879999999999999</v>
      </c>
      <c r="O5" s="58">
        <v>10.73</v>
      </c>
      <c r="P5" s="53">
        <v>325.3</v>
      </c>
      <c r="Q5" s="53">
        <v>1</v>
      </c>
      <c r="R5" s="53">
        <v>900</v>
      </c>
      <c r="S5" s="55">
        <v>0.85199999999999998</v>
      </c>
      <c r="T5" s="53">
        <v>48</v>
      </c>
      <c r="U5" s="57">
        <v>5.33E-2</v>
      </c>
      <c r="V5" s="53" t="s">
        <v>28</v>
      </c>
      <c r="W5" s="53" t="s">
        <v>29</v>
      </c>
      <c r="X5" s="53" t="s">
        <v>28</v>
      </c>
      <c r="Y5" s="53" t="s">
        <v>28</v>
      </c>
      <c r="Z5" s="53" t="s">
        <v>28</v>
      </c>
      <c r="AA5" s="53" t="s">
        <v>33</v>
      </c>
      <c r="AB5" s="53" t="s">
        <v>114</v>
      </c>
    </row>
    <row r="6" spans="1:28" s="59" customFormat="1" ht="25.05" customHeight="1" x14ac:dyDescent="0.3">
      <c r="A6" s="53">
        <v>5</v>
      </c>
      <c r="B6" s="54" t="s">
        <v>31</v>
      </c>
      <c r="C6" s="53" t="s">
        <v>26</v>
      </c>
      <c r="D6" s="53" t="s">
        <v>113</v>
      </c>
      <c r="E6" s="53" t="s">
        <v>27</v>
      </c>
      <c r="F6" s="53">
        <v>262200</v>
      </c>
      <c r="G6" s="53" t="s">
        <v>121</v>
      </c>
      <c r="H6" s="53">
        <v>400</v>
      </c>
      <c r="I6" s="55">
        <v>0.85899999999999999</v>
      </c>
      <c r="J6" s="55">
        <v>1.58</v>
      </c>
      <c r="K6" s="53" t="s">
        <v>127</v>
      </c>
      <c r="L6" s="55">
        <v>542.88800000000003</v>
      </c>
      <c r="M6" s="56">
        <v>632</v>
      </c>
      <c r="N6" s="57">
        <v>0.17560000000000001</v>
      </c>
      <c r="O6" s="58">
        <v>10.53</v>
      </c>
      <c r="P6" s="53">
        <v>321.89999999999998</v>
      </c>
      <c r="Q6" s="53">
        <v>1</v>
      </c>
      <c r="R6" s="53">
        <v>900</v>
      </c>
      <c r="S6" s="55">
        <v>0.85899999999999999</v>
      </c>
      <c r="T6" s="53">
        <v>41</v>
      </c>
      <c r="U6" s="57">
        <v>4.5600000000000002E-2</v>
      </c>
      <c r="V6" s="53" t="s">
        <v>28</v>
      </c>
      <c r="W6" s="53" t="s">
        <v>29</v>
      </c>
      <c r="X6" s="53" t="s">
        <v>28</v>
      </c>
      <c r="Y6" s="53" t="s">
        <v>28</v>
      </c>
      <c r="Z6" s="53" t="s">
        <v>28</v>
      </c>
      <c r="AA6" s="53" t="s">
        <v>30</v>
      </c>
      <c r="AB6" s="53" t="s">
        <v>126</v>
      </c>
    </row>
    <row r="7" spans="1:28" s="38" customFormat="1" ht="25.05" customHeight="1" x14ac:dyDescent="0.3">
      <c r="A7" s="53">
        <v>6</v>
      </c>
      <c r="B7" s="54" t="s">
        <v>31</v>
      </c>
      <c r="C7" s="21" t="s">
        <v>26</v>
      </c>
      <c r="D7" s="21" t="s">
        <v>131</v>
      </c>
      <c r="E7" s="21" t="s">
        <v>27</v>
      </c>
      <c r="F7" s="21">
        <v>262208</v>
      </c>
      <c r="G7" s="21" t="s">
        <v>140</v>
      </c>
      <c r="H7" s="21">
        <v>400</v>
      </c>
      <c r="I7" s="23">
        <v>0.86899999999999999</v>
      </c>
      <c r="J7" s="23">
        <v>1.74</v>
      </c>
      <c r="K7" s="21" t="s">
        <v>125</v>
      </c>
      <c r="L7" s="23">
        <v>604.82399999999996</v>
      </c>
      <c r="M7" s="24">
        <v>696</v>
      </c>
      <c r="N7" s="25">
        <v>0.1933</v>
      </c>
      <c r="O7" s="26">
        <v>11.6</v>
      </c>
      <c r="P7" s="21">
        <v>358.7</v>
      </c>
      <c r="Q7" s="21">
        <v>1</v>
      </c>
      <c r="R7" s="21">
        <v>900</v>
      </c>
      <c r="S7" s="23">
        <v>0.86899999999999999</v>
      </c>
      <c r="T7" s="21">
        <v>31</v>
      </c>
      <c r="U7" s="25">
        <v>3.44E-2</v>
      </c>
      <c r="V7" s="21" t="s">
        <v>28</v>
      </c>
      <c r="W7" s="21" t="s">
        <v>29</v>
      </c>
      <c r="X7" s="21" t="s">
        <v>28</v>
      </c>
      <c r="Y7" s="21" t="s">
        <v>28</v>
      </c>
      <c r="Z7" s="21" t="s">
        <v>28</v>
      </c>
      <c r="AA7" s="21" t="s">
        <v>30</v>
      </c>
      <c r="AB7" s="21" t="s">
        <v>124</v>
      </c>
    </row>
    <row r="8" spans="1:28" s="59" customFormat="1" ht="25.05" customHeight="1" x14ac:dyDescent="0.3">
      <c r="A8" s="53">
        <v>7</v>
      </c>
      <c r="B8" s="54" t="s">
        <v>31</v>
      </c>
      <c r="C8" s="53" t="s">
        <v>26</v>
      </c>
      <c r="D8" s="53" t="s">
        <v>113</v>
      </c>
      <c r="E8" s="53" t="s">
        <v>27</v>
      </c>
      <c r="F8" s="53">
        <v>262201</v>
      </c>
      <c r="G8" s="53" t="s">
        <v>121</v>
      </c>
      <c r="H8" s="53">
        <v>350</v>
      </c>
      <c r="I8" s="55">
        <v>0.86899999999999999</v>
      </c>
      <c r="J8" s="55">
        <v>1.74</v>
      </c>
      <c r="K8" s="53" t="s">
        <v>125</v>
      </c>
      <c r="L8" s="55">
        <v>529.221</v>
      </c>
      <c r="M8" s="56">
        <v>609</v>
      </c>
      <c r="N8" s="57">
        <v>0.16919999999999999</v>
      </c>
      <c r="O8" s="58">
        <v>10.15</v>
      </c>
      <c r="P8" s="53">
        <v>313.8</v>
      </c>
      <c r="Q8" s="53">
        <v>1</v>
      </c>
      <c r="R8" s="53">
        <v>900</v>
      </c>
      <c r="S8" s="55">
        <v>0.86899999999999999</v>
      </c>
      <c r="T8" s="53">
        <v>31</v>
      </c>
      <c r="U8" s="57">
        <v>3.44E-2</v>
      </c>
      <c r="V8" s="53" t="s">
        <v>28</v>
      </c>
      <c r="W8" s="53" t="s">
        <v>29</v>
      </c>
      <c r="X8" s="53" t="s">
        <v>28</v>
      </c>
      <c r="Y8" s="53" t="s">
        <v>28</v>
      </c>
      <c r="Z8" s="53" t="s">
        <v>28</v>
      </c>
      <c r="AA8" s="53" t="s">
        <v>33</v>
      </c>
      <c r="AB8" s="53" t="s">
        <v>124</v>
      </c>
    </row>
    <row r="9" spans="1:28" s="59" customFormat="1" ht="25.05" customHeight="1" x14ac:dyDescent="0.3">
      <c r="A9" s="53">
        <v>8</v>
      </c>
      <c r="B9" s="54" t="s">
        <v>31</v>
      </c>
      <c r="C9" s="53" t="s">
        <v>26</v>
      </c>
      <c r="D9" s="53" t="s">
        <v>81</v>
      </c>
      <c r="E9" s="53" t="s">
        <v>27</v>
      </c>
      <c r="F9" s="53">
        <v>262197</v>
      </c>
      <c r="G9" s="53" t="s">
        <v>118</v>
      </c>
      <c r="H9" s="53">
        <v>310</v>
      </c>
      <c r="I9" s="55">
        <v>0.81200000000000006</v>
      </c>
      <c r="J9" s="55">
        <v>2.12</v>
      </c>
      <c r="K9" s="53" t="s">
        <v>117</v>
      </c>
      <c r="L9" s="55">
        <v>533.64599999999996</v>
      </c>
      <c r="M9" s="56">
        <v>657.2</v>
      </c>
      <c r="N9" s="57">
        <v>0.18260000000000001</v>
      </c>
      <c r="O9" s="58">
        <v>10.95</v>
      </c>
      <c r="P9" s="53">
        <v>316.5</v>
      </c>
      <c r="Q9" s="53">
        <v>1</v>
      </c>
      <c r="R9" s="53">
        <v>850</v>
      </c>
      <c r="S9" s="55">
        <v>0.81200000000000006</v>
      </c>
      <c r="T9" s="53">
        <v>38</v>
      </c>
      <c r="U9" s="57">
        <v>4.4699999999999997E-2</v>
      </c>
      <c r="V9" s="53" t="s">
        <v>28</v>
      </c>
      <c r="W9" s="53" t="s">
        <v>29</v>
      </c>
      <c r="X9" s="53" t="s">
        <v>28</v>
      </c>
      <c r="Y9" s="53" t="s">
        <v>28</v>
      </c>
      <c r="Z9" s="53" t="s">
        <v>28</v>
      </c>
      <c r="AA9" s="53" t="s">
        <v>33</v>
      </c>
      <c r="AB9" s="53" t="s">
        <v>116</v>
      </c>
    </row>
    <row r="10" spans="1:28" s="59" customFormat="1" ht="25.05" customHeight="1" x14ac:dyDescent="0.3">
      <c r="A10" s="53">
        <v>9</v>
      </c>
      <c r="B10" s="54" t="s">
        <v>31</v>
      </c>
      <c r="C10" s="53" t="s">
        <v>65</v>
      </c>
      <c r="D10" s="53" t="s">
        <v>113</v>
      </c>
      <c r="E10" s="53" t="s">
        <v>27</v>
      </c>
      <c r="F10" s="53">
        <v>262199</v>
      </c>
      <c r="G10" s="53" t="s">
        <v>121</v>
      </c>
      <c r="H10" s="53">
        <v>1000</v>
      </c>
      <c r="I10" s="55">
        <v>0.78600000000000003</v>
      </c>
      <c r="J10" s="55">
        <v>1.32</v>
      </c>
      <c r="K10" s="53" t="s">
        <v>123</v>
      </c>
      <c r="L10" s="55">
        <v>1037.52</v>
      </c>
      <c r="M10" s="56">
        <v>660</v>
      </c>
      <c r="N10" s="57">
        <v>9.1700000000000004E-2</v>
      </c>
      <c r="O10" s="58">
        <v>5.5</v>
      </c>
      <c r="P10" s="53">
        <v>357.9</v>
      </c>
      <c r="Q10" s="53">
        <v>2</v>
      </c>
      <c r="R10" s="53">
        <v>1600</v>
      </c>
      <c r="S10" s="55">
        <v>1.5720000000000001</v>
      </c>
      <c r="T10" s="53">
        <v>28</v>
      </c>
      <c r="U10" s="57">
        <v>1.7500000000000002E-2</v>
      </c>
      <c r="V10" s="53" t="s">
        <v>28</v>
      </c>
      <c r="W10" s="53" t="s">
        <v>28</v>
      </c>
      <c r="X10" s="53" t="s">
        <v>28</v>
      </c>
      <c r="Y10" s="53" t="s">
        <v>27</v>
      </c>
      <c r="Z10" s="53" t="s">
        <v>27</v>
      </c>
      <c r="AA10" s="53" t="s">
        <v>32</v>
      </c>
      <c r="AB10" s="53" t="s">
        <v>122</v>
      </c>
    </row>
    <row r="11" spans="1:28" s="38" customFormat="1" ht="25.05" customHeight="1" x14ac:dyDescent="0.3">
      <c r="A11" s="53">
        <v>3</v>
      </c>
      <c r="B11" s="54" t="s">
        <v>31</v>
      </c>
      <c r="C11" s="39" t="s">
        <v>65</v>
      </c>
      <c r="D11" s="60">
        <v>46254</v>
      </c>
      <c r="E11" s="39"/>
      <c r="F11" s="39">
        <v>262267</v>
      </c>
      <c r="G11" s="39">
        <v>8169</v>
      </c>
      <c r="H11" s="39">
        <v>500</v>
      </c>
      <c r="I11" s="40">
        <v>1.0389999999999999</v>
      </c>
      <c r="J11" s="40">
        <v>1.54</v>
      </c>
      <c r="K11" s="39" t="s">
        <v>34</v>
      </c>
      <c r="L11" s="40">
        <v>800030</v>
      </c>
      <c r="M11" s="41" t="s">
        <v>193</v>
      </c>
      <c r="N11" s="42" t="s">
        <v>194</v>
      </c>
      <c r="O11" s="43" t="s">
        <v>195</v>
      </c>
      <c r="P11" s="39" t="s">
        <v>196</v>
      </c>
      <c r="Q11" s="39">
        <v>1</v>
      </c>
      <c r="R11" s="39">
        <v>1100</v>
      </c>
      <c r="S11" s="40">
        <v>1.0389999999999999</v>
      </c>
      <c r="T11" s="39">
        <v>61</v>
      </c>
      <c r="U11" s="42" t="s">
        <v>197</v>
      </c>
      <c r="V11" s="39" t="s">
        <v>28</v>
      </c>
      <c r="W11" s="39" t="s">
        <v>28</v>
      </c>
      <c r="X11" s="39" t="s">
        <v>28</v>
      </c>
      <c r="Y11" s="39"/>
      <c r="Z11" s="39"/>
      <c r="AA11" s="39">
        <v>2</v>
      </c>
      <c r="AB11" s="39" t="s">
        <v>198</v>
      </c>
    </row>
    <row r="12" spans="1:28" s="59" customFormat="1" ht="25.05" customHeight="1" x14ac:dyDescent="0.3">
      <c r="A12" s="53">
        <v>10</v>
      </c>
      <c r="B12" s="54" t="s">
        <v>31</v>
      </c>
      <c r="C12" s="53" t="s">
        <v>65</v>
      </c>
      <c r="D12" s="53" t="s">
        <v>113</v>
      </c>
      <c r="E12" s="53" t="s">
        <v>27</v>
      </c>
      <c r="F12" s="53">
        <v>262202</v>
      </c>
      <c r="G12" s="53" t="s">
        <v>121</v>
      </c>
      <c r="H12" s="53">
        <v>650</v>
      </c>
      <c r="I12" s="55">
        <v>1.0680000000000001</v>
      </c>
      <c r="J12" s="55">
        <v>1.3759999999999999</v>
      </c>
      <c r="K12" s="53" t="s">
        <v>120</v>
      </c>
      <c r="L12" s="55">
        <v>955.21900000000005</v>
      </c>
      <c r="M12" s="56">
        <v>894.4</v>
      </c>
      <c r="N12" s="57">
        <v>0.24840000000000001</v>
      </c>
      <c r="O12" s="58">
        <v>14.91</v>
      </c>
      <c r="P12" s="53">
        <v>329.6</v>
      </c>
      <c r="Q12" s="53">
        <v>1</v>
      </c>
      <c r="R12" s="53">
        <v>1100</v>
      </c>
      <c r="S12" s="55">
        <v>1.0680000000000001</v>
      </c>
      <c r="T12" s="53">
        <v>32</v>
      </c>
      <c r="U12" s="57">
        <v>2.9100000000000001E-2</v>
      </c>
      <c r="V12" s="53" t="s">
        <v>28</v>
      </c>
      <c r="W12" s="53" t="s">
        <v>28</v>
      </c>
      <c r="X12" s="53" t="s">
        <v>28</v>
      </c>
      <c r="Y12" s="53" t="s">
        <v>27</v>
      </c>
      <c r="Z12" s="53" t="s">
        <v>27</v>
      </c>
      <c r="AA12" s="53" t="s">
        <v>30</v>
      </c>
      <c r="AB12" s="53" t="s">
        <v>119</v>
      </c>
    </row>
    <row r="13" spans="1:28" s="66" customFormat="1" ht="25.05" customHeight="1" x14ac:dyDescent="0.3">
      <c r="A13" s="53">
        <v>11</v>
      </c>
      <c r="B13" s="54" t="s">
        <v>31</v>
      </c>
      <c r="C13" s="61" t="s">
        <v>65</v>
      </c>
      <c r="D13" s="61" t="s">
        <v>75</v>
      </c>
      <c r="E13" s="61" t="s">
        <v>27</v>
      </c>
      <c r="F13" s="61">
        <v>262170</v>
      </c>
      <c r="G13" s="61" t="s">
        <v>78</v>
      </c>
      <c r="H13" s="61">
        <v>1100</v>
      </c>
      <c r="I13" s="62">
        <v>0.75600000000000001</v>
      </c>
      <c r="J13" s="62">
        <v>1.47</v>
      </c>
      <c r="K13" s="61" t="s">
        <v>77</v>
      </c>
      <c r="L13" s="62">
        <v>1222.452</v>
      </c>
      <c r="M13" s="63">
        <v>808.5</v>
      </c>
      <c r="N13" s="64">
        <v>0.1123</v>
      </c>
      <c r="O13" s="65">
        <v>6.74</v>
      </c>
      <c r="P13" s="61">
        <v>421.7</v>
      </c>
      <c r="Q13" s="61">
        <v>2</v>
      </c>
      <c r="R13" s="61">
        <v>1550</v>
      </c>
      <c r="S13" s="62">
        <v>1.512</v>
      </c>
      <c r="T13" s="61">
        <v>38</v>
      </c>
      <c r="U13" s="64">
        <v>2.4500000000000001E-2</v>
      </c>
      <c r="V13" s="61" t="s">
        <v>28</v>
      </c>
      <c r="W13" s="61" t="s">
        <v>28</v>
      </c>
      <c r="X13" s="61" t="s">
        <v>28</v>
      </c>
      <c r="Y13" s="61" t="s">
        <v>27</v>
      </c>
      <c r="Z13" s="61" t="s">
        <v>27</v>
      </c>
      <c r="AA13" s="61" t="s">
        <v>32</v>
      </c>
      <c r="AB13" s="61" t="s">
        <v>76</v>
      </c>
    </row>
    <row r="14" spans="1:28" s="12" customFormat="1" x14ac:dyDescent="0.3">
      <c r="A14" s="11"/>
      <c r="B14" s="11"/>
      <c r="C14" s="11"/>
      <c r="D14" s="11"/>
      <c r="E14" s="11"/>
      <c r="F14" s="11"/>
      <c r="G14" s="11"/>
      <c r="H14" s="11">
        <v>6330</v>
      </c>
      <c r="I14" s="11"/>
      <c r="J14" s="11"/>
      <c r="K14" s="11"/>
      <c r="L14" s="11"/>
      <c r="M14" s="11"/>
      <c r="N14" s="11"/>
      <c r="O14" s="11"/>
      <c r="P14" s="11">
        <v>4062</v>
      </c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</row>
  </sheetData>
  <mergeCells count="1">
    <mergeCell ref="A1:AB1"/>
  </mergeCells>
  <pageMargins left="0.511811024" right="0.511811024" top="1.25" bottom="0.78740157499999996" header="0.31496062000000002" footer="0.31496062000000002"/>
  <pageSetup paperSize="9" scale="98" orientation="landscape" horizontalDpi="360" verticalDpi="36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33C0C2-9303-4A2A-9641-360A3D3FBAF2}">
  <dimension ref="A1:AB4"/>
  <sheetViews>
    <sheetView workbookViewId="0">
      <selection activeCell="I21" sqref="I21"/>
    </sheetView>
  </sheetViews>
  <sheetFormatPr defaultRowHeight="14.4" x14ac:dyDescent="0.3"/>
  <cols>
    <col min="1" max="1" width="3.33203125" style="1" customWidth="1"/>
    <col min="2" max="2" width="20.77734375" style="1" hidden="1" customWidth="1"/>
    <col min="3" max="3" width="5.77734375" style="1" customWidth="1"/>
    <col min="4" max="4" width="11.77734375" style="1" hidden="1" customWidth="1"/>
    <col min="5" max="5" width="10.77734375" style="1" customWidth="1"/>
    <col min="6" max="6" width="7.88671875" style="1" customWidth="1"/>
    <col min="7" max="7" width="7.77734375" style="1" customWidth="1"/>
    <col min="8" max="8" width="5.5546875" style="1" customWidth="1"/>
    <col min="9" max="9" width="5.33203125" style="1" customWidth="1"/>
    <col min="10" max="10" width="6.5546875" style="1" customWidth="1"/>
    <col min="11" max="11" width="5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21875" style="1" customWidth="1"/>
    <col min="17" max="17" width="3.88671875" style="1" customWidth="1"/>
    <col min="18" max="18" width="5.6640625" style="1" customWidth="1"/>
    <col min="19" max="19" width="5.77734375" style="1" customWidth="1"/>
    <col min="20" max="20" width="11.77734375" style="1" hidden="1" customWidth="1"/>
    <col min="21" max="21" width="8.77734375" style="1" hidden="1" customWidth="1"/>
    <col min="22" max="22" width="7.21875" style="1" customWidth="1"/>
    <col min="23" max="23" width="7.5546875" style="1" customWidth="1"/>
    <col min="24" max="24" width="8.109375" style="1" customWidth="1"/>
    <col min="25" max="25" width="7.5546875" style="1" customWidth="1"/>
    <col min="26" max="26" width="7.6640625" style="1" customWidth="1"/>
    <col min="27" max="27" width="4.21875" style="1" customWidth="1"/>
    <col min="28" max="28" width="12.44140625" style="1" customWidth="1"/>
    <col min="29" max="16384" width="8.88671875" style="1"/>
  </cols>
  <sheetData>
    <row r="1" spans="1:28" ht="21" customHeight="1" x14ac:dyDescent="0.35">
      <c r="A1" s="222" t="s">
        <v>134</v>
      </c>
      <c r="B1" s="222" t="s">
        <v>27</v>
      </c>
      <c r="C1" s="222" t="s">
        <v>27</v>
      </c>
      <c r="D1" s="222" t="s">
        <v>27</v>
      </c>
      <c r="E1" s="222" t="s">
        <v>27</v>
      </c>
      <c r="F1" s="222" t="s">
        <v>27</v>
      </c>
      <c r="G1" s="222" t="s">
        <v>27</v>
      </c>
      <c r="H1" s="222" t="s">
        <v>27</v>
      </c>
      <c r="I1" s="222" t="s">
        <v>27</v>
      </c>
      <c r="J1" s="222" t="s">
        <v>27</v>
      </c>
      <c r="K1" s="222" t="s">
        <v>27</v>
      </c>
      <c r="L1" s="222" t="s">
        <v>27</v>
      </c>
      <c r="M1" s="222" t="s">
        <v>27</v>
      </c>
      <c r="N1" s="222" t="s">
        <v>27</v>
      </c>
      <c r="O1" s="222" t="s">
        <v>27</v>
      </c>
      <c r="P1" s="222" t="s">
        <v>27</v>
      </c>
      <c r="Q1" s="222" t="s">
        <v>27</v>
      </c>
      <c r="R1" s="222" t="s">
        <v>27</v>
      </c>
      <c r="S1" s="222" t="s">
        <v>27</v>
      </c>
      <c r="T1" s="222" t="s">
        <v>27</v>
      </c>
      <c r="U1" s="222" t="s">
        <v>27</v>
      </c>
      <c r="V1" s="222" t="s">
        <v>27</v>
      </c>
      <c r="W1" s="222" t="s">
        <v>27</v>
      </c>
      <c r="X1" s="222" t="s">
        <v>27</v>
      </c>
      <c r="Y1" s="222" t="s">
        <v>27</v>
      </c>
      <c r="Z1" s="222" t="s">
        <v>27</v>
      </c>
      <c r="AA1" s="222" t="s">
        <v>27</v>
      </c>
      <c r="AB1" s="222" t="s">
        <v>27</v>
      </c>
    </row>
    <row r="2" spans="1:28" ht="48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133</v>
      </c>
      <c r="C3" s="5" t="s">
        <v>26</v>
      </c>
      <c r="D3" s="5" t="s">
        <v>131</v>
      </c>
      <c r="E3" s="5" t="s">
        <v>27</v>
      </c>
      <c r="F3" s="5">
        <v>262207</v>
      </c>
      <c r="G3" s="5" t="s">
        <v>27</v>
      </c>
      <c r="H3" s="5">
        <v>7800</v>
      </c>
      <c r="I3" s="7">
        <v>1.2</v>
      </c>
      <c r="J3" s="7">
        <v>1</v>
      </c>
      <c r="K3" s="5" t="s">
        <v>34</v>
      </c>
      <c r="L3" s="7">
        <v>9360</v>
      </c>
      <c r="M3" s="9">
        <v>7800</v>
      </c>
      <c r="N3" s="6">
        <v>2.1667000000000001</v>
      </c>
      <c r="O3" s="8">
        <v>130</v>
      </c>
      <c r="P3" s="5">
        <v>5550.5</v>
      </c>
      <c r="Q3" s="5">
        <v>1</v>
      </c>
      <c r="R3" s="5">
        <v>1250</v>
      </c>
      <c r="S3" s="7">
        <v>1.2</v>
      </c>
      <c r="T3" s="5">
        <v>50</v>
      </c>
      <c r="U3" s="6">
        <v>0.04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132</v>
      </c>
      <c r="AB3" s="5" t="s">
        <v>80</v>
      </c>
    </row>
    <row r="4" spans="1:28" s="12" customFormat="1" ht="25.05" customHeight="1" x14ac:dyDescent="0.3">
      <c r="A4" s="11" t="s">
        <v>27</v>
      </c>
      <c r="B4" s="11" t="s">
        <v>27</v>
      </c>
      <c r="C4" s="11" t="s">
        <v>27</v>
      </c>
      <c r="D4" s="11" t="s">
        <v>27</v>
      </c>
      <c r="E4" s="11" t="s">
        <v>27</v>
      </c>
      <c r="F4" s="11" t="s">
        <v>27</v>
      </c>
      <c r="G4" s="11" t="s">
        <v>27</v>
      </c>
      <c r="H4" s="11">
        <v>7800</v>
      </c>
      <c r="I4" s="11" t="s">
        <v>27</v>
      </c>
      <c r="J4" s="11" t="s">
        <v>27</v>
      </c>
      <c r="K4" s="11" t="s">
        <v>27</v>
      </c>
      <c r="L4" s="11" t="s">
        <v>27</v>
      </c>
      <c r="M4" s="11" t="s">
        <v>27</v>
      </c>
      <c r="N4" s="11" t="s">
        <v>27</v>
      </c>
      <c r="O4" s="11" t="s">
        <v>27</v>
      </c>
      <c r="P4" s="11">
        <v>5550.5</v>
      </c>
      <c r="Q4" s="11" t="s">
        <v>27</v>
      </c>
      <c r="R4" s="11" t="s">
        <v>27</v>
      </c>
      <c r="S4" s="11" t="s">
        <v>27</v>
      </c>
      <c r="T4" s="11" t="s">
        <v>27</v>
      </c>
      <c r="U4" s="11" t="s">
        <v>27</v>
      </c>
      <c r="V4" s="11" t="s">
        <v>27</v>
      </c>
      <c r="W4" s="11" t="s">
        <v>27</v>
      </c>
      <c r="X4" s="11" t="s">
        <v>27</v>
      </c>
      <c r="Y4" s="11" t="s">
        <v>27</v>
      </c>
      <c r="Z4" s="11" t="s">
        <v>27</v>
      </c>
      <c r="AA4" s="11" t="s">
        <v>27</v>
      </c>
      <c r="AB4" s="11" t="s">
        <v>27</v>
      </c>
    </row>
  </sheetData>
  <mergeCells count="1">
    <mergeCell ref="A1:AB1"/>
  </mergeCells>
  <pageMargins left="0.53" right="0.511811024" top="0.99" bottom="4.21" header="0.31496062000000002" footer="0.31496062000000002"/>
  <pageSetup paperSize="9" orientation="landscape" horizontalDpi="360" verticalDpi="36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1A6BA8-B752-4F97-B93A-D5FD4A7B0077}">
  <sheetPr>
    <pageSetUpPr fitToPage="1"/>
  </sheetPr>
  <dimension ref="A1:AB14"/>
  <sheetViews>
    <sheetView workbookViewId="0">
      <selection activeCell="J21" sqref="J21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8.77734375" style="1" customWidth="1"/>
    <col min="7" max="7" width="4.44140625" style="1" customWidth="1"/>
    <col min="8" max="8" width="6.33203125" style="1" customWidth="1"/>
    <col min="9" max="9" width="7" style="1" customWidth="1"/>
    <col min="10" max="10" width="7.109375" style="1" customWidth="1"/>
    <col min="11" max="11" width="12.8867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3.44140625" style="1" customWidth="1"/>
    <col min="18" max="18" width="6.1093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7.77734375" style="1" customWidth="1"/>
    <col min="23" max="23" width="7.44140625" style="1" customWidth="1"/>
    <col min="24" max="24" width="8.109375" style="1" customWidth="1"/>
    <col min="25" max="25" width="10.5546875" style="1" customWidth="1"/>
    <col min="26" max="26" width="10.21875" style="1" customWidth="1"/>
    <col min="27" max="27" width="4" style="1" customWidth="1"/>
    <col min="28" max="28" width="10.33203125" style="1" customWidth="1"/>
    <col min="29" max="16384" width="8.88671875" style="1"/>
  </cols>
  <sheetData>
    <row r="1" spans="1:28" s="12" customFormat="1" ht="18" customHeight="1" x14ac:dyDescent="0.3">
      <c r="A1" s="229" t="s">
        <v>109</v>
      </c>
      <c r="B1" s="229" t="s">
        <v>27</v>
      </c>
      <c r="C1" s="229" t="s">
        <v>27</v>
      </c>
      <c r="D1" s="229" t="s">
        <v>27</v>
      </c>
      <c r="E1" s="229" t="s">
        <v>27</v>
      </c>
      <c r="F1" s="229" t="s">
        <v>27</v>
      </c>
      <c r="G1" s="229" t="s">
        <v>27</v>
      </c>
      <c r="H1" s="229" t="s">
        <v>27</v>
      </c>
      <c r="I1" s="229" t="s">
        <v>27</v>
      </c>
      <c r="J1" s="229" t="s">
        <v>27</v>
      </c>
      <c r="K1" s="229" t="s">
        <v>27</v>
      </c>
      <c r="L1" s="229" t="s">
        <v>27</v>
      </c>
      <c r="M1" s="229" t="s">
        <v>27</v>
      </c>
      <c r="N1" s="229" t="s">
        <v>27</v>
      </c>
      <c r="O1" s="229" t="s">
        <v>27</v>
      </c>
      <c r="P1" s="229" t="s">
        <v>27</v>
      </c>
      <c r="Q1" s="229" t="s">
        <v>27</v>
      </c>
      <c r="R1" s="229" t="s">
        <v>27</v>
      </c>
      <c r="S1" s="229" t="s">
        <v>27</v>
      </c>
      <c r="T1" s="229" t="s">
        <v>27</v>
      </c>
      <c r="U1" s="229" t="s">
        <v>27</v>
      </c>
      <c r="V1" s="229" t="s">
        <v>27</v>
      </c>
      <c r="W1" s="229" t="s">
        <v>27</v>
      </c>
      <c r="X1" s="229" t="s">
        <v>27</v>
      </c>
      <c r="Y1" s="229" t="s">
        <v>27</v>
      </c>
      <c r="Z1" s="229" t="s">
        <v>27</v>
      </c>
      <c r="AA1" s="229" t="s">
        <v>27</v>
      </c>
      <c r="AB1" s="229" t="s">
        <v>27</v>
      </c>
    </row>
    <row r="2" spans="1:28" s="12" customFormat="1" ht="45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87</v>
      </c>
      <c r="C3" s="5" t="s">
        <v>86</v>
      </c>
      <c r="D3" s="5" t="s">
        <v>75</v>
      </c>
      <c r="E3" s="5" t="s">
        <v>27</v>
      </c>
      <c r="F3" s="5">
        <v>262184</v>
      </c>
      <c r="G3" s="5" t="s">
        <v>85</v>
      </c>
      <c r="H3" s="5">
        <v>300</v>
      </c>
      <c r="I3" s="7">
        <v>0.73199999999999998</v>
      </c>
      <c r="J3" s="7">
        <v>1.7949999999999999</v>
      </c>
      <c r="K3" s="5" t="s">
        <v>108</v>
      </c>
      <c r="L3" s="7">
        <v>394.18200000000002</v>
      </c>
      <c r="M3" s="9">
        <v>269.3</v>
      </c>
      <c r="N3" s="6">
        <v>3.7400000000000003E-2</v>
      </c>
      <c r="O3" s="8">
        <v>2.2400000000000002</v>
      </c>
      <c r="P3" s="5">
        <v>151</v>
      </c>
      <c r="Q3" s="5">
        <v>2</v>
      </c>
      <c r="R3" s="5">
        <v>1500</v>
      </c>
      <c r="S3" s="7">
        <v>1.464</v>
      </c>
      <c r="T3" s="5">
        <v>36</v>
      </c>
      <c r="U3" s="6">
        <v>2.4E-2</v>
      </c>
      <c r="V3" s="5" t="s">
        <v>42</v>
      </c>
      <c r="W3" s="5" t="s">
        <v>29</v>
      </c>
      <c r="X3" s="5" t="s">
        <v>28</v>
      </c>
      <c r="Y3" s="5" t="s">
        <v>27</v>
      </c>
      <c r="Z3" s="5" t="s">
        <v>27</v>
      </c>
      <c r="AA3" s="5" t="s">
        <v>39</v>
      </c>
      <c r="AB3" s="5" t="s">
        <v>107</v>
      </c>
    </row>
    <row r="4" spans="1:28" s="12" customFormat="1" ht="25.05" customHeight="1" x14ac:dyDescent="0.3">
      <c r="A4" s="5">
        <v>2</v>
      </c>
      <c r="B4" s="10" t="s">
        <v>87</v>
      </c>
      <c r="C4" s="5" t="s">
        <v>106</v>
      </c>
      <c r="D4" s="5" t="s">
        <v>75</v>
      </c>
      <c r="E4" s="5" t="s">
        <v>27</v>
      </c>
      <c r="F4" s="5">
        <v>262189</v>
      </c>
      <c r="G4" s="5" t="s">
        <v>85</v>
      </c>
      <c r="H4" s="5">
        <v>300</v>
      </c>
      <c r="I4" s="7">
        <v>0.68200000000000005</v>
      </c>
      <c r="J4" s="7">
        <v>1.5549999999999999</v>
      </c>
      <c r="K4" s="5" t="s">
        <v>105</v>
      </c>
      <c r="L4" s="7">
        <v>318.15300000000002</v>
      </c>
      <c r="M4" s="9">
        <v>233.3</v>
      </c>
      <c r="N4" s="6">
        <v>3.2399999999999998E-2</v>
      </c>
      <c r="O4" s="8">
        <v>1.94</v>
      </c>
      <c r="P4" s="5">
        <v>145.6</v>
      </c>
      <c r="Q4" s="5">
        <v>2</v>
      </c>
      <c r="R4" s="5">
        <v>1400</v>
      </c>
      <c r="S4" s="7">
        <v>1.3640000000000001</v>
      </c>
      <c r="T4" s="5">
        <v>36</v>
      </c>
      <c r="U4" s="6">
        <v>2.5700000000000001E-2</v>
      </c>
      <c r="V4" s="5" t="s">
        <v>104</v>
      </c>
      <c r="W4" s="5" t="s">
        <v>42</v>
      </c>
      <c r="X4" s="5" t="s">
        <v>104</v>
      </c>
      <c r="Y4" s="5" t="s">
        <v>27</v>
      </c>
      <c r="Z4" s="5" t="s">
        <v>27</v>
      </c>
      <c r="AA4" s="5" t="s">
        <v>39</v>
      </c>
      <c r="AB4" s="5" t="s">
        <v>103</v>
      </c>
    </row>
    <row r="5" spans="1:28" s="12" customFormat="1" ht="25.05" customHeight="1" x14ac:dyDescent="0.3">
      <c r="A5" s="5">
        <v>3</v>
      </c>
      <c r="B5" s="10" t="s">
        <v>87</v>
      </c>
      <c r="C5" s="5" t="s">
        <v>65</v>
      </c>
      <c r="D5" s="5" t="s">
        <v>75</v>
      </c>
      <c r="E5" s="5" t="s">
        <v>27</v>
      </c>
      <c r="F5" s="5">
        <v>262191</v>
      </c>
      <c r="G5" s="5" t="s">
        <v>85</v>
      </c>
      <c r="H5" s="5">
        <v>2500</v>
      </c>
      <c r="I5" s="7">
        <v>0.6</v>
      </c>
      <c r="J5" s="7">
        <v>0.78</v>
      </c>
      <c r="K5" s="5" t="s">
        <v>34</v>
      </c>
      <c r="L5" s="7">
        <v>1170</v>
      </c>
      <c r="M5" s="9">
        <v>975</v>
      </c>
      <c r="N5" s="6">
        <v>0.13539999999999999</v>
      </c>
      <c r="O5" s="8">
        <v>8.1300000000000008</v>
      </c>
      <c r="P5" s="5">
        <v>403.6</v>
      </c>
      <c r="Q5" s="5">
        <v>2</v>
      </c>
      <c r="R5" s="5">
        <v>1250</v>
      </c>
      <c r="S5" s="7">
        <v>1.2</v>
      </c>
      <c r="T5" s="5">
        <v>50</v>
      </c>
      <c r="U5" s="6">
        <v>0.04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30</v>
      </c>
      <c r="AB5" s="5" t="s">
        <v>102</v>
      </c>
    </row>
    <row r="6" spans="1:28" s="12" customFormat="1" ht="25.05" customHeight="1" x14ac:dyDescent="0.3">
      <c r="A6" s="5">
        <v>4</v>
      </c>
      <c r="B6" s="10" t="s">
        <v>87</v>
      </c>
      <c r="C6" s="5" t="s">
        <v>86</v>
      </c>
      <c r="D6" s="5" t="s">
        <v>75</v>
      </c>
      <c r="E6" s="5" t="s">
        <v>27</v>
      </c>
      <c r="F6" s="5">
        <v>262190</v>
      </c>
      <c r="G6" s="5" t="s">
        <v>85</v>
      </c>
      <c r="H6" s="5">
        <v>500</v>
      </c>
      <c r="I6" s="7">
        <v>0.53700000000000003</v>
      </c>
      <c r="J6" s="7">
        <v>1.095</v>
      </c>
      <c r="K6" s="5" t="s">
        <v>101</v>
      </c>
      <c r="L6" s="7">
        <v>294.00799999999998</v>
      </c>
      <c r="M6" s="9">
        <v>273.8</v>
      </c>
      <c r="N6" s="6">
        <v>3.7999999999999999E-2</v>
      </c>
      <c r="O6" s="8">
        <v>2.2799999999999998</v>
      </c>
      <c r="P6" s="5">
        <v>112.6</v>
      </c>
      <c r="Q6" s="5">
        <v>2</v>
      </c>
      <c r="R6" s="5">
        <v>1100</v>
      </c>
      <c r="S6" s="7">
        <v>1.0740000000000001</v>
      </c>
      <c r="T6" s="5">
        <v>26</v>
      </c>
      <c r="U6" s="6">
        <v>2.3599999999999999E-2</v>
      </c>
      <c r="V6" s="5" t="s">
        <v>42</v>
      </c>
      <c r="W6" s="5" t="s">
        <v>29</v>
      </c>
      <c r="X6" s="5" t="s">
        <v>28</v>
      </c>
      <c r="Y6" s="5" t="s">
        <v>27</v>
      </c>
      <c r="Z6" s="5" t="s">
        <v>27</v>
      </c>
      <c r="AA6" s="5" t="s">
        <v>39</v>
      </c>
      <c r="AB6" s="5" t="s">
        <v>100</v>
      </c>
    </row>
    <row r="7" spans="1:28" s="12" customFormat="1" ht="25.05" customHeight="1" x14ac:dyDescent="0.3">
      <c r="A7" s="5">
        <v>5</v>
      </c>
      <c r="B7" s="10" t="s">
        <v>87</v>
      </c>
      <c r="C7" s="5" t="s">
        <v>86</v>
      </c>
      <c r="D7" s="5" t="s">
        <v>75</v>
      </c>
      <c r="E7" s="5" t="s">
        <v>27</v>
      </c>
      <c r="F7" s="5">
        <v>262188</v>
      </c>
      <c r="G7" s="5" t="s">
        <v>85</v>
      </c>
      <c r="H7" s="5">
        <v>1000</v>
      </c>
      <c r="I7" s="7">
        <v>0.50800000000000001</v>
      </c>
      <c r="J7" s="7">
        <v>1.135</v>
      </c>
      <c r="K7" s="5" t="s">
        <v>99</v>
      </c>
      <c r="L7" s="7">
        <v>576.58000000000004</v>
      </c>
      <c r="M7" s="9">
        <v>567.5</v>
      </c>
      <c r="N7" s="6">
        <v>7.8799999999999995E-2</v>
      </c>
      <c r="O7" s="8">
        <v>4.7300000000000004</v>
      </c>
      <c r="P7" s="5">
        <v>220.8</v>
      </c>
      <c r="Q7" s="5">
        <v>2</v>
      </c>
      <c r="R7" s="5">
        <v>1050</v>
      </c>
      <c r="S7" s="7">
        <v>1.016</v>
      </c>
      <c r="T7" s="5">
        <v>34</v>
      </c>
      <c r="U7" s="6">
        <v>3.2399999999999998E-2</v>
      </c>
      <c r="V7" s="5" t="s">
        <v>42</v>
      </c>
      <c r="W7" s="5" t="s">
        <v>29</v>
      </c>
      <c r="X7" s="5" t="s">
        <v>28</v>
      </c>
      <c r="Y7" s="5" t="s">
        <v>27</v>
      </c>
      <c r="Z7" s="5" t="s">
        <v>27</v>
      </c>
      <c r="AA7" s="5" t="s">
        <v>39</v>
      </c>
      <c r="AB7" s="5" t="s">
        <v>98</v>
      </c>
    </row>
    <row r="8" spans="1:28" s="12" customFormat="1" ht="25.05" customHeight="1" x14ac:dyDescent="0.3">
      <c r="A8" s="5">
        <v>6</v>
      </c>
      <c r="B8" s="10" t="s">
        <v>87</v>
      </c>
      <c r="C8" s="5" t="s">
        <v>86</v>
      </c>
      <c r="D8" s="5" t="s">
        <v>75</v>
      </c>
      <c r="E8" s="5" t="s">
        <v>27</v>
      </c>
      <c r="F8" s="5">
        <v>262194</v>
      </c>
      <c r="G8" s="5" t="s">
        <v>85</v>
      </c>
      <c r="H8" s="5">
        <v>500</v>
      </c>
      <c r="I8" s="7">
        <v>0.502</v>
      </c>
      <c r="J8" s="7">
        <v>1.4350000000000001</v>
      </c>
      <c r="K8" s="5" t="s">
        <v>97</v>
      </c>
      <c r="L8" s="7">
        <v>360.185</v>
      </c>
      <c r="M8" s="9">
        <v>358.8</v>
      </c>
      <c r="N8" s="6">
        <v>4.9799999999999997E-2</v>
      </c>
      <c r="O8" s="8">
        <v>2.99</v>
      </c>
      <c r="P8" s="5">
        <v>138</v>
      </c>
      <c r="Q8" s="5">
        <v>2</v>
      </c>
      <c r="R8" s="5">
        <v>1050</v>
      </c>
      <c r="S8" s="7">
        <v>1.004</v>
      </c>
      <c r="T8" s="5">
        <v>46</v>
      </c>
      <c r="U8" s="6">
        <v>4.3799999999999999E-2</v>
      </c>
      <c r="V8" s="5" t="s">
        <v>42</v>
      </c>
      <c r="W8" s="5" t="s">
        <v>29</v>
      </c>
      <c r="X8" s="5" t="s">
        <v>28</v>
      </c>
      <c r="Y8" s="5" t="s">
        <v>27</v>
      </c>
      <c r="Z8" s="5" t="s">
        <v>27</v>
      </c>
      <c r="AA8" s="5" t="s">
        <v>39</v>
      </c>
      <c r="AB8" s="5" t="s">
        <v>96</v>
      </c>
    </row>
    <row r="9" spans="1:28" s="12" customFormat="1" ht="25.05" customHeight="1" x14ac:dyDescent="0.3">
      <c r="A9" s="5">
        <v>7</v>
      </c>
      <c r="B9" s="10" t="s">
        <v>87</v>
      </c>
      <c r="C9" s="5" t="s">
        <v>86</v>
      </c>
      <c r="D9" s="5" t="s">
        <v>75</v>
      </c>
      <c r="E9" s="5" t="s">
        <v>27</v>
      </c>
      <c r="F9" s="5">
        <v>262192</v>
      </c>
      <c r="G9" s="5" t="s">
        <v>85</v>
      </c>
      <c r="H9" s="5">
        <v>1000</v>
      </c>
      <c r="I9" s="7">
        <v>0.47199999999999998</v>
      </c>
      <c r="J9" s="7">
        <v>0.91500000000000004</v>
      </c>
      <c r="K9" s="5" t="s">
        <v>95</v>
      </c>
      <c r="L9" s="7">
        <v>431.88</v>
      </c>
      <c r="M9" s="9">
        <v>457.5</v>
      </c>
      <c r="N9" s="6">
        <v>6.3500000000000001E-2</v>
      </c>
      <c r="O9" s="8">
        <v>3.81</v>
      </c>
      <c r="P9" s="5">
        <v>165.4</v>
      </c>
      <c r="Q9" s="5">
        <v>2</v>
      </c>
      <c r="R9" s="5">
        <v>1000</v>
      </c>
      <c r="S9" s="7">
        <v>0.94399999999999995</v>
      </c>
      <c r="T9" s="5">
        <v>56</v>
      </c>
      <c r="U9" s="6">
        <v>5.6000000000000001E-2</v>
      </c>
      <c r="V9" s="5" t="s">
        <v>42</v>
      </c>
      <c r="W9" s="5" t="s">
        <v>29</v>
      </c>
      <c r="X9" s="5" t="s">
        <v>28</v>
      </c>
      <c r="Y9" s="5" t="s">
        <v>27</v>
      </c>
      <c r="Z9" s="5" t="s">
        <v>27</v>
      </c>
      <c r="AA9" s="5" t="s">
        <v>39</v>
      </c>
      <c r="AB9" s="5" t="s">
        <v>94</v>
      </c>
    </row>
    <row r="10" spans="1:28" s="12" customFormat="1" ht="25.05" customHeight="1" x14ac:dyDescent="0.3">
      <c r="A10" s="5">
        <v>8</v>
      </c>
      <c r="B10" s="10" t="s">
        <v>87</v>
      </c>
      <c r="C10" s="5" t="s">
        <v>86</v>
      </c>
      <c r="D10" s="5" t="s">
        <v>75</v>
      </c>
      <c r="E10" s="5" t="s">
        <v>27</v>
      </c>
      <c r="F10" s="5">
        <v>262186</v>
      </c>
      <c r="G10" s="5" t="s">
        <v>85</v>
      </c>
      <c r="H10" s="5">
        <v>300</v>
      </c>
      <c r="I10" s="7">
        <v>0.96199999999999997</v>
      </c>
      <c r="J10" s="7">
        <v>1.825</v>
      </c>
      <c r="K10" s="5" t="s">
        <v>93</v>
      </c>
      <c r="L10" s="7">
        <v>526.69500000000005</v>
      </c>
      <c r="M10" s="9">
        <v>547.5</v>
      </c>
      <c r="N10" s="6">
        <v>0.15210000000000001</v>
      </c>
      <c r="O10" s="8">
        <v>9.1300000000000008</v>
      </c>
      <c r="P10" s="5">
        <v>201.7</v>
      </c>
      <c r="Q10" s="5">
        <v>1</v>
      </c>
      <c r="R10" s="5">
        <v>1000</v>
      </c>
      <c r="S10" s="7">
        <v>0.96199999999999997</v>
      </c>
      <c r="T10" s="5">
        <v>38</v>
      </c>
      <c r="U10" s="6">
        <v>3.7999999999999999E-2</v>
      </c>
      <c r="V10" s="5" t="s">
        <v>42</v>
      </c>
      <c r="W10" s="5" t="s">
        <v>29</v>
      </c>
      <c r="X10" s="5" t="s">
        <v>28</v>
      </c>
      <c r="Y10" s="5" t="s">
        <v>27</v>
      </c>
      <c r="Z10" s="5" t="s">
        <v>27</v>
      </c>
      <c r="AA10" s="5" t="s">
        <v>39</v>
      </c>
      <c r="AB10" s="5" t="s">
        <v>92</v>
      </c>
    </row>
    <row r="11" spans="1:28" s="12" customFormat="1" ht="25.05" customHeight="1" x14ac:dyDescent="0.3">
      <c r="A11" s="5">
        <v>9</v>
      </c>
      <c r="B11" s="10" t="s">
        <v>87</v>
      </c>
      <c r="C11" s="5" t="s">
        <v>86</v>
      </c>
      <c r="D11" s="5" t="s">
        <v>75</v>
      </c>
      <c r="E11" s="5" t="s">
        <v>27</v>
      </c>
      <c r="F11" s="5">
        <v>262193</v>
      </c>
      <c r="G11" s="5" t="s">
        <v>85</v>
      </c>
      <c r="H11" s="5">
        <v>500</v>
      </c>
      <c r="I11" s="7">
        <v>0.45200000000000001</v>
      </c>
      <c r="J11" s="7">
        <v>1.175</v>
      </c>
      <c r="K11" s="5" t="s">
        <v>91</v>
      </c>
      <c r="L11" s="7">
        <v>265.55</v>
      </c>
      <c r="M11" s="9">
        <v>293.8</v>
      </c>
      <c r="N11" s="6">
        <v>4.0800000000000003E-2</v>
      </c>
      <c r="O11" s="8">
        <v>2.4500000000000002</v>
      </c>
      <c r="P11" s="5">
        <v>101.7</v>
      </c>
      <c r="Q11" s="5">
        <v>2</v>
      </c>
      <c r="R11" s="5">
        <v>950</v>
      </c>
      <c r="S11" s="7">
        <v>0.90400000000000003</v>
      </c>
      <c r="T11" s="5">
        <v>46</v>
      </c>
      <c r="U11" s="6">
        <v>4.8399999999999999E-2</v>
      </c>
      <c r="V11" s="5" t="s">
        <v>42</v>
      </c>
      <c r="W11" s="5" t="s">
        <v>29</v>
      </c>
      <c r="X11" s="5" t="s">
        <v>28</v>
      </c>
      <c r="Y11" s="5" t="s">
        <v>27</v>
      </c>
      <c r="Z11" s="5" t="s">
        <v>27</v>
      </c>
      <c r="AA11" s="5" t="s">
        <v>39</v>
      </c>
      <c r="AB11" s="5" t="s">
        <v>90</v>
      </c>
    </row>
    <row r="12" spans="1:28" s="12" customFormat="1" ht="25.05" customHeight="1" x14ac:dyDescent="0.3">
      <c r="A12" s="5">
        <v>10</v>
      </c>
      <c r="B12" s="10" t="s">
        <v>87</v>
      </c>
      <c r="C12" s="5" t="s">
        <v>86</v>
      </c>
      <c r="D12" s="5" t="s">
        <v>75</v>
      </c>
      <c r="E12" s="5" t="s">
        <v>27</v>
      </c>
      <c r="F12" s="5">
        <v>262185</v>
      </c>
      <c r="G12" s="5" t="s">
        <v>85</v>
      </c>
      <c r="H12" s="5">
        <v>300</v>
      </c>
      <c r="I12" s="7">
        <v>0.90700000000000003</v>
      </c>
      <c r="J12" s="7">
        <v>1.9450000000000001</v>
      </c>
      <c r="K12" s="5" t="s">
        <v>89</v>
      </c>
      <c r="L12" s="7">
        <v>529.23500000000001</v>
      </c>
      <c r="M12" s="9">
        <v>583.5</v>
      </c>
      <c r="N12" s="6">
        <v>0.16209999999999999</v>
      </c>
      <c r="O12" s="8">
        <v>9.7200000000000006</v>
      </c>
      <c r="P12" s="5">
        <v>202.7</v>
      </c>
      <c r="Q12" s="5">
        <v>1</v>
      </c>
      <c r="R12" s="5">
        <v>950</v>
      </c>
      <c r="S12" s="7">
        <v>0.90700000000000003</v>
      </c>
      <c r="T12" s="5">
        <v>43</v>
      </c>
      <c r="U12" s="6">
        <v>4.53E-2</v>
      </c>
      <c r="V12" s="5" t="s">
        <v>42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39</v>
      </c>
      <c r="AB12" s="5" t="s">
        <v>88</v>
      </c>
    </row>
    <row r="13" spans="1:28" s="12" customFormat="1" ht="25.05" customHeight="1" x14ac:dyDescent="0.3">
      <c r="A13" s="5">
        <v>11</v>
      </c>
      <c r="B13" s="10" t="s">
        <v>87</v>
      </c>
      <c r="C13" s="5" t="s">
        <v>86</v>
      </c>
      <c r="D13" s="5" t="s">
        <v>75</v>
      </c>
      <c r="E13" s="5" t="s">
        <v>27</v>
      </c>
      <c r="F13" s="5">
        <v>262187</v>
      </c>
      <c r="G13" s="5" t="s">
        <v>85</v>
      </c>
      <c r="H13" s="5">
        <v>500</v>
      </c>
      <c r="I13" s="7">
        <v>0.38700000000000001</v>
      </c>
      <c r="J13" s="7">
        <v>0.95499999999999996</v>
      </c>
      <c r="K13" s="5" t="s">
        <v>84</v>
      </c>
      <c r="L13" s="7">
        <v>184.792</v>
      </c>
      <c r="M13" s="9">
        <v>238.8</v>
      </c>
      <c r="N13" s="6">
        <v>3.32E-2</v>
      </c>
      <c r="O13" s="8">
        <v>1.99</v>
      </c>
      <c r="P13" s="5">
        <v>70.8</v>
      </c>
      <c r="Q13" s="5">
        <v>2</v>
      </c>
      <c r="R13" s="5">
        <v>800</v>
      </c>
      <c r="S13" s="7">
        <v>0.77400000000000002</v>
      </c>
      <c r="T13" s="5">
        <v>26</v>
      </c>
      <c r="U13" s="6">
        <v>3.2500000000000001E-2</v>
      </c>
      <c r="V13" s="5" t="s">
        <v>42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39</v>
      </c>
      <c r="AB13" s="5" t="s">
        <v>83</v>
      </c>
    </row>
    <row r="14" spans="1:28" s="12" customFormat="1" ht="25.05" customHeight="1" x14ac:dyDescent="0.3">
      <c r="A14" s="11" t="s">
        <v>27</v>
      </c>
      <c r="B14" s="11" t="s">
        <v>27</v>
      </c>
      <c r="C14" s="11" t="s">
        <v>27</v>
      </c>
      <c r="D14" s="11" t="s">
        <v>27</v>
      </c>
      <c r="E14" s="11" t="s">
        <v>27</v>
      </c>
      <c r="F14" s="11" t="s">
        <v>27</v>
      </c>
      <c r="G14" s="11" t="s">
        <v>27</v>
      </c>
      <c r="H14" s="11">
        <v>7700</v>
      </c>
      <c r="I14" s="11" t="s">
        <v>27</v>
      </c>
      <c r="J14" s="11" t="s">
        <v>27</v>
      </c>
      <c r="K14" s="11" t="s">
        <v>27</v>
      </c>
      <c r="L14" s="11" t="s">
        <v>27</v>
      </c>
      <c r="M14" s="11" t="s">
        <v>27</v>
      </c>
      <c r="N14" s="11" t="s">
        <v>27</v>
      </c>
      <c r="O14" s="11" t="s">
        <v>27</v>
      </c>
      <c r="P14" s="11">
        <v>1913.9</v>
      </c>
      <c r="Q14" s="11" t="s">
        <v>27</v>
      </c>
      <c r="R14" s="11" t="s">
        <v>27</v>
      </c>
      <c r="S14" s="11" t="s">
        <v>27</v>
      </c>
      <c r="T14" s="11" t="s">
        <v>27</v>
      </c>
      <c r="U14" s="11" t="s">
        <v>27</v>
      </c>
      <c r="V14" s="11" t="s">
        <v>27</v>
      </c>
      <c r="W14" s="11" t="s">
        <v>27</v>
      </c>
      <c r="X14" s="11" t="s">
        <v>27</v>
      </c>
      <c r="Y14" s="11" t="s">
        <v>27</v>
      </c>
      <c r="Z14" s="11" t="s">
        <v>27</v>
      </c>
      <c r="AA14" s="11" t="s">
        <v>27</v>
      </c>
      <c r="AB14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9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43</vt:i4>
      </vt:variant>
    </vt:vector>
  </HeadingPairs>
  <TitlesOfParts>
    <vt:vector size="43" baseType="lpstr">
      <vt:lpstr>HARMONY EMBALAGENS 1217</vt:lpstr>
      <vt:lpstr>Z4A EMBALAGENS LTDA 1216</vt:lpstr>
      <vt:lpstr>Tolecaixas 1215</vt:lpstr>
      <vt:lpstr>ABAPEL 1213</vt:lpstr>
      <vt:lpstr>IPE - PCBOX 1212</vt:lpstr>
      <vt:lpstr>Z4A EMBALAGENS LTDA 1210 P</vt:lpstr>
      <vt:lpstr>RM Embalagens 1209 P</vt:lpstr>
      <vt:lpstr>IPE - PC BOX 1203P</vt:lpstr>
      <vt:lpstr>ABAPEL 1201</vt:lpstr>
      <vt:lpstr>HARMONY EMBALAGENS 1200</vt:lpstr>
      <vt:lpstr>HARMONY EMBALAGENS 1199 P</vt:lpstr>
      <vt:lpstr>FAVINCO EMBALAGENS 1197 P</vt:lpstr>
      <vt:lpstr>ABAPEL 1196</vt:lpstr>
      <vt:lpstr>CARPELL LTDA 1195 P</vt:lpstr>
      <vt:lpstr>Renovapel 1192 P</vt:lpstr>
      <vt:lpstr>DR EMBALAGENS 1189  P</vt:lpstr>
      <vt:lpstr>FAVINCO EMBALAGENS 1188 R</vt:lpstr>
      <vt:lpstr>PCBOX - IPE 1187 P</vt:lpstr>
      <vt:lpstr>RM Embalagens 1184 P</vt:lpstr>
      <vt:lpstr>CARTOMIL EMBALAGENS LTDA 1183 P</vt:lpstr>
      <vt:lpstr>Z4A EMBALAGENS LTDA 1182P</vt:lpstr>
      <vt:lpstr>HARMONY EMBALAGENS 1180 P</vt:lpstr>
      <vt:lpstr>RM Embalagens 1179 P</vt:lpstr>
      <vt:lpstr>Tolecaixas 1181 P</vt:lpstr>
      <vt:lpstr>ABAPEL 1178 P</vt:lpstr>
      <vt:lpstr>FAVINCO EMBALAGENS 1177 P</vt:lpstr>
      <vt:lpstr>IPE EMBALAGENS 1176 P</vt:lpstr>
      <vt:lpstr>PCBOX EMBALAGENS 1175 P</vt:lpstr>
      <vt:lpstr>ABAPEL 1174 P</vt:lpstr>
      <vt:lpstr>PCBOX EMBALAGENS 1171 P</vt:lpstr>
      <vt:lpstr>HARMONY EMBALAGENS 1169 P</vt:lpstr>
      <vt:lpstr>DR EMBALAGEM 1167 P</vt:lpstr>
      <vt:lpstr>Z4A EMBALAGENS  1166 P</vt:lpstr>
      <vt:lpstr>RM Embalagens 1165 P</vt:lpstr>
      <vt:lpstr>Carpel 1158 P</vt:lpstr>
      <vt:lpstr>ABAPEL 1155 P</vt:lpstr>
      <vt:lpstr>IPE - PCBOX 1154 P</vt:lpstr>
      <vt:lpstr>ABAPEL 1143 P</vt:lpstr>
      <vt:lpstr>HARMONY EMBALAGENS 1138 P</vt:lpstr>
      <vt:lpstr>ABAPEL 1127 P</vt:lpstr>
      <vt:lpstr>ABAPEL 1105 P</vt:lpstr>
      <vt:lpstr>IVAIR SILVA 1122 P</vt:lpstr>
      <vt:lpstr>RENOVAPEL 1115 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2026-09-21T21:00:00Z</cp:lastPrinted>
  <dcterms:created xsi:type="dcterms:W3CDTF">2026-07-02T17:42:15Z</dcterms:created>
  <dcterms:modified xsi:type="dcterms:W3CDTF">2026-09-21T21:08:11Z</dcterms:modified>
</cp:coreProperties>
</file>