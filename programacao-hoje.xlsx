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5E17506-863E-4917-8FC0-1378A15654A3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FAVINCO EMBALAGENS 1293 P" sheetId="207" r:id="rId1"/>
    <sheet name="IPE - PCBOX 1291" sheetId="206" r:id="rId2"/>
    <sheet name="FORBOX 1289" sheetId="205" r:id="rId3"/>
    <sheet name="SÃO MIGUEL 1288 P" sheetId="204" r:id="rId4"/>
    <sheet name="RENOVAPEL 1286 P" sheetId="203" r:id="rId5"/>
    <sheet name="HARMONY EMBALAGENS 1285" sheetId="202" r:id="rId6"/>
    <sheet name="DR EMBALAGENS 1282 P" sheetId="201" r:id="rId7"/>
    <sheet name="J FER 1281 P" sheetId="200" r:id="rId8"/>
    <sheet name="VÔ CHICO 1280 P" sheetId="199" r:id="rId9"/>
    <sheet name="PCBOX EMBALAGENS 1278 P" sheetId="198" r:id="rId10"/>
    <sheet name="RM EMBALAGENS 1277" sheetId="197" r:id="rId11"/>
    <sheet name="RM Embalagens 1275 P" sheetId="196" r:id="rId12"/>
    <sheet name="FAVINCO EMBALAGENS 1273 P" sheetId="195" r:id="rId13"/>
    <sheet name="ABAPEL 1272 P" sheetId="194" r:id="rId14"/>
    <sheet name="RM Embalagens 1271 P" sheetId="193" r:id="rId15"/>
    <sheet name="IPE -PC BOX 1270 P" sheetId="192" r:id="rId16"/>
    <sheet name="PCBOX  - IPE 1266 P" sheetId="191" r:id="rId17"/>
    <sheet name="Tolecaixas 1264 P" sheetId="190" r:id="rId18"/>
    <sheet name="RM Embalagens 1263 P" sheetId="189" r:id="rId19"/>
    <sheet name="HARMONY EMBALAGENS 1262 P" sheetId="188" r:id="rId20"/>
    <sheet name="HARMONY EMBALAGENS 1260 P" sheetId="187" r:id="rId21"/>
    <sheet name="CARTOMIL EMBALAGENS LTDA 1258 P" sheetId="185" r:id="rId22"/>
    <sheet name="CARPEL 1257 P" sheetId="184" r:id="rId23"/>
    <sheet name="FAVINCO EMBALAGENS 1256 P" sheetId="183" r:id="rId24"/>
    <sheet name="RR STELLA 1253 P" sheetId="181" r:id="rId25"/>
    <sheet name="FAVINCO EMBALAGENS 1252 P" sheetId="180" r:id="rId26"/>
    <sheet name="DR EMBALAGENS 1250 P" sheetId="179" r:id="rId27"/>
    <sheet name="HARMONY EMBALAGENS 1249 P" sheetId="178" r:id="rId28"/>
    <sheet name="FAVINCO 1248 AMOSTRA" sheetId="177" r:id="rId29"/>
    <sheet name="ABAPEL 1246 P" sheetId="176" r:id="rId30"/>
    <sheet name="FAVINCO 1243 P" sheetId="175" r:id="rId31"/>
    <sheet name="Renovapel 1242 P" sheetId="174" r:id="rId32"/>
    <sheet name="Tole. DR EMB. VO CH S. M 1241 P" sheetId="173" r:id="rId33"/>
    <sheet name="FAVINCO 1239 P" sheetId="172" r:id="rId34"/>
    <sheet name="PCBOX EMBALAGENS 1233 P" sheetId="170" r:id="rId35"/>
    <sheet name="RM Embalagens 1232 P" sheetId="169" r:id="rId36"/>
    <sheet name="HARMONY EMBALAGENS 1231 P" sheetId="168" r:id="rId37"/>
    <sheet name="RM Embalagens P" sheetId="166" r:id="rId38"/>
    <sheet name="PCBOX EMBALAGENS LTDA 1222 P" sheetId="164" r:id="rId39"/>
    <sheet name="FORBOX 1220 P" sheetId="163" r:id="rId40"/>
    <sheet name="HARMONY EMBALAGENS 1217 P" sheetId="162" r:id="rId41"/>
    <sheet name="Z4A EMBALAGENS LTDA 1216" sheetId="161" r:id="rId42"/>
    <sheet name="ABAPEL 1213 P" sheetId="159" r:id="rId43"/>
    <sheet name="IPE - PCBOX 1212 P" sheetId="158" r:id="rId44"/>
    <sheet name="Z4A EMBALAGENS LTDA 1210 P" sheetId="157" r:id="rId45"/>
    <sheet name="RM Embalagens 1209 P" sheetId="156" r:id="rId46"/>
    <sheet name="ABAPEL 1201 P" sheetId="153" r:id="rId47"/>
    <sheet name="HARMONY EMBALAGENS 1200 P" sheetId="152" r:id="rId48"/>
    <sheet name="FAVINCO EMBALAGENS 1197 P" sheetId="150" r:id="rId49"/>
    <sheet name="ABAPEL 1196 P" sheetId="149" r:id="rId50"/>
    <sheet name="RM Embalagens 1184 P" sheetId="141" r:id="rId51"/>
    <sheet name="HARMONY EMBALAGENS 1180 P" sheetId="137" r:id="rId52"/>
    <sheet name="Carpel 1158 P" sheetId="119" r:id="rId53"/>
  </sheets>
  <definedNames>
    <definedName name="_xlnm.Print_Area" localSheetId="12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<sst xmlns="http://schemas.openxmlformats.org/spreadsheetml/2006/main" count="9677" uniqueCount="858">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</sst>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26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8" fillId="2" borderId="4" xfId="3" applyFont="1" applyFill="1" applyBorder="1" applyAlignment="1">
      <alignment horizontal="center" vertical="center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32" fillId="0" borderId="0" xfId="5" applyFont="1"/>
    <xf numFmtId="0" fontId="9" fillId="0" borderId="0" xfId="5" applyFont="1"/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  <xf numFmtId="0" fontId="9" fillId="0" borderId="0" xfId="5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0" fontId="5" fillId="3" borderId="1" xfId="5" applyFont="1" applyFill="1" applyBorder="1" applyAlignment="1">
      <alignment horizontal="center" vertical="center"/>
    </xf>
    <xf numFmtId="0" fontId="20" fillId="0" borderId="0" xfId="5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1" t="s">
        <v>846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841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845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844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841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843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842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841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840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839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9"/>
  <sheetViews>
    <sheetView tabSelected="1" zoomScale="144" zoomScaleNormal="144" workbookViewId="0">
      <selection activeCell="F30" sqref="F30"/>
    </sheetView>
  </sheetViews>
  <sheetFormatPr defaultRowHeight="14.4" x14ac:dyDescent="0.3"/>
  <cols>
    <col min="1" max="1" width="3.77734375" style="242" customWidth="1"/>
    <col min="2" max="2" width="20.77734375" style="242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25" t="s">
        <v>857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 x14ac:dyDescent="0.3">
      <c r="A3" s="245"/>
      <c r="B3" s="323" t="s">
        <v>832</v>
      </c>
      <c r="C3" s="244" t="s">
        <v>26</v>
      </c>
      <c r="D3" s="244" t="s">
        <v>825</v>
      </c>
      <c r="E3" s="245">
        <v>263020</v>
      </c>
      <c r="F3" s="244" t="s">
        <v>847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848</v>
      </c>
    </row>
    <row r="4" spans="1:29" customFormat="1" ht="25.05" customHeight="1" x14ac:dyDescent="0.3">
      <c r="A4" s="245"/>
      <c r="B4" s="323" t="s">
        <v>762</v>
      </c>
      <c r="C4" s="244" t="s">
        <v>35</v>
      </c>
      <c r="D4" s="244" t="s">
        <v>850</v>
      </c>
      <c r="E4" s="245">
        <v>263022</v>
      </c>
      <c r="F4" s="244" t="s">
        <v>851</v>
      </c>
      <c r="G4" s="245">
        <v>3000</v>
      </c>
      <c r="H4" s="246">
        <v>0.45600000000000002</v>
      </c>
      <c r="I4" s="246">
        <v>1.5609999999999999</v>
      </c>
      <c r="J4" s="245"/>
      <c r="K4" s="244" t="s">
        <v>852</v>
      </c>
      <c r="L4" s="245"/>
      <c r="M4" s="246">
        <v>2135.4479999999999</v>
      </c>
      <c r="N4" s="247">
        <v>1561</v>
      </c>
      <c r="O4" s="248">
        <v>0.14449999999999999</v>
      </c>
      <c r="P4" s="249">
        <v>8.67</v>
      </c>
      <c r="Q4" s="245">
        <v>683.3</v>
      </c>
      <c r="R4" s="245">
        <v>3</v>
      </c>
      <c r="S4" s="245">
        <v>1400</v>
      </c>
      <c r="T4" s="246">
        <v>1.3680000000000001</v>
      </c>
      <c r="U4" s="245">
        <v>32</v>
      </c>
      <c r="V4" s="248">
        <v>2.29E-2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31</v>
      </c>
      <c r="AC4" s="244" t="s">
        <v>853</v>
      </c>
    </row>
    <row r="5" spans="1:29" s="264" customFormat="1" ht="25.05" customHeight="1" x14ac:dyDescent="0.3">
      <c r="A5" s="258"/>
      <c r="B5" s="324" t="s">
        <v>832</v>
      </c>
      <c r="C5" s="258" t="s">
        <v>35</v>
      </c>
      <c r="D5" s="258" t="s">
        <v>783</v>
      </c>
      <c r="E5" s="258">
        <v>263011</v>
      </c>
      <c r="F5" s="258" t="s">
        <v>831</v>
      </c>
      <c r="G5" s="258">
        <v>500</v>
      </c>
      <c r="H5" s="260">
        <v>1.1950000000000001</v>
      </c>
      <c r="I5" s="260">
        <v>2.0529999999999999</v>
      </c>
      <c r="J5" s="258" t="s">
        <v>27</v>
      </c>
      <c r="K5" s="258" t="s">
        <v>834</v>
      </c>
      <c r="L5" s="258" t="s">
        <v>27</v>
      </c>
      <c r="M5" s="260">
        <v>1226.6679999999999</v>
      </c>
      <c r="N5" s="261">
        <v>1026.5</v>
      </c>
      <c r="O5" s="262">
        <v>0.28510000000000002</v>
      </c>
      <c r="P5" s="263">
        <v>17.11</v>
      </c>
      <c r="Q5" s="258">
        <v>392.5</v>
      </c>
      <c r="R5" s="258">
        <v>1</v>
      </c>
      <c r="S5" s="258">
        <v>1250</v>
      </c>
      <c r="T5" s="260">
        <v>1.1950000000000001</v>
      </c>
      <c r="U5" s="258">
        <v>55</v>
      </c>
      <c r="V5" s="262">
        <v>4.3999999999999997E-2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833</v>
      </c>
    </row>
    <row r="6" spans="1:29" s="264" customFormat="1" ht="25.05" customHeight="1" x14ac:dyDescent="0.3">
      <c r="A6" s="245"/>
      <c r="B6" s="323" t="s">
        <v>762</v>
      </c>
      <c r="C6" s="244" t="s">
        <v>35</v>
      </c>
      <c r="D6" s="244" t="s">
        <v>850</v>
      </c>
      <c r="E6" s="245">
        <v>263023</v>
      </c>
      <c r="F6" s="244" t="s">
        <v>854</v>
      </c>
      <c r="G6" s="245">
        <v>1200</v>
      </c>
      <c r="H6" s="246">
        <v>0.56699999999999995</v>
      </c>
      <c r="I6" s="246">
        <v>1.7829999999999999</v>
      </c>
      <c r="J6" s="245"/>
      <c r="K6" s="244" t="s">
        <v>855</v>
      </c>
      <c r="L6" s="245"/>
      <c r="M6" s="246">
        <v>1213.153</v>
      </c>
      <c r="N6" s="247">
        <v>1069.8</v>
      </c>
      <c r="O6" s="248">
        <v>0.14860000000000001</v>
      </c>
      <c r="P6" s="249">
        <v>8.91</v>
      </c>
      <c r="Q6" s="245">
        <v>388.2</v>
      </c>
      <c r="R6" s="245">
        <v>2</v>
      </c>
      <c r="S6" s="245">
        <v>1200</v>
      </c>
      <c r="T6" s="246">
        <v>1.1339999999999999</v>
      </c>
      <c r="U6" s="245">
        <v>66</v>
      </c>
      <c r="V6" s="248">
        <v>5.5E-2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32</v>
      </c>
      <c r="AC6" s="244" t="s">
        <v>856</v>
      </c>
    </row>
    <row r="7" spans="1:29" s="264" customFormat="1" ht="25.05" customHeight="1" x14ac:dyDescent="0.3">
      <c r="A7" s="258"/>
      <c r="B7" s="324" t="s">
        <v>832</v>
      </c>
      <c r="C7" s="258" t="s">
        <v>35</v>
      </c>
      <c r="D7" s="258" t="s">
        <v>783</v>
      </c>
      <c r="E7" s="258">
        <v>263012</v>
      </c>
      <c r="F7" s="258" t="s">
        <v>831</v>
      </c>
      <c r="G7" s="258">
        <v>500</v>
      </c>
      <c r="H7" s="260">
        <v>1.1779999999999999</v>
      </c>
      <c r="I7" s="260">
        <v>1.9590000000000001</v>
      </c>
      <c r="J7" s="258" t="s">
        <v>27</v>
      </c>
      <c r="K7" s="258" t="s">
        <v>830</v>
      </c>
      <c r="L7" s="258" t="s">
        <v>27</v>
      </c>
      <c r="M7" s="260">
        <v>1153.8510000000001</v>
      </c>
      <c r="N7" s="261">
        <v>979.5</v>
      </c>
      <c r="O7" s="262">
        <v>0.27210000000000001</v>
      </c>
      <c r="P7" s="263">
        <v>16.32</v>
      </c>
      <c r="Q7" s="258">
        <v>369.2</v>
      </c>
      <c r="R7" s="258">
        <v>1</v>
      </c>
      <c r="S7" s="258">
        <v>1200</v>
      </c>
      <c r="T7" s="260">
        <v>1.1779999999999999</v>
      </c>
      <c r="U7" s="258">
        <v>22</v>
      </c>
      <c r="V7" s="262">
        <v>1.83E-2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829</v>
      </c>
    </row>
    <row r="8" spans="1:29" s="264" customFormat="1" ht="25.05" customHeight="1" x14ac:dyDescent="0.3">
      <c r="A8" s="245"/>
      <c r="B8" s="323" t="s">
        <v>832</v>
      </c>
      <c r="C8" s="244" t="s">
        <v>35</v>
      </c>
      <c r="D8" s="244" t="s">
        <v>825</v>
      </c>
      <c r="E8" s="245">
        <v>263019</v>
      </c>
      <c r="F8" s="244" t="s">
        <v>847</v>
      </c>
      <c r="G8" s="245">
        <v>500</v>
      </c>
      <c r="H8" s="246">
        <v>0.53200000000000003</v>
      </c>
      <c r="I8" s="246">
        <v>1.403</v>
      </c>
      <c r="J8" s="245"/>
      <c r="K8" s="244" t="s">
        <v>33</v>
      </c>
      <c r="L8" s="245"/>
      <c r="M8" s="246">
        <v>373.19799999999998</v>
      </c>
      <c r="N8" s="247">
        <v>350.8</v>
      </c>
      <c r="O8" s="248">
        <v>4.87E-2</v>
      </c>
      <c r="P8" s="249">
        <v>2.92</v>
      </c>
      <c r="Q8" s="245">
        <v>119.4</v>
      </c>
      <c r="R8" s="245">
        <v>2</v>
      </c>
      <c r="S8" s="245">
        <v>1100</v>
      </c>
      <c r="T8" s="246">
        <v>1.0640000000000001</v>
      </c>
      <c r="U8" s="245">
        <v>36</v>
      </c>
      <c r="V8" s="248">
        <v>3.27E-2</v>
      </c>
      <c r="W8" s="244" t="s">
        <v>28</v>
      </c>
      <c r="X8" s="244" t="s">
        <v>28</v>
      </c>
      <c r="Y8" s="244" t="s">
        <v>28</v>
      </c>
      <c r="Z8" s="244"/>
      <c r="AA8" s="244"/>
      <c r="AB8" s="244" t="s">
        <v>38</v>
      </c>
      <c r="AC8" s="244" t="s">
        <v>849</v>
      </c>
    </row>
    <row r="9" spans="1:29" s="264" customFormat="1" ht="25.05" customHeight="1" x14ac:dyDescent="0.3">
      <c r="A9" s="265" t="s">
        <v>27</v>
      </c>
      <c r="B9" s="265" t="s">
        <v>27</v>
      </c>
      <c r="C9" s="265" t="s">
        <v>27</v>
      </c>
      <c r="D9" s="265" t="s">
        <v>27</v>
      </c>
      <c r="E9" s="265" t="s">
        <v>27</v>
      </c>
      <c r="F9" s="265" t="s">
        <v>27</v>
      </c>
      <c r="G9" s="265">
        <f>SUM(G3:G8)</f>
        <v>6200</v>
      </c>
      <c r="H9" s="265" t="s">
        <v>27</v>
      </c>
      <c r="I9" s="265" t="s">
        <v>27</v>
      </c>
      <c r="J9" s="265" t="s">
        <v>27</v>
      </c>
      <c r="K9" s="265" t="s">
        <v>27</v>
      </c>
      <c r="L9" s="265" t="s">
        <v>27</v>
      </c>
      <c r="M9" s="265" t="s">
        <v>27</v>
      </c>
      <c r="N9" s="265" t="s">
        <v>27</v>
      </c>
      <c r="O9" s="265" t="s">
        <v>27</v>
      </c>
      <c r="P9" s="265" t="s">
        <v>27</v>
      </c>
      <c r="Q9" s="265">
        <f>SUM(Q3:Q8)</f>
        <v>2246.2000000000003</v>
      </c>
      <c r="R9" s="265" t="s">
        <v>27</v>
      </c>
      <c r="S9" s="265" t="s">
        <v>27</v>
      </c>
      <c r="T9" s="265" t="s">
        <v>27</v>
      </c>
      <c r="U9" s="265" t="s">
        <v>27</v>
      </c>
      <c r="V9" s="265" t="s">
        <v>27</v>
      </c>
      <c r="W9" s="265" t="s">
        <v>27</v>
      </c>
      <c r="X9" s="265" t="s">
        <v>27</v>
      </c>
      <c r="Y9" s="265" t="s">
        <v>27</v>
      </c>
      <c r="Z9" s="265" t="s">
        <v>27</v>
      </c>
      <c r="AA9" s="265" t="s">
        <v>27</v>
      </c>
      <c r="AB9" s="265" t="s">
        <v>27</v>
      </c>
      <c r="AC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0" t="s">
        <v>824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I14" sqref="I14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22" t="s">
        <v>818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s="300" customFormat="1" ht="25.05" customHeight="1" x14ac:dyDescent="0.3">
      <c r="A7" s="245"/>
      <c r="B7" s="244" t="s">
        <v>466</v>
      </c>
      <c r="C7" s="244" t="s">
        <v>35</v>
      </c>
      <c r="D7" s="244" t="s">
        <v>825</v>
      </c>
      <c r="E7" s="245">
        <v>263021</v>
      </c>
      <c r="F7" s="244" t="s">
        <v>847</v>
      </c>
      <c r="G7" s="245">
        <v>2000</v>
      </c>
      <c r="H7" s="246">
        <v>0.5</v>
      </c>
      <c r="I7" s="246">
        <v>1</v>
      </c>
      <c r="J7" s="245"/>
      <c r="K7" s="244" t="s">
        <v>33</v>
      </c>
      <c r="L7" s="245"/>
      <c r="M7" s="246">
        <v>1000</v>
      </c>
      <c r="N7" s="247">
        <v>666.7</v>
      </c>
      <c r="O7" s="248">
        <v>6.1699999999999998E-2</v>
      </c>
      <c r="P7" s="249">
        <v>3.7</v>
      </c>
      <c r="Q7" s="245">
        <v>320</v>
      </c>
      <c r="R7" s="245">
        <v>3</v>
      </c>
      <c r="S7" s="245">
        <v>1550</v>
      </c>
      <c r="T7" s="246">
        <v>1.5</v>
      </c>
      <c r="U7" s="245">
        <v>50</v>
      </c>
      <c r="V7" s="248">
        <v>3.2300000000000002E-2</v>
      </c>
      <c r="W7" s="244" t="s">
        <v>28</v>
      </c>
      <c r="X7" s="244" t="s">
        <v>28</v>
      </c>
      <c r="Y7" s="244" t="s">
        <v>28</v>
      </c>
      <c r="Z7" s="244"/>
      <c r="AA7" s="244"/>
      <c r="AB7" s="244" t="s">
        <v>32</v>
      </c>
      <c r="AC7" s="244" t="s">
        <v>745</v>
      </c>
    </row>
    <row r="8" spans="1:29" ht="25.05" customHeight="1" x14ac:dyDescent="0.3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9800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1254.5999999999999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1" t="s">
        <v>810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0" t="s">
        <v>804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2" t="s">
        <v>778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1" t="s">
        <v>776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3" t="s">
        <v>771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3" t="s">
        <v>763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0" t="s">
        <v>759</v>
      </c>
      <c r="B1" s="310" t="s">
        <v>27</v>
      </c>
      <c r="C1" s="310" t="s">
        <v>27</v>
      </c>
      <c r="D1" s="310" t="s">
        <v>27</v>
      </c>
      <c r="E1" s="310" t="s">
        <v>27</v>
      </c>
      <c r="F1" s="310" t="s">
        <v>27</v>
      </c>
      <c r="G1" s="310" t="s">
        <v>27</v>
      </c>
      <c r="H1" s="310" t="s">
        <v>27</v>
      </c>
      <c r="I1" s="310" t="s">
        <v>27</v>
      </c>
      <c r="J1" s="310" t="s">
        <v>27</v>
      </c>
      <c r="K1" s="310" t="s">
        <v>27</v>
      </c>
      <c r="L1" s="310" t="s">
        <v>27</v>
      </c>
      <c r="M1" s="310" t="s">
        <v>27</v>
      </c>
      <c r="N1" s="310" t="s">
        <v>27</v>
      </c>
      <c r="O1" s="310" t="s">
        <v>27</v>
      </c>
      <c r="P1" s="310" t="s">
        <v>27</v>
      </c>
      <c r="Q1" s="310" t="s">
        <v>27</v>
      </c>
      <c r="R1" s="310" t="s">
        <v>27</v>
      </c>
      <c r="S1" s="310" t="s">
        <v>27</v>
      </c>
      <c r="T1" s="310" t="s">
        <v>27</v>
      </c>
      <c r="U1" s="310" t="s">
        <v>27</v>
      </c>
      <c r="V1" s="310" t="s">
        <v>27</v>
      </c>
      <c r="W1" s="310" t="s">
        <v>27</v>
      </c>
      <c r="X1" s="310" t="s">
        <v>27</v>
      </c>
      <c r="Y1" s="310" t="s">
        <v>27</v>
      </c>
      <c r="Z1" s="310" t="s">
        <v>27</v>
      </c>
      <c r="AA1" s="310" t="s">
        <v>27</v>
      </c>
      <c r="AB1" s="310" t="s">
        <v>27</v>
      </c>
      <c r="AC1" s="310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3" t="s">
        <v>737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1" t="s">
        <v>721</v>
      </c>
      <c r="B1" s="311" t="s">
        <v>27</v>
      </c>
      <c r="C1" s="311" t="s">
        <v>27</v>
      </c>
      <c r="D1" s="311" t="s">
        <v>27</v>
      </c>
      <c r="E1" s="311" t="s">
        <v>27</v>
      </c>
      <c r="F1" s="311" t="s">
        <v>27</v>
      </c>
      <c r="G1" s="311" t="s">
        <v>27</v>
      </c>
      <c r="H1" s="311" t="s">
        <v>27</v>
      </c>
      <c r="I1" s="311" t="s">
        <v>27</v>
      </c>
      <c r="J1" s="311" t="s">
        <v>27</v>
      </c>
      <c r="K1" s="311" t="s">
        <v>27</v>
      </c>
      <c r="L1" s="311" t="s">
        <v>27</v>
      </c>
      <c r="M1" s="311" t="s">
        <v>27</v>
      </c>
      <c r="N1" s="311" t="s">
        <v>27</v>
      </c>
      <c r="O1" s="311" t="s">
        <v>27</v>
      </c>
      <c r="P1" s="311" t="s">
        <v>27</v>
      </c>
      <c r="Q1" s="311" t="s">
        <v>27</v>
      </c>
      <c r="R1" s="311" t="s">
        <v>27</v>
      </c>
      <c r="S1" s="311" t="s">
        <v>27</v>
      </c>
      <c r="T1" s="311" t="s">
        <v>27</v>
      </c>
      <c r="U1" s="311" t="s">
        <v>27</v>
      </c>
      <c r="V1" s="311" t="s">
        <v>27</v>
      </c>
      <c r="W1" s="311" t="s">
        <v>27</v>
      </c>
      <c r="X1" s="311" t="s">
        <v>27</v>
      </c>
      <c r="Y1" s="311" t="s">
        <v>27</v>
      </c>
      <c r="Z1" s="311" t="s">
        <v>27</v>
      </c>
      <c r="AA1" s="311" t="s">
        <v>27</v>
      </c>
      <c r="AB1" s="311" t="s">
        <v>27</v>
      </c>
      <c r="AC1" s="311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3" t="s">
        <v>717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4" t="s">
        <v>709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3" t="s">
        <v>738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5" t="s">
        <v>696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3" t="s">
        <v>664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5" t="s">
        <v>660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5" t="s">
        <v>645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/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5" t="s">
        <v>622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/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/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  <c r="AD1" s="315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614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3" t="s">
        <v>606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5" t="s">
        <v>595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3" t="s">
        <v>585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/>
      <c r="K1" s="313" t="s">
        <v>27</v>
      </c>
      <c r="L1" s="313"/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836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835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836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837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838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6" t="s">
        <v>578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/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/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573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5" t="s">
        <v>566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3" t="s">
        <v>528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3" t="s">
        <v>508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7" t="s">
        <v>489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3" t="s">
        <v>478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18" t="s">
        <v>477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5" t="s">
        <v>458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5" t="s">
        <v>395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5" t="s">
        <v>593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18" t="s">
        <v>364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321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5" t="s">
        <v>296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5" t="s">
        <v>278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5" t="s">
        <v>264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19" t="s">
        <v>247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234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5" t="s">
        <v>228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5" t="s">
        <v>218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5" t="s">
        <v>235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3" t="s">
        <v>181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3" t="s">
        <v>173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5" t="s">
        <v>143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5" t="s">
        <v>139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18" t="s">
        <v>123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0" t="s">
        <v>105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1" t="s">
        <v>80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53</vt:i4>
      </vt:variant>
      <vt:variant>
        <vt:lpstr>Intervalos Nomeados</vt:lpstr>
      </vt:variant>
      <vt:variant>
        <vt:i4>1</vt:i4>
      </vt:variant>
    </vt:vector>
  </HeadingPairs>
  <TitlesOfParts>
    <vt:vector size="54" baseType="lpstr">
      <vt:lpstr>FAVINCO EMBALAGENS 1293 P</vt:lpstr>
      <vt:lpstr>IPE - PCBOX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2026-10-19T12:14:25Z</cp:lastPrinted>
  <dcterms:created xsi:type="dcterms:W3CDTF">2026-07-02T17:42:15Z</dcterms:created>
  <dcterms:modified xsi:type="dcterms:W3CDTF">2026-10-19T16:52:07Z</dcterms:modified>
</cp:coreProperties>
</file>