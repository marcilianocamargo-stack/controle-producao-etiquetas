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8510928-DECA-404C-9489-221BDDECC44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IXAS  KRAFT 1312" sheetId="219" r:id="rId1"/>
    <sheet name="FORBOX 1310" sheetId="217" r:id="rId2"/>
    <sheet name="ABAPEL EMBALAGENS 1308 P" sheetId="215" r:id="rId3"/>
    <sheet name="CARPEL 1307 P" sheetId="214" r:id="rId4"/>
    <sheet name="RENOVAPEL 1306 P" sheetId="213" r:id="rId5"/>
    <sheet name="INTERNACIONAL - SEDAMED 1304 P" sheetId="212" r:id="rId6"/>
    <sheet name="RM EMBALAGENS 1303" sheetId="211" r:id="rId7"/>
    <sheet name="IPE EMBALAGENS 1302 P" sheetId="210" r:id="rId8"/>
    <sheet name="HARMONY EMBALAGENS 1301 P" sheetId="209" r:id="rId9"/>
    <sheet name="RENOVAPEL 1297 P" sheetId="208" r:id="rId10"/>
    <sheet name="FORBOX 1289" sheetId="205" r:id="rId11"/>
    <sheet name="HARMONY EMBALAGENS 1285 P" sheetId="202" r:id="rId12"/>
    <sheet name="PCBOX  - IPE 1266 P" sheetId="2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<sst xmlns="http://schemas.openxmlformats.org/spreadsheetml/2006/main" count="2504" uniqueCount="265">
  <si>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</si>
  <si>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</si>
  <si>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</si>
  <si>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</si>
  <si>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</si>
  <si>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</si>
  <si>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</si>
  <si>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</si>
  <si>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</si>
  <si>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</si>
  <si>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</si>
  <si>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</si>
  <si>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</si>
  <si>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</si>
  <si>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</si>
  <si>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</si>
  <si>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</si>
  <si>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</si>
  <si>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</si>
  <si>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</si>
  <si>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</si>
  <si>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</si>
  <si>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</si>
  <si>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</si>
  <si>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</si>
  <si>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</si>
  <si>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</si>
  <si>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</si>
  <si>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</si>
  <si>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</si>
  <si>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</si>
  <si>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</si>
  <si>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</si>
  <si>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</si>
  <si>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</si>
  <si>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</si>
  <si>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</si>
  <si>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</si>
  <si>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</si>
  <si>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</si>
  <si>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</si>
  <si>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</si>
  <si>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</si>
  <si>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</si>
  <si>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</si>
  <si>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</si>
  <si>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</si>
  <si>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</si>
  <si>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</si>
  <si>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</si>
  <si>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</si>
  <si>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</si>
  <si>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</si>
  <si>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</si>
  <si>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</si>
  <si>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</si>
  <si>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</si>
  <si>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</si>
  <si>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</si>
  <si>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</si>
  <si>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</si>
  <si>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</si>
  <si>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</si>
  <si>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</si>
  <si>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</si>
  <si>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</si>
  <si>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</si>
  <si>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</si>
  <si>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</si>
  <si>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</si>
  <si>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</si>
  <si>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</si>
  <si>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</si>
  <si>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</si>
  <si>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</si>
  <si>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</si>
  <si>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</si>
  <si>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</si>
  <si>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</si>
  <si>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</si>
  <si>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</si>
  <si>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</si>
  <si>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</si>
  <si>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</si>
  <si>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</si>
  <si>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</si>
  <si>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</si>
  <si>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</si>
  <si>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</si>
  <si>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</si>
  <si>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</si>
  <si>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</si>
  <si>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</si>
  <si>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</si>
  <si>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</si>
  <si>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</si>
  <si>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</si>
  <si>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</si>
  <si>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</si>
  <si>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</si>
  <si>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</si>
  <si>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</si>
  <si>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</si>
  <si>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</si>
  <si>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</si>
  <si>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</si>
  <si>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</si>
  <si>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</si>
  <si>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</si>
  <si>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</si>
  <si>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</si>
  <si>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</si>
  <si>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</si>
  <si>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</si>
  <si>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</si>
  <si>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</si>
  <si>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</si>
  <si>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</si>
  <si>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</si>
  <si>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</si>
  <si>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</si>
  <si>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</si>
  <si>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</si>
  <si>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</si>
  <si>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</si>
  <si>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</si>
  <si>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</si>
  <si>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</si>
  <si>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</si>
  <si>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</si>
  <si>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</si>
  <si>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</si>
  <si>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</si>
  <si>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</si>
  <si>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</si>
  <si>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</si>
  <si>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</si>
  <si>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</si>
  <si>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</si>
  <si>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</si>
  <si>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</si>
  <si>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</si>
  <si>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</si>
  <si>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</si>
  <si>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</si>
  <si>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</si>
  <si>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</si>
  <si>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</si>
  <si>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</si>
  <si>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</si>
  <si>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</si>
  <si>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</si>
  <si>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</si>
  <si>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</si>
  <si>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</si>
  <si>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</si>
  <si>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</si>
  <si>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</si>
  <si>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</si>
  <si>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</si>
  <si>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</si>
  <si>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</si>
  <si>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</si>
  <si>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</si>
  <si>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</si>
  <si>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</si>
  <si>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</si>
  <si>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</si>
  <si>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</si>
  <si>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</si>
  <si>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</si>
  <si>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</si>
  <si>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</si>
  <si>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</si>
  <si>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</si>
  <si>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</si>
  <si>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</si>
  <si>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</si>
  <si>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</si>
  <si>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</si>
  <si>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</si>
  <si>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</si>
  <si>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</si>
  <si>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</si>
  <si>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</si>
  <si>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</si>
  <si>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</si>
  <si>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</si>
  <si>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</si>
  <si>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</si>
  <si>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</si>
  <si>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</si>
  <si>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</si>
  <si>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</si>
  <si>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</si>
  <si>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</si>
  <si>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</si>
  <si>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</si>
  <si>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</si>
  <si>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</si>
  <si>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</si>
  <si>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</si>
  <si>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</si>
  <si>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</si>
  <si>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</si>
  <si>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</si>
  <si>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</si>
  <si>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</si>
  <si>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</si>
  <si>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</si>
  <si>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</si>
  <si>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</si>
  <si>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</si>
  <si>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</si>
  <si>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</si>
  <si>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</si>
  <si>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</si>
  <si>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</si>
  <si>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</si>
  <si>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</si>
  <si>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</si>
  <si>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</si>
  <si>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</si>
  <si>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</si>
  <si>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</si>
  <si>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</si>
  <si>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</si>
  <si>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</si>
  <si>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</si>
  <si>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</si>
  <si>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</si>
  <si>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</si>
  <si>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</si>
  <si>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</si>
  <si>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</si>
  <si>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</si>
  <si>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</si>
  <si>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</si>
  <si>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</si>
  <si>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</si>
  <si>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</si>
  <si>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</si>
  <si>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</si>
  <si>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</si>
  <si>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</si>
  <si>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820x1590</t>
  </si>
  <si>
    <t>1060</t>
  </si>
  <si>
    <t>04/06/2026</t>
  </si>
  <si>
    <t>920x1590</t>
  </si>
  <si>
    <t>1020x1590</t>
  </si>
  <si>
    <t>1120x1590</t>
  </si>
  <si>
    <t>1590x1220</t>
  </si>
  <si>
    <t>PROGRAMAÇÃO ONDULADEIRA - FORBOX  —  OF: 001310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</si>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</sst>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7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</cellStyleXfs>
  <cellXfs count="69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3" borderId="1" xfId="5" applyFill="1" applyBorder="1" applyAlignment="1">
      <alignment horizontal="center"/>
    </xf>
    <xf numFmtId="0" fontId="9" fillId="3" borderId="1" xfId="5" applyFont="1" applyFill="1" applyBorder="1" applyAlignment="1">
      <alignment horizontal="center"/>
    </xf>
    <xf numFmtId="164" fontId="8" fillId="3" borderId="1" xfId="5" applyNumberFormat="1" applyFill="1" applyBorder="1" applyAlignment="1">
      <alignment horizontal="center"/>
    </xf>
    <xf numFmtId="165" fontId="8" fillId="3" borderId="1" xfId="5" applyNumberFormat="1" applyFill="1" applyBorder="1" applyAlignment="1">
      <alignment horizontal="center"/>
    </xf>
    <xf numFmtId="166" fontId="8" fillId="3" borderId="1" xfId="5" applyNumberFormat="1" applyFill="1" applyBorder="1" applyAlignment="1">
      <alignment horizontal="center"/>
    </xf>
    <xf numFmtId="2" fontId="8" fillId="3" borderId="1" xfId="5" applyNumberFormat="1" applyFill="1" applyBorder="1" applyAlignment="1">
      <alignment horizontal="center"/>
    </xf>
    <xf numFmtId="0" fontId="8" fillId="0" borderId="0" xfId="5" applyAlignment="1">
      <alignment horizontal="center"/>
    </xf>
    <xf numFmtId="0" fontId="9" fillId="2" borderId="1" xfId="5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6" applyFont="1"/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</cellXfs>
  <cellStyles count="7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tabSelected="1" workbookViewId="0">
      <selection activeCell="G14" sqref="G14"/>
    </sheetView>
  </sheetViews>
  <sheetFormatPr defaultRowHeight="14.4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>
      <c r="A1" s="56" t="s">
        <v>264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3.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>
      <c r="A3" s="49"/>
      <c r="B3" s="51" t="s">
        <v>259</v>
      </c>
      <c r="C3" s="49" t="s">
        <v>34</v>
      </c>
      <c r="D3" s="49" t="s">
        <v>258</v>
      </c>
      <c r="E3" s="49">
        <v>263119</v>
      </c>
      <c r="F3" s="49" t="s">
        <v>69</v>
      </c>
      <c r="G3" s="49">
        <v>300</v>
      </c>
      <c r="H3" s="50">
        <v>0.60799999999999998</v>
      </c>
      <c r="I3" s="50">
        <v>1.635</v>
      </c>
      <c r="J3" s="49" t="s">
        <v>26</v>
      </c>
      <c r="K3" s="49" t="s">
        <v>263</v>
      </c>
      <c r="L3" s="49" t="s">
        <v>26</v>
      </c>
      <c r="M3" s="46">
        <v>298.22399999999999</v>
      </c>
      <c r="N3" s="48">
        <v>245.3</v>
      </c>
      <c r="O3" s="45">
        <v>3.4099999999999998E-2</v>
      </c>
      <c r="P3" s="47">
        <v>2.04</v>
      </c>
      <c r="Q3" s="44">
        <v>95.4</v>
      </c>
      <c r="R3" s="44">
        <v>2</v>
      </c>
      <c r="S3" s="44">
        <v>1250</v>
      </c>
      <c r="T3" s="46">
        <v>1.216</v>
      </c>
      <c r="U3" s="44">
        <v>34</v>
      </c>
      <c r="V3" s="45">
        <v>2.7199999999999998E-2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37</v>
      </c>
      <c r="AC3" s="44" t="s">
        <v>262</v>
      </c>
    </row>
    <row r="4" spans="1:29" ht="25.05" customHeight="1">
      <c r="A4" s="49"/>
      <c r="B4" s="51" t="s">
        <v>259</v>
      </c>
      <c r="C4" s="49" t="s">
        <v>34</v>
      </c>
      <c r="D4" s="49" t="s">
        <v>258</v>
      </c>
      <c r="E4" s="49">
        <v>263120</v>
      </c>
      <c r="F4" s="49" t="s">
        <v>69</v>
      </c>
      <c r="G4" s="49">
        <v>300</v>
      </c>
      <c r="H4" s="50">
        <v>0.85799999999999998</v>
      </c>
      <c r="I4" s="50">
        <v>1.7350000000000001</v>
      </c>
      <c r="J4" s="49" t="s">
        <v>26</v>
      </c>
      <c r="K4" s="49" t="s">
        <v>261</v>
      </c>
      <c r="L4" s="49" t="s">
        <v>26</v>
      </c>
      <c r="M4" s="46">
        <v>446.589</v>
      </c>
      <c r="N4" s="48">
        <v>520.5</v>
      </c>
      <c r="O4" s="45">
        <v>0.14460000000000001</v>
      </c>
      <c r="P4" s="47">
        <v>8.68</v>
      </c>
      <c r="Q4" s="44">
        <v>142.9</v>
      </c>
      <c r="R4" s="44">
        <v>1</v>
      </c>
      <c r="S4" s="44">
        <v>900</v>
      </c>
      <c r="T4" s="46">
        <v>0.85799999999999998</v>
      </c>
      <c r="U4" s="44">
        <v>42</v>
      </c>
      <c r="V4" s="45">
        <v>4.6699999999999998E-2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37</v>
      </c>
      <c r="AC4" s="44" t="s">
        <v>260</v>
      </c>
    </row>
    <row r="5" spans="1:29" ht="25.05" customHeight="1">
      <c r="A5" s="49"/>
      <c r="B5" s="51" t="s">
        <v>259</v>
      </c>
      <c r="C5" s="49" t="s">
        <v>34</v>
      </c>
      <c r="D5" s="49" t="s">
        <v>258</v>
      </c>
      <c r="E5" s="49">
        <v>263121</v>
      </c>
      <c r="F5" s="49" t="s">
        <v>69</v>
      </c>
      <c r="G5" s="49">
        <v>300</v>
      </c>
      <c r="H5" s="50">
        <v>0.79800000000000004</v>
      </c>
      <c r="I5" s="50">
        <v>1.155</v>
      </c>
      <c r="J5" s="49" t="s">
        <v>26</v>
      </c>
      <c r="K5" s="49" t="s">
        <v>257</v>
      </c>
      <c r="L5" s="49" t="s">
        <v>26</v>
      </c>
      <c r="M5" s="46">
        <v>276.50700000000001</v>
      </c>
      <c r="N5" s="48">
        <v>346.5</v>
      </c>
      <c r="O5" s="45">
        <v>9.6299999999999997E-2</v>
      </c>
      <c r="P5" s="47">
        <v>5.78</v>
      </c>
      <c r="Q5" s="44">
        <v>88.5</v>
      </c>
      <c r="R5" s="44">
        <v>1</v>
      </c>
      <c r="S5" s="44">
        <v>850</v>
      </c>
      <c r="T5" s="46">
        <v>0.79800000000000004</v>
      </c>
      <c r="U5" s="44">
        <v>52</v>
      </c>
      <c r="V5" s="45">
        <v>6.1199999999999997E-2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37</v>
      </c>
      <c r="AC5" s="44" t="s">
        <v>256</v>
      </c>
    </row>
    <row r="6" spans="1:29" ht="25.05" customHeight="1">
      <c r="A6" s="43" t="s">
        <v>26</v>
      </c>
      <c r="B6" s="43" t="s">
        <v>26</v>
      </c>
      <c r="C6" s="43" t="s">
        <v>26</v>
      </c>
      <c r="D6" s="43" t="s">
        <v>26</v>
      </c>
      <c r="E6" s="43" t="s">
        <v>26</v>
      </c>
      <c r="F6" s="43" t="s">
        <v>26</v>
      </c>
      <c r="G6" s="43">
        <v>900</v>
      </c>
      <c r="H6" s="43" t="s">
        <v>26</v>
      </c>
      <c r="I6" s="43" t="s">
        <v>26</v>
      </c>
      <c r="J6" s="43" t="s">
        <v>26</v>
      </c>
      <c r="K6" s="43" t="s">
        <v>26</v>
      </c>
      <c r="L6" s="43" t="s">
        <v>26</v>
      </c>
      <c r="M6" s="42" t="s">
        <v>26</v>
      </c>
      <c r="N6" s="42" t="s">
        <v>26</v>
      </c>
      <c r="O6" s="42" t="s">
        <v>26</v>
      </c>
      <c r="P6" s="42" t="s">
        <v>26</v>
      </c>
      <c r="Q6" s="42">
        <v>326.8</v>
      </c>
      <c r="R6" s="42" t="s">
        <v>26</v>
      </c>
      <c r="S6" s="42" t="s">
        <v>26</v>
      </c>
      <c r="T6" s="42" t="s">
        <v>26</v>
      </c>
      <c r="U6" s="42" t="s">
        <v>26</v>
      </c>
      <c r="V6" s="42" t="s">
        <v>26</v>
      </c>
      <c r="W6" s="42" t="s">
        <v>26</v>
      </c>
      <c r="X6" s="42" t="s">
        <v>26</v>
      </c>
      <c r="Y6" s="42" t="s">
        <v>26</v>
      </c>
      <c r="Z6" s="42" t="s">
        <v>26</v>
      </c>
      <c r="AA6" s="42" t="s">
        <v>26</v>
      </c>
      <c r="AB6" s="42" t="s">
        <v>26</v>
      </c>
      <c r="AC6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EFB2F-94F1-4D29-8677-B10EE5FB41F3}">
  <dimension ref="A1:AC8"/>
  <sheetViews>
    <sheetView workbookViewId="0">
      <selection activeCell="I26" sqref="I26"/>
    </sheetView>
  </sheetViews>
  <sheetFormatPr defaultRowHeight="14.4"/>
  <cols>
    <col min="1" max="1" width="5.5546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6640625" style="4" customWidth="1"/>
    <col min="6" max="6" width="6.21875" style="4" customWidth="1"/>
    <col min="7" max="7" width="6.88671875" style="4" customWidth="1"/>
    <col min="8" max="8" width="6.33203125" style="4" customWidth="1"/>
    <col min="9" max="9" width="7.33203125" style="4" customWidth="1"/>
    <col min="10" max="10" width="7.88671875" style="4" customWidth="1"/>
    <col min="11" max="11" width="6.33203125" style="4" customWidth="1"/>
    <col min="12" max="12" width="8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33203125" style="4" customWidth="1"/>
    <col min="19" max="19" width="6.4414062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6" width="7.77734375" style="4" customWidth="1"/>
    <col min="27" max="27" width="8.109375" style="4" customWidth="1"/>
    <col min="28" max="28" width="4.77734375" style="4" customWidth="1"/>
    <col min="29" max="29" width="11.21875" style="4" customWidth="1"/>
    <col min="30" max="16384" width="8.88671875" style="4"/>
  </cols>
  <sheetData>
    <row r="1" spans="1:29" ht="18" customHeight="1">
      <c r="A1" s="56" t="s">
        <v>252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38.4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>
      <c r="A3" s="49">
        <v>1</v>
      </c>
      <c r="B3" s="51" t="s">
        <v>125</v>
      </c>
      <c r="C3" s="49" t="s">
        <v>49</v>
      </c>
      <c r="D3" s="49" t="s">
        <v>247</v>
      </c>
      <c r="E3" s="49">
        <v>263113</v>
      </c>
      <c r="F3" s="49" t="s">
        <v>246</v>
      </c>
      <c r="G3" s="49">
        <v>2000</v>
      </c>
      <c r="H3" s="50">
        <v>1.57</v>
      </c>
      <c r="I3" s="50">
        <v>1.2</v>
      </c>
      <c r="J3" s="49" t="s">
        <v>26</v>
      </c>
      <c r="K3" s="49" t="s">
        <v>32</v>
      </c>
      <c r="L3" s="49" t="s">
        <v>26</v>
      </c>
      <c r="M3" s="46">
        <v>3768</v>
      </c>
      <c r="N3" s="48">
        <v>2400</v>
      </c>
      <c r="O3" s="45">
        <v>0.66669999999999996</v>
      </c>
      <c r="P3" s="47">
        <v>40</v>
      </c>
      <c r="Q3" s="44">
        <v>1243.4000000000001</v>
      </c>
      <c r="R3" s="44">
        <v>1</v>
      </c>
      <c r="S3" s="44">
        <v>1600</v>
      </c>
      <c r="T3" s="46">
        <v>1.57</v>
      </c>
      <c r="U3" s="44">
        <v>30</v>
      </c>
      <c r="V3" s="45">
        <v>1.8700000000000001E-2</v>
      </c>
      <c r="W3" s="44" t="s">
        <v>27</v>
      </c>
      <c r="X3" s="44" t="s">
        <v>27</v>
      </c>
      <c r="Y3" s="44" t="s">
        <v>27</v>
      </c>
      <c r="Z3" s="44" t="s">
        <v>26</v>
      </c>
      <c r="AA3" s="44" t="s">
        <v>26</v>
      </c>
      <c r="AB3" s="44" t="s">
        <v>46</v>
      </c>
      <c r="AC3" s="44" t="s">
        <v>251</v>
      </c>
    </row>
    <row r="4" spans="1:29">
      <c r="A4" s="49">
        <v>2</v>
      </c>
      <c r="B4" s="51" t="s">
        <v>125</v>
      </c>
      <c r="C4" s="49" t="s">
        <v>49</v>
      </c>
      <c r="D4" s="49" t="s">
        <v>247</v>
      </c>
      <c r="E4" s="49">
        <v>263114</v>
      </c>
      <c r="F4" s="49" t="s">
        <v>246</v>
      </c>
      <c r="G4" s="49">
        <v>2000</v>
      </c>
      <c r="H4" s="50">
        <v>1.57</v>
      </c>
      <c r="I4" s="50">
        <v>1.1000000000000001</v>
      </c>
      <c r="J4" s="49" t="s">
        <v>26</v>
      </c>
      <c r="K4" s="49" t="s">
        <v>32</v>
      </c>
      <c r="L4" s="49" t="s">
        <v>26</v>
      </c>
      <c r="M4" s="46">
        <v>3454</v>
      </c>
      <c r="N4" s="48">
        <v>2200</v>
      </c>
      <c r="O4" s="45">
        <v>0.61109999999999998</v>
      </c>
      <c r="P4" s="47">
        <v>36.67</v>
      </c>
      <c r="Q4" s="44">
        <v>1139.8</v>
      </c>
      <c r="R4" s="44">
        <v>1</v>
      </c>
      <c r="S4" s="44">
        <v>1600</v>
      </c>
      <c r="T4" s="46">
        <v>1.57</v>
      </c>
      <c r="U4" s="44">
        <v>30</v>
      </c>
      <c r="V4" s="45">
        <v>1.8700000000000001E-2</v>
      </c>
      <c r="W4" s="44" t="s">
        <v>27</v>
      </c>
      <c r="X4" s="44" t="s">
        <v>27</v>
      </c>
      <c r="Y4" s="44" t="s">
        <v>27</v>
      </c>
      <c r="Z4" s="44" t="s">
        <v>26</v>
      </c>
      <c r="AA4" s="44" t="s">
        <v>26</v>
      </c>
      <c r="AB4" s="44" t="s">
        <v>46</v>
      </c>
      <c r="AC4" s="44" t="s">
        <v>250</v>
      </c>
    </row>
    <row r="5" spans="1:29">
      <c r="A5" s="49">
        <v>3</v>
      </c>
      <c r="B5" s="51" t="s">
        <v>125</v>
      </c>
      <c r="C5" s="49" t="s">
        <v>49</v>
      </c>
      <c r="D5" s="49" t="s">
        <v>247</v>
      </c>
      <c r="E5" s="49">
        <v>263115</v>
      </c>
      <c r="F5" s="49" t="s">
        <v>246</v>
      </c>
      <c r="G5" s="49">
        <v>2000</v>
      </c>
      <c r="H5" s="50">
        <v>1.57</v>
      </c>
      <c r="I5" s="50">
        <v>1</v>
      </c>
      <c r="J5" s="49" t="s">
        <v>26</v>
      </c>
      <c r="K5" s="49" t="s">
        <v>32</v>
      </c>
      <c r="L5" s="49" t="s">
        <v>26</v>
      </c>
      <c r="M5" s="46">
        <v>3140</v>
      </c>
      <c r="N5" s="48">
        <v>2000</v>
      </c>
      <c r="O5" s="45">
        <v>0.55559999999999998</v>
      </c>
      <c r="P5" s="47">
        <v>33.33</v>
      </c>
      <c r="Q5" s="44">
        <v>1036.2</v>
      </c>
      <c r="R5" s="44">
        <v>1</v>
      </c>
      <c r="S5" s="44">
        <v>1600</v>
      </c>
      <c r="T5" s="46">
        <v>1.57</v>
      </c>
      <c r="U5" s="44">
        <v>30</v>
      </c>
      <c r="V5" s="45">
        <v>1.8700000000000001E-2</v>
      </c>
      <c r="W5" s="44" t="s">
        <v>27</v>
      </c>
      <c r="X5" s="44" t="s">
        <v>27</v>
      </c>
      <c r="Y5" s="44" t="s">
        <v>27</v>
      </c>
      <c r="Z5" s="44" t="s">
        <v>26</v>
      </c>
      <c r="AA5" s="44" t="s">
        <v>26</v>
      </c>
      <c r="AB5" s="44" t="s">
        <v>46</v>
      </c>
      <c r="AC5" s="44" t="s">
        <v>249</v>
      </c>
    </row>
    <row r="6" spans="1:29">
      <c r="A6" s="49">
        <v>4</v>
      </c>
      <c r="B6" s="51" t="s">
        <v>125</v>
      </c>
      <c r="C6" s="49" t="s">
        <v>49</v>
      </c>
      <c r="D6" s="49" t="s">
        <v>247</v>
      </c>
      <c r="E6" s="49">
        <v>263116</v>
      </c>
      <c r="F6" s="49" t="s">
        <v>246</v>
      </c>
      <c r="G6" s="49">
        <v>2000</v>
      </c>
      <c r="H6" s="50">
        <v>1.57</v>
      </c>
      <c r="I6" s="50">
        <v>0.9</v>
      </c>
      <c r="J6" s="49" t="s">
        <v>26</v>
      </c>
      <c r="K6" s="49" t="s">
        <v>32</v>
      </c>
      <c r="L6" s="49" t="s">
        <v>26</v>
      </c>
      <c r="M6" s="46">
        <v>2826</v>
      </c>
      <c r="N6" s="48">
        <v>1800</v>
      </c>
      <c r="O6" s="45">
        <v>0.5</v>
      </c>
      <c r="P6" s="47">
        <v>30</v>
      </c>
      <c r="Q6" s="44">
        <v>932.6</v>
      </c>
      <c r="R6" s="44">
        <v>1</v>
      </c>
      <c r="S6" s="44">
        <v>1600</v>
      </c>
      <c r="T6" s="46">
        <v>1.57</v>
      </c>
      <c r="U6" s="44">
        <v>30</v>
      </c>
      <c r="V6" s="45">
        <v>1.8700000000000001E-2</v>
      </c>
      <c r="W6" s="44" t="s">
        <v>27</v>
      </c>
      <c r="X6" s="44" t="s">
        <v>27</v>
      </c>
      <c r="Y6" s="44" t="s">
        <v>27</v>
      </c>
      <c r="Z6" s="44" t="s">
        <v>26</v>
      </c>
      <c r="AA6" s="44" t="s">
        <v>26</v>
      </c>
      <c r="AB6" s="44" t="s">
        <v>46</v>
      </c>
      <c r="AC6" s="44" t="s">
        <v>248</v>
      </c>
    </row>
    <row r="7" spans="1:29">
      <c r="A7" s="49">
        <v>5</v>
      </c>
      <c r="B7" s="51" t="s">
        <v>125</v>
      </c>
      <c r="C7" s="49" t="s">
        <v>49</v>
      </c>
      <c r="D7" s="49" t="s">
        <v>247</v>
      </c>
      <c r="E7" s="49">
        <v>263117</v>
      </c>
      <c r="F7" s="49" t="s">
        <v>246</v>
      </c>
      <c r="G7" s="49">
        <v>2000</v>
      </c>
      <c r="H7" s="50">
        <v>1.57</v>
      </c>
      <c r="I7" s="50">
        <v>0.8</v>
      </c>
      <c r="J7" s="49" t="s">
        <v>26</v>
      </c>
      <c r="K7" s="49" t="s">
        <v>32</v>
      </c>
      <c r="L7" s="49" t="s">
        <v>26</v>
      </c>
      <c r="M7" s="46">
        <v>2512</v>
      </c>
      <c r="N7" s="48">
        <v>1600</v>
      </c>
      <c r="O7" s="45">
        <v>0.44440000000000002</v>
      </c>
      <c r="P7" s="47">
        <v>26.67</v>
      </c>
      <c r="Q7" s="44">
        <v>829</v>
      </c>
      <c r="R7" s="44">
        <v>1</v>
      </c>
      <c r="S7" s="44">
        <v>1600</v>
      </c>
      <c r="T7" s="46">
        <v>1.57</v>
      </c>
      <c r="U7" s="44">
        <v>30</v>
      </c>
      <c r="V7" s="45">
        <v>1.8700000000000001E-2</v>
      </c>
      <c r="W7" s="44" t="s">
        <v>27</v>
      </c>
      <c r="X7" s="44" t="s">
        <v>27</v>
      </c>
      <c r="Y7" s="44" t="s">
        <v>27</v>
      </c>
      <c r="Z7" s="44" t="s">
        <v>26</v>
      </c>
      <c r="AA7" s="44" t="s">
        <v>26</v>
      </c>
      <c r="AB7" s="44" t="s">
        <v>46</v>
      </c>
      <c r="AC7" s="44" t="s">
        <v>245</v>
      </c>
    </row>
    <row r="8" spans="1:29">
      <c r="A8" s="43" t="s">
        <v>26</v>
      </c>
      <c r="B8" s="43" t="s">
        <v>26</v>
      </c>
      <c r="C8" s="43" t="s">
        <v>26</v>
      </c>
      <c r="D8" s="43" t="s">
        <v>26</v>
      </c>
      <c r="E8" s="43" t="s">
        <v>26</v>
      </c>
      <c r="F8" s="43" t="s">
        <v>26</v>
      </c>
      <c r="G8" s="43">
        <v>10000</v>
      </c>
      <c r="H8" s="43" t="s">
        <v>26</v>
      </c>
      <c r="I8" s="43" t="s">
        <v>26</v>
      </c>
      <c r="J8" s="43" t="s">
        <v>26</v>
      </c>
      <c r="K8" s="43" t="s">
        <v>26</v>
      </c>
      <c r="L8" s="43" t="s">
        <v>26</v>
      </c>
      <c r="M8" s="42" t="s">
        <v>26</v>
      </c>
      <c r="N8" s="42" t="s">
        <v>26</v>
      </c>
      <c r="O8" s="42" t="s">
        <v>26</v>
      </c>
      <c r="P8" s="42" t="s">
        <v>26</v>
      </c>
      <c r="Q8" s="42">
        <v>5181</v>
      </c>
      <c r="R8" s="42" t="s">
        <v>26</v>
      </c>
      <c r="S8" s="42" t="s">
        <v>26</v>
      </c>
      <c r="T8" s="42" t="s">
        <v>26</v>
      </c>
      <c r="U8" s="42" t="s">
        <v>26</v>
      </c>
      <c r="V8" s="42" t="s">
        <v>26</v>
      </c>
      <c r="W8" s="42" t="s">
        <v>26</v>
      </c>
      <c r="X8" s="42" t="s">
        <v>26</v>
      </c>
      <c r="Y8" s="42" t="s">
        <v>26</v>
      </c>
      <c r="Z8" s="42" t="s">
        <v>26</v>
      </c>
      <c r="AA8" s="42" t="s">
        <v>26</v>
      </c>
      <c r="AB8" s="42" t="s">
        <v>26</v>
      </c>
      <c r="AC8" s="4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>
      <c r="A1" s="57" t="s">
        <v>241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61" t="s">
        <v>0</v>
      </c>
      <c r="B2" s="61" t="s">
        <v>35</v>
      </c>
      <c r="C2" s="61" t="s">
        <v>1</v>
      </c>
      <c r="D2" s="61" t="s">
        <v>2</v>
      </c>
      <c r="E2" s="61" t="s">
        <v>45</v>
      </c>
      <c r="F2" s="61" t="s">
        <v>3</v>
      </c>
      <c r="G2" s="61" t="s">
        <v>4</v>
      </c>
      <c r="H2" s="61" t="s">
        <v>5</v>
      </c>
      <c r="I2" s="61" t="s">
        <v>6</v>
      </c>
      <c r="J2" s="61" t="s">
        <v>26</v>
      </c>
      <c r="K2" s="61" t="s">
        <v>7</v>
      </c>
      <c r="L2" s="61" t="s">
        <v>26</v>
      </c>
      <c r="M2" s="61" t="s">
        <v>8</v>
      </c>
      <c r="N2" s="61" t="s">
        <v>9</v>
      </c>
      <c r="O2" s="61" t="s">
        <v>10</v>
      </c>
      <c r="P2" s="61" t="s">
        <v>11</v>
      </c>
      <c r="Q2" s="61" t="s">
        <v>12</v>
      </c>
      <c r="R2" s="61" t="s">
        <v>13</v>
      </c>
      <c r="S2" s="61" t="s">
        <v>14</v>
      </c>
      <c r="T2" s="61" t="s">
        <v>15</v>
      </c>
      <c r="U2" s="61" t="s">
        <v>16</v>
      </c>
      <c r="V2" s="61" t="s">
        <v>17</v>
      </c>
      <c r="W2" s="61" t="s">
        <v>18</v>
      </c>
      <c r="X2" s="61" t="s">
        <v>19</v>
      </c>
      <c r="Y2" s="61" t="s">
        <v>20</v>
      </c>
      <c r="Z2" s="61" t="s">
        <v>21</v>
      </c>
      <c r="AA2" s="61" t="s">
        <v>22</v>
      </c>
      <c r="AB2" s="61" t="s">
        <v>23</v>
      </c>
      <c r="AC2" s="61" t="s">
        <v>24</v>
      </c>
    </row>
    <row r="3" spans="1:29" customFormat="1" ht="25.05" customHeight="1">
      <c r="A3" s="14"/>
      <c r="B3" s="15" t="s">
        <v>234</v>
      </c>
      <c r="C3" s="15" t="s">
        <v>25</v>
      </c>
      <c r="D3" s="15" t="s">
        <v>188</v>
      </c>
      <c r="E3" s="14">
        <v>263118</v>
      </c>
      <c r="F3" s="15" t="s">
        <v>253</v>
      </c>
      <c r="G3" s="14">
        <v>700</v>
      </c>
      <c r="H3" s="16">
        <v>0.63700000000000001</v>
      </c>
      <c r="I3" s="16">
        <v>1.744</v>
      </c>
      <c r="J3" s="14"/>
      <c r="K3" s="15" t="s">
        <v>254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255</v>
      </c>
    </row>
    <row r="4" spans="1:29" ht="25.05" customHeight="1">
      <c r="A4" s="63"/>
      <c r="B4" s="64" t="s">
        <v>234</v>
      </c>
      <c r="C4" s="63" t="s">
        <v>25</v>
      </c>
      <c r="D4" s="63" t="s">
        <v>147</v>
      </c>
      <c r="E4" s="63">
        <v>263109</v>
      </c>
      <c r="F4" s="63" t="s">
        <v>238</v>
      </c>
      <c r="G4" s="63">
        <v>1100</v>
      </c>
      <c r="H4" s="65">
        <v>0.58499999999999996</v>
      </c>
      <c r="I4" s="65">
        <v>1.268</v>
      </c>
      <c r="J4" s="63" t="s">
        <v>26</v>
      </c>
      <c r="K4" s="63" t="s">
        <v>240</v>
      </c>
      <c r="L4" s="63" t="s">
        <v>26</v>
      </c>
      <c r="M4" s="65">
        <v>815.95799999999997</v>
      </c>
      <c r="N4" s="66">
        <v>697.4</v>
      </c>
      <c r="O4" s="67">
        <v>9.69E-2</v>
      </c>
      <c r="P4" s="68">
        <v>5.81</v>
      </c>
      <c r="Q4" s="63">
        <v>439</v>
      </c>
      <c r="R4" s="63">
        <v>2</v>
      </c>
      <c r="S4" s="63">
        <v>1200</v>
      </c>
      <c r="T4" s="65">
        <v>1.17</v>
      </c>
      <c r="U4" s="63">
        <v>30</v>
      </c>
      <c r="V4" s="67">
        <v>2.5000000000000001E-2</v>
      </c>
      <c r="W4" s="63" t="s">
        <v>27</v>
      </c>
      <c r="X4" s="63" t="s">
        <v>28</v>
      </c>
      <c r="Y4" s="63" t="s">
        <v>27</v>
      </c>
      <c r="Z4" s="63" t="s">
        <v>27</v>
      </c>
      <c r="AA4" s="63" t="s">
        <v>27</v>
      </c>
      <c r="AB4" s="63" t="s">
        <v>29</v>
      </c>
      <c r="AC4" s="63" t="s">
        <v>239</v>
      </c>
    </row>
    <row r="5" spans="1:29" ht="25.05" customHeight="1">
      <c r="A5" s="63"/>
      <c r="B5" s="64" t="s">
        <v>234</v>
      </c>
      <c r="C5" s="63" t="s">
        <v>25</v>
      </c>
      <c r="D5" s="63" t="s">
        <v>147</v>
      </c>
      <c r="E5" s="63">
        <v>263108</v>
      </c>
      <c r="F5" s="63" t="s">
        <v>238</v>
      </c>
      <c r="G5" s="63">
        <v>310</v>
      </c>
      <c r="H5" s="65">
        <v>0.878</v>
      </c>
      <c r="I5" s="65">
        <v>1.99</v>
      </c>
      <c r="J5" s="63" t="s">
        <v>26</v>
      </c>
      <c r="K5" s="63" t="s">
        <v>237</v>
      </c>
      <c r="L5" s="63" t="s">
        <v>26</v>
      </c>
      <c r="M5" s="65">
        <v>541.63800000000003</v>
      </c>
      <c r="N5" s="66">
        <v>616.9</v>
      </c>
      <c r="O5" s="67">
        <v>0.1714</v>
      </c>
      <c r="P5" s="68">
        <v>10.28</v>
      </c>
      <c r="Q5" s="63">
        <v>291.39999999999998</v>
      </c>
      <c r="R5" s="63">
        <v>1</v>
      </c>
      <c r="S5" s="63">
        <v>900</v>
      </c>
      <c r="T5" s="65">
        <v>0.878</v>
      </c>
      <c r="U5" s="63">
        <v>22</v>
      </c>
      <c r="V5" s="67">
        <v>2.4400000000000002E-2</v>
      </c>
      <c r="W5" s="63" t="s">
        <v>27</v>
      </c>
      <c r="X5" s="63" t="s">
        <v>28</v>
      </c>
      <c r="Y5" s="63" t="s">
        <v>27</v>
      </c>
      <c r="Z5" s="63" t="s">
        <v>27</v>
      </c>
      <c r="AA5" s="63" t="s">
        <v>27</v>
      </c>
      <c r="AB5" s="63" t="s">
        <v>31</v>
      </c>
      <c r="AC5" s="63" t="s">
        <v>236</v>
      </c>
    </row>
    <row r="6" spans="1:29" ht="25.05" customHeight="1">
      <c r="A6" s="63"/>
      <c r="B6" s="64" t="s">
        <v>234</v>
      </c>
      <c r="C6" s="63" t="s">
        <v>49</v>
      </c>
      <c r="D6" s="63" t="s">
        <v>147</v>
      </c>
      <c r="E6" s="63">
        <v>263110</v>
      </c>
      <c r="F6" s="63" t="s">
        <v>233</v>
      </c>
      <c r="G6" s="63">
        <v>360</v>
      </c>
      <c r="H6" s="65">
        <v>1.546</v>
      </c>
      <c r="I6" s="65">
        <v>1.788</v>
      </c>
      <c r="J6" s="63" t="s">
        <v>26</v>
      </c>
      <c r="K6" s="63" t="s">
        <v>32</v>
      </c>
      <c r="L6" s="63" t="s">
        <v>26</v>
      </c>
      <c r="M6" s="65">
        <v>995.12900000000002</v>
      </c>
      <c r="N6" s="66">
        <v>643.70000000000005</v>
      </c>
      <c r="O6" s="67">
        <v>0.17879999999999999</v>
      </c>
      <c r="P6" s="68">
        <v>10.73</v>
      </c>
      <c r="Q6" s="63">
        <v>328.4</v>
      </c>
      <c r="R6" s="63">
        <v>1</v>
      </c>
      <c r="S6" s="63">
        <v>1600</v>
      </c>
      <c r="T6" s="65">
        <v>1.546</v>
      </c>
      <c r="U6" s="63">
        <v>54</v>
      </c>
      <c r="V6" s="67">
        <v>3.3799999999999997E-2</v>
      </c>
      <c r="W6" s="63" t="s">
        <v>27</v>
      </c>
      <c r="X6" s="63" t="s">
        <v>27</v>
      </c>
      <c r="Y6" s="63" t="s">
        <v>27</v>
      </c>
      <c r="Z6" s="63" t="s">
        <v>26</v>
      </c>
      <c r="AA6" s="63" t="s">
        <v>26</v>
      </c>
      <c r="AB6" s="63" t="s">
        <v>31</v>
      </c>
      <c r="AC6" s="63" t="s">
        <v>235</v>
      </c>
    </row>
    <row r="7" spans="1:29" ht="25.05" customHeight="1">
      <c r="A7" s="63"/>
      <c r="B7" s="64" t="s">
        <v>234</v>
      </c>
      <c r="C7" s="63" t="s">
        <v>49</v>
      </c>
      <c r="D7" s="63" t="s">
        <v>147</v>
      </c>
      <c r="E7" s="63">
        <v>263111</v>
      </c>
      <c r="F7" s="63" t="s">
        <v>233</v>
      </c>
      <c r="G7" s="63">
        <v>440</v>
      </c>
      <c r="H7" s="65">
        <v>0.98199999999999998</v>
      </c>
      <c r="I7" s="65">
        <v>2.2599999999999998</v>
      </c>
      <c r="J7" s="63" t="s">
        <v>26</v>
      </c>
      <c r="K7" s="63" t="s">
        <v>232</v>
      </c>
      <c r="L7" s="63" t="s">
        <v>26</v>
      </c>
      <c r="M7" s="65">
        <v>976.50099999999998</v>
      </c>
      <c r="N7" s="66">
        <v>994.4</v>
      </c>
      <c r="O7" s="67">
        <v>0.2762</v>
      </c>
      <c r="P7" s="68">
        <v>16.57</v>
      </c>
      <c r="Q7" s="63">
        <v>322.2</v>
      </c>
      <c r="R7" s="63">
        <v>1</v>
      </c>
      <c r="S7" s="63">
        <v>1050</v>
      </c>
      <c r="T7" s="65">
        <v>0.98199999999999998</v>
      </c>
      <c r="U7" s="63">
        <v>68</v>
      </c>
      <c r="V7" s="67">
        <v>6.4799999999999996E-2</v>
      </c>
      <c r="W7" s="63" t="s">
        <v>27</v>
      </c>
      <c r="X7" s="63" t="s">
        <v>27</v>
      </c>
      <c r="Y7" s="63" t="s">
        <v>27</v>
      </c>
      <c r="Z7" s="63" t="s">
        <v>26</v>
      </c>
      <c r="AA7" s="63" t="s">
        <v>26</v>
      </c>
      <c r="AB7" s="63" t="s">
        <v>31</v>
      </c>
      <c r="AC7" s="63" t="s">
        <v>231</v>
      </c>
    </row>
    <row r="8" spans="1:29" ht="25.05" customHeight="1">
      <c r="A8" s="62" t="s">
        <v>26</v>
      </c>
      <c r="B8" s="62" t="s">
        <v>26</v>
      </c>
      <c r="C8" s="62" t="s">
        <v>26</v>
      </c>
      <c r="D8" s="62" t="s">
        <v>26</v>
      </c>
      <c r="E8" s="62" t="s">
        <v>26</v>
      </c>
      <c r="F8" s="62" t="s">
        <v>26</v>
      </c>
      <c r="G8" s="62">
        <f>SUM(G3:G7)</f>
        <v>2910</v>
      </c>
      <c r="H8" s="62" t="s">
        <v>26</v>
      </c>
      <c r="I8" s="62" t="s">
        <v>26</v>
      </c>
      <c r="J8" s="62" t="s">
        <v>26</v>
      </c>
      <c r="K8" s="62" t="s">
        <v>26</v>
      </c>
      <c r="L8" s="62" t="s">
        <v>26</v>
      </c>
      <c r="M8" s="62" t="s">
        <v>26</v>
      </c>
      <c r="N8" s="62" t="s">
        <v>26</v>
      </c>
      <c r="O8" s="62" t="s">
        <v>26</v>
      </c>
      <c r="P8" s="62" t="s">
        <v>26</v>
      </c>
      <c r="Q8" s="62">
        <f>SUM(Q3:Q7)</f>
        <v>1799.3999999999999</v>
      </c>
      <c r="R8" s="62" t="s">
        <v>26</v>
      </c>
      <c r="S8" s="62" t="s">
        <v>26</v>
      </c>
      <c r="T8" s="62" t="s">
        <v>26</v>
      </c>
      <c r="U8" s="62" t="s">
        <v>26</v>
      </c>
      <c r="V8" s="62" t="s">
        <v>26</v>
      </c>
      <c r="W8" s="62" t="s">
        <v>26</v>
      </c>
      <c r="X8" s="62" t="s">
        <v>26</v>
      </c>
      <c r="Y8" s="62" t="s">
        <v>26</v>
      </c>
      <c r="Z8" s="62" t="s">
        <v>26</v>
      </c>
      <c r="AA8" s="62" t="s">
        <v>26</v>
      </c>
      <c r="AB8" s="62" t="s">
        <v>26</v>
      </c>
      <c r="AC8" s="6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>
      <c r="A1" s="58" t="s">
        <v>230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5.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85</v>
      </c>
      <c r="C3" s="6" t="s">
        <v>41</v>
      </c>
      <c r="D3" s="6" t="s">
        <v>188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229</v>
      </c>
    </row>
    <row r="4" spans="1:29" s="12" customFormat="1" ht="25.05" customHeight="1">
      <c r="A4" s="6"/>
      <c r="B4" s="7" t="s">
        <v>85</v>
      </c>
      <c r="C4" s="6" t="s">
        <v>41</v>
      </c>
      <c r="D4" s="6" t="s">
        <v>188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228</v>
      </c>
    </row>
    <row r="5" spans="1:29" s="12" customFormat="1" ht="25.05" customHeight="1">
      <c r="A5" s="6"/>
      <c r="B5" s="7" t="s">
        <v>85</v>
      </c>
      <c r="C5" s="6" t="s">
        <v>41</v>
      </c>
      <c r="D5" s="6" t="s">
        <v>188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227</v>
      </c>
    </row>
    <row r="6" spans="1:29" s="12" customFormat="1" ht="25.05" customHeight="1">
      <c r="A6" s="6"/>
      <c r="B6" s="7" t="s">
        <v>85</v>
      </c>
      <c r="C6" s="6" t="s">
        <v>41</v>
      </c>
      <c r="D6" s="6" t="s">
        <v>188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226</v>
      </c>
    </row>
    <row r="7" spans="1:29" s="12" customFormat="1" ht="25.05" customHeight="1">
      <c r="A7" s="6"/>
      <c r="B7" s="7" t="s">
        <v>85</v>
      </c>
      <c r="C7" s="6" t="s">
        <v>34</v>
      </c>
      <c r="D7" s="6" t="s">
        <v>188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225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224</v>
      </c>
    </row>
    <row r="8" spans="1:29" s="12" customFormat="1" ht="25.05" customHeight="1">
      <c r="A8" s="6"/>
      <c r="B8" s="7" t="s">
        <v>85</v>
      </c>
      <c r="C8" s="6" t="s">
        <v>34</v>
      </c>
      <c r="D8" s="6" t="s">
        <v>188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223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222</v>
      </c>
    </row>
    <row r="9" spans="1:29" s="12" customFormat="1" ht="25.05" customHeight="1">
      <c r="A9" s="6"/>
      <c r="B9" s="7" t="s">
        <v>85</v>
      </c>
      <c r="C9" s="6" t="s">
        <v>34</v>
      </c>
      <c r="D9" s="6" t="s">
        <v>188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221</v>
      </c>
    </row>
    <row r="10" spans="1:29" s="12" customFormat="1" ht="25.05" customHeight="1">
      <c r="A10" s="6"/>
      <c r="B10" s="7" t="s">
        <v>85</v>
      </c>
      <c r="C10" s="6" t="s">
        <v>34</v>
      </c>
      <c r="D10" s="6" t="s">
        <v>188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220</v>
      </c>
    </row>
    <row r="11" spans="1:29" s="12" customFormat="1" ht="25.05" customHeight="1">
      <c r="A11" s="6"/>
      <c r="B11" s="7" t="s">
        <v>85</v>
      </c>
      <c r="C11" s="6" t="s">
        <v>34</v>
      </c>
      <c r="D11" s="6" t="s">
        <v>188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219</v>
      </c>
    </row>
    <row r="12" spans="1:29" s="12" customFormat="1" ht="25.05" customHeight="1">
      <c r="A12" s="6"/>
      <c r="B12" s="7" t="s">
        <v>85</v>
      </c>
      <c r="C12" s="6" t="s">
        <v>47</v>
      </c>
      <c r="D12" s="6" t="s">
        <v>188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219</v>
      </c>
    </row>
    <row r="13" spans="1:29" s="12" customFormat="1" ht="25.05" customHeight="1">
      <c r="A13" s="6"/>
      <c r="B13" s="7" t="s">
        <v>85</v>
      </c>
      <c r="C13" s="6" t="s">
        <v>34</v>
      </c>
      <c r="D13" s="6" t="s">
        <v>188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218</v>
      </c>
    </row>
    <row r="14" spans="1:29" s="12" customFormat="1" ht="25.05" customHeight="1">
      <c r="A14" s="6"/>
      <c r="B14" s="7" t="s">
        <v>85</v>
      </c>
      <c r="C14" s="6" t="s">
        <v>34</v>
      </c>
      <c r="D14" s="6" t="s">
        <v>188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217</v>
      </c>
    </row>
    <row r="15" spans="1:29" s="12" customFormat="1" ht="25.05" customHeight="1">
      <c r="A15" s="6"/>
      <c r="B15" s="7" t="s">
        <v>85</v>
      </c>
      <c r="C15" s="6" t="s">
        <v>34</v>
      </c>
      <c r="D15" s="6" t="s">
        <v>188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>
      <c r="A16" s="6"/>
      <c r="B16" s="7" t="s">
        <v>85</v>
      </c>
      <c r="C16" s="6" t="s">
        <v>34</v>
      </c>
      <c r="D16" s="6" t="s">
        <v>188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216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215</v>
      </c>
    </row>
    <row r="17" spans="1:29" s="12" customFormat="1" ht="25.05" customHeight="1">
      <c r="A17" s="6"/>
      <c r="B17" s="7" t="s">
        <v>85</v>
      </c>
      <c r="C17" s="6" t="s">
        <v>34</v>
      </c>
      <c r="D17" s="6" t="s">
        <v>188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214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213</v>
      </c>
    </row>
    <row r="18" spans="1:29" s="12" customFormat="1" ht="25.05" customHeight="1">
      <c r="A18" s="6"/>
      <c r="B18" s="7" t="s">
        <v>85</v>
      </c>
      <c r="C18" s="6" t="s">
        <v>40</v>
      </c>
      <c r="D18" s="6" t="s">
        <v>188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>
      <c r="A19" s="6"/>
      <c r="B19" s="7" t="s">
        <v>85</v>
      </c>
      <c r="C19" s="6" t="s">
        <v>34</v>
      </c>
      <c r="D19" s="6" t="s">
        <v>188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212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211</v>
      </c>
    </row>
    <row r="20" spans="1:29" s="12" customFormat="1" ht="25.05" customHeight="1">
      <c r="A20" s="6"/>
      <c r="B20" s="7" t="s">
        <v>85</v>
      </c>
      <c r="C20" s="6" t="s">
        <v>34</v>
      </c>
      <c r="D20" s="6" t="s">
        <v>188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210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209</v>
      </c>
    </row>
    <row r="21" spans="1:29" s="12" customFormat="1" ht="25.05" customHeight="1">
      <c r="A21" s="6"/>
      <c r="B21" s="7" t="s">
        <v>85</v>
      </c>
      <c r="C21" s="6" t="s">
        <v>34</v>
      </c>
      <c r="D21" s="6" t="s">
        <v>188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208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207</v>
      </c>
    </row>
    <row r="22" spans="1:29" s="12" customFormat="1" ht="25.05" customHeight="1">
      <c r="A22" s="6"/>
      <c r="B22" s="7" t="s">
        <v>85</v>
      </c>
      <c r="C22" s="6" t="s">
        <v>40</v>
      </c>
      <c r="D22" s="6" t="s">
        <v>188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206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205</v>
      </c>
    </row>
    <row r="23" spans="1:29" s="12" customFormat="1" ht="25.05" customHeight="1">
      <c r="A23" s="6"/>
      <c r="B23" s="7" t="s">
        <v>85</v>
      </c>
      <c r="C23" s="6" t="s">
        <v>34</v>
      </c>
      <c r="D23" s="6" t="s">
        <v>188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204</v>
      </c>
    </row>
    <row r="24" spans="1:29" s="12" customFormat="1" ht="25.05" customHeight="1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8"/>
  <sheetViews>
    <sheetView workbookViewId="0">
      <selection activeCell="Z23" sqref="Z23"/>
    </sheetView>
  </sheetViews>
  <sheetFormatPr defaultRowHeight="14.4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>
      <c r="A1" s="58" t="s">
        <v>203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5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122</v>
      </c>
      <c r="C3" s="6" t="s">
        <v>78</v>
      </c>
      <c r="D3" s="6" t="s">
        <v>188</v>
      </c>
      <c r="E3" s="6">
        <v>263083</v>
      </c>
      <c r="F3" s="6" t="s">
        <v>196</v>
      </c>
      <c r="G3" s="6">
        <v>200</v>
      </c>
      <c r="H3" s="8">
        <v>0.502</v>
      </c>
      <c r="I3" s="8">
        <v>1.2350000000000001</v>
      </c>
      <c r="J3" s="6" t="s">
        <v>26</v>
      </c>
      <c r="K3" s="6" t="s">
        <v>202</v>
      </c>
      <c r="L3" s="6" t="s">
        <v>26</v>
      </c>
      <c r="M3" s="8">
        <v>123.994</v>
      </c>
      <c r="N3" s="9">
        <v>82.3</v>
      </c>
      <c r="O3" s="10">
        <v>7.6E-3</v>
      </c>
      <c r="P3" s="11">
        <v>0.46</v>
      </c>
      <c r="Q3" s="6">
        <v>58.3</v>
      </c>
      <c r="R3" s="6">
        <v>3</v>
      </c>
      <c r="S3" s="6">
        <v>1550</v>
      </c>
      <c r="T3" s="8">
        <v>1.506</v>
      </c>
      <c r="U3" s="6">
        <v>44</v>
      </c>
      <c r="V3" s="10">
        <v>2.8400000000000002E-2</v>
      </c>
      <c r="W3" s="6" t="s">
        <v>77</v>
      </c>
      <c r="X3" s="6" t="s">
        <v>39</v>
      </c>
      <c r="Y3" s="6" t="s">
        <v>77</v>
      </c>
      <c r="Z3" s="6" t="s">
        <v>26</v>
      </c>
      <c r="AA3" s="6" t="s">
        <v>26</v>
      </c>
      <c r="AB3" s="6" t="s">
        <v>37</v>
      </c>
      <c r="AC3" s="6" t="s">
        <v>201</v>
      </c>
    </row>
    <row r="4" spans="1:29" s="12" customFormat="1" ht="25.05" customHeight="1">
      <c r="A4" s="6"/>
      <c r="B4" s="7" t="s">
        <v>122</v>
      </c>
      <c r="C4" s="6" t="s">
        <v>78</v>
      </c>
      <c r="D4" s="6" t="s">
        <v>188</v>
      </c>
      <c r="E4" s="6">
        <v>263086</v>
      </c>
      <c r="F4" s="6" t="s">
        <v>196</v>
      </c>
      <c r="G4" s="6">
        <v>200</v>
      </c>
      <c r="H4" s="8">
        <v>0.69199999999999995</v>
      </c>
      <c r="I4" s="8">
        <v>1.835</v>
      </c>
      <c r="J4" s="6" t="s">
        <v>26</v>
      </c>
      <c r="K4" s="6" t="s">
        <v>200</v>
      </c>
      <c r="L4" s="6" t="s">
        <v>26</v>
      </c>
      <c r="M4" s="8">
        <v>253.964</v>
      </c>
      <c r="N4" s="9">
        <v>183.5</v>
      </c>
      <c r="O4" s="10">
        <v>2.5499999999999998E-2</v>
      </c>
      <c r="P4" s="11">
        <v>1.53</v>
      </c>
      <c r="Q4" s="6">
        <v>119.4</v>
      </c>
      <c r="R4" s="6">
        <v>2</v>
      </c>
      <c r="S4" s="6">
        <v>1450</v>
      </c>
      <c r="T4" s="8">
        <v>1.3839999999999999</v>
      </c>
      <c r="U4" s="6">
        <v>66</v>
      </c>
      <c r="V4" s="10">
        <v>4.5499999999999999E-2</v>
      </c>
      <c r="W4" s="6" t="s">
        <v>77</v>
      </c>
      <c r="X4" s="6" t="s">
        <v>39</v>
      </c>
      <c r="Y4" s="6" t="s">
        <v>77</v>
      </c>
      <c r="Z4" s="6" t="s">
        <v>26</v>
      </c>
      <c r="AA4" s="6" t="s">
        <v>26</v>
      </c>
      <c r="AB4" s="6" t="s">
        <v>37</v>
      </c>
      <c r="AC4" s="6" t="s">
        <v>199</v>
      </c>
    </row>
    <row r="5" spans="1:29" s="12" customFormat="1" ht="25.05" customHeight="1">
      <c r="A5" s="6"/>
      <c r="B5" s="7" t="s">
        <v>122</v>
      </c>
      <c r="C5" s="6" t="s">
        <v>78</v>
      </c>
      <c r="D5" s="6" t="s">
        <v>188</v>
      </c>
      <c r="E5" s="6">
        <v>263085</v>
      </c>
      <c r="F5" s="6" t="s">
        <v>196</v>
      </c>
      <c r="G5" s="6">
        <v>200</v>
      </c>
      <c r="H5" s="8">
        <v>0.30199999999999999</v>
      </c>
      <c r="I5" s="8">
        <v>0.73499999999999999</v>
      </c>
      <c r="J5" s="6" t="s">
        <v>26</v>
      </c>
      <c r="K5" s="6" t="s">
        <v>198</v>
      </c>
      <c r="L5" s="6" t="s">
        <v>26</v>
      </c>
      <c r="M5" s="8">
        <v>44.393999999999998</v>
      </c>
      <c r="N5" s="9">
        <v>36.799999999999997</v>
      </c>
      <c r="O5" s="10">
        <v>2.5999999999999999E-3</v>
      </c>
      <c r="P5" s="11">
        <v>0.15</v>
      </c>
      <c r="Q5" s="6">
        <v>20.9</v>
      </c>
      <c r="R5" s="6">
        <v>4</v>
      </c>
      <c r="S5" s="6">
        <v>1250</v>
      </c>
      <c r="T5" s="8">
        <v>1.208</v>
      </c>
      <c r="U5" s="6">
        <v>42</v>
      </c>
      <c r="V5" s="10">
        <v>3.3599999999999998E-2</v>
      </c>
      <c r="W5" s="6" t="s">
        <v>77</v>
      </c>
      <c r="X5" s="6" t="s">
        <v>39</v>
      </c>
      <c r="Y5" s="6" t="s">
        <v>77</v>
      </c>
      <c r="Z5" s="6" t="s">
        <v>26</v>
      </c>
      <c r="AA5" s="6" t="s">
        <v>26</v>
      </c>
      <c r="AB5" s="6" t="s">
        <v>37</v>
      </c>
      <c r="AC5" s="6" t="s">
        <v>197</v>
      </c>
    </row>
    <row r="6" spans="1:29" s="12" customFormat="1" ht="25.05" customHeight="1">
      <c r="A6" s="6"/>
      <c r="B6" s="7" t="s">
        <v>122</v>
      </c>
      <c r="C6" s="6" t="s">
        <v>78</v>
      </c>
      <c r="D6" s="6" t="s">
        <v>188</v>
      </c>
      <c r="E6" s="6">
        <v>263084</v>
      </c>
      <c r="F6" s="6" t="s">
        <v>196</v>
      </c>
      <c r="G6" s="6">
        <v>200</v>
      </c>
      <c r="H6" s="8">
        <v>0.85199999999999998</v>
      </c>
      <c r="I6" s="8">
        <v>1.5349999999999999</v>
      </c>
      <c r="J6" s="6" t="s">
        <v>26</v>
      </c>
      <c r="K6" s="6" t="s">
        <v>195</v>
      </c>
      <c r="L6" s="6" t="s">
        <v>26</v>
      </c>
      <c r="M6" s="8">
        <v>261.56400000000002</v>
      </c>
      <c r="N6" s="9">
        <v>307</v>
      </c>
      <c r="O6" s="10">
        <v>8.5300000000000001E-2</v>
      </c>
      <c r="P6" s="11">
        <v>5.12</v>
      </c>
      <c r="Q6" s="6">
        <v>122.9</v>
      </c>
      <c r="R6" s="6">
        <v>1</v>
      </c>
      <c r="S6" s="6">
        <v>900</v>
      </c>
      <c r="T6" s="8">
        <v>0.85199999999999998</v>
      </c>
      <c r="U6" s="6">
        <v>48</v>
      </c>
      <c r="V6" s="10">
        <v>5.33E-2</v>
      </c>
      <c r="W6" s="6" t="s">
        <v>77</v>
      </c>
      <c r="X6" s="6" t="s">
        <v>39</v>
      </c>
      <c r="Y6" s="6" t="s">
        <v>77</v>
      </c>
      <c r="Z6" s="6" t="s">
        <v>26</v>
      </c>
      <c r="AA6" s="6" t="s">
        <v>26</v>
      </c>
      <c r="AB6" s="6" t="s">
        <v>37</v>
      </c>
      <c r="AC6" s="6" t="s">
        <v>194</v>
      </c>
    </row>
    <row r="7" spans="1:29" s="12" customFormat="1" ht="25.05" customHeight="1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v>800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v>321.39999999999998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  <row r="8" spans="1:29" s="12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>
      <c r="A1" s="58" t="s">
        <v>193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7.799999999999997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189</v>
      </c>
      <c r="C3" s="6" t="s">
        <v>41</v>
      </c>
      <c r="D3" s="6" t="s">
        <v>188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190</v>
      </c>
    </row>
    <row r="4" spans="1:29" s="12" customFormat="1" ht="25.05" customHeight="1">
      <c r="A4" s="6"/>
      <c r="B4" s="7" t="s">
        <v>192</v>
      </c>
      <c r="C4" s="6" t="s">
        <v>41</v>
      </c>
      <c r="D4" s="6" t="s">
        <v>188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191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187</v>
      </c>
    </row>
    <row r="5" spans="1:29" s="12" customFormat="1" ht="25.05" customHeight="1">
      <c r="A5" s="6"/>
      <c r="B5" s="7" t="s">
        <v>189</v>
      </c>
      <c r="C5" s="6" t="s">
        <v>41</v>
      </c>
      <c r="D5" s="6" t="s">
        <v>188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187</v>
      </c>
    </row>
    <row r="6" spans="1:29" s="12" customFormat="1" ht="25.05" customHeight="1">
      <c r="A6" s="6"/>
      <c r="B6" s="7" t="s">
        <v>189</v>
      </c>
      <c r="C6" s="6" t="s">
        <v>43</v>
      </c>
      <c r="D6" s="6" t="s">
        <v>188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190</v>
      </c>
    </row>
    <row r="7" spans="1:29" s="12" customFormat="1" ht="25.05" customHeight="1">
      <c r="A7" s="6"/>
      <c r="B7" s="7" t="s">
        <v>189</v>
      </c>
      <c r="C7" s="6" t="s">
        <v>43</v>
      </c>
      <c r="D7" s="6" t="s">
        <v>188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187</v>
      </c>
    </row>
    <row r="8" spans="1:29" s="12" customFormat="1" ht="25.05" customHeight="1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>
      <c r="A1" s="56" t="s">
        <v>186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1.4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97</v>
      </c>
      <c r="C3" s="6" t="s">
        <v>25</v>
      </c>
      <c r="D3" s="6" t="s">
        <v>147</v>
      </c>
      <c r="E3" s="6">
        <v>263069</v>
      </c>
      <c r="F3" s="6" t="s">
        <v>168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185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184</v>
      </c>
    </row>
    <row r="4" spans="1:29" s="12" customFormat="1" ht="25.05" customHeight="1">
      <c r="A4" s="6">
        <v>2</v>
      </c>
      <c r="B4" s="7" t="s">
        <v>97</v>
      </c>
      <c r="C4" s="6" t="s">
        <v>25</v>
      </c>
      <c r="D4" s="6" t="s">
        <v>147</v>
      </c>
      <c r="E4" s="6">
        <v>263061</v>
      </c>
      <c r="F4" s="6" t="s">
        <v>168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183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>
      <c r="A5" s="6">
        <v>3</v>
      </c>
      <c r="B5" s="7" t="s">
        <v>97</v>
      </c>
      <c r="C5" s="6" t="s">
        <v>25</v>
      </c>
      <c r="D5" s="6" t="s">
        <v>147</v>
      </c>
      <c r="E5" s="6">
        <v>263070</v>
      </c>
      <c r="F5" s="6" t="s">
        <v>168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182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181</v>
      </c>
    </row>
    <row r="6" spans="1:29" s="12" customFormat="1" ht="25.05" customHeight="1">
      <c r="A6" s="6">
        <v>4</v>
      </c>
      <c r="B6" s="7" t="s">
        <v>97</v>
      </c>
      <c r="C6" s="6" t="s">
        <v>25</v>
      </c>
      <c r="D6" s="6" t="s">
        <v>147</v>
      </c>
      <c r="E6" s="6">
        <v>263074</v>
      </c>
      <c r="F6" s="6" t="s">
        <v>168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>
      <c r="A7" s="6">
        <v>5</v>
      </c>
      <c r="B7" s="7" t="s">
        <v>97</v>
      </c>
      <c r="C7" s="6" t="s">
        <v>25</v>
      </c>
      <c r="D7" s="6" t="s">
        <v>147</v>
      </c>
      <c r="E7" s="6">
        <v>263060</v>
      </c>
      <c r="F7" s="6" t="s">
        <v>168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180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179</v>
      </c>
    </row>
    <row r="8" spans="1:29" s="12" customFormat="1" ht="25.05" customHeight="1">
      <c r="A8" s="6">
        <v>6</v>
      </c>
      <c r="B8" s="7" t="s">
        <v>97</v>
      </c>
      <c r="C8" s="6" t="s">
        <v>25</v>
      </c>
      <c r="D8" s="6" t="s">
        <v>147</v>
      </c>
      <c r="E8" s="6">
        <v>263075</v>
      </c>
      <c r="F8" s="6" t="s">
        <v>168</v>
      </c>
      <c r="G8" s="6">
        <v>300</v>
      </c>
      <c r="H8" s="8">
        <v>1.216</v>
      </c>
      <c r="I8" s="8">
        <v>2.298</v>
      </c>
      <c r="J8" s="6" t="s">
        <v>26</v>
      </c>
      <c r="K8" s="6" t="s">
        <v>178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177</v>
      </c>
    </row>
    <row r="9" spans="1:29" s="12" customFormat="1" ht="25.05" customHeight="1">
      <c r="A9" s="6">
        <v>7</v>
      </c>
      <c r="B9" s="7" t="s">
        <v>97</v>
      </c>
      <c r="C9" s="6" t="s">
        <v>25</v>
      </c>
      <c r="D9" s="6" t="s">
        <v>147</v>
      </c>
      <c r="E9" s="6">
        <v>263068</v>
      </c>
      <c r="F9" s="6" t="s">
        <v>168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176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175</v>
      </c>
    </row>
    <row r="10" spans="1:29" s="12" customFormat="1" ht="25.05" customHeight="1">
      <c r="A10" s="6">
        <v>8</v>
      </c>
      <c r="B10" s="7" t="s">
        <v>97</v>
      </c>
      <c r="C10" s="6" t="s">
        <v>25</v>
      </c>
      <c r="D10" s="6" t="s">
        <v>147</v>
      </c>
      <c r="E10" s="6">
        <v>263073</v>
      </c>
      <c r="F10" s="6" t="s">
        <v>168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>
      <c r="A11" s="6">
        <v>9</v>
      </c>
      <c r="B11" s="7" t="s">
        <v>97</v>
      </c>
      <c r="C11" s="6" t="s">
        <v>25</v>
      </c>
      <c r="D11" s="6" t="s">
        <v>147</v>
      </c>
      <c r="E11" s="6">
        <v>263071</v>
      </c>
      <c r="F11" s="6" t="s">
        <v>168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174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173</v>
      </c>
    </row>
    <row r="12" spans="1:29" s="12" customFormat="1" ht="25.05" customHeight="1">
      <c r="A12" s="6">
        <v>10</v>
      </c>
      <c r="B12" s="7" t="s">
        <v>97</v>
      </c>
      <c r="C12" s="6" t="s">
        <v>25</v>
      </c>
      <c r="D12" s="6" t="s">
        <v>147</v>
      </c>
      <c r="E12" s="6">
        <v>263067</v>
      </c>
      <c r="F12" s="6" t="s">
        <v>168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172</v>
      </c>
    </row>
    <row r="13" spans="1:29" s="12" customFormat="1" ht="25.05" customHeight="1">
      <c r="A13" s="6">
        <v>11</v>
      </c>
      <c r="B13" s="7" t="s">
        <v>97</v>
      </c>
      <c r="C13" s="6" t="s">
        <v>25</v>
      </c>
      <c r="D13" s="6" t="s">
        <v>147</v>
      </c>
      <c r="E13" s="6">
        <v>263066</v>
      </c>
      <c r="F13" s="6" t="s">
        <v>168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171</v>
      </c>
    </row>
    <row r="14" spans="1:29" s="12" customFormat="1" ht="25.05" customHeight="1">
      <c r="A14" s="6">
        <v>12</v>
      </c>
      <c r="B14" s="7" t="s">
        <v>97</v>
      </c>
      <c r="C14" s="6" t="s">
        <v>41</v>
      </c>
      <c r="D14" s="6" t="s">
        <v>147</v>
      </c>
      <c r="E14" s="6">
        <v>263062</v>
      </c>
      <c r="F14" s="6" t="s">
        <v>168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170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>
      <c r="A15" s="6">
        <v>13</v>
      </c>
      <c r="B15" s="7" t="s">
        <v>97</v>
      </c>
      <c r="C15" s="6" t="s">
        <v>25</v>
      </c>
      <c r="D15" s="6" t="s">
        <v>147</v>
      </c>
      <c r="E15" s="6">
        <v>263064</v>
      </c>
      <c r="F15" s="6" t="s">
        <v>168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>
      <c r="A16" s="6">
        <v>14</v>
      </c>
      <c r="B16" s="7" t="s">
        <v>97</v>
      </c>
      <c r="C16" s="6" t="s">
        <v>25</v>
      </c>
      <c r="D16" s="6" t="s">
        <v>147</v>
      </c>
      <c r="E16" s="6">
        <v>263065</v>
      </c>
      <c r="F16" s="6" t="s">
        <v>168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169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>
      <c r="A17" s="6">
        <v>15</v>
      </c>
      <c r="B17" s="7" t="s">
        <v>97</v>
      </c>
      <c r="C17" s="6" t="s">
        <v>25</v>
      </c>
      <c r="D17" s="6" t="s">
        <v>147</v>
      </c>
      <c r="E17" s="6">
        <v>263063</v>
      </c>
      <c r="F17" s="6" t="s">
        <v>168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>
      <c r="A18" s="6">
        <v>16</v>
      </c>
      <c r="B18" s="7" t="s">
        <v>97</v>
      </c>
      <c r="C18" s="6" t="s">
        <v>25</v>
      </c>
      <c r="D18" s="6" t="s">
        <v>147</v>
      </c>
      <c r="E18" s="6">
        <v>263076</v>
      </c>
      <c r="F18" s="6" t="s">
        <v>168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>
      <c r="A19" s="6">
        <v>17</v>
      </c>
      <c r="B19" s="7" t="s">
        <v>97</v>
      </c>
      <c r="C19" s="6" t="s">
        <v>59</v>
      </c>
      <c r="D19" s="6" t="s">
        <v>147</v>
      </c>
      <c r="E19" s="6">
        <v>263072</v>
      </c>
      <c r="F19" s="6" t="s">
        <v>168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167</v>
      </c>
    </row>
    <row r="20" spans="1:29" s="12" customFormat="1" ht="25.05" customHeight="1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>
      <c r="A1" s="59" t="s">
        <v>166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>
      <c r="A2" s="34" t="s">
        <v>0</v>
      </c>
      <c r="B2" s="34" t="s">
        <v>35</v>
      </c>
      <c r="C2" s="34" t="s">
        <v>1</v>
      </c>
      <c r="D2" s="34" t="s">
        <v>2</v>
      </c>
      <c r="E2" s="34" t="s">
        <v>45</v>
      </c>
      <c r="F2" s="34" t="s">
        <v>3</v>
      </c>
      <c r="G2" s="34" t="s">
        <v>4</v>
      </c>
      <c r="H2" s="34" t="s">
        <v>5</v>
      </c>
      <c r="I2" s="34" t="s">
        <v>6</v>
      </c>
      <c r="J2" s="34" t="s">
        <v>26</v>
      </c>
      <c r="K2" s="34" t="s">
        <v>7</v>
      </c>
      <c r="L2" s="34" t="s">
        <v>26</v>
      </c>
      <c r="M2" s="34" t="s">
        <v>8</v>
      </c>
      <c r="N2" s="34" t="s">
        <v>9</v>
      </c>
      <c r="O2" s="34" t="s">
        <v>10</v>
      </c>
      <c r="P2" s="34" t="s">
        <v>11</v>
      </c>
      <c r="Q2" s="34" t="s">
        <v>12</v>
      </c>
      <c r="R2" s="34" t="s">
        <v>13</v>
      </c>
      <c r="S2" s="34" t="s">
        <v>14</v>
      </c>
      <c r="T2" s="34" t="s">
        <v>15</v>
      </c>
      <c r="U2" s="34" t="s">
        <v>16</v>
      </c>
      <c r="V2" s="34" t="s">
        <v>17</v>
      </c>
      <c r="W2" s="34" t="s">
        <v>18</v>
      </c>
      <c r="X2" s="34" t="s">
        <v>19</v>
      </c>
      <c r="Y2" s="34" t="s">
        <v>20</v>
      </c>
      <c r="Z2" s="34" t="s">
        <v>21</v>
      </c>
      <c r="AA2" s="34" t="s">
        <v>22</v>
      </c>
      <c r="AB2" s="34" t="s">
        <v>23</v>
      </c>
      <c r="AC2" s="34" t="s">
        <v>24</v>
      </c>
    </row>
    <row r="3" spans="1:29" s="2" customFormat="1" ht="25.05" customHeight="1">
      <c r="A3" s="35"/>
      <c r="B3" s="36" t="s">
        <v>129</v>
      </c>
      <c r="C3" s="35" t="s">
        <v>41</v>
      </c>
      <c r="D3" s="35" t="s">
        <v>96</v>
      </c>
      <c r="E3" s="35">
        <v>263059</v>
      </c>
      <c r="F3" s="35" t="s">
        <v>163</v>
      </c>
      <c r="G3" s="35">
        <v>1200</v>
      </c>
      <c r="H3" s="37">
        <v>0.50800000000000001</v>
      </c>
      <c r="I3" s="37">
        <v>1.7030000000000001</v>
      </c>
      <c r="J3" s="35" t="s">
        <v>26</v>
      </c>
      <c r="K3" s="35" t="s">
        <v>32</v>
      </c>
      <c r="L3" s="35" t="s">
        <v>26</v>
      </c>
      <c r="M3" s="37">
        <v>1038.1489999999999</v>
      </c>
      <c r="N3" s="38">
        <v>681.2</v>
      </c>
      <c r="O3" s="39">
        <v>6.3100000000000003E-2</v>
      </c>
      <c r="P3" s="40">
        <v>3.78</v>
      </c>
      <c r="Q3" s="35">
        <v>589.70000000000005</v>
      </c>
      <c r="R3" s="35">
        <v>3</v>
      </c>
      <c r="S3" s="35">
        <v>1550</v>
      </c>
      <c r="T3" s="37">
        <v>1.524</v>
      </c>
      <c r="U3" s="35">
        <v>26</v>
      </c>
      <c r="V3" s="39">
        <v>1.6799999999999999E-2</v>
      </c>
      <c r="W3" s="35" t="s">
        <v>33</v>
      </c>
      <c r="X3" s="35" t="s">
        <v>38</v>
      </c>
      <c r="Y3" s="35" t="s">
        <v>33</v>
      </c>
      <c r="Z3" s="35" t="s">
        <v>33</v>
      </c>
      <c r="AA3" s="35" t="s">
        <v>33</v>
      </c>
      <c r="AB3" s="35" t="s">
        <v>30</v>
      </c>
      <c r="AC3" s="35" t="s">
        <v>165</v>
      </c>
    </row>
    <row r="4" spans="1:29" s="2" customFormat="1" ht="25.05" customHeight="1">
      <c r="A4" s="14"/>
      <c r="B4" s="15" t="s">
        <v>99</v>
      </c>
      <c r="C4" s="15" t="s">
        <v>41</v>
      </c>
      <c r="D4" s="15" t="s">
        <v>188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>
      <c r="A5" s="35"/>
      <c r="B5" s="36" t="s">
        <v>129</v>
      </c>
      <c r="C5" s="35" t="s">
        <v>41</v>
      </c>
      <c r="D5" s="35" t="s">
        <v>96</v>
      </c>
      <c r="E5" s="35">
        <v>263057</v>
      </c>
      <c r="F5" s="35" t="s">
        <v>163</v>
      </c>
      <c r="G5" s="35">
        <v>1200</v>
      </c>
      <c r="H5" s="37">
        <v>0.42799999999999999</v>
      </c>
      <c r="I5" s="37">
        <v>0.76300000000000001</v>
      </c>
      <c r="J5" s="35" t="s">
        <v>26</v>
      </c>
      <c r="K5" s="35" t="s">
        <v>32</v>
      </c>
      <c r="L5" s="35" t="s">
        <v>26</v>
      </c>
      <c r="M5" s="37">
        <v>391.87700000000001</v>
      </c>
      <c r="N5" s="38">
        <v>305.2</v>
      </c>
      <c r="O5" s="39">
        <v>2.8299999999999999E-2</v>
      </c>
      <c r="P5" s="40">
        <v>1.7</v>
      </c>
      <c r="Q5" s="35">
        <v>222.6</v>
      </c>
      <c r="R5" s="35">
        <v>3</v>
      </c>
      <c r="S5" s="35">
        <v>1350</v>
      </c>
      <c r="T5" s="37">
        <v>1.284</v>
      </c>
      <c r="U5" s="35">
        <v>66</v>
      </c>
      <c r="V5" s="39">
        <v>4.8899999999999999E-2</v>
      </c>
      <c r="W5" s="35" t="s">
        <v>33</v>
      </c>
      <c r="X5" s="35" t="s">
        <v>38</v>
      </c>
      <c r="Y5" s="35" t="s">
        <v>33</v>
      </c>
      <c r="Z5" s="35" t="s">
        <v>33</v>
      </c>
      <c r="AA5" s="35" t="s">
        <v>33</v>
      </c>
      <c r="AB5" s="35" t="s">
        <v>31</v>
      </c>
      <c r="AC5" s="35" t="s">
        <v>164</v>
      </c>
    </row>
    <row r="6" spans="1:29" s="2" customFormat="1" ht="25.05" customHeight="1">
      <c r="A6" s="35"/>
      <c r="B6" s="36" t="s">
        <v>129</v>
      </c>
      <c r="C6" s="35" t="s">
        <v>41</v>
      </c>
      <c r="D6" s="35" t="s">
        <v>96</v>
      </c>
      <c r="E6" s="35">
        <v>263058</v>
      </c>
      <c r="F6" s="35" t="s">
        <v>163</v>
      </c>
      <c r="G6" s="35">
        <v>1200</v>
      </c>
      <c r="H6" s="37">
        <v>0.56799999999999995</v>
      </c>
      <c r="I6" s="37">
        <v>1.8129999999999999</v>
      </c>
      <c r="J6" s="35" t="s">
        <v>26</v>
      </c>
      <c r="K6" s="35" t="s">
        <v>32</v>
      </c>
      <c r="L6" s="35" t="s">
        <v>26</v>
      </c>
      <c r="M6" s="37">
        <v>1235.741</v>
      </c>
      <c r="N6" s="38">
        <v>1087.8</v>
      </c>
      <c r="O6" s="39">
        <v>0.15110000000000001</v>
      </c>
      <c r="P6" s="40">
        <v>9.06</v>
      </c>
      <c r="Q6" s="35">
        <v>701.9</v>
      </c>
      <c r="R6" s="35">
        <v>2</v>
      </c>
      <c r="S6" s="35">
        <v>1200</v>
      </c>
      <c r="T6" s="37">
        <v>1.1359999999999999</v>
      </c>
      <c r="U6" s="35">
        <v>64</v>
      </c>
      <c r="V6" s="39">
        <v>5.33E-2</v>
      </c>
      <c r="W6" s="35" t="s">
        <v>33</v>
      </c>
      <c r="X6" s="35" t="s">
        <v>38</v>
      </c>
      <c r="Y6" s="35" t="s">
        <v>33</v>
      </c>
      <c r="Z6" s="35" t="s">
        <v>33</v>
      </c>
      <c r="AA6" s="35" t="s">
        <v>33</v>
      </c>
      <c r="AB6" s="35" t="s">
        <v>30</v>
      </c>
      <c r="AC6" s="35" t="s">
        <v>162</v>
      </c>
    </row>
    <row r="7" spans="1:29" s="2" customFormat="1" ht="25.05" customHeight="1">
      <c r="A7" s="14"/>
      <c r="B7" s="15" t="s">
        <v>99</v>
      </c>
      <c r="C7" s="15" t="s">
        <v>34</v>
      </c>
      <c r="D7" s="15" t="s">
        <v>147</v>
      </c>
      <c r="E7" s="14">
        <v>263112</v>
      </c>
      <c r="F7" s="15" t="s">
        <v>242</v>
      </c>
      <c r="G7" s="14">
        <v>600</v>
      </c>
      <c r="H7" s="16">
        <v>1.1599999999999999</v>
      </c>
      <c r="I7" s="16">
        <v>1.52</v>
      </c>
      <c r="J7" s="14"/>
      <c r="K7" s="15" t="s">
        <v>243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244</v>
      </c>
    </row>
    <row r="8" spans="1:29" s="2" customFormat="1" ht="25.05" customHeight="1">
      <c r="A8" s="41" t="s">
        <v>26</v>
      </c>
      <c r="B8" s="41" t="s">
        <v>26</v>
      </c>
      <c r="C8" s="41" t="s">
        <v>26</v>
      </c>
      <c r="D8" s="41" t="s">
        <v>26</v>
      </c>
      <c r="E8" s="41" t="s">
        <v>26</v>
      </c>
      <c r="F8" s="41" t="s">
        <v>26</v>
      </c>
      <c r="G8" s="41">
        <f>SUM(G3:G7)</f>
        <v>4375</v>
      </c>
      <c r="H8" s="41" t="s">
        <v>26</v>
      </c>
      <c r="I8" s="41" t="s">
        <v>26</v>
      </c>
      <c r="J8" s="41" t="s">
        <v>26</v>
      </c>
      <c r="K8" s="41" t="s">
        <v>26</v>
      </c>
      <c r="L8" s="41" t="s">
        <v>26</v>
      </c>
      <c r="M8" s="41" t="s">
        <v>26</v>
      </c>
      <c r="N8" s="41" t="s">
        <v>26</v>
      </c>
      <c r="O8" s="41" t="s">
        <v>26</v>
      </c>
      <c r="P8" s="41" t="s">
        <v>26</v>
      </c>
      <c r="Q8" s="41">
        <f>SUM(Q3:Q7)</f>
        <v>2233.3000000000002</v>
      </c>
      <c r="R8" s="41" t="s">
        <v>26</v>
      </c>
      <c r="S8" s="41" t="s">
        <v>26</v>
      </c>
      <c r="T8" s="41" t="s">
        <v>26</v>
      </c>
      <c r="U8" s="41" t="s">
        <v>26</v>
      </c>
      <c r="V8" s="41" t="s">
        <v>26</v>
      </c>
      <c r="W8" s="41" t="s">
        <v>26</v>
      </c>
      <c r="X8" s="41" t="s">
        <v>26</v>
      </c>
      <c r="Y8" s="41" t="s">
        <v>26</v>
      </c>
      <c r="Z8" s="41" t="s">
        <v>26</v>
      </c>
      <c r="AA8" s="41" t="s">
        <v>26</v>
      </c>
      <c r="AB8" s="41" t="s">
        <v>26</v>
      </c>
      <c r="AC8" s="4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>
      <c r="A1" s="58" t="s">
        <v>161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9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50</v>
      </c>
      <c r="C3" s="6" t="s">
        <v>25</v>
      </c>
      <c r="D3" s="6" t="s">
        <v>147</v>
      </c>
      <c r="E3" s="6">
        <v>263056</v>
      </c>
      <c r="F3" s="6" t="s">
        <v>153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160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159</v>
      </c>
    </row>
    <row r="4" spans="1:29" s="12" customFormat="1" ht="25.05" customHeight="1">
      <c r="A4" s="6">
        <v>2</v>
      </c>
      <c r="B4" s="7" t="s">
        <v>50</v>
      </c>
      <c r="C4" s="6" t="s">
        <v>25</v>
      </c>
      <c r="D4" s="6" t="s">
        <v>147</v>
      </c>
      <c r="E4" s="6">
        <v>263050</v>
      </c>
      <c r="F4" s="6" t="s">
        <v>153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>
      <c r="A5" s="6">
        <v>3</v>
      </c>
      <c r="B5" s="7" t="s">
        <v>50</v>
      </c>
      <c r="C5" s="6" t="s">
        <v>25</v>
      </c>
      <c r="D5" s="6" t="s">
        <v>147</v>
      </c>
      <c r="E5" s="6">
        <v>263051</v>
      </c>
      <c r="F5" s="6" t="s">
        <v>153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>
      <c r="A6" s="6">
        <v>4</v>
      </c>
      <c r="B6" s="7" t="s">
        <v>50</v>
      </c>
      <c r="C6" s="6" t="s">
        <v>25</v>
      </c>
      <c r="D6" s="6" t="s">
        <v>147</v>
      </c>
      <c r="E6" s="6">
        <v>263049</v>
      </c>
      <c r="F6" s="6" t="s">
        <v>153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>
      <c r="A7" s="6">
        <v>5</v>
      </c>
      <c r="B7" s="7" t="s">
        <v>50</v>
      </c>
      <c r="C7" s="6" t="s">
        <v>25</v>
      </c>
      <c r="D7" s="6" t="s">
        <v>147</v>
      </c>
      <c r="E7" s="6">
        <v>263052</v>
      </c>
      <c r="F7" s="6" t="s">
        <v>153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158</v>
      </c>
    </row>
    <row r="8" spans="1:29" s="12" customFormat="1" ht="25.05" customHeight="1">
      <c r="A8" s="6">
        <v>6</v>
      </c>
      <c r="B8" s="7" t="s">
        <v>50</v>
      </c>
      <c r="C8" s="6" t="s">
        <v>25</v>
      </c>
      <c r="D8" s="6" t="s">
        <v>147</v>
      </c>
      <c r="E8" s="6">
        <v>263048</v>
      </c>
      <c r="F8" s="6" t="s">
        <v>153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>
      <c r="A9" s="6">
        <v>7</v>
      </c>
      <c r="B9" s="7" t="s">
        <v>50</v>
      </c>
      <c r="C9" s="6" t="s">
        <v>41</v>
      </c>
      <c r="D9" s="6" t="s">
        <v>147</v>
      </c>
      <c r="E9" s="6">
        <v>263054</v>
      </c>
      <c r="F9" s="6" t="s">
        <v>153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157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156</v>
      </c>
    </row>
    <row r="10" spans="1:29" s="12" customFormat="1" ht="25.05" customHeight="1">
      <c r="A10" s="6">
        <v>8</v>
      </c>
      <c r="B10" s="7" t="s">
        <v>50</v>
      </c>
      <c r="C10" s="6" t="s">
        <v>41</v>
      </c>
      <c r="D10" s="6" t="s">
        <v>147</v>
      </c>
      <c r="E10" s="6">
        <v>263053</v>
      </c>
      <c r="F10" s="6" t="s">
        <v>153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155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154</v>
      </c>
    </row>
    <row r="11" spans="1:29" s="12" customFormat="1" ht="25.05" customHeight="1">
      <c r="A11" s="6">
        <v>9</v>
      </c>
      <c r="B11" s="7" t="s">
        <v>50</v>
      </c>
      <c r="C11" s="6" t="s">
        <v>34</v>
      </c>
      <c r="D11" s="6" t="s">
        <v>147</v>
      </c>
      <c r="E11" s="6">
        <v>263055</v>
      </c>
      <c r="F11" s="6" t="s">
        <v>153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152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151</v>
      </c>
    </row>
    <row r="12" spans="1:29" s="12" customFormat="1" ht="25.05" customHeight="1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>
      <c r="A1" s="58" t="s">
        <v>143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>
        <v>1</v>
      </c>
      <c r="B3" s="7" t="s">
        <v>122</v>
      </c>
      <c r="C3" s="6" t="s">
        <v>59</v>
      </c>
      <c r="D3" s="6" t="s">
        <v>130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142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141</v>
      </c>
    </row>
    <row r="4" spans="1:29" s="12" customFormat="1" ht="25.05" customHeight="1">
      <c r="A4" s="6">
        <v>2</v>
      </c>
      <c r="B4" s="7" t="s">
        <v>122</v>
      </c>
      <c r="C4" s="6" t="s">
        <v>59</v>
      </c>
      <c r="D4" s="6" t="s">
        <v>130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140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139</v>
      </c>
    </row>
    <row r="5" spans="1:29" s="12" customFormat="1" ht="25.05" customHeight="1">
      <c r="A5" s="6">
        <v>3</v>
      </c>
      <c r="B5" s="7" t="s">
        <v>122</v>
      </c>
      <c r="C5" s="6" t="s">
        <v>59</v>
      </c>
      <c r="D5" s="6" t="s">
        <v>130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>
      <c r="A6" s="6">
        <v>4</v>
      </c>
      <c r="B6" s="7" t="s">
        <v>122</v>
      </c>
      <c r="C6" s="6" t="s">
        <v>59</v>
      </c>
      <c r="D6" s="6" t="s">
        <v>130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138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137</v>
      </c>
    </row>
    <row r="7" spans="1:29" s="12" customFormat="1" ht="25.05" customHeight="1">
      <c r="A7" s="6">
        <v>5</v>
      </c>
      <c r="B7" s="7" t="s">
        <v>122</v>
      </c>
      <c r="C7" s="6" t="s">
        <v>59</v>
      </c>
      <c r="D7" s="6" t="s">
        <v>130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136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135</v>
      </c>
    </row>
    <row r="8" spans="1:29" s="12" customFormat="1" ht="25.05" customHeight="1">
      <c r="A8" s="6">
        <v>6</v>
      </c>
      <c r="B8" s="7" t="s">
        <v>122</v>
      </c>
      <c r="C8" s="6" t="s">
        <v>59</v>
      </c>
      <c r="D8" s="6" t="s">
        <v>130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134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133</v>
      </c>
    </row>
    <row r="9" spans="1:29" s="12" customFormat="1" ht="25.05" customHeight="1">
      <c r="A9" s="6">
        <v>7</v>
      </c>
      <c r="B9" s="7" t="s">
        <v>122</v>
      </c>
      <c r="C9" s="6" t="s">
        <v>59</v>
      </c>
      <c r="D9" s="6" t="s">
        <v>130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>
      <c r="A10" s="6">
        <v>8</v>
      </c>
      <c r="B10" s="7" t="s">
        <v>122</v>
      </c>
      <c r="C10" s="6" t="s">
        <v>59</v>
      </c>
      <c r="D10" s="6" t="s">
        <v>130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>
      <c r="A11" s="6">
        <v>9</v>
      </c>
      <c r="B11" s="7" t="s">
        <v>122</v>
      </c>
      <c r="C11" s="6" t="s">
        <v>59</v>
      </c>
      <c r="D11" s="6" t="s">
        <v>130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132</v>
      </c>
    </row>
    <row r="12" spans="1:29" s="12" customFormat="1" ht="25.05" customHeight="1">
      <c r="A12" s="6">
        <v>10</v>
      </c>
      <c r="B12" s="7" t="s">
        <v>122</v>
      </c>
      <c r="C12" s="6" t="s">
        <v>59</v>
      </c>
      <c r="D12" s="6" t="s">
        <v>130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131</v>
      </c>
    </row>
    <row r="13" spans="1:29" s="12" customFormat="1" ht="25.05" customHeight="1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5546875" style="4" customWidth="1"/>
    <col min="6" max="6" width="5.109375" style="4" customWidth="1"/>
    <col min="7" max="7" width="6.33203125" style="4" customWidth="1"/>
    <col min="8" max="8" width="6.6640625" style="4" customWidth="1"/>
    <col min="9" max="9" width="6.44140625" style="4" customWidth="1"/>
    <col min="10" max="10" width="8.21875" style="4" customWidth="1"/>
    <col min="11" max="11" width="14.218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44140625" style="4" customWidth="1"/>
    <col min="19" max="19" width="7.441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5" width="8.21875" style="4" customWidth="1"/>
    <col min="26" max="26" width="8.33203125" style="4" customWidth="1"/>
    <col min="27" max="27" width="8" style="4" customWidth="1"/>
    <col min="28" max="28" width="4.109375" style="4" customWidth="1"/>
    <col min="29" max="29" width="10.88671875" style="4" customWidth="1"/>
    <col min="30" max="16384" width="8.88671875" style="4"/>
  </cols>
  <sheetData>
    <row r="1" spans="1:29" ht="18" customHeight="1">
      <c r="A1" s="56" t="s">
        <v>128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42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26" customFormat="1">
      <c r="A3" s="20">
        <v>1</v>
      </c>
      <c r="B3" s="21" t="s">
        <v>125</v>
      </c>
      <c r="C3" s="20" t="s">
        <v>41</v>
      </c>
      <c r="D3" s="20" t="s">
        <v>98</v>
      </c>
      <c r="E3" s="20">
        <v>263008</v>
      </c>
      <c r="F3" s="20" t="s">
        <v>69</v>
      </c>
      <c r="G3" s="20">
        <v>3300</v>
      </c>
      <c r="H3" s="22">
        <v>0.497</v>
      </c>
      <c r="I3" s="22">
        <v>0.97</v>
      </c>
      <c r="J3" s="20" t="s">
        <v>26</v>
      </c>
      <c r="K3" s="20" t="s">
        <v>127</v>
      </c>
      <c r="L3" s="20" t="s">
        <v>26</v>
      </c>
      <c r="M3" s="22">
        <v>1590.8969999999999</v>
      </c>
      <c r="N3" s="23">
        <v>1067</v>
      </c>
      <c r="O3" s="24">
        <v>9.8799999999999999E-2</v>
      </c>
      <c r="P3" s="25">
        <v>5.93</v>
      </c>
      <c r="Q3" s="20">
        <v>903.6</v>
      </c>
      <c r="R3" s="20">
        <v>3</v>
      </c>
      <c r="S3" s="20">
        <v>1550</v>
      </c>
      <c r="T3" s="22">
        <v>1.4910000000000001</v>
      </c>
      <c r="U3" s="20">
        <v>59</v>
      </c>
      <c r="V3" s="24">
        <v>3.8100000000000002E-2</v>
      </c>
      <c r="W3" s="20" t="s">
        <v>33</v>
      </c>
      <c r="X3" s="20" t="s">
        <v>38</v>
      </c>
      <c r="Y3" s="20" t="s">
        <v>33</v>
      </c>
      <c r="Z3" s="20" t="s">
        <v>33</v>
      </c>
      <c r="AA3" s="20" t="s">
        <v>33</v>
      </c>
      <c r="AB3" s="20" t="s">
        <v>42</v>
      </c>
      <c r="AC3" s="20" t="s">
        <v>126</v>
      </c>
    </row>
    <row r="4" spans="1:29" s="26" customFormat="1">
      <c r="A4" s="20">
        <v>2</v>
      </c>
      <c r="B4" s="21" t="s">
        <v>125</v>
      </c>
      <c r="C4" s="20" t="s">
        <v>41</v>
      </c>
      <c r="D4" s="20" t="s">
        <v>98</v>
      </c>
      <c r="E4" s="20">
        <v>263009</v>
      </c>
      <c r="F4" s="20" t="s">
        <v>69</v>
      </c>
      <c r="G4" s="20">
        <v>1395</v>
      </c>
      <c r="H4" s="22">
        <v>0.879</v>
      </c>
      <c r="I4" s="22">
        <v>1.48</v>
      </c>
      <c r="J4" s="20" t="s">
        <v>26</v>
      </c>
      <c r="K4" s="20" t="s">
        <v>68</v>
      </c>
      <c r="L4" s="20" t="s">
        <v>26</v>
      </c>
      <c r="M4" s="22">
        <v>1814.7829999999999</v>
      </c>
      <c r="N4" s="23">
        <v>2064.6</v>
      </c>
      <c r="O4" s="24">
        <v>0.57350000000000001</v>
      </c>
      <c r="P4" s="25">
        <v>34.409999999999997</v>
      </c>
      <c r="Q4" s="20">
        <v>1030.8</v>
      </c>
      <c r="R4" s="20">
        <v>1</v>
      </c>
      <c r="S4" s="20">
        <v>900</v>
      </c>
      <c r="T4" s="22">
        <v>0.879</v>
      </c>
      <c r="U4" s="20">
        <v>21</v>
      </c>
      <c r="V4" s="24">
        <v>2.3300000000000001E-2</v>
      </c>
      <c r="W4" s="20" t="s">
        <v>33</v>
      </c>
      <c r="X4" s="20" t="s">
        <v>38</v>
      </c>
      <c r="Y4" s="20" t="s">
        <v>33</v>
      </c>
      <c r="Z4" s="20" t="s">
        <v>33</v>
      </c>
      <c r="AA4" s="20" t="s">
        <v>33</v>
      </c>
      <c r="AB4" s="20" t="s">
        <v>44</v>
      </c>
      <c r="AC4" s="20" t="s">
        <v>67</v>
      </c>
    </row>
    <row r="5" spans="1:29" s="26" customFormat="1">
      <c r="A5" s="20">
        <v>3</v>
      </c>
      <c r="B5" s="21" t="s">
        <v>125</v>
      </c>
      <c r="C5" s="20" t="s">
        <v>41</v>
      </c>
      <c r="D5" s="20" t="s">
        <v>98</v>
      </c>
      <c r="E5" s="20">
        <v>263007</v>
      </c>
      <c r="F5" s="20" t="s">
        <v>69</v>
      </c>
      <c r="G5" s="20">
        <v>770</v>
      </c>
      <c r="H5" s="22">
        <v>0.79900000000000004</v>
      </c>
      <c r="I5" s="22">
        <v>1.0900000000000001</v>
      </c>
      <c r="J5" s="20" t="s">
        <v>26</v>
      </c>
      <c r="K5" s="20" t="s">
        <v>124</v>
      </c>
      <c r="L5" s="20" t="s">
        <v>26</v>
      </c>
      <c r="M5" s="22">
        <v>670.601</v>
      </c>
      <c r="N5" s="23">
        <v>839.3</v>
      </c>
      <c r="O5" s="24">
        <v>0.2331</v>
      </c>
      <c r="P5" s="25">
        <v>13.99</v>
      </c>
      <c r="Q5" s="20">
        <v>380.9</v>
      </c>
      <c r="R5" s="20">
        <v>1</v>
      </c>
      <c r="S5" s="20">
        <v>850</v>
      </c>
      <c r="T5" s="22">
        <v>0.79900000000000004</v>
      </c>
      <c r="U5" s="20">
        <v>51</v>
      </c>
      <c r="V5" s="24">
        <v>0.06</v>
      </c>
      <c r="W5" s="20" t="s">
        <v>33</v>
      </c>
      <c r="X5" s="20" t="s">
        <v>38</v>
      </c>
      <c r="Y5" s="20" t="s">
        <v>33</v>
      </c>
      <c r="Z5" s="20" t="s">
        <v>33</v>
      </c>
      <c r="AA5" s="20" t="s">
        <v>33</v>
      </c>
      <c r="AB5" s="20" t="s">
        <v>31</v>
      </c>
      <c r="AC5" s="20" t="s">
        <v>123</v>
      </c>
    </row>
    <row r="6" spans="1:29" s="26" customFormat="1">
      <c r="A6" s="27" t="s">
        <v>26</v>
      </c>
      <c r="B6" s="27" t="s">
        <v>26</v>
      </c>
      <c r="C6" s="27" t="s">
        <v>26</v>
      </c>
      <c r="D6" s="27" t="s">
        <v>26</v>
      </c>
      <c r="E6" s="27" t="s">
        <v>26</v>
      </c>
      <c r="F6" s="27" t="s">
        <v>26</v>
      </c>
      <c r="G6" s="27">
        <v>5465</v>
      </c>
      <c r="H6" s="27" t="s">
        <v>26</v>
      </c>
      <c r="I6" s="27" t="s">
        <v>26</v>
      </c>
      <c r="J6" s="27" t="s">
        <v>26</v>
      </c>
      <c r="K6" s="27" t="s">
        <v>26</v>
      </c>
      <c r="L6" s="27" t="s">
        <v>26</v>
      </c>
      <c r="M6" s="27" t="s">
        <v>26</v>
      </c>
      <c r="N6" s="27" t="s">
        <v>26</v>
      </c>
      <c r="O6" s="27" t="s">
        <v>26</v>
      </c>
      <c r="P6" s="27" t="s">
        <v>26</v>
      </c>
      <c r="Q6" s="27">
        <v>2315.3000000000002</v>
      </c>
      <c r="R6" s="27" t="s">
        <v>26</v>
      </c>
      <c r="S6" s="27" t="s">
        <v>26</v>
      </c>
      <c r="T6" s="27" t="s">
        <v>26</v>
      </c>
      <c r="U6" s="27" t="s">
        <v>26</v>
      </c>
      <c r="V6" s="27" t="s">
        <v>26</v>
      </c>
      <c r="W6" s="27" t="s">
        <v>26</v>
      </c>
      <c r="X6" s="27" t="s">
        <v>26</v>
      </c>
      <c r="Y6" s="27" t="s">
        <v>26</v>
      </c>
      <c r="Z6" s="27" t="s">
        <v>26</v>
      </c>
      <c r="AA6" s="27" t="s">
        <v>26</v>
      </c>
      <c r="AB6" s="27" t="s">
        <v>26</v>
      </c>
      <c r="AC6" s="2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>
      <c r="A1" s="58" t="s">
        <v>121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30" customHeight="1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AC20" sqref="AC20"/>
    </sheetView>
  </sheetViews>
  <sheetFormatPr defaultRowHeight="14.4"/>
  <cols>
    <col min="1" max="1" width="4.5546875" style="52" customWidth="1"/>
    <col min="2" max="2" width="20.77734375" style="52" hidden="1" customWidth="1"/>
    <col min="3" max="3" width="6.5546875" style="52" customWidth="1"/>
    <col min="4" max="4" width="11.77734375" style="52" hidden="1" customWidth="1"/>
    <col min="5" max="5" width="8.77734375" style="52" customWidth="1"/>
    <col min="6" max="6" width="7.77734375" style="52" customWidth="1"/>
    <col min="7" max="7" width="6.33203125" style="52" customWidth="1"/>
    <col min="8" max="8" width="7.109375" style="52" customWidth="1"/>
    <col min="9" max="9" width="8.77734375" style="52" customWidth="1"/>
    <col min="10" max="10" width="8.109375" style="52" customWidth="1"/>
    <col min="11" max="11" width="17" style="52" customWidth="1"/>
    <col min="12" max="12" width="8.77734375" style="52" customWidth="1"/>
    <col min="13" max="13" width="9.77734375" style="52" hidden="1" customWidth="1"/>
    <col min="14" max="14" width="8.77734375" style="52" hidden="1" customWidth="1"/>
    <col min="15" max="16" width="9.77734375" style="52" hidden="1" customWidth="1"/>
    <col min="17" max="17" width="7.77734375" style="52" customWidth="1"/>
    <col min="18" max="18" width="4.88671875" style="52" customWidth="1"/>
    <col min="19" max="19" width="7.21875" style="52" customWidth="1"/>
    <col min="20" max="20" width="6" style="52" customWidth="1"/>
    <col min="21" max="21" width="11.77734375" style="52" hidden="1" customWidth="1"/>
    <col min="22" max="22" width="8.77734375" style="52" hidden="1" customWidth="1"/>
    <col min="23" max="23" width="8" style="52" customWidth="1"/>
    <col min="24" max="25" width="7.5546875" style="52" customWidth="1"/>
    <col min="26" max="26" width="7.44140625" style="52" customWidth="1"/>
    <col min="27" max="27" width="7" style="52" customWidth="1"/>
    <col min="28" max="28" width="3.77734375" style="52" customWidth="1"/>
    <col min="29" max="29" width="11.21875" style="52" customWidth="1"/>
    <col min="30" max="16384" width="8.88671875" style="52"/>
  </cols>
  <sheetData>
    <row r="1" spans="1:29" ht="18" customHeight="1">
      <c r="A1" s="60" t="s">
        <v>95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s="54" customFormat="1" ht="40.799999999999997" customHeight="1">
      <c r="A2" s="53" t="s">
        <v>0</v>
      </c>
      <c r="B2" s="53" t="s">
        <v>35</v>
      </c>
      <c r="C2" s="53" t="s">
        <v>1</v>
      </c>
      <c r="D2" s="53" t="s">
        <v>2</v>
      </c>
      <c r="E2" s="53" t="s">
        <v>45</v>
      </c>
      <c r="F2" s="53" t="s">
        <v>3</v>
      </c>
      <c r="G2" s="53" t="s">
        <v>4</v>
      </c>
      <c r="H2" s="53" t="s">
        <v>5</v>
      </c>
      <c r="I2" s="53" t="s">
        <v>6</v>
      </c>
      <c r="J2" s="53" t="s">
        <v>26</v>
      </c>
      <c r="K2" s="53" t="s">
        <v>7</v>
      </c>
      <c r="L2" s="53" t="s">
        <v>26</v>
      </c>
      <c r="M2" s="53" t="s">
        <v>8</v>
      </c>
      <c r="N2" s="53" t="s">
        <v>9</v>
      </c>
      <c r="O2" s="53" t="s">
        <v>10</v>
      </c>
      <c r="P2" s="53" t="s">
        <v>11</v>
      </c>
      <c r="Q2" s="53" t="s">
        <v>12</v>
      </c>
      <c r="R2" s="53" t="s">
        <v>13</v>
      </c>
      <c r="S2" s="53" t="s">
        <v>14</v>
      </c>
      <c r="T2" s="53" t="s">
        <v>15</v>
      </c>
      <c r="U2" s="53" t="s">
        <v>16</v>
      </c>
      <c r="V2" s="53" t="s">
        <v>17</v>
      </c>
      <c r="W2" s="53" t="s">
        <v>18</v>
      </c>
      <c r="X2" s="53" t="s">
        <v>19</v>
      </c>
      <c r="Y2" s="53" t="s">
        <v>20</v>
      </c>
      <c r="Z2" s="53" t="s">
        <v>21</v>
      </c>
      <c r="AA2" s="53" t="s">
        <v>22</v>
      </c>
      <c r="AB2" s="53" t="s">
        <v>23</v>
      </c>
      <c r="AC2" s="53" t="s">
        <v>24</v>
      </c>
    </row>
    <row r="3" spans="1:29" s="3" customFormat="1" ht="25.05" customHeight="1">
      <c r="A3" s="28">
        <v>1</v>
      </c>
      <c r="B3" s="29" t="s">
        <v>129</v>
      </c>
      <c r="C3" s="28" t="s">
        <v>25</v>
      </c>
      <c r="D3" s="28" t="s">
        <v>147</v>
      </c>
      <c r="E3" s="28">
        <v>263037</v>
      </c>
      <c r="F3" s="28" t="s">
        <v>146</v>
      </c>
      <c r="G3" s="28">
        <v>500</v>
      </c>
      <c r="H3" s="30">
        <v>1.2370000000000001</v>
      </c>
      <c r="I3" s="30">
        <v>1.621</v>
      </c>
      <c r="J3" s="28" t="s">
        <v>26</v>
      </c>
      <c r="K3" s="28" t="s">
        <v>145</v>
      </c>
      <c r="L3" s="28" t="s">
        <v>26</v>
      </c>
      <c r="M3" s="30">
        <v>1002.5890000000001</v>
      </c>
      <c r="N3" s="31">
        <v>810.5</v>
      </c>
      <c r="O3" s="32">
        <v>0.22509999999999999</v>
      </c>
      <c r="P3" s="33">
        <v>13.51</v>
      </c>
      <c r="Q3" s="28">
        <v>539.4</v>
      </c>
      <c r="R3" s="28">
        <v>1</v>
      </c>
      <c r="S3" s="28">
        <v>1300</v>
      </c>
      <c r="T3" s="30">
        <v>1.2370000000000001</v>
      </c>
      <c r="U3" s="28">
        <v>63</v>
      </c>
      <c r="V3" s="32">
        <v>4.8500000000000001E-2</v>
      </c>
      <c r="W3" s="28" t="s">
        <v>27</v>
      </c>
      <c r="X3" s="28" t="s">
        <v>28</v>
      </c>
      <c r="Y3" s="28" t="s">
        <v>27</v>
      </c>
      <c r="Z3" s="28" t="s">
        <v>27</v>
      </c>
      <c r="AA3" s="28" t="s">
        <v>27</v>
      </c>
      <c r="AB3" s="28" t="s">
        <v>37</v>
      </c>
      <c r="AC3" s="28" t="s">
        <v>144</v>
      </c>
    </row>
    <row r="4" spans="1:29" s="3" customFormat="1" ht="25.05" customHeight="1">
      <c r="A4" s="28">
        <v>2</v>
      </c>
      <c r="B4" s="29" t="s">
        <v>129</v>
      </c>
      <c r="C4" s="28" t="s">
        <v>34</v>
      </c>
      <c r="D4" s="28" t="s">
        <v>130</v>
      </c>
      <c r="E4" s="28">
        <v>263035</v>
      </c>
      <c r="F4" s="28" t="s">
        <v>149</v>
      </c>
      <c r="G4" s="28">
        <v>500</v>
      </c>
      <c r="H4" s="30">
        <v>0.38</v>
      </c>
      <c r="I4" s="30">
        <v>0.92700000000000005</v>
      </c>
      <c r="J4" s="28" t="s">
        <v>26</v>
      </c>
      <c r="K4" s="28" t="s">
        <v>32</v>
      </c>
      <c r="L4" s="28" t="s">
        <v>26</v>
      </c>
      <c r="M4" s="30">
        <v>176.13</v>
      </c>
      <c r="N4" s="31">
        <v>115.9</v>
      </c>
      <c r="O4" s="32">
        <v>8.0000000000000002E-3</v>
      </c>
      <c r="P4" s="33">
        <v>0.48</v>
      </c>
      <c r="Q4" s="28">
        <v>56.4</v>
      </c>
      <c r="R4" s="28">
        <v>4</v>
      </c>
      <c r="S4" s="28">
        <v>1550</v>
      </c>
      <c r="T4" s="30">
        <v>1.52</v>
      </c>
      <c r="U4" s="28">
        <v>30</v>
      </c>
      <c r="V4" s="32">
        <v>1.9400000000000001E-2</v>
      </c>
      <c r="W4" s="28" t="s">
        <v>27</v>
      </c>
      <c r="X4" s="28" t="s">
        <v>27</v>
      </c>
      <c r="Y4" s="28" t="s">
        <v>27</v>
      </c>
      <c r="Z4" s="28" t="s">
        <v>26</v>
      </c>
      <c r="AA4" s="28" t="s">
        <v>26</v>
      </c>
      <c r="AB4" s="28" t="s">
        <v>37</v>
      </c>
      <c r="AC4" s="28" t="s">
        <v>148</v>
      </c>
    </row>
    <row r="5" spans="1:29" s="3" customFormat="1" ht="25.05" customHeight="1">
      <c r="A5" s="28">
        <v>3</v>
      </c>
      <c r="B5" s="29" t="s">
        <v>129</v>
      </c>
      <c r="C5" s="28" t="s">
        <v>34</v>
      </c>
      <c r="D5" s="28" t="s">
        <v>130</v>
      </c>
      <c r="E5" s="28">
        <v>263036</v>
      </c>
      <c r="F5" s="28" t="s">
        <v>149</v>
      </c>
      <c r="G5" s="28">
        <v>500</v>
      </c>
      <c r="H5" s="30">
        <v>0.48499999999999999</v>
      </c>
      <c r="I5" s="30">
        <v>0.72699999999999998</v>
      </c>
      <c r="J5" s="28" t="s">
        <v>26</v>
      </c>
      <c r="K5" s="28" t="s">
        <v>32</v>
      </c>
      <c r="L5" s="28" t="s">
        <v>26</v>
      </c>
      <c r="M5" s="30">
        <v>176.297</v>
      </c>
      <c r="N5" s="31">
        <v>121.2</v>
      </c>
      <c r="O5" s="32">
        <v>1.12E-2</v>
      </c>
      <c r="P5" s="33">
        <v>0.67</v>
      </c>
      <c r="Q5" s="28">
        <v>56.4</v>
      </c>
      <c r="R5" s="28">
        <v>3</v>
      </c>
      <c r="S5" s="28">
        <v>1500</v>
      </c>
      <c r="T5" s="30">
        <v>1.4550000000000001</v>
      </c>
      <c r="U5" s="28">
        <v>45</v>
      </c>
      <c r="V5" s="32">
        <v>0.03</v>
      </c>
      <c r="W5" s="28" t="s">
        <v>27</v>
      </c>
      <c r="X5" s="28" t="s">
        <v>27</v>
      </c>
      <c r="Y5" s="28" t="s">
        <v>27</v>
      </c>
      <c r="Z5" s="28" t="s">
        <v>26</v>
      </c>
      <c r="AA5" s="28" t="s">
        <v>26</v>
      </c>
      <c r="AB5" s="28" t="s">
        <v>37</v>
      </c>
      <c r="AC5" s="28" t="s">
        <v>144</v>
      </c>
    </row>
    <row r="6" spans="1:29" s="3" customFormat="1" ht="25.05" customHeight="1">
      <c r="A6" s="28">
        <v>4</v>
      </c>
      <c r="B6" s="29" t="s">
        <v>129</v>
      </c>
      <c r="C6" s="28" t="s">
        <v>34</v>
      </c>
      <c r="D6" s="28" t="s">
        <v>130</v>
      </c>
      <c r="E6" s="28">
        <v>263034</v>
      </c>
      <c r="F6" s="28" t="s">
        <v>149</v>
      </c>
      <c r="G6" s="28">
        <v>500</v>
      </c>
      <c r="H6" s="30">
        <v>0.57099999999999995</v>
      </c>
      <c r="I6" s="30">
        <v>1.2030000000000001</v>
      </c>
      <c r="J6" s="28" t="s">
        <v>26</v>
      </c>
      <c r="K6" s="28" t="s">
        <v>32</v>
      </c>
      <c r="L6" s="28" t="s">
        <v>26</v>
      </c>
      <c r="M6" s="30">
        <v>343.45699999999999</v>
      </c>
      <c r="N6" s="31">
        <v>300.8</v>
      </c>
      <c r="O6" s="32">
        <v>4.1799999999999997E-2</v>
      </c>
      <c r="P6" s="33">
        <v>2.5099999999999998</v>
      </c>
      <c r="Q6" s="28">
        <v>109.9</v>
      </c>
      <c r="R6" s="28">
        <v>2</v>
      </c>
      <c r="S6" s="28">
        <v>1200</v>
      </c>
      <c r="T6" s="30">
        <v>1.1419999999999999</v>
      </c>
      <c r="U6" s="28">
        <v>58</v>
      </c>
      <c r="V6" s="32">
        <v>4.8300000000000003E-2</v>
      </c>
      <c r="W6" s="28" t="s">
        <v>27</v>
      </c>
      <c r="X6" s="28" t="s">
        <v>27</v>
      </c>
      <c r="Y6" s="28" t="s">
        <v>27</v>
      </c>
      <c r="Z6" s="28" t="s">
        <v>26</v>
      </c>
      <c r="AA6" s="28" t="s">
        <v>26</v>
      </c>
      <c r="AB6" s="28" t="s">
        <v>37</v>
      </c>
      <c r="AC6" s="28" t="s">
        <v>150</v>
      </c>
    </row>
    <row r="7" spans="1:29" s="54" customFormat="1" ht="25.05" customHeight="1">
      <c r="A7" s="55" t="s">
        <v>26</v>
      </c>
      <c r="B7" s="55" t="s">
        <v>26</v>
      </c>
      <c r="C7" s="55" t="s">
        <v>26</v>
      </c>
      <c r="D7" s="55" t="s">
        <v>26</v>
      </c>
      <c r="E7" s="55" t="s">
        <v>26</v>
      </c>
      <c r="F7" s="55" t="s">
        <v>26</v>
      </c>
      <c r="G7" s="55">
        <f>SUM(G4:G6)</f>
        <v>1500</v>
      </c>
      <c r="H7" s="55" t="s">
        <v>26</v>
      </c>
      <c r="I7" s="55" t="s">
        <v>26</v>
      </c>
      <c r="J7" s="55" t="s">
        <v>26</v>
      </c>
      <c r="K7" s="55" t="s">
        <v>26</v>
      </c>
      <c r="L7" s="55" t="s">
        <v>26</v>
      </c>
      <c r="M7" s="55" t="s">
        <v>26</v>
      </c>
      <c r="N7" s="55" t="s">
        <v>26</v>
      </c>
      <c r="O7" s="55" t="s">
        <v>26</v>
      </c>
      <c r="P7" s="55" t="s">
        <v>26</v>
      </c>
      <c r="Q7" s="55">
        <f>SUM(Q4:Q6)</f>
        <v>222.7</v>
      </c>
      <c r="R7" s="55" t="s">
        <v>26</v>
      </c>
      <c r="S7" s="55" t="s">
        <v>26</v>
      </c>
      <c r="T7" s="55" t="s">
        <v>26</v>
      </c>
      <c r="U7" s="55" t="s">
        <v>26</v>
      </c>
      <c r="V7" s="55" t="s">
        <v>26</v>
      </c>
      <c r="W7" s="55" t="s">
        <v>26</v>
      </c>
      <c r="X7" s="55" t="s">
        <v>26</v>
      </c>
      <c r="Y7" s="55" t="s">
        <v>26</v>
      </c>
      <c r="Z7" s="55" t="s">
        <v>26</v>
      </c>
      <c r="AA7" s="55" t="s">
        <v>26</v>
      </c>
      <c r="AB7" s="55" t="s">
        <v>26</v>
      </c>
      <c r="AC7" s="55" t="s">
        <v>26</v>
      </c>
    </row>
    <row r="8" spans="1:29" s="54" customFormat="1"/>
    <row r="9" spans="1:29" s="54" customForma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CAIXAS  KRAFT 1312</vt:lpstr>
      <vt:lpstr>FORBOX 1310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FORBOX 1289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2026-10-22T12:26:19Z</cp:lastPrinted>
  <dcterms:created xsi:type="dcterms:W3CDTF">2026-07-02T17:42:15Z</dcterms:created>
  <dcterms:modified xsi:type="dcterms:W3CDTF">2026-10-22T12:48:11Z</dcterms:modified>
</cp:coreProperties>
</file>