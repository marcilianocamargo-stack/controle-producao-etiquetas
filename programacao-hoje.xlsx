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FFDBC572-9731-4EAA-A8C3-C6AD5DAE4334}" xr6:coauthVersionLast="47" xr6:coauthVersionMax="47" xr10:uidLastSave="{00000000-0000-0000-0000-000000000000}"/>
  <bookViews>
    <workbookView xWindow="-38510" yWindow="-10830" windowWidth="38620" windowHeight="21100" firstSheet="10" activeTab="12" xr2:uid="{00000000-000D-0000-FFFF-FFFF00000000}"/>
  </bookViews>
  <sheets>
    <sheet name="IPE EMBALAGENS LTDA 1254" sheetId="182" r:id="rId1"/>
    <sheet name="RR STELLA 1253" sheetId="181" r:id="rId2"/>
    <sheet name="FAVINCO EMBALAGENS 1252" sheetId="180" r:id="rId3"/>
    <sheet name="DR EMBALAGENS 1250" sheetId="179" r:id="rId4"/>
    <sheet name="HARMONY EMBALAGENS 1249 P" sheetId="178" r:id="rId5"/>
    <sheet name="FAVINCO 1248 AMOSTRA" sheetId="177" r:id="rId6"/>
    <sheet name="ABAPEL 1246 P" sheetId="176" r:id="rId7"/>
    <sheet name="FAVINCO 1243 P" sheetId="175" r:id="rId8"/>
    <sheet name="Renovapel 1242 P" sheetId="174" r:id="rId9"/>
    <sheet name="Tole. DR EMB. VO CH S. M 1241 P" sheetId="173" r:id="rId10"/>
    <sheet name="FAVINCO 1239 P" sheetId="172" r:id="rId11"/>
    <sheet name="PCBOX EMBALAGENS 1233 P" sheetId="170" r:id="rId12"/>
    <sheet name="RM Embalagens 1232" sheetId="169" r:id="rId13"/>
    <sheet name="HARMONY EMBALAGENS 1231 P" sheetId="168" r:id="rId14"/>
    <sheet name="RM Embalagens P" sheetId="166" r:id="rId15"/>
    <sheet name="PCBOX EMBALAGENS LTDA 1222 P" sheetId="164" r:id="rId16"/>
    <sheet name="FORBOX 1220 P" sheetId="163" r:id="rId17"/>
    <sheet name="HARMONY EMBALAGENS 1217 P" sheetId="162" r:id="rId18"/>
    <sheet name="Z4A EMBALAGENS LTDA 1216" sheetId="161" r:id="rId19"/>
    <sheet name="ABAPEL 1213 P" sheetId="159" r:id="rId20"/>
    <sheet name="IPE - PCBOX 1212 P" sheetId="158" r:id="rId21"/>
    <sheet name="Z4A EMBALAGENS LTDA 1210 P" sheetId="157" r:id="rId22"/>
    <sheet name="RM Embalagens 1209 P" sheetId="156" r:id="rId23"/>
    <sheet name="ABAPEL 1201 P" sheetId="153" r:id="rId24"/>
    <sheet name="HARMONY EMBALAGENS 1200 P" sheetId="152" r:id="rId25"/>
    <sheet name="FAVINCO EMBALAGENS 1197 P" sheetId="150" r:id="rId26"/>
    <sheet name="ABAPEL 1196 P" sheetId="149" r:id="rId27"/>
    <sheet name="RM Embalagens 1184 P" sheetId="141" r:id="rId28"/>
    <sheet name="HARMONY EMBALAGENS 1180 P" sheetId="137" r:id="rId29"/>
    <sheet name="Carpel 1158 P" sheetId="119" r:id="rId3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<sst xmlns="http://schemas.openxmlformats.org/spreadsheetml/2006/main" count="5782" uniqueCount="597">
  <si>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</si>
  <si>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</si>
  <si>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</si>
  <si>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</si>
  <si>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</si>
  <si>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</si>
  <si>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</si>
  <si>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</si>
  <si>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</si>
  <si>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</si>
  <si>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</si>
  <si>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</si>
  <si>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</si>
  <si>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</si>
  <si>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</si>
  <si>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</si>
  <si>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</si>
  <si>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</si>
  <si>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</si>
  <si>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</si>
  <si>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</si>
  <si>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</si>
  <si>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</si>
  <si>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</si>
  <si>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</si>
  <si>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</si>
  <si>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</si>
  <si>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</si>
  <si>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</si>
  <si>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</si>
  <si>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</si>
  <si>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</si>
  <si>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</si>
  <si>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</si>
  <si>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</si>
  <si>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</si>
  <si>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</si>
  <si>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</si>
  <si>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</si>
  <si>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</si>
  <si>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</si>
  <si>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</si>
  <si>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</si>
  <si>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</si>
  <si>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</si>
  <si>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</si>
  <si>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</si>
  <si>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</si>
  <si>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</si>
  <si>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</si>
  <si>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</si>
  <si>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</si>
  <si>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</si>
  <si>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</si>
  <si>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</si>
  <si>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</si>
  <si>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</si>
  <si>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</si>
  <si>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</si>
  <si>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</si>
  <si>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</si>
  <si>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</si>
  <si>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</si>
  <si>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</si>
  <si>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</si>
  <si>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</si>
  <si>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</si>
  <si>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</si>
  <si>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</si>
  <si>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</si>
  <si>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</si>
  <si>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</si>
  <si>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</si>
  <si>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</si>
  <si>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</si>
  <si>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</si>
  <si>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</si>
  <si>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</si>
  <si>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</si>
  <si>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</si>
  <si>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</si>
  <si>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</si>
  <si>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</si>
  <si>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</si>
  <si>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</si>
  <si>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</si>
  <si>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</si>
  <si>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</si>
  <si>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</si>
  <si>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</si>
  <si>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</si>
  <si>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</si>
  <si>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</si>
  <si>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</si>
  <si>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</si>
  <si>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</si>
  <si>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</si>
  <si>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</si>
  <si>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</si>
  <si>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</si>
  <si>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</si>
  <si>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</si>
  <si>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</si>
  <si>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</si>
  <si>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</si>
  <si>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</si>
  <si>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</si>
  <si>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</si>
  <si>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</si>
  <si>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</si>
  <si>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</si>
  <si>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</si>
  <si>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</si>
  <si>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</si>
  <si>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</si>
  <si>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</si>
  <si>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</si>
  <si>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</si>
  <si>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</si>
  <si>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</si>
  <si>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</si>
  <si>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</si>
  <si>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</si>
  <si>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</si>
  <si>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</si>
  <si>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</si>
  <si>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</si>
  <si>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</si>
  <si>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</si>
  <si>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</si>
  <si>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</si>
  <si>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</si>
  <si>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</si>
  <si>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</si>
  <si>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</si>
  <si>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</si>
  <si>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</si>
  <si>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</si>
  <si>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</si>
  <si>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</si>
  <si>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</si>
  <si>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</si>
  <si>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</si>
  <si>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</si>
  <si>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</si>
  <si>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</si>
  <si>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</si>
  <si>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</si>
  <si>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</si>
  <si>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</si>
  <si>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</si>
  <si>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</si>
  <si>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</si>
  <si>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</si>
  <si>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</si>
  <si>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</si>
  <si>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</si>
  <si>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</si>
  <si>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</si>
  <si>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</si>
  <si>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</si>
  <si>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</si>
  <si>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</si>
  <si>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</si>
  <si>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</si>
  <si>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</si>
  <si>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</si>
  <si>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</si>
  <si>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</si>
  <si>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</si>
  <si>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</si>
  <si>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</si>
  <si>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</si>
  <si>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</si>
  <si>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</si>
  <si>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</si>
  <si>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</si>
  <si>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</si>
  <si>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</si>
  <si>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</si>
  <si>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</si>
  <si>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</si>
  <si>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</si>
  <si>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</si>
  <si>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</si>
  <si>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</si>
  <si>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</si>
  <si>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</si>
  <si>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</si>
  <si>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</si>
  <si>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</si>
  <si>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</si>
  <si>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</si>
  <si>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</si>
  <si>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</si>
  <si>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</si>
  <si>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</si>
  <si>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</si>
  <si>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</si>
  <si>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</si>
  <si>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</si>
  <si>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</si>
  <si>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</si>
  <si>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</si>
  <si>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</si>
  <si>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</si>
  <si>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</si>
  <si>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</si>
  <si>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</si>
  <si>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</si>
  <si>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</si>
  <si>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</si>
  <si>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</si>
  <si>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</si>
  <si>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</si>
  <si>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</si>
  <si>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</si>
  <si>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</si>
  <si>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</si>
  <si>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</si>
  <si>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</si>
  <si>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</si>
  <si>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</si>
  <si>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</si>
  <si>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</si>
  <si>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</si>
  <si>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</si>
  <si>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</si>
  <si>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</si>
  <si>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</si>
  <si>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</si>
  <si>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</si>
  <si>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</si>
  <si>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</si>
  <si>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</si>
  <si>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</si>
  <si>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</si>
  <si>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</si>
  <si>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</si>
  <si>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</si>
  <si>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</si>
  <si>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</si>
  <si>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</si>
  <si>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</si>
  <si>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</si>
  <si>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</si>
  <si>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</si>
  <si>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</si>
  <si>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</si>
  <si>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</si>
  <si>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</si>
  <si>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</si>
  <si>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</si>
  <si>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</si>
  <si>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</si>
  <si>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</si>
  <si>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</si>
  <si>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</si>
  <si>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</si>
  <si>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</si>
  <si>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</si>
  <si>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</si>
  <si>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</si>
  <si>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</si>
  <si>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</si>
  <si>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</si>
  <si>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</si>
  <si>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</si>
  <si>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</si>
  <si>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</si>
  <si>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</si>
  <si>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</si>
  <si>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</si>
  <si>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</si>
  <si>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</si>
  <si>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</si>
  <si>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</si>
  <si>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</si>
  <si>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</si>
  <si>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</si>
  <si>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</si>
  <si>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</si>
  <si>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</si>
  <si>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</si>
  <si>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</si>
  <si>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</si>
  <si>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</si>
  <si>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</si>
  <si>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</si>
  <si>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</si>
  <si>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</si>
  <si>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</si>
  <si>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</si>
  <si>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</si>
  <si>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</si>
  <si>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</si>
  <si>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</si>
  <si>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</si>
  <si>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</si>
  <si>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</si>
  <si>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</si>
  <si>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</si>
  <si>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</si>
  <si>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</si>
  <si>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</si>
  <si>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</si>
  <si>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</si>
  <si>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</si>
  <si>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</si>
  <si>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</si>
  <si>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</si>
  <si>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</si>
  <si>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</si>
  <si>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</si>
  <si>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</si>
  <si>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</si>
  <si>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</si>
  <si>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</si>
  <si>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</si>
  <si>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</si>
  <si>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</si>
  <si>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</si>
  <si>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</si>
  <si>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</si>
  <si>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</si>
  <si>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</si>
  <si>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</si>
  <si>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</si>
  <si>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</si>
  <si>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</si>
  <si>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</si>
  <si>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</si>
  <si>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</si>
  <si>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</si>
  <si>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</si>
  <si>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</si>
  <si>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</si>
  <si>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</si>
  <si>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</si>
  <si>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</si>
  <si>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</si>
  <si>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</si>
  <si>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</si>
  <si>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</si>
  <si>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</si>
  <si>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</si>
  <si>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</si>
  <si>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</si>
  <si>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</si>
  <si>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</si>
  <si>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</si>
  <si>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</si>
  <si>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</si>
  <si>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</si>
  <si>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</si>
  <si>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</si>
  <si>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</si>
  <si>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</si>
  <si>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</si>
  <si>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</si>
  <si>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</si>
  <si>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</si>
  <si>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</si>
  <si>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</si>
  <si>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</si>
  <si>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</si>
  <si>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</si>
  <si>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</si>
  <si>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</si>
  <si>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</si>
  <si>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</si>
  <si>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</si>
  <si>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</si>
  <si>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</si>
  <si>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</si>
  <si>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</si>
  <si>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</si>
  <si>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</si>
  <si>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</si>
  <si>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</si>
  <si>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</si>
  <si>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</si>
  <si>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</si>
  <si>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</si>
  <si>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</si>
  <si>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</si>
  <si>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</si>
  <si>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</si>
  <si>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</si>
  <si>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</si>
  <si>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</si>
  <si>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</si>
  <si>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</si>
  <si>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</si>
  <si>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</si>
  <si>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</si>
  <si>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</si>
  <si>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</si>
  <si>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</si>
  <si>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</si>
  <si>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</si>
  <si>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</si>
  <si>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</si>
  <si>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</si>
  <si>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</si>
  <si>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</si>
  <si>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</si>
  <si>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</si>
  <si>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</si>
  <si>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</si>
  <si>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</si>
  <si>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</si>
  <si>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</si>
  <si>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</si>
  <si>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</si>
  <si>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</si>
  <si>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</si>
  <si>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</si>
  <si>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</si>
  <si>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</si>
  <si>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</si>
  <si>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</si>
  <si>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</si>
  <si>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</si>
  <si>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</si>
  <si>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</si>
  <si>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</si>
  <si>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</si>
  <si>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</si>
  <si>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</si>
  <si>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</si>
  <si>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</si>
  <si>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</si>
  <si>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</si>
  <si>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</si>
  <si>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</si>
  <si>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</si>
  <si>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</si>
  <si>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</si>
  <si>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</si>
  <si>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</si>
  <si>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</si>
  <si>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</si>
  <si>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</si>
  <si>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</si>
  <si>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</si>
  <si>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</si>
  <si>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</si>
  <si>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</si>
  <si>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</si>
  <si>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</si>
  <si>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</si>
  <si>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</si>
  <si>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</si>
  <si>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</si>
  <si>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</si>
  <si>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</si>
  <si>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</si>
  <si>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</si>
  <si>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</si>
  <si>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</si>
  <si>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</si>
  <si>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</si>
  <si>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</si>
  <si>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</si>
  <si>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</si>
  <si>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</si>
  <si>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</si>
  <si>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</si>
  <si>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</si>
  <si>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</si>
  <si>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</si>
  <si>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</si>
  <si>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</si>
  <si>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</si>
  <si>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</si>
  <si>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</si>
  <si>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</si>
  <si>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</si>
  <si>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</si>
  <si>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</si>
  <si>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</si>
  <si>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</si>
  <si>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</si>
  <si>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</si>
  <si>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</si>
  <si>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</si>
  <si>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</si>
  <si>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</si>
  <si>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</si>
  <si>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</si>
  <si>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</si>
  <si>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</si>
  <si>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</si>
  <si>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</si>
  <si>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</si>
  <si>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</si>
  <si>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</si>
  <si>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</si>
  <si>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</si>
  <si>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</si>
  <si>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</si>
  <si>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</si>
  <si>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</si>
  <si>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</si>
  <si>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</si>
  <si>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</si>
  <si>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</si>
  <si>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</si>
  <si>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</si>
  <si>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</si>
  <si>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</si>
  <si>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</si>
  <si>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</si>
  <si>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</si>
  <si>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</si>
  <si>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</si>
  <si>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</si>
  <si>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</si>
  <si>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</si>
  <si>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</si>
  <si>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</si>
  <si>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</si>
  <si>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</si>
  <si>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</si>
  <si>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</si>
  <si>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</si>
  <si>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</si>
  <si>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</si>
  <si>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</si>
  <si>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</si>
  <si>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</si>
  <si>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</si>
  <si>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</si>
  <si>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</si>
  <si>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</si>
  <si>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</si>
  <si>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</si>
  <si>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</si>
  <si>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</si>
  <si>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</si>
  <si>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</si>
  <si>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</si>
  <si>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</si>
  <si>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</si>
  <si>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</si>
  <si>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</si>
  <si>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</si>
  <si>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</si>
  <si>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</si>
  <si>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</si>
  <si>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</si>
  <si>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</si>
  <si>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</si>
  <si>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</si>
  <si>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</si>
  <si>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</si>
  <si>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</si>
  <si>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</si>
  <si>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</si>
  <si>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</si>
  <si>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</si>
  <si>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</si>
  <si>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</si>
  <si>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</si>
  <si>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</si>
  <si>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</si>
  <si>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</si>
  <si>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</si>
  <si>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</si>
  <si>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</si>
  <si>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</si>
  <si>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</si>
  <si>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</si>
  <si>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</si>
  <si>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</si>
  <si>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</si>
  <si>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</si>
  <si>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</si>
  <si>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</si>
  <si>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</si>
  <si>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</si>
  <si>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</si>
  <si>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</si>
  <si>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</si>
  <si>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</si>
  <si>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956x1849</t>
  </si>
  <si>
    <t>1800</t>
  </si>
  <si>
    <t>05/10/2026</t>
  </si>
  <si>
    <t>PROGRAMAÇÃO ONDULADEIRA - IPE EMBALAGENS LTDA  —  OF: 001254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</si>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</sst>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6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60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0" borderId="0" xfId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6" fillId="0" borderId="0" xfId="1" applyFont="1"/>
    <xf numFmtId="0" fontId="17" fillId="0" borderId="0" xfId="3" applyFont="1"/>
    <xf numFmtId="0" fontId="25" fillId="0" borderId="0" xfId="1" applyFont="1"/>
    <xf numFmtId="0" fontId="20" fillId="0" borderId="0" xfId="3" applyFont="1"/>
    <xf numFmtId="0" fontId="6" fillId="0" borderId="0" xfId="3" applyFont="1" applyAlignment="1">
      <alignment horizontal="center" vertical="center"/>
    </xf>
    <xf numFmtId="0" fontId="6" fillId="0" borderId="0" xfId="3" applyFont="1"/>
    <xf numFmtId="0" fontId="11" fillId="0" borderId="0" xfId="1" applyFont="1"/>
    <xf numFmtId="0" fontId="6" fillId="0" borderId="0" xfId="2" applyFont="1"/>
    <xf numFmtId="0" fontId="12" fillId="0" borderId="0" xfId="3" applyFont="1"/>
    <xf numFmtId="0" fontId="25" fillId="0" borderId="0" xfId="3" applyFon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6F237-994B-4113-A854-6BDD919C451F}">
  <dimension ref="A1:AB4"/>
  <sheetViews>
    <sheetView workbookViewId="0">
      <selection activeCell="AM9" sqref="AM9"/>
    </sheetView>
  </sheetViews>
  <sheetFormatPr defaultRowHeight="14.4" x14ac:dyDescent="0.3"/>
  <cols>
    <col min="1" max="1" width="5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" style="1" customWidth="1"/>
    <col min="6" max="6" width="7.88671875" style="1" customWidth="1"/>
    <col min="7" max="8" width="5.88671875" style="1" customWidth="1"/>
    <col min="9" max="9" width="6.109375" style="1" customWidth="1"/>
    <col min="10" max="10" width="6.21875" style="1" customWidth="1"/>
    <col min="11" max="11" width="6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88671875" style="1" customWidth="1"/>
    <col min="18" max="18" width="6.1093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7.5546875" style="1" customWidth="1"/>
    <col min="24" max="24" width="7.44140625" style="1" customWidth="1"/>
    <col min="25" max="25" width="6.44140625" style="1" customWidth="1"/>
    <col min="26" max="26" width="7.44140625" style="1" customWidth="1"/>
    <col min="27" max="27" width="4.44140625" style="1" customWidth="1"/>
    <col min="28" max="28" width="9.6640625" style="1" customWidth="1"/>
    <col min="29" max="16384" width="8.88671875" style="1"/>
  </cols>
  <sheetData>
    <row r="1" spans="1:28" ht="18" customHeight="1" x14ac:dyDescent="0.35">
      <c r="A1" s="152" t="s">
        <v>589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63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92</v>
      </c>
      <c r="C3" s="126" t="s">
        <v>35</v>
      </c>
      <c r="D3" s="126" t="s">
        <v>588</v>
      </c>
      <c r="E3" s="126" t="s">
        <v>27</v>
      </c>
      <c r="F3" s="126">
        <v>262870</v>
      </c>
      <c r="G3" s="126" t="s">
        <v>587</v>
      </c>
      <c r="H3" s="126">
        <v>200</v>
      </c>
      <c r="I3" s="127">
        <v>0.93600000000000005</v>
      </c>
      <c r="J3" s="127">
        <v>1.829</v>
      </c>
      <c r="K3" s="126" t="s">
        <v>33</v>
      </c>
      <c r="L3" s="123">
        <v>342.38900000000001</v>
      </c>
      <c r="M3" s="125">
        <v>365.8</v>
      </c>
      <c r="N3" s="122">
        <v>0.1016</v>
      </c>
      <c r="O3" s="124">
        <v>6.1</v>
      </c>
      <c r="P3" s="121">
        <v>107.9</v>
      </c>
      <c r="Q3" s="121">
        <v>1</v>
      </c>
      <c r="R3" s="121">
        <v>1000</v>
      </c>
      <c r="S3" s="123">
        <v>0.93600000000000005</v>
      </c>
      <c r="T3" s="121">
        <v>64</v>
      </c>
      <c r="U3" s="122">
        <v>6.4000000000000001E-2</v>
      </c>
      <c r="V3" s="121" t="s">
        <v>28</v>
      </c>
      <c r="W3" s="121" t="s">
        <v>28</v>
      </c>
      <c r="X3" s="121" t="s">
        <v>28</v>
      </c>
      <c r="Y3" s="121" t="s">
        <v>27</v>
      </c>
      <c r="Z3" s="121" t="s">
        <v>27</v>
      </c>
      <c r="AA3" s="121" t="s">
        <v>38</v>
      </c>
      <c r="AB3" s="121" t="s">
        <v>586</v>
      </c>
    </row>
    <row r="4" spans="1:28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200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107.9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31" sqref="K3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52" t="s">
        <v>585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dimension ref="A1:AB5"/>
  <sheetViews>
    <sheetView zoomScale="220" zoomScaleNormal="220" workbookViewId="0">
      <selection activeCell="AB4" sqref="AB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6.33203125" style="1" customWidth="1"/>
    <col min="6" max="6" width="7" style="1" customWidth="1"/>
    <col min="7" max="7" width="4.44140625" style="1" customWidth="1"/>
    <col min="8" max="9" width="6.44140625" style="1" customWidth="1"/>
    <col min="10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7.44140625" style="1" customWidth="1"/>
    <col min="24" max="24" width="8" style="1" customWidth="1"/>
    <col min="25" max="26" width="8.77734375" style="1" customWidth="1"/>
    <col min="27" max="27" width="4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52" t="s">
        <v>578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4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93</v>
      </c>
      <c r="C3" s="126" t="s">
        <v>35</v>
      </c>
      <c r="D3" s="126" t="s">
        <v>576</v>
      </c>
      <c r="E3" s="126" t="s">
        <v>27</v>
      </c>
      <c r="F3" s="126">
        <v>262865</v>
      </c>
      <c r="G3" s="126" t="s">
        <v>575</v>
      </c>
      <c r="H3" s="126">
        <v>1400</v>
      </c>
      <c r="I3" s="127">
        <v>0.44500000000000001</v>
      </c>
      <c r="J3" s="127">
        <v>0.83</v>
      </c>
      <c r="K3" s="126" t="s">
        <v>577</v>
      </c>
      <c r="L3" s="123">
        <v>517.09</v>
      </c>
      <c r="M3" s="125">
        <v>387.3</v>
      </c>
      <c r="N3" s="122">
        <v>3.5900000000000001E-2</v>
      </c>
      <c r="O3" s="124">
        <v>2.15</v>
      </c>
      <c r="P3" s="121">
        <v>162.9</v>
      </c>
      <c r="Q3" s="121">
        <v>3</v>
      </c>
      <c r="R3" s="121">
        <v>1400</v>
      </c>
      <c r="S3" s="123">
        <v>1.335</v>
      </c>
      <c r="T3" s="121">
        <v>65</v>
      </c>
      <c r="U3" s="122">
        <v>4.6399999999999997E-2</v>
      </c>
      <c r="V3" s="121" t="s">
        <v>28</v>
      </c>
      <c r="W3" s="121" t="s">
        <v>28</v>
      </c>
      <c r="X3" s="121" t="s">
        <v>28</v>
      </c>
      <c r="Y3" s="121" t="s">
        <v>27</v>
      </c>
      <c r="Z3" s="121" t="s">
        <v>27</v>
      </c>
      <c r="AA3" s="121" t="s">
        <v>38</v>
      </c>
      <c r="AB3" s="121" t="s">
        <v>574</v>
      </c>
    </row>
    <row r="4" spans="1:28" x14ac:dyDescent="0.3">
      <c r="A4" s="126">
        <v>2</v>
      </c>
      <c r="B4" s="128" t="s">
        <v>93</v>
      </c>
      <c r="C4" s="126" t="s">
        <v>35</v>
      </c>
      <c r="D4" s="126" t="s">
        <v>576</v>
      </c>
      <c r="E4" s="126" t="s">
        <v>27</v>
      </c>
      <c r="F4" s="126">
        <v>262866</v>
      </c>
      <c r="G4" s="126">
        <v>83</v>
      </c>
      <c r="H4" s="126">
        <v>1000</v>
      </c>
      <c r="I4" s="127">
        <v>0.63</v>
      </c>
      <c r="J4" s="127">
        <v>1</v>
      </c>
      <c r="K4" s="126" t="s">
        <v>33</v>
      </c>
      <c r="L4" s="123">
        <v>630</v>
      </c>
      <c r="M4" s="125">
        <v>500</v>
      </c>
      <c r="N4" s="122">
        <v>6.9400000000000003E-2</v>
      </c>
      <c r="O4" s="124">
        <v>4.17</v>
      </c>
      <c r="P4" s="121">
        <v>198.4</v>
      </c>
      <c r="Q4" s="121">
        <v>2</v>
      </c>
      <c r="R4" s="121">
        <v>1300</v>
      </c>
      <c r="S4" s="123">
        <v>1.26</v>
      </c>
      <c r="T4" s="121">
        <v>40</v>
      </c>
      <c r="U4" s="122">
        <v>3.0800000000000001E-2</v>
      </c>
      <c r="V4" s="121" t="s">
        <v>28</v>
      </c>
      <c r="W4" s="121" t="s">
        <v>28</v>
      </c>
      <c r="X4" s="121" t="s">
        <v>28</v>
      </c>
      <c r="Y4" s="121" t="s">
        <v>27</v>
      </c>
      <c r="Z4" s="121" t="s">
        <v>27</v>
      </c>
      <c r="AA4" s="121" t="s">
        <v>38</v>
      </c>
      <c r="AB4" s="121" t="s">
        <v>574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2400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361.3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E10" sqref="E10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50" t="s">
        <v>573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topLeftCell="A22" zoomScale="145" zoomScaleNormal="145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55" t="s">
        <v>566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sqref="A1:AB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50" t="s">
        <v>528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175" zoomScaleNormal="175" workbookViewId="0">
      <selection activeCell="S13" sqref="S1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50" t="s">
        <v>508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465</v>
      </c>
      <c r="E3" s="5" t="s">
        <v>27</v>
      </c>
      <c r="F3" s="5">
        <v>262830</v>
      </c>
      <c r="G3" s="5" t="s">
        <v>503</v>
      </c>
      <c r="H3" s="5">
        <v>1100</v>
      </c>
      <c r="I3" s="7">
        <v>0.51700000000000002</v>
      </c>
      <c r="J3" s="7">
        <v>2.68</v>
      </c>
      <c r="K3" s="5" t="s">
        <v>507</v>
      </c>
      <c r="L3" s="7">
        <v>1524.116</v>
      </c>
      <c r="M3" s="9">
        <v>982.7</v>
      </c>
      <c r="N3" s="6">
        <v>9.0999999999999998E-2</v>
      </c>
      <c r="O3" s="8">
        <v>5.46</v>
      </c>
      <c r="P3" s="5">
        <v>820</v>
      </c>
      <c r="Q3" s="5">
        <v>3</v>
      </c>
      <c r="R3" s="5">
        <v>1600</v>
      </c>
      <c r="S3" s="7">
        <v>1.5509999999999999</v>
      </c>
      <c r="T3" s="5">
        <v>49</v>
      </c>
      <c r="U3" s="6">
        <v>3.0599999999999999E-2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506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465</v>
      </c>
      <c r="E4" s="5" t="s">
        <v>27</v>
      </c>
      <c r="F4" s="5">
        <v>262832</v>
      </c>
      <c r="G4" s="5" t="s">
        <v>503</v>
      </c>
      <c r="H4" s="5">
        <v>660</v>
      </c>
      <c r="I4" s="7">
        <v>0.91200000000000003</v>
      </c>
      <c r="J4" s="7">
        <v>2.1</v>
      </c>
      <c r="K4" s="5" t="s">
        <v>505</v>
      </c>
      <c r="L4" s="7">
        <v>1264.0319999999999</v>
      </c>
      <c r="M4" s="9">
        <v>1386</v>
      </c>
      <c r="N4" s="6">
        <v>0.38500000000000001</v>
      </c>
      <c r="O4" s="8">
        <v>23.1</v>
      </c>
      <c r="P4" s="5">
        <v>680</v>
      </c>
      <c r="Q4" s="5">
        <v>1</v>
      </c>
      <c r="R4" s="5">
        <v>950</v>
      </c>
      <c r="S4" s="7">
        <v>0.91200000000000003</v>
      </c>
      <c r="T4" s="5">
        <v>38</v>
      </c>
      <c r="U4" s="6">
        <v>0.04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31</v>
      </c>
      <c r="AB4" s="5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592</v>
      </c>
      <c r="H5" s="91">
        <v>300</v>
      </c>
      <c r="I5" s="93">
        <v>0.86199999999999999</v>
      </c>
      <c r="J5" s="93">
        <v>2.1789999999999998</v>
      </c>
      <c r="K5" s="91" t="s">
        <v>591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590</v>
      </c>
    </row>
    <row r="6" spans="1:28" s="98" customFormat="1" ht="25.05" customHeight="1" x14ac:dyDescent="0.3">
      <c r="A6" s="91">
        <v>2</v>
      </c>
      <c r="B6" s="92" t="s">
        <v>58</v>
      </c>
      <c r="C6" s="91" t="s">
        <v>26</v>
      </c>
      <c r="D6" s="91" t="s">
        <v>576</v>
      </c>
      <c r="E6" s="91" t="s">
        <v>27</v>
      </c>
      <c r="F6" s="91">
        <v>262872</v>
      </c>
      <c r="G6" s="91" t="s">
        <v>592</v>
      </c>
      <c r="H6" s="91">
        <v>600</v>
      </c>
      <c r="I6" s="93">
        <v>0.86799999999999999</v>
      </c>
      <c r="J6" s="93">
        <v>1.32</v>
      </c>
      <c r="K6" s="91" t="s">
        <v>594</v>
      </c>
      <c r="L6" s="93">
        <v>687.45600000000002</v>
      </c>
      <c r="M6" s="94">
        <v>792</v>
      </c>
      <c r="N6" s="95">
        <v>0.22</v>
      </c>
      <c r="O6" s="96">
        <v>13.2</v>
      </c>
      <c r="P6" s="91">
        <v>369.9</v>
      </c>
      <c r="Q6" s="91">
        <v>1</v>
      </c>
      <c r="R6" s="91">
        <v>900</v>
      </c>
      <c r="S6" s="93">
        <v>0.86799999999999999</v>
      </c>
      <c r="T6" s="91">
        <v>32</v>
      </c>
      <c r="U6" s="95">
        <v>3.56E-2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31</v>
      </c>
      <c r="AB6" s="91" t="s">
        <v>593</v>
      </c>
    </row>
    <row r="7" spans="1:28" s="12" customFormat="1" ht="25.05" customHeight="1" x14ac:dyDescent="0.3">
      <c r="A7" s="5">
        <v>3</v>
      </c>
      <c r="B7" s="10" t="s">
        <v>58</v>
      </c>
      <c r="C7" s="5" t="s">
        <v>59</v>
      </c>
      <c r="D7" s="5" t="s">
        <v>465</v>
      </c>
      <c r="E7" s="5" t="s">
        <v>27</v>
      </c>
      <c r="F7" s="5">
        <v>262831</v>
      </c>
      <c r="G7" s="5" t="s">
        <v>503</v>
      </c>
      <c r="H7" s="5">
        <v>490</v>
      </c>
      <c r="I7" s="7">
        <v>1.0629999999999999</v>
      </c>
      <c r="J7" s="7">
        <v>1.93</v>
      </c>
      <c r="K7" s="5" t="s">
        <v>502</v>
      </c>
      <c r="L7" s="7">
        <v>1005.279</v>
      </c>
      <c r="M7" s="9">
        <v>945.7</v>
      </c>
      <c r="N7" s="6">
        <v>0.26269999999999999</v>
      </c>
      <c r="O7" s="8">
        <v>15.76</v>
      </c>
      <c r="P7" s="5">
        <v>325.7</v>
      </c>
      <c r="Q7" s="5">
        <v>1</v>
      </c>
      <c r="R7" s="5">
        <v>1100</v>
      </c>
      <c r="S7" s="7">
        <v>1.0629999999999999</v>
      </c>
      <c r="T7" s="5">
        <v>37</v>
      </c>
      <c r="U7" s="6">
        <v>3.3599999999999998E-2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592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595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9"/>
  <sheetViews>
    <sheetView workbookViewId="0">
      <selection activeCell="Y17" sqref="Y17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53" t="s">
        <v>489</v>
      </c>
      <c r="B1" s="153" t="s">
        <v>27</v>
      </c>
      <c r="C1" s="153" t="s">
        <v>27</v>
      </c>
      <c r="D1" s="153" t="s">
        <v>27</v>
      </c>
      <c r="E1" s="153" t="s">
        <v>27</v>
      </c>
      <c r="F1" s="153" t="s">
        <v>27</v>
      </c>
      <c r="G1" s="153" t="s">
        <v>27</v>
      </c>
      <c r="H1" s="153" t="s">
        <v>27</v>
      </c>
      <c r="I1" s="153" t="s">
        <v>27</v>
      </c>
      <c r="J1" s="153" t="s">
        <v>27</v>
      </c>
      <c r="K1" s="153" t="s">
        <v>27</v>
      </c>
      <c r="L1" s="153" t="s">
        <v>27</v>
      </c>
      <c r="M1" s="153" t="s">
        <v>27</v>
      </c>
      <c r="N1" s="153" t="s">
        <v>27</v>
      </c>
      <c r="O1" s="153" t="s">
        <v>27</v>
      </c>
      <c r="P1" s="153" t="s">
        <v>27</v>
      </c>
      <c r="Q1" s="153" t="s">
        <v>27</v>
      </c>
      <c r="R1" s="153" t="s">
        <v>27</v>
      </c>
      <c r="S1" s="153" t="s">
        <v>27</v>
      </c>
      <c r="T1" s="153" t="s">
        <v>27</v>
      </c>
      <c r="U1" s="153" t="s">
        <v>27</v>
      </c>
      <c r="V1" s="153" t="s">
        <v>27</v>
      </c>
      <c r="W1" s="153" t="s">
        <v>27</v>
      </c>
      <c r="X1" s="153" t="s">
        <v>27</v>
      </c>
      <c r="Y1" s="153" t="s">
        <v>27</v>
      </c>
      <c r="Z1" s="153" t="s">
        <v>27</v>
      </c>
      <c r="AA1" s="153" t="s">
        <v>27</v>
      </c>
      <c r="AB1" s="153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6" spans="1:28" s="51" customFormat="1" ht="25.05" customHeight="1" x14ac:dyDescent="0.3">
      <c r="A6" s="109">
        <v>4</v>
      </c>
      <c r="B6" s="111" t="s">
        <v>459</v>
      </c>
      <c r="C6" s="112" t="s">
        <v>49</v>
      </c>
      <c r="D6" s="117">
        <v>46297</v>
      </c>
      <c r="E6" s="112"/>
      <c r="F6" s="112">
        <v>262829</v>
      </c>
      <c r="G6" s="112">
        <v>81</v>
      </c>
      <c r="H6" s="112">
        <v>2000</v>
      </c>
      <c r="I6" s="113">
        <v>0.54</v>
      </c>
      <c r="J6" s="113">
        <v>1.61</v>
      </c>
      <c r="K6" s="112" t="s">
        <v>496</v>
      </c>
      <c r="L6" s="113">
        <v>1738.8</v>
      </c>
      <c r="M6" s="114">
        <v>1610</v>
      </c>
      <c r="N6" s="115">
        <v>0.22359999999999999</v>
      </c>
      <c r="O6" s="116">
        <v>13.42</v>
      </c>
      <c r="P6" s="112">
        <v>617.29999999999995</v>
      </c>
      <c r="Q6" s="112">
        <v>2</v>
      </c>
      <c r="R6" s="112">
        <v>1100</v>
      </c>
      <c r="S6" s="113">
        <v>1.08</v>
      </c>
      <c r="T6" s="112">
        <v>20</v>
      </c>
      <c r="U6" s="115">
        <v>1.8200000000000001E-2</v>
      </c>
      <c r="V6" s="112" t="s">
        <v>29</v>
      </c>
      <c r="W6" s="112" t="s">
        <v>28</v>
      </c>
      <c r="X6" s="112" t="s">
        <v>29</v>
      </c>
      <c r="Y6" s="112"/>
      <c r="Z6" s="112"/>
      <c r="AA6" s="112">
        <v>3</v>
      </c>
      <c r="AB6" s="112" t="s">
        <v>497</v>
      </c>
    </row>
    <row r="7" spans="1:28" s="51" customFormat="1" ht="25.05" customHeight="1" x14ac:dyDescent="0.3">
      <c r="A7" s="109">
        <v>5</v>
      </c>
      <c r="B7" s="111" t="s">
        <v>126</v>
      </c>
      <c r="C7" s="112" t="s">
        <v>35</v>
      </c>
      <c r="D7" s="112" t="s">
        <v>482</v>
      </c>
      <c r="E7" s="112" t="s">
        <v>27</v>
      </c>
      <c r="F7" s="112">
        <v>262825</v>
      </c>
      <c r="G7" s="112" t="s">
        <v>481</v>
      </c>
      <c r="H7" s="112">
        <v>1175</v>
      </c>
      <c r="I7" s="113">
        <v>0.49199999999999999</v>
      </c>
      <c r="J7" s="113">
        <v>0.87</v>
      </c>
      <c r="K7" s="112" t="s">
        <v>480</v>
      </c>
      <c r="L7" s="113">
        <v>502.947</v>
      </c>
      <c r="M7" s="114">
        <v>511.1</v>
      </c>
      <c r="N7" s="115">
        <v>7.0999999999999994E-2</v>
      </c>
      <c r="O7" s="116">
        <v>4.26</v>
      </c>
      <c r="P7" s="112">
        <v>158.4</v>
      </c>
      <c r="Q7" s="112">
        <v>2</v>
      </c>
      <c r="R7" s="112">
        <v>1050</v>
      </c>
      <c r="S7" s="113">
        <v>0.98399999999999999</v>
      </c>
      <c r="T7" s="112">
        <v>66</v>
      </c>
      <c r="U7" s="115">
        <v>6.2899999999999998E-2</v>
      </c>
      <c r="V7" s="112" t="s">
        <v>28</v>
      </c>
      <c r="W7" s="112" t="s">
        <v>28</v>
      </c>
      <c r="X7" s="112" t="s">
        <v>28</v>
      </c>
      <c r="Y7" s="112" t="s">
        <v>27</v>
      </c>
      <c r="Z7" s="112" t="s">
        <v>27</v>
      </c>
      <c r="AA7" s="112" t="s">
        <v>38</v>
      </c>
      <c r="AB7" s="112" t="s">
        <v>479</v>
      </c>
    </row>
    <row r="8" spans="1:28" s="51" customFormat="1" ht="25.05" customHeight="1" x14ac:dyDescent="0.3">
      <c r="A8" s="118" t="s">
        <v>27</v>
      </c>
      <c r="B8" s="118" t="s">
        <v>27</v>
      </c>
      <c r="C8" s="118" t="s">
        <v>27</v>
      </c>
      <c r="D8" s="118" t="s">
        <v>27</v>
      </c>
      <c r="E8" s="118" t="s">
        <v>27</v>
      </c>
      <c r="F8" s="118" t="s">
        <v>27</v>
      </c>
      <c r="G8" s="118" t="s">
        <v>27</v>
      </c>
      <c r="H8" s="118">
        <v>1825</v>
      </c>
      <c r="I8" s="118" t="s">
        <v>27</v>
      </c>
      <c r="J8" s="118" t="s">
        <v>27</v>
      </c>
      <c r="K8" s="118" t="s">
        <v>27</v>
      </c>
      <c r="L8" s="118" t="s">
        <v>27</v>
      </c>
      <c r="M8" s="118" t="s">
        <v>27</v>
      </c>
      <c r="N8" s="118" t="s">
        <v>27</v>
      </c>
      <c r="O8" s="118" t="s">
        <v>27</v>
      </c>
      <c r="P8" s="118">
        <v>390.3</v>
      </c>
      <c r="Q8" s="118" t="s">
        <v>27</v>
      </c>
      <c r="R8" s="118" t="s">
        <v>27</v>
      </c>
      <c r="S8" s="118" t="s">
        <v>27</v>
      </c>
      <c r="T8" s="118" t="s">
        <v>27</v>
      </c>
      <c r="U8" s="118" t="s">
        <v>27</v>
      </c>
      <c r="V8" s="118" t="s">
        <v>27</v>
      </c>
      <c r="W8" s="118" t="s">
        <v>27</v>
      </c>
      <c r="X8" s="118" t="s">
        <v>27</v>
      </c>
      <c r="Y8" s="118" t="s">
        <v>27</v>
      </c>
      <c r="Z8" s="118" t="s">
        <v>27</v>
      </c>
      <c r="AA8" s="118" t="s">
        <v>27</v>
      </c>
      <c r="AB8" s="118" t="s">
        <v>27</v>
      </c>
    </row>
    <row r="9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50" t="s">
        <v>478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54" t="s">
        <v>477</v>
      </c>
      <c r="B1" s="154" t="s">
        <v>27</v>
      </c>
      <c r="C1" s="154" t="s">
        <v>27</v>
      </c>
      <c r="D1" s="154" t="s">
        <v>27</v>
      </c>
      <c r="E1" s="154" t="s">
        <v>27</v>
      </c>
      <c r="F1" s="154" t="s">
        <v>27</v>
      </c>
      <c r="G1" s="154" t="s">
        <v>27</v>
      </c>
      <c r="H1" s="154" t="s">
        <v>27</v>
      </c>
      <c r="I1" s="154" t="s">
        <v>27</v>
      </c>
      <c r="J1" s="154" t="s">
        <v>27</v>
      </c>
      <c r="K1" s="154" t="s">
        <v>27</v>
      </c>
      <c r="L1" s="154" t="s">
        <v>27</v>
      </c>
      <c r="M1" s="154" t="s">
        <v>27</v>
      </c>
      <c r="N1" s="154" t="s">
        <v>27</v>
      </c>
      <c r="O1" s="154" t="s">
        <v>27</v>
      </c>
      <c r="P1" s="154" t="s">
        <v>27</v>
      </c>
      <c r="Q1" s="154" t="s">
        <v>27</v>
      </c>
      <c r="R1" s="154" t="s">
        <v>27</v>
      </c>
      <c r="S1" s="154" t="s">
        <v>27</v>
      </c>
      <c r="T1" s="154" t="s">
        <v>27</v>
      </c>
      <c r="U1" s="154" t="s">
        <v>27</v>
      </c>
      <c r="V1" s="154" t="s">
        <v>27</v>
      </c>
      <c r="W1" s="154" t="s">
        <v>27</v>
      </c>
      <c r="X1" s="154" t="s">
        <v>27</v>
      </c>
      <c r="Y1" s="154" t="s">
        <v>27</v>
      </c>
      <c r="Z1" s="154" t="s">
        <v>27</v>
      </c>
      <c r="AA1" s="154" t="s">
        <v>27</v>
      </c>
      <c r="AB1" s="154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55" t="s">
        <v>458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13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55" t="s">
        <v>395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tabSelected="1"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59" t="s">
        <v>596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54" t="s">
        <v>364</v>
      </c>
      <c r="B1" s="154" t="s">
        <v>27</v>
      </c>
      <c r="C1" s="154" t="s">
        <v>27</v>
      </c>
      <c r="D1" s="154" t="s">
        <v>27</v>
      </c>
      <c r="E1" s="154" t="s">
        <v>27</v>
      </c>
      <c r="F1" s="154" t="s">
        <v>27</v>
      </c>
      <c r="G1" s="154" t="s">
        <v>27</v>
      </c>
      <c r="H1" s="154" t="s">
        <v>27</v>
      </c>
      <c r="I1" s="154" t="s">
        <v>27</v>
      </c>
      <c r="J1" s="154" t="s">
        <v>27</v>
      </c>
      <c r="K1" s="154" t="s">
        <v>27</v>
      </c>
      <c r="L1" s="154" t="s">
        <v>27</v>
      </c>
      <c r="M1" s="154" t="s">
        <v>27</v>
      </c>
      <c r="N1" s="154" t="s">
        <v>27</v>
      </c>
      <c r="O1" s="154" t="s">
        <v>27</v>
      </c>
      <c r="P1" s="154" t="s">
        <v>27</v>
      </c>
      <c r="Q1" s="154" t="s">
        <v>27</v>
      </c>
      <c r="R1" s="154" t="s">
        <v>27</v>
      </c>
      <c r="S1" s="154" t="s">
        <v>27</v>
      </c>
      <c r="T1" s="154" t="s">
        <v>27</v>
      </c>
      <c r="U1" s="154" t="s">
        <v>27</v>
      </c>
      <c r="V1" s="154" t="s">
        <v>27</v>
      </c>
      <c r="W1" s="154" t="s">
        <v>27</v>
      </c>
      <c r="X1" s="154" t="s">
        <v>27</v>
      </c>
      <c r="Y1" s="154" t="s">
        <v>27</v>
      </c>
      <c r="Z1" s="154" t="s">
        <v>27</v>
      </c>
      <c r="AA1" s="154" t="s">
        <v>27</v>
      </c>
      <c r="AB1" s="154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55" t="s">
        <v>321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workbookViewId="0">
      <selection sqref="A1:AB11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55" t="s">
        <v>296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sqref="A1:AB7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55" t="s">
        <v>278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55" t="s">
        <v>264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51" t="s">
        <v>247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172" zoomScaleNormal="172" workbookViewId="0">
      <selection activeCell="S19" sqref="S19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55" t="s">
        <v>234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440</v>
      </c>
      <c r="E13" s="91" t="s">
        <v>27</v>
      </c>
      <c r="F13" s="91">
        <v>262773</v>
      </c>
      <c r="G13" s="91" t="s">
        <v>439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8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55" t="s">
        <v>228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55" t="s">
        <v>218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55" t="s">
        <v>235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50" t="s">
        <v>181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50" t="s">
        <v>173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55" t="s">
        <v>143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55" t="s">
        <v>139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54" t="s">
        <v>123</v>
      </c>
      <c r="B1" s="154" t="s">
        <v>27</v>
      </c>
      <c r="C1" s="154" t="s">
        <v>27</v>
      </c>
      <c r="D1" s="154" t="s">
        <v>27</v>
      </c>
      <c r="E1" s="154" t="s">
        <v>27</v>
      </c>
      <c r="F1" s="154" t="s">
        <v>27</v>
      </c>
      <c r="G1" s="154" t="s">
        <v>27</v>
      </c>
      <c r="H1" s="154" t="s">
        <v>27</v>
      </c>
      <c r="I1" s="154" t="s">
        <v>27</v>
      </c>
      <c r="J1" s="154" t="s">
        <v>27</v>
      </c>
      <c r="K1" s="154" t="s">
        <v>27</v>
      </c>
      <c r="L1" s="154" t="s">
        <v>27</v>
      </c>
      <c r="M1" s="154" t="s">
        <v>27</v>
      </c>
      <c r="N1" s="154" t="s">
        <v>27</v>
      </c>
      <c r="O1" s="154" t="s">
        <v>27</v>
      </c>
      <c r="P1" s="154" t="s">
        <v>27</v>
      </c>
      <c r="Q1" s="154" t="s">
        <v>27</v>
      </c>
      <c r="R1" s="154" t="s">
        <v>27</v>
      </c>
      <c r="S1" s="154" t="s">
        <v>27</v>
      </c>
      <c r="T1" s="154" t="s">
        <v>27</v>
      </c>
      <c r="U1" s="154" t="s">
        <v>27</v>
      </c>
      <c r="V1" s="154" t="s">
        <v>27</v>
      </c>
      <c r="W1" s="154" t="s">
        <v>27</v>
      </c>
      <c r="X1" s="154" t="s">
        <v>27</v>
      </c>
      <c r="Y1" s="154" t="s">
        <v>27</v>
      </c>
      <c r="Z1" s="154" t="s">
        <v>27</v>
      </c>
      <c r="AA1" s="154" t="s">
        <v>27</v>
      </c>
      <c r="AB1" s="154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56" t="s">
        <v>105</v>
      </c>
      <c r="B1" s="156" t="s">
        <v>27</v>
      </c>
      <c r="C1" s="156" t="s">
        <v>27</v>
      </c>
      <c r="D1" s="156" t="s">
        <v>27</v>
      </c>
      <c r="E1" s="156" t="s">
        <v>27</v>
      </c>
      <c r="F1" s="156" t="s">
        <v>27</v>
      </c>
      <c r="G1" s="156" t="s">
        <v>27</v>
      </c>
      <c r="H1" s="156" t="s">
        <v>27</v>
      </c>
      <c r="I1" s="156" t="s">
        <v>27</v>
      </c>
      <c r="J1" s="156" t="s">
        <v>27</v>
      </c>
      <c r="K1" s="156" t="s">
        <v>27</v>
      </c>
      <c r="L1" s="156" t="s">
        <v>27</v>
      </c>
      <c r="M1" s="156" t="s">
        <v>27</v>
      </c>
      <c r="N1" s="156" t="s">
        <v>27</v>
      </c>
      <c r="O1" s="156" t="s">
        <v>27</v>
      </c>
      <c r="P1" s="156" t="s">
        <v>27</v>
      </c>
      <c r="Q1" s="156" t="s">
        <v>27</v>
      </c>
      <c r="R1" s="156" t="s">
        <v>27</v>
      </c>
      <c r="S1" s="156" t="s">
        <v>27</v>
      </c>
      <c r="T1" s="156" t="s">
        <v>27</v>
      </c>
      <c r="U1" s="156" t="s">
        <v>27</v>
      </c>
      <c r="V1" s="156" t="s">
        <v>27</v>
      </c>
      <c r="W1" s="156" t="s">
        <v>27</v>
      </c>
      <c r="X1" s="156" t="s">
        <v>27</v>
      </c>
      <c r="Y1" s="156" t="s">
        <v>27</v>
      </c>
      <c r="Z1" s="156" t="s">
        <v>27</v>
      </c>
      <c r="AA1" s="156" t="s">
        <v>27</v>
      </c>
      <c r="AB1" s="156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57" t="s">
        <v>80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30</vt:i4>
      </vt:variant>
    </vt:vector>
  </HeadingPairs>
  <TitlesOfParts>
    <vt:vector size="30" baseType="lpstr">
      <vt:lpstr>IPE EMBALAGENS LTDA 1254</vt:lpstr>
      <vt:lpstr>RR STELLA 1253</vt:lpstr>
      <vt:lpstr>FAVINCO EMBALAGENS 1252</vt:lpstr>
      <vt:lpstr>DR EMBALAGENS 1250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2026-10-05T17:41:27Z</cp:lastPrinted>
  <dcterms:created xsi:type="dcterms:W3CDTF">2026-07-02T17:42:15Z</dcterms:created>
  <dcterms:modified xsi:type="dcterms:W3CDTF">2026-10-05T18:34:28Z</dcterms:modified>
</cp:coreProperties>
</file>