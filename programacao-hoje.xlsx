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F95541B-AF8D-44D4-89F0-5E77E9120867}" xr6:coauthVersionLast="47" xr6:coauthVersionMax="47" xr10:uidLastSave="{00000000-0000-0000-0000-000000000000}"/>
  <bookViews>
    <workbookView xWindow="-38510" yWindow="-10830" windowWidth="38620" windowHeight="21100" activeTab="11" xr2:uid="{00000000-000D-0000-FFFF-FFFF00000000}"/>
  </bookViews>
  <sheets>
    <sheet name="Renovapel 1235" sheetId="171" r:id="rId1"/>
    <sheet name="PCBOX EMBALAGENS LTDA 1233" sheetId="170" r:id="rId2"/>
    <sheet name="RM Embalagens 1232" sheetId="169" r:id="rId3"/>
    <sheet name="HARMONY EMBALAGENS 1231 P" sheetId="168" r:id="rId4"/>
    <sheet name="FAVINCO 1229" sheetId="167" r:id="rId5"/>
    <sheet name="RM Embalagens P" sheetId="166" r:id="rId6"/>
    <sheet name="PCBOX EMBALAGENS LTDA 1222" sheetId="164" r:id="rId7"/>
    <sheet name="FORBOX 1220" sheetId="163" r:id="rId8"/>
    <sheet name="HARMONY EMBALAGENS 1217 P" sheetId="162" r:id="rId9"/>
    <sheet name="Z4A EMBALAGENS LTDA 1216" sheetId="161" r:id="rId10"/>
    <sheet name="Tolecaixas 1215" sheetId="160" r:id="rId11"/>
    <sheet name="ABAPEL 1213" sheetId="159" r:id="rId12"/>
    <sheet name="IPE - PCBOX 1212 P" sheetId="158" r:id="rId13"/>
    <sheet name="Z4A EMBALAGENS LTDA 1210 P" sheetId="157" r:id="rId14"/>
    <sheet name="RM Embalagens 1209 P" sheetId="156" r:id="rId15"/>
    <sheet name="ABAPEL 1201 P" sheetId="153" r:id="rId16"/>
    <sheet name="HARMONY EMBALAGENS 1200 P" sheetId="152" r:id="rId17"/>
    <sheet name="FAVINCO EMBALAGENS 1197 P" sheetId="150" r:id="rId18"/>
    <sheet name="ABAPEL 1196 P" sheetId="149" r:id="rId19"/>
    <sheet name="RM Embalagens 1184 P" sheetId="141" r:id="rId20"/>
    <sheet name="HARMONY EMBALAGENS 1180 P" sheetId="137" r:id="rId21"/>
    <sheet name="Carpel 1158 P" sheetId="119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<sst xmlns="http://schemas.openxmlformats.org/spreadsheetml/2006/main" count="4290" uniqueCount="459">
  <si>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</si>
  <si>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</si>
  <si>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</si>
  <si>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</si>
  <si>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</si>
  <si>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</si>
  <si>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</si>
  <si>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</si>
  <si>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</si>
  <si>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</si>
  <si>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</si>
  <si>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</si>
  <si>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</si>
  <si>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</si>
  <si>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</si>
  <si>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</si>
  <si>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</si>
  <si>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</si>
  <si>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</si>
  <si>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</si>
  <si>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</si>
  <si>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</si>
  <si>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</si>
  <si>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</si>
  <si>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</si>
  <si>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</si>
  <si>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</si>
  <si>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</si>
  <si>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</si>
  <si>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</si>
  <si>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</si>
  <si>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</si>
  <si>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</si>
  <si>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</si>
  <si>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</si>
  <si>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</si>
  <si>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</si>
  <si>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</si>
  <si>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</si>
  <si>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</si>
  <si>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</si>
  <si>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</si>
  <si>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</si>
  <si>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</si>
  <si>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</si>
  <si>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</si>
  <si>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</si>
  <si>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</si>
  <si>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</si>
  <si>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</si>
  <si>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</si>
  <si>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</si>
  <si>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</si>
  <si>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</si>
  <si>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</si>
  <si>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</si>
  <si>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</si>
  <si>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</si>
  <si>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</si>
  <si>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</si>
  <si>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</si>
  <si>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</si>
  <si>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</si>
  <si>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</si>
  <si>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</si>
  <si>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</si>
  <si>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</si>
  <si>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</si>
  <si>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</si>
  <si>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</si>
  <si>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</si>
  <si>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</si>
  <si>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</si>
  <si>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</si>
  <si>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</si>
  <si>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</si>
  <si>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</si>
  <si>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</si>
  <si>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</si>
  <si>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</si>
  <si>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</si>
  <si>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</si>
  <si>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</si>
  <si>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</si>
  <si>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</si>
  <si>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</si>
  <si>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</si>
  <si>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</si>
  <si>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</si>
  <si>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</si>
  <si>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</si>
  <si>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</si>
  <si>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</si>
  <si>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</si>
  <si>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</si>
  <si>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</si>
  <si>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</si>
  <si>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</si>
  <si>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</si>
  <si>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</si>
  <si>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</si>
  <si>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</si>
  <si>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</si>
  <si>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</si>
  <si>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</si>
  <si>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</si>
  <si>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</si>
  <si>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</si>
  <si>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</si>
  <si>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</si>
  <si>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</si>
  <si>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</si>
  <si>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</si>
  <si>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</si>
  <si>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</si>
  <si>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</si>
  <si>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</si>
  <si>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</si>
  <si>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</si>
  <si>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</si>
  <si>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</si>
  <si>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</si>
  <si>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</si>
  <si>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</si>
  <si>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</si>
  <si>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</si>
  <si>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</si>
  <si>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</si>
  <si>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</si>
  <si>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</si>
  <si>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</si>
  <si>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</si>
  <si>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</si>
  <si>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</si>
  <si>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</si>
  <si>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</si>
  <si>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</si>
  <si>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</si>
  <si>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</si>
  <si>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</si>
  <si>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</si>
  <si>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</si>
  <si>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</si>
  <si>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</si>
  <si>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</si>
  <si>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</si>
  <si>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</si>
  <si>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</si>
  <si>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</si>
  <si>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</si>
  <si>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</si>
  <si>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</si>
  <si>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</si>
  <si>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</si>
  <si>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</si>
  <si>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</si>
  <si>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</si>
  <si>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</si>
  <si>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</si>
  <si>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</si>
  <si>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</si>
  <si>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</si>
  <si>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</si>
  <si>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</si>
  <si>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</si>
  <si>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</si>
  <si>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</si>
  <si>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</si>
  <si>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</si>
  <si>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</si>
  <si>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</si>
  <si>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</si>
  <si>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</si>
  <si>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</si>
  <si>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</si>
  <si>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</si>
  <si>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</si>
  <si>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</si>
  <si>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</si>
  <si>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</si>
  <si>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</si>
  <si>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</si>
  <si>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</si>
  <si>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</si>
  <si>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</si>
  <si>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</si>
  <si>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</si>
  <si>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</si>
  <si>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</si>
  <si>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</si>
  <si>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</si>
  <si>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</si>
  <si>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</si>
  <si>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</si>
  <si>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</si>
  <si>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</si>
  <si>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</si>
  <si>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</si>
  <si>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</si>
  <si>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</si>
  <si>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</si>
  <si>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</si>
  <si>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</si>
  <si>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</si>
  <si>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</si>
  <si>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</si>
  <si>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</si>
  <si>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</si>
  <si>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</si>
  <si>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</si>
  <si>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</si>
  <si>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</si>
  <si>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</si>
  <si>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</si>
  <si>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</si>
  <si>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</si>
  <si>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</si>
  <si>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</si>
  <si>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</si>
  <si>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</si>
  <si>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</si>
  <si>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</si>
  <si>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</si>
  <si>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</si>
  <si>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</si>
  <si>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</si>
  <si>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</si>
  <si>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</si>
  <si>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</si>
  <si>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</si>
  <si>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</si>
  <si>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</si>
  <si>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</si>
  <si>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</si>
  <si>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</si>
  <si>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</si>
  <si>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</si>
  <si>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</si>
  <si>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</si>
  <si>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</si>
  <si>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</si>
  <si>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</si>
  <si>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</si>
  <si>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</si>
  <si>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</si>
  <si>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</si>
  <si>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</si>
  <si>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</si>
  <si>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</si>
  <si>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</si>
  <si>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</si>
  <si>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</si>
  <si>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</si>
  <si>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</si>
  <si>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</si>
  <si>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</si>
  <si>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</si>
  <si>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</si>
  <si>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</si>
  <si>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</si>
  <si>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</si>
  <si>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</si>
  <si>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</si>
  <si>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</si>
  <si>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</si>
  <si>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</si>
  <si>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</si>
  <si>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</si>
  <si>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</si>
  <si>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</si>
  <si>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</si>
  <si>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</si>
  <si>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</si>
  <si>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</si>
  <si>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</si>
  <si>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</si>
  <si>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</si>
  <si>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</si>
  <si>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</si>
  <si>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</si>
  <si>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</si>
  <si>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</si>
  <si>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</si>
  <si>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</si>
  <si>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</si>
  <si>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</si>
  <si>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</si>
  <si>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</si>
  <si>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</si>
  <si>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</si>
  <si>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</si>
  <si>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</si>
  <si>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</si>
  <si>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</si>
  <si>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</si>
  <si>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</si>
  <si>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</si>
  <si>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</si>
  <si>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</si>
  <si>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</si>
  <si>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</si>
  <si>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</si>
  <si>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</si>
  <si>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</si>
  <si>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</si>
  <si>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</si>
  <si>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</si>
  <si>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</si>
  <si>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</si>
  <si>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</si>
  <si>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</si>
  <si>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</si>
  <si>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</si>
  <si>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</si>
  <si>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</si>
  <si>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</si>
  <si>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</si>
  <si>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</si>
  <si>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</si>
  <si>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</si>
  <si>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</si>
  <si>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</si>
  <si>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</si>
  <si>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</si>
  <si>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</si>
  <si>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</si>
  <si>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</si>
  <si>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</si>
  <si>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</si>
  <si>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</si>
  <si>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</si>
  <si>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</si>
  <si>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817x1507</t>
  </si>
  <si>
    <t>PROGRAMAÇÃO ONDULADEIRA - FAVINCO  —  OF: 001229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</si>
  <si>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</si>
  <si>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</si>
  <si>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</si>
  <si>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</si>
  <si>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</si>
  <si>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</si>
  <si>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</si>
  <si>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</si>
  <si>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</si>
  <si>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</si>
  <si>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</si>
  <si>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</si>
  <si>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</si>
  <si>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</si>
  <si>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</si>
  <si>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</si>
  <si>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</si>
  <si>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</si>
  <si>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</si>
  <si>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</si>
  <si>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</si>
  <si>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</si>
  <si>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</si>
  <si>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</si>
  <si>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</si>
  <si>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</si>
  <si>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</si>
  <si>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</si>
  <si>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</si>
  <si>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</si>
  <si>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</si>
  <si>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</si>
  <si>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</si>
  <si>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</si>
  <si>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</si>
  <si>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</si>
  <si>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</si>
  <si>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</si>
  <si>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</si>
  <si>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</si>
  <si>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</si>
  <si>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</si>
  <si>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</si>
  <si>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</si>
  <si>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</si>
  <si>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</si>
  <si>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</si>
  <si>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</si>
  <si>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</si>
  <si>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</si>
  <si>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</si>
  <si>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</si>
  <si>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</si>
  <si>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</si>
  <si>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</si>
  <si>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</si>
  <si>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</si>
  <si>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</si>
  <si>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</si>
  <si>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</si>
  <si>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</si>
  <si>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</si>
  <si>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</si>
  <si>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</si>
  <si>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</si>
  <si>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</si>
  <si>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</si>
  <si>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</si>
  <si>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</si>
  <si>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</si>
  <si>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</si>
  <si>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</si>
  <si>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</si>
  <si>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</si>
  <si>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</si>
  <si>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</si>
  <si>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</si>
  <si>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</si>
  <si>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</si>
  <si>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</si>
  <si>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</si>
  <si>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</si>
  <si>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</si>
  <si>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</si>
  <si>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</si>
  <si>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</si>
  <si>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</si>
  <si>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</si>
  <si>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</si>
  <si>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</si>
  <si>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</si>
  <si>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</si>
  <si>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</si>
  <si>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</si>
  <si>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</si>
  <si>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</si>
  <si>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</si>
  <si>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</si>
  <si>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</si>
  <si>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</si>
  <si>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</si>
  <si>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</si>
  <si>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</si>
  <si>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</si>
  <si>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</si>
  <si>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</si>
  <si>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</si>
  <si>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</si>
  <si>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</si>
  <si>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</si>
  <si>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1044x1395</t>
  </si>
  <si>
    <t>131x250x131</t>
  </si>
  <si>
    <t>PROGRAMAÇÃO ONDULADEIRA - Renovapel Reciclagem de Papeis Ltda  —  OF: 001235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</si>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</sst>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6" fillId="0" borderId="0" xfId="1" applyFont="1"/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578D-F32C-4857-81F8-50D424887109}">
  <dimension ref="A1:AB22"/>
  <sheetViews>
    <sheetView workbookViewId="0">
      <selection activeCell="V24" sqref="V2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9.5546875" style="33" customWidth="1"/>
    <col min="6" max="6" width="7.21875" style="33" customWidth="1"/>
    <col min="7" max="7" width="4.88671875" style="33" customWidth="1"/>
    <col min="8" max="8" width="7" style="33" customWidth="1"/>
    <col min="9" max="10" width="6.44140625" style="33" customWidth="1"/>
    <col min="11" max="11" width="13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88671875" style="33" customWidth="1"/>
    <col min="18" max="18" width="5.3320312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6.88671875" style="33" customWidth="1"/>
    <col min="23" max="23" width="8.109375" style="33" customWidth="1"/>
    <col min="24" max="24" width="7.6640625" style="33" customWidth="1"/>
    <col min="25" max="25" width="6.44140625" style="33" customWidth="1"/>
    <col min="26" max="26" width="5.6640625" style="33" customWidth="1"/>
    <col min="27" max="27" width="4.3320312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1" t="s">
        <v>446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410</v>
      </c>
      <c r="C3" s="45" t="s">
        <v>443</v>
      </c>
      <c r="D3" s="45" t="s">
        <v>409</v>
      </c>
      <c r="E3" s="45" t="s">
        <v>27</v>
      </c>
      <c r="F3" s="45">
        <v>262743</v>
      </c>
      <c r="G3" s="45" t="s">
        <v>408</v>
      </c>
      <c r="H3" s="45">
        <v>600</v>
      </c>
      <c r="I3" s="47">
        <v>0.51200000000000001</v>
      </c>
      <c r="J3" s="47">
        <v>1.375</v>
      </c>
      <c r="K3" s="45" t="s">
        <v>445</v>
      </c>
      <c r="L3" s="47">
        <v>422.4</v>
      </c>
      <c r="M3" s="48">
        <v>275</v>
      </c>
      <c r="N3" s="49">
        <v>2.5499999999999998E-2</v>
      </c>
      <c r="O3" s="50">
        <v>1.53</v>
      </c>
      <c r="P3" s="45">
        <v>198.5</v>
      </c>
      <c r="Q3" s="45">
        <v>3</v>
      </c>
      <c r="R3" s="45">
        <v>1600</v>
      </c>
      <c r="S3" s="47">
        <v>1.536</v>
      </c>
      <c r="T3" s="45">
        <v>64</v>
      </c>
      <c r="U3" s="49">
        <v>0.04</v>
      </c>
      <c r="V3" s="45" t="s">
        <v>441</v>
      </c>
      <c r="W3" s="45" t="s">
        <v>41</v>
      </c>
      <c r="X3" s="45" t="s">
        <v>441</v>
      </c>
      <c r="Y3" s="45" t="s">
        <v>27</v>
      </c>
      <c r="Z3" s="45" t="s">
        <v>27</v>
      </c>
      <c r="AA3" s="45" t="s">
        <v>38</v>
      </c>
      <c r="AB3" s="45" t="s">
        <v>444</v>
      </c>
    </row>
    <row r="4" spans="1:28" s="51" customFormat="1" x14ac:dyDescent="0.3">
      <c r="A4" s="45">
        <v>2</v>
      </c>
      <c r="B4" s="46" t="s">
        <v>410</v>
      </c>
      <c r="C4" s="45" t="s">
        <v>443</v>
      </c>
      <c r="D4" s="45" t="s">
        <v>409</v>
      </c>
      <c r="E4" s="45" t="s">
        <v>27</v>
      </c>
      <c r="F4" s="45">
        <v>262744</v>
      </c>
      <c r="G4" s="45" t="s">
        <v>408</v>
      </c>
      <c r="H4" s="45">
        <v>500</v>
      </c>
      <c r="I4" s="47">
        <v>0.66200000000000003</v>
      </c>
      <c r="J4" s="47">
        <v>1.7150000000000001</v>
      </c>
      <c r="K4" s="45" t="s">
        <v>442</v>
      </c>
      <c r="L4" s="47">
        <v>567.66499999999996</v>
      </c>
      <c r="M4" s="48">
        <v>428.8</v>
      </c>
      <c r="N4" s="49">
        <v>5.9499999999999997E-2</v>
      </c>
      <c r="O4" s="50">
        <v>3.57</v>
      </c>
      <c r="P4" s="45">
        <v>266.8</v>
      </c>
      <c r="Q4" s="45">
        <v>2</v>
      </c>
      <c r="R4" s="45">
        <v>1350</v>
      </c>
      <c r="S4" s="47">
        <v>1.3240000000000001</v>
      </c>
      <c r="T4" s="45">
        <v>26</v>
      </c>
      <c r="U4" s="49">
        <v>1.9300000000000001E-2</v>
      </c>
      <c r="V4" s="45" t="s">
        <v>441</v>
      </c>
      <c r="W4" s="45" t="s">
        <v>41</v>
      </c>
      <c r="X4" s="45" t="s">
        <v>441</v>
      </c>
      <c r="Y4" s="45" t="s">
        <v>27</v>
      </c>
      <c r="Z4" s="45" t="s">
        <v>27</v>
      </c>
      <c r="AA4" s="45" t="s">
        <v>32</v>
      </c>
      <c r="AB4" s="45" t="s">
        <v>440</v>
      </c>
    </row>
    <row r="5" spans="1:28" s="51" customFormat="1" x14ac:dyDescent="0.3">
      <c r="A5" s="45">
        <v>3</v>
      </c>
      <c r="B5" s="46" t="s">
        <v>410</v>
      </c>
      <c r="C5" s="45" t="s">
        <v>81</v>
      </c>
      <c r="D5" s="45" t="s">
        <v>409</v>
      </c>
      <c r="E5" s="45" t="s">
        <v>27</v>
      </c>
      <c r="F5" s="45">
        <v>262751</v>
      </c>
      <c r="G5" s="45" t="s">
        <v>408</v>
      </c>
      <c r="H5" s="45">
        <v>300</v>
      </c>
      <c r="I5" s="47">
        <v>0.36299999999999999</v>
      </c>
      <c r="J5" s="47">
        <v>0.95499999999999996</v>
      </c>
      <c r="K5" s="45" t="s">
        <v>439</v>
      </c>
      <c r="L5" s="47">
        <v>103.999</v>
      </c>
      <c r="M5" s="48">
        <v>71.599999999999994</v>
      </c>
      <c r="N5" s="49">
        <v>5.0000000000000001E-3</v>
      </c>
      <c r="O5" s="50">
        <v>0.3</v>
      </c>
      <c r="P5" s="45">
        <v>38</v>
      </c>
      <c r="Q5" s="45">
        <v>4</v>
      </c>
      <c r="R5" s="45">
        <v>1500</v>
      </c>
      <c r="S5" s="47">
        <v>1.452</v>
      </c>
      <c r="T5" s="45">
        <v>48</v>
      </c>
      <c r="U5" s="49">
        <v>3.2000000000000001E-2</v>
      </c>
      <c r="V5" s="45" t="s">
        <v>41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438</v>
      </c>
    </row>
    <row r="6" spans="1:28" s="51" customFormat="1" x14ac:dyDescent="0.3">
      <c r="A6" s="45">
        <v>4</v>
      </c>
      <c r="B6" s="46" t="s">
        <v>410</v>
      </c>
      <c r="C6" s="45" t="s">
        <v>81</v>
      </c>
      <c r="D6" s="45" t="s">
        <v>409</v>
      </c>
      <c r="E6" s="45" t="s">
        <v>27</v>
      </c>
      <c r="F6" s="45">
        <v>262745</v>
      </c>
      <c r="G6" s="45" t="s">
        <v>408</v>
      </c>
      <c r="H6" s="45">
        <v>400</v>
      </c>
      <c r="I6" s="47">
        <v>0.48199999999999998</v>
      </c>
      <c r="J6" s="47">
        <v>1.095</v>
      </c>
      <c r="K6" s="45" t="s">
        <v>437</v>
      </c>
      <c r="L6" s="47">
        <v>211.11600000000001</v>
      </c>
      <c r="M6" s="48">
        <v>146</v>
      </c>
      <c r="N6" s="49">
        <v>1.35E-2</v>
      </c>
      <c r="O6" s="50">
        <v>0.81</v>
      </c>
      <c r="P6" s="45">
        <v>77.099999999999994</v>
      </c>
      <c r="Q6" s="45">
        <v>3</v>
      </c>
      <c r="R6" s="45">
        <v>1500</v>
      </c>
      <c r="S6" s="47">
        <v>1.446</v>
      </c>
      <c r="T6" s="45">
        <v>54</v>
      </c>
      <c r="U6" s="49">
        <v>3.5999999999999997E-2</v>
      </c>
      <c r="V6" s="45" t="s">
        <v>41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436</v>
      </c>
    </row>
    <row r="7" spans="1:28" s="51" customFormat="1" x14ac:dyDescent="0.3">
      <c r="A7" s="45">
        <v>5</v>
      </c>
      <c r="B7" s="46" t="s">
        <v>410</v>
      </c>
      <c r="C7" s="45" t="s">
        <v>81</v>
      </c>
      <c r="D7" s="45" t="s">
        <v>409</v>
      </c>
      <c r="E7" s="45" t="s">
        <v>27</v>
      </c>
      <c r="F7" s="45">
        <v>262757</v>
      </c>
      <c r="G7" s="45" t="s">
        <v>408</v>
      </c>
      <c r="H7" s="45">
        <v>1000</v>
      </c>
      <c r="I7" s="47">
        <v>0.35199999999999998</v>
      </c>
      <c r="J7" s="47">
        <v>0.95499999999999996</v>
      </c>
      <c r="K7" s="45" t="s">
        <v>435</v>
      </c>
      <c r="L7" s="47">
        <v>336.16</v>
      </c>
      <c r="M7" s="48">
        <v>238.8</v>
      </c>
      <c r="N7" s="49">
        <v>1.66E-2</v>
      </c>
      <c r="O7" s="50">
        <v>0.99</v>
      </c>
      <c r="P7" s="45">
        <v>122.7</v>
      </c>
      <c r="Q7" s="45">
        <v>4</v>
      </c>
      <c r="R7" s="45">
        <v>1450</v>
      </c>
      <c r="S7" s="47">
        <v>1.4079999999999999</v>
      </c>
      <c r="T7" s="45">
        <v>42</v>
      </c>
      <c r="U7" s="49">
        <v>2.9000000000000001E-2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434</v>
      </c>
    </row>
    <row r="8" spans="1:28" s="51" customFormat="1" x14ac:dyDescent="0.3">
      <c r="A8" s="45">
        <v>6</v>
      </c>
      <c r="B8" s="46" t="s">
        <v>410</v>
      </c>
      <c r="C8" s="45" t="s">
        <v>81</v>
      </c>
      <c r="D8" s="45" t="s">
        <v>409</v>
      </c>
      <c r="E8" s="45" t="s">
        <v>27</v>
      </c>
      <c r="F8" s="45">
        <v>262753</v>
      </c>
      <c r="G8" s="45" t="s">
        <v>408</v>
      </c>
      <c r="H8" s="45">
        <v>1000</v>
      </c>
      <c r="I8" s="47">
        <v>0.34799999999999998</v>
      </c>
      <c r="J8" s="47">
        <v>0.88500000000000001</v>
      </c>
      <c r="K8" s="45" t="s">
        <v>433</v>
      </c>
      <c r="L8" s="47">
        <v>307.98</v>
      </c>
      <c r="M8" s="48">
        <v>221.3</v>
      </c>
      <c r="N8" s="49">
        <v>1.54E-2</v>
      </c>
      <c r="O8" s="50">
        <v>0.92</v>
      </c>
      <c r="P8" s="45">
        <v>112.4</v>
      </c>
      <c r="Q8" s="45">
        <v>4</v>
      </c>
      <c r="R8" s="45">
        <v>1450</v>
      </c>
      <c r="S8" s="47">
        <v>1.3919999999999999</v>
      </c>
      <c r="T8" s="45">
        <v>58</v>
      </c>
      <c r="U8" s="49">
        <v>0.04</v>
      </c>
      <c r="V8" s="45" t="s">
        <v>41</v>
      </c>
      <c r="W8" s="45" t="s">
        <v>29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432</v>
      </c>
    </row>
    <row r="9" spans="1:28" s="51" customFormat="1" x14ac:dyDescent="0.3">
      <c r="A9" s="45">
        <v>7</v>
      </c>
      <c r="B9" s="46" t="s">
        <v>410</v>
      </c>
      <c r="C9" s="45" t="s">
        <v>81</v>
      </c>
      <c r="D9" s="45" t="s">
        <v>409</v>
      </c>
      <c r="E9" s="45" t="s">
        <v>27</v>
      </c>
      <c r="F9" s="45">
        <v>262754</v>
      </c>
      <c r="G9" s="45" t="s">
        <v>408</v>
      </c>
      <c r="H9" s="45">
        <v>1000</v>
      </c>
      <c r="I9" s="47">
        <v>0.33300000000000002</v>
      </c>
      <c r="J9" s="47">
        <v>0.875</v>
      </c>
      <c r="K9" s="45" t="s">
        <v>431</v>
      </c>
      <c r="L9" s="47">
        <v>291.375</v>
      </c>
      <c r="M9" s="48">
        <v>218.8</v>
      </c>
      <c r="N9" s="49">
        <v>1.52E-2</v>
      </c>
      <c r="O9" s="50">
        <v>0.91</v>
      </c>
      <c r="P9" s="45">
        <v>106.4</v>
      </c>
      <c r="Q9" s="45">
        <v>4</v>
      </c>
      <c r="R9" s="45">
        <v>1400</v>
      </c>
      <c r="S9" s="47">
        <v>1.3320000000000001</v>
      </c>
      <c r="T9" s="45">
        <v>68</v>
      </c>
      <c r="U9" s="49">
        <v>4.8599999999999997E-2</v>
      </c>
      <c r="V9" s="45" t="s">
        <v>41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430</v>
      </c>
    </row>
    <row r="10" spans="1:28" s="51" customFormat="1" x14ac:dyDescent="0.3">
      <c r="A10" s="45">
        <v>8</v>
      </c>
      <c r="B10" s="46" t="s">
        <v>410</v>
      </c>
      <c r="C10" s="45" t="s">
        <v>81</v>
      </c>
      <c r="D10" s="45" t="s">
        <v>409</v>
      </c>
      <c r="E10" s="45" t="s">
        <v>27</v>
      </c>
      <c r="F10" s="45">
        <v>262752</v>
      </c>
      <c r="G10" s="45" t="s">
        <v>408</v>
      </c>
      <c r="H10" s="45">
        <v>2300</v>
      </c>
      <c r="I10" s="47">
        <v>0.432</v>
      </c>
      <c r="J10" s="47">
        <v>1.0489999999999999</v>
      </c>
      <c r="K10" s="45" t="s">
        <v>429</v>
      </c>
      <c r="L10" s="47">
        <v>1042.2860000000001</v>
      </c>
      <c r="M10" s="48">
        <v>804.2</v>
      </c>
      <c r="N10" s="49">
        <v>7.4499999999999997E-2</v>
      </c>
      <c r="O10" s="50">
        <v>4.47</v>
      </c>
      <c r="P10" s="45">
        <v>380.4</v>
      </c>
      <c r="Q10" s="45">
        <v>3</v>
      </c>
      <c r="R10" s="45">
        <v>1350</v>
      </c>
      <c r="S10" s="47">
        <v>1.296</v>
      </c>
      <c r="T10" s="45">
        <v>54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32</v>
      </c>
      <c r="AB10" s="45" t="s">
        <v>428</v>
      </c>
    </row>
    <row r="11" spans="1:28" s="51" customFormat="1" x14ac:dyDescent="0.3">
      <c r="A11" s="45">
        <v>9</v>
      </c>
      <c r="B11" s="46" t="s">
        <v>410</v>
      </c>
      <c r="C11" s="45" t="s">
        <v>81</v>
      </c>
      <c r="D11" s="45" t="s">
        <v>409</v>
      </c>
      <c r="E11" s="45" t="s">
        <v>27</v>
      </c>
      <c r="F11" s="45">
        <v>262747</v>
      </c>
      <c r="G11" s="45" t="s">
        <v>408</v>
      </c>
      <c r="H11" s="45">
        <v>300</v>
      </c>
      <c r="I11" s="47">
        <v>0.32200000000000001</v>
      </c>
      <c r="J11" s="47">
        <v>1.145</v>
      </c>
      <c r="K11" s="45" t="s">
        <v>427</v>
      </c>
      <c r="L11" s="47">
        <v>110.607</v>
      </c>
      <c r="M11" s="48">
        <v>85.9</v>
      </c>
      <c r="N11" s="49">
        <v>6.0000000000000001E-3</v>
      </c>
      <c r="O11" s="50">
        <v>0.36</v>
      </c>
      <c r="P11" s="45">
        <v>40.4</v>
      </c>
      <c r="Q11" s="45">
        <v>4</v>
      </c>
      <c r="R11" s="45">
        <v>1350</v>
      </c>
      <c r="S11" s="47">
        <v>1.288</v>
      </c>
      <c r="T11" s="45">
        <v>62</v>
      </c>
      <c r="U11" s="49">
        <v>4.5900000000000003E-2</v>
      </c>
      <c r="V11" s="45" t="s">
        <v>41</v>
      </c>
      <c r="W11" s="45" t="s">
        <v>29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426</v>
      </c>
    </row>
    <row r="12" spans="1:28" s="51" customFormat="1" x14ac:dyDescent="0.3">
      <c r="A12" s="45">
        <v>10</v>
      </c>
      <c r="B12" s="46" t="s">
        <v>410</v>
      </c>
      <c r="C12" s="45" t="s">
        <v>81</v>
      </c>
      <c r="D12" s="45" t="s">
        <v>409</v>
      </c>
      <c r="E12" s="45" t="s">
        <v>27</v>
      </c>
      <c r="F12" s="45">
        <v>262756</v>
      </c>
      <c r="G12" s="45" t="s">
        <v>408</v>
      </c>
      <c r="H12" s="45">
        <v>1000</v>
      </c>
      <c r="I12" s="47">
        <v>0.32300000000000001</v>
      </c>
      <c r="J12" s="47">
        <v>0.76500000000000001</v>
      </c>
      <c r="K12" s="45" t="s">
        <v>425</v>
      </c>
      <c r="L12" s="47">
        <v>247.095</v>
      </c>
      <c r="M12" s="48">
        <v>191.3</v>
      </c>
      <c r="N12" s="49">
        <v>1.3299999999999999E-2</v>
      </c>
      <c r="O12" s="50">
        <v>0.8</v>
      </c>
      <c r="P12" s="45">
        <v>90.2</v>
      </c>
      <c r="Q12" s="45">
        <v>4</v>
      </c>
      <c r="R12" s="45">
        <v>1350</v>
      </c>
      <c r="S12" s="47">
        <v>1.292</v>
      </c>
      <c r="T12" s="45">
        <v>58</v>
      </c>
      <c r="U12" s="49">
        <v>4.2999999999999997E-2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424</v>
      </c>
    </row>
    <row r="13" spans="1:28" s="51" customFormat="1" x14ac:dyDescent="0.3">
      <c r="A13" s="45">
        <v>11</v>
      </c>
      <c r="B13" s="46" t="s">
        <v>410</v>
      </c>
      <c r="C13" s="45" t="s">
        <v>81</v>
      </c>
      <c r="D13" s="45" t="s">
        <v>409</v>
      </c>
      <c r="E13" s="45" t="s">
        <v>27</v>
      </c>
      <c r="F13" s="45">
        <v>262748</v>
      </c>
      <c r="G13" s="45" t="s">
        <v>408</v>
      </c>
      <c r="H13" s="45">
        <v>300</v>
      </c>
      <c r="I13" s="47">
        <v>0.41699999999999998</v>
      </c>
      <c r="J13" s="47">
        <v>1.3149999999999999</v>
      </c>
      <c r="K13" s="45" t="s">
        <v>423</v>
      </c>
      <c r="L13" s="47">
        <v>164.506</v>
      </c>
      <c r="M13" s="48">
        <v>131.5</v>
      </c>
      <c r="N13" s="49">
        <v>1.2200000000000001E-2</v>
      </c>
      <c r="O13" s="50">
        <v>0.73</v>
      </c>
      <c r="P13" s="45">
        <v>60</v>
      </c>
      <c r="Q13" s="45">
        <v>3</v>
      </c>
      <c r="R13" s="45">
        <v>1300</v>
      </c>
      <c r="S13" s="47">
        <v>1.2509999999999999</v>
      </c>
      <c r="T13" s="45">
        <v>49</v>
      </c>
      <c r="U13" s="49">
        <v>3.7699999999999997E-2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422</v>
      </c>
    </row>
    <row r="14" spans="1:28" s="51" customFormat="1" x14ac:dyDescent="0.3">
      <c r="A14" s="45">
        <v>12</v>
      </c>
      <c r="B14" s="46" t="s">
        <v>410</v>
      </c>
      <c r="C14" s="45" t="s">
        <v>81</v>
      </c>
      <c r="D14" s="45" t="s">
        <v>409</v>
      </c>
      <c r="E14" s="45" t="s">
        <v>27</v>
      </c>
      <c r="F14" s="45">
        <v>262750</v>
      </c>
      <c r="G14" s="45" t="s">
        <v>408</v>
      </c>
      <c r="H14" s="45">
        <v>300</v>
      </c>
      <c r="I14" s="47">
        <v>0.42299999999999999</v>
      </c>
      <c r="J14" s="47">
        <v>1.4350000000000001</v>
      </c>
      <c r="K14" s="45" t="s">
        <v>421</v>
      </c>
      <c r="L14" s="47">
        <v>182.102</v>
      </c>
      <c r="M14" s="48">
        <v>143.5</v>
      </c>
      <c r="N14" s="49">
        <v>1.3299999999999999E-2</v>
      </c>
      <c r="O14" s="50">
        <v>0.8</v>
      </c>
      <c r="P14" s="45">
        <v>66.5</v>
      </c>
      <c r="Q14" s="45">
        <v>3</v>
      </c>
      <c r="R14" s="45">
        <v>1300</v>
      </c>
      <c r="S14" s="47">
        <v>1.2689999999999999</v>
      </c>
      <c r="T14" s="45">
        <v>31</v>
      </c>
      <c r="U14" s="49">
        <v>2.3800000000000002E-2</v>
      </c>
      <c r="V14" s="45" t="s">
        <v>41</v>
      </c>
      <c r="W14" s="45" t="s">
        <v>29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420</v>
      </c>
    </row>
    <row r="15" spans="1:28" s="51" customFormat="1" x14ac:dyDescent="0.3">
      <c r="A15" s="45">
        <v>13</v>
      </c>
      <c r="B15" s="46" t="s">
        <v>410</v>
      </c>
      <c r="C15" s="45" t="s">
        <v>81</v>
      </c>
      <c r="D15" s="45" t="s">
        <v>409</v>
      </c>
      <c r="E15" s="45" t="s">
        <v>27</v>
      </c>
      <c r="F15" s="45">
        <v>262758</v>
      </c>
      <c r="G15" s="45" t="s">
        <v>408</v>
      </c>
      <c r="H15" s="45">
        <v>1000</v>
      </c>
      <c r="I15" s="47">
        <v>0.311</v>
      </c>
      <c r="J15" s="47">
        <v>0.98699999999999999</v>
      </c>
      <c r="K15" s="45" t="s">
        <v>419</v>
      </c>
      <c r="L15" s="47">
        <v>306.95699999999999</v>
      </c>
      <c r="M15" s="48">
        <v>246.8</v>
      </c>
      <c r="N15" s="49">
        <v>1.7100000000000001E-2</v>
      </c>
      <c r="O15" s="50">
        <v>1.03</v>
      </c>
      <c r="P15" s="45">
        <v>112</v>
      </c>
      <c r="Q15" s="45">
        <v>4</v>
      </c>
      <c r="R15" s="45">
        <v>1300</v>
      </c>
      <c r="S15" s="47">
        <v>1.244</v>
      </c>
      <c r="T15" s="45">
        <v>56</v>
      </c>
      <c r="U15" s="49">
        <v>4.3099999999999999E-2</v>
      </c>
      <c r="V15" s="45" t="s">
        <v>41</v>
      </c>
      <c r="W15" s="45" t="s">
        <v>29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418</v>
      </c>
    </row>
    <row r="16" spans="1:28" s="51" customFormat="1" x14ac:dyDescent="0.3">
      <c r="A16" s="45">
        <v>14</v>
      </c>
      <c r="B16" s="46" t="s">
        <v>410</v>
      </c>
      <c r="C16" s="45" t="s">
        <v>81</v>
      </c>
      <c r="D16" s="45" t="s">
        <v>409</v>
      </c>
      <c r="E16" s="45" t="s">
        <v>27</v>
      </c>
      <c r="F16" s="45">
        <v>262746</v>
      </c>
      <c r="G16" s="45" t="s">
        <v>408</v>
      </c>
      <c r="H16" s="45">
        <v>300</v>
      </c>
      <c r="I16" s="47">
        <v>0.29799999999999999</v>
      </c>
      <c r="J16" s="47">
        <v>1.0569999999999999</v>
      </c>
      <c r="K16" s="45" t="s">
        <v>417</v>
      </c>
      <c r="L16" s="47">
        <v>94.495999999999995</v>
      </c>
      <c r="M16" s="48">
        <v>79.3</v>
      </c>
      <c r="N16" s="49">
        <v>5.4999999999999997E-3</v>
      </c>
      <c r="O16" s="50">
        <v>0.33</v>
      </c>
      <c r="P16" s="45">
        <v>34.5</v>
      </c>
      <c r="Q16" s="45">
        <v>4</v>
      </c>
      <c r="R16" s="45">
        <v>1250</v>
      </c>
      <c r="S16" s="47">
        <v>1.1919999999999999</v>
      </c>
      <c r="T16" s="45">
        <v>58</v>
      </c>
      <c r="U16" s="49">
        <v>4.6399999999999997E-2</v>
      </c>
      <c r="V16" s="45" t="s">
        <v>41</v>
      </c>
      <c r="W16" s="45" t="s">
        <v>29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416</v>
      </c>
    </row>
    <row r="17" spans="1:28" s="51" customFormat="1" x14ac:dyDescent="0.3">
      <c r="A17" s="45">
        <v>15</v>
      </c>
      <c r="B17" s="46" t="s">
        <v>410</v>
      </c>
      <c r="C17" s="45" t="s">
        <v>81</v>
      </c>
      <c r="D17" s="45" t="s">
        <v>409</v>
      </c>
      <c r="E17" s="45" t="s">
        <v>27</v>
      </c>
      <c r="F17" s="45">
        <v>262749</v>
      </c>
      <c r="G17" s="45" t="s">
        <v>408</v>
      </c>
      <c r="H17" s="45">
        <v>300</v>
      </c>
      <c r="I17" s="47">
        <v>0.30199999999999999</v>
      </c>
      <c r="J17" s="47">
        <v>1.0349999999999999</v>
      </c>
      <c r="K17" s="45" t="s">
        <v>415</v>
      </c>
      <c r="L17" s="47">
        <v>93.771000000000001</v>
      </c>
      <c r="M17" s="48">
        <v>77.599999999999994</v>
      </c>
      <c r="N17" s="49">
        <v>5.4000000000000003E-3</v>
      </c>
      <c r="O17" s="50">
        <v>0.32</v>
      </c>
      <c r="P17" s="45">
        <v>34.200000000000003</v>
      </c>
      <c r="Q17" s="45">
        <v>4</v>
      </c>
      <c r="R17" s="45">
        <v>1250</v>
      </c>
      <c r="S17" s="47">
        <v>1.208</v>
      </c>
      <c r="T17" s="45">
        <v>42</v>
      </c>
      <c r="U17" s="49">
        <v>3.3599999999999998E-2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414</v>
      </c>
    </row>
    <row r="18" spans="1:28" s="51" customFormat="1" x14ac:dyDescent="0.3">
      <c r="A18" s="45">
        <v>16</v>
      </c>
      <c r="B18" s="46" t="s">
        <v>410</v>
      </c>
      <c r="C18" s="45" t="s">
        <v>81</v>
      </c>
      <c r="D18" s="45" t="s">
        <v>409</v>
      </c>
      <c r="E18" s="45" t="s">
        <v>27</v>
      </c>
      <c r="F18" s="45">
        <v>262755</v>
      </c>
      <c r="G18" s="45" t="s">
        <v>408</v>
      </c>
      <c r="H18" s="45">
        <v>1000</v>
      </c>
      <c r="I18" s="47">
        <v>0.30299999999999999</v>
      </c>
      <c r="J18" s="47">
        <v>0.94499999999999995</v>
      </c>
      <c r="K18" s="45" t="s">
        <v>413</v>
      </c>
      <c r="L18" s="47">
        <v>286.33499999999998</v>
      </c>
      <c r="M18" s="48">
        <v>236.3</v>
      </c>
      <c r="N18" s="49">
        <v>1.6400000000000001E-2</v>
      </c>
      <c r="O18" s="50">
        <v>0.98</v>
      </c>
      <c r="P18" s="45">
        <v>104.5</v>
      </c>
      <c r="Q18" s="45">
        <v>4</v>
      </c>
      <c r="R18" s="45">
        <v>1250</v>
      </c>
      <c r="S18" s="47">
        <v>1.212</v>
      </c>
      <c r="T18" s="45">
        <v>38</v>
      </c>
      <c r="U18" s="49">
        <v>3.04E-2</v>
      </c>
      <c r="V18" s="45" t="s">
        <v>41</v>
      </c>
      <c r="W18" s="45" t="s">
        <v>29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412</v>
      </c>
    </row>
    <row r="19" spans="1:28" s="51" customFormat="1" x14ac:dyDescent="0.3">
      <c r="A19" s="45">
        <v>17</v>
      </c>
      <c r="B19" s="46" t="s">
        <v>410</v>
      </c>
      <c r="C19" s="45" t="s">
        <v>81</v>
      </c>
      <c r="D19" s="45" t="s">
        <v>409</v>
      </c>
      <c r="E19" s="45" t="s">
        <v>27</v>
      </c>
      <c r="F19" s="45">
        <v>262759</v>
      </c>
      <c r="G19" s="45" t="s">
        <v>408</v>
      </c>
      <c r="H19" s="45">
        <v>1000</v>
      </c>
      <c r="I19" s="47">
        <v>0.54400000000000004</v>
      </c>
      <c r="J19" s="47">
        <v>0.875</v>
      </c>
      <c r="K19" s="45" t="s">
        <v>33</v>
      </c>
      <c r="L19" s="47">
        <v>476</v>
      </c>
      <c r="M19" s="48">
        <v>437.5</v>
      </c>
      <c r="N19" s="49">
        <v>6.08E-2</v>
      </c>
      <c r="O19" s="50">
        <v>3.65</v>
      </c>
      <c r="P19" s="45">
        <v>173.7</v>
      </c>
      <c r="Q19" s="45">
        <v>2</v>
      </c>
      <c r="R19" s="45">
        <v>1150</v>
      </c>
      <c r="S19" s="47">
        <v>1.0880000000000001</v>
      </c>
      <c r="T19" s="45">
        <v>62</v>
      </c>
      <c r="U19" s="49">
        <v>5.3900000000000003E-2</v>
      </c>
      <c r="V19" s="45" t="s">
        <v>41</v>
      </c>
      <c r="W19" s="45" t="s">
        <v>29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411</v>
      </c>
    </row>
    <row r="20" spans="1:28" s="51" customFormat="1" x14ac:dyDescent="0.3">
      <c r="A20" s="45">
        <v>18</v>
      </c>
      <c r="B20" s="46" t="s">
        <v>410</v>
      </c>
      <c r="C20" s="45" t="s">
        <v>81</v>
      </c>
      <c r="D20" s="45" t="s">
        <v>409</v>
      </c>
      <c r="E20" s="45" t="s">
        <v>27</v>
      </c>
      <c r="F20" s="45">
        <v>262760</v>
      </c>
      <c r="G20" s="45" t="s">
        <v>408</v>
      </c>
      <c r="H20" s="45">
        <v>500</v>
      </c>
      <c r="I20" s="47">
        <v>0.54400000000000004</v>
      </c>
      <c r="J20" s="47">
        <v>0.72499999999999998</v>
      </c>
      <c r="K20" s="45" t="s">
        <v>33</v>
      </c>
      <c r="L20" s="47">
        <v>197.2</v>
      </c>
      <c r="M20" s="48">
        <v>181.3</v>
      </c>
      <c r="N20" s="49">
        <v>2.52E-2</v>
      </c>
      <c r="O20" s="50">
        <v>1.51</v>
      </c>
      <c r="P20" s="45">
        <v>72</v>
      </c>
      <c r="Q20" s="45">
        <v>2</v>
      </c>
      <c r="R20" s="45">
        <v>1150</v>
      </c>
      <c r="S20" s="47">
        <v>1.0880000000000001</v>
      </c>
      <c r="T20" s="45">
        <v>62</v>
      </c>
      <c r="U20" s="49">
        <v>5.3900000000000003E-2</v>
      </c>
      <c r="V20" s="45" t="s">
        <v>41</v>
      </c>
      <c r="W20" s="45" t="s">
        <v>29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407</v>
      </c>
    </row>
    <row r="21" spans="1:28" s="51" customFormat="1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v>13100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v>2090.3000000000002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91" t="s">
        <v>401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385</v>
      </c>
      <c r="E3" s="41" t="s">
        <v>27</v>
      </c>
      <c r="F3" s="41">
        <v>262736</v>
      </c>
      <c r="G3" s="41" t="s">
        <v>394</v>
      </c>
      <c r="H3" s="41">
        <v>150</v>
      </c>
      <c r="I3" s="42">
        <v>1.498</v>
      </c>
      <c r="J3" s="42">
        <v>1.6830000000000001</v>
      </c>
      <c r="K3" s="41" t="s">
        <v>400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399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385</v>
      </c>
      <c r="E4" s="41" t="s">
        <v>27</v>
      </c>
      <c r="F4" s="41">
        <v>262735</v>
      </c>
      <c r="G4" s="41" t="s">
        <v>394</v>
      </c>
      <c r="H4" s="41">
        <v>150</v>
      </c>
      <c r="I4" s="42">
        <v>1.488</v>
      </c>
      <c r="J4" s="42">
        <v>2.0830000000000002</v>
      </c>
      <c r="K4" s="41" t="s">
        <v>398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397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385</v>
      </c>
      <c r="E5" s="41" t="s">
        <v>27</v>
      </c>
      <c r="F5" s="41">
        <v>262733</v>
      </c>
      <c r="G5" s="41" t="s">
        <v>394</v>
      </c>
      <c r="H5" s="41">
        <v>150</v>
      </c>
      <c r="I5" s="42">
        <v>1.478</v>
      </c>
      <c r="J5" s="42">
        <v>2.0030000000000001</v>
      </c>
      <c r="K5" s="41" t="s">
        <v>396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395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385</v>
      </c>
      <c r="E6" s="41" t="s">
        <v>27</v>
      </c>
      <c r="F6" s="41">
        <v>262734</v>
      </c>
      <c r="G6" s="41" t="s">
        <v>394</v>
      </c>
      <c r="H6" s="41">
        <v>150</v>
      </c>
      <c r="I6" s="42">
        <v>1.3380000000000001</v>
      </c>
      <c r="J6" s="42">
        <v>2.0830000000000002</v>
      </c>
      <c r="K6" s="41" t="s">
        <v>393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392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385</v>
      </c>
      <c r="E7" s="41" t="s">
        <v>27</v>
      </c>
      <c r="F7" s="41">
        <v>262731</v>
      </c>
      <c r="G7" s="41" t="s">
        <v>391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390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385</v>
      </c>
      <c r="E8" s="41" t="s">
        <v>27</v>
      </c>
      <c r="F8" s="41">
        <v>262732</v>
      </c>
      <c r="G8" s="41" t="s">
        <v>391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390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385</v>
      </c>
      <c r="E9" s="41" t="s">
        <v>27</v>
      </c>
      <c r="F9" s="41">
        <v>262737</v>
      </c>
      <c r="G9" s="41" t="s">
        <v>384</v>
      </c>
      <c r="H9" s="41">
        <v>600</v>
      </c>
      <c r="I9" s="42">
        <v>0.47</v>
      </c>
      <c r="J9" s="42">
        <v>1.7869999999999999</v>
      </c>
      <c r="K9" s="41" t="s">
        <v>389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388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385</v>
      </c>
      <c r="E10" s="41" t="s">
        <v>27</v>
      </c>
      <c r="F10" s="41">
        <v>262739</v>
      </c>
      <c r="G10" s="41" t="s">
        <v>384</v>
      </c>
      <c r="H10" s="41">
        <v>300</v>
      </c>
      <c r="I10" s="42">
        <v>0.86</v>
      </c>
      <c r="J10" s="42">
        <v>1.8029999999999999</v>
      </c>
      <c r="K10" s="41" t="s">
        <v>387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386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385</v>
      </c>
      <c r="E11" s="41" t="s">
        <v>27</v>
      </c>
      <c r="F11" s="41">
        <v>262738</v>
      </c>
      <c r="G11" s="41" t="s">
        <v>384</v>
      </c>
      <c r="H11" s="41">
        <v>600</v>
      </c>
      <c r="I11" s="42">
        <v>0.39</v>
      </c>
      <c r="J11" s="42">
        <v>1.7829999999999999</v>
      </c>
      <c r="K11" s="41" t="s">
        <v>383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382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91" t="s">
        <v>381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371</v>
      </c>
      <c r="C3" s="45" t="s">
        <v>35</v>
      </c>
      <c r="D3" s="45" t="s">
        <v>274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380</v>
      </c>
    </row>
    <row r="4" spans="1:28" s="51" customFormat="1" x14ac:dyDescent="0.3">
      <c r="A4" s="45">
        <v>2</v>
      </c>
      <c r="B4" s="46" t="s">
        <v>371</v>
      </c>
      <c r="C4" s="45" t="s">
        <v>35</v>
      </c>
      <c r="D4" s="45" t="s">
        <v>274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378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379</v>
      </c>
    </row>
    <row r="5" spans="1:28" s="51" customFormat="1" x14ac:dyDescent="0.3">
      <c r="A5" s="45">
        <v>3</v>
      </c>
      <c r="B5" s="46" t="s">
        <v>371</v>
      </c>
      <c r="C5" s="45" t="s">
        <v>35</v>
      </c>
      <c r="D5" s="45" t="s">
        <v>274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378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377</v>
      </c>
    </row>
    <row r="6" spans="1:28" s="51" customFormat="1" x14ac:dyDescent="0.3">
      <c r="A6" s="45">
        <v>4</v>
      </c>
      <c r="B6" s="46" t="s">
        <v>371</v>
      </c>
      <c r="C6" s="45" t="s">
        <v>35</v>
      </c>
      <c r="D6" s="45" t="s">
        <v>274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376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375</v>
      </c>
    </row>
    <row r="7" spans="1:28" s="51" customFormat="1" x14ac:dyDescent="0.3">
      <c r="A7" s="45">
        <v>5</v>
      </c>
      <c r="B7" s="46" t="s">
        <v>371</v>
      </c>
      <c r="C7" s="45" t="s">
        <v>81</v>
      </c>
      <c r="D7" s="45" t="s">
        <v>274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374</v>
      </c>
    </row>
    <row r="8" spans="1:28" s="51" customFormat="1" x14ac:dyDescent="0.3">
      <c r="A8" s="45">
        <v>6</v>
      </c>
      <c r="B8" s="46" t="s">
        <v>371</v>
      </c>
      <c r="C8" s="45" t="s">
        <v>35</v>
      </c>
      <c r="D8" s="45" t="s">
        <v>274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373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372</v>
      </c>
    </row>
    <row r="9" spans="1:28" s="51" customFormat="1" x14ac:dyDescent="0.3">
      <c r="A9" s="45">
        <v>7</v>
      </c>
      <c r="B9" s="46" t="s">
        <v>371</v>
      </c>
      <c r="C9" s="45" t="s">
        <v>35</v>
      </c>
      <c r="D9" s="45" t="s">
        <v>274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370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92" t="s">
        <v>369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338</v>
      </c>
      <c r="E3" s="45" t="s">
        <v>27</v>
      </c>
      <c r="F3" s="45">
        <v>262714</v>
      </c>
      <c r="G3" s="45" t="s">
        <v>337</v>
      </c>
      <c r="H3" s="45">
        <v>200</v>
      </c>
      <c r="I3" s="47">
        <v>0.77400000000000002</v>
      </c>
      <c r="J3" s="47">
        <v>1.5489999999999999</v>
      </c>
      <c r="K3" s="45" t="s">
        <v>368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367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338</v>
      </c>
      <c r="E4" s="45" t="s">
        <v>27</v>
      </c>
      <c r="F4" s="45">
        <v>262708</v>
      </c>
      <c r="G4" s="45" t="s">
        <v>337</v>
      </c>
      <c r="H4" s="45">
        <v>330</v>
      </c>
      <c r="I4" s="47">
        <v>0.749</v>
      </c>
      <c r="J4" s="47">
        <v>1.7390000000000001</v>
      </c>
      <c r="K4" s="45" t="s">
        <v>366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365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338</v>
      </c>
      <c r="E5" s="45" t="s">
        <v>27</v>
      </c>
      <c r="F5" s="45">
        <v>262718</v>
      </c>
      <c r="G5" s="45" t="s">
        <v>337</v>
      </c>
      <c r="H5" s="45">
        <v>200</v>
      </c>
      <c r="I5" s="47">
        <v>0.76400000000000001</v>
      </c>
      <c r="J5" s="47">
        <v>1.319</v>
      </c>
      <c r="K5" s="45" t="s">
        <v>364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363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338</v>
      </c>
      <c r="E6" s="45" t="s">
        <v>27</v>
      </c>
      <c r="F6" s="45">
        <v>262715</v>
      </c>
      <c r="G6" s="45" t="s">
        <v>337</v>
      </c>
      <c r="H6" s="45">
        <v>300</v>
      </c>
      <c r="I6" s="47">
        <v>0.49</v>
      </c>
      <c r="J6" s="47">
        <v>1.419</v>
      </c>
      <c r="K6" s="45" t="s">
        <v>362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361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338</v>
      </c>
      <c r="E7" s="45" t="s">
        <v>27</v>
      </c>
      <c r="F7" s="45">
        <v>262712</v>
      </c>
      <c r="G7" s="45" t="s">
        <v>337</v>
      </c>
      <c r="H7" s="45">
        <v>150</v>
      </c>
      <c r="I7" s="47">
        <v>0.7</v>
      </c>
      <c r="J7" s="47">
        <v>1.9590000000000001</v>
      </c>
      <c r="K7" s="45" t="s">
        <v>360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359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338</v>
      </c>
      <c r="E8" s="45" t="s">
        <v>27</v>
      </c>
      <c r="F8" s="45">
        <v>262707</v>
      </c>
      <c r="G8" s="45" t="s">
        <v>337</v>
      </c>
      <c r="H8" s="45">
        <v>330</v>
      </c>
      <c r="I8" s="47">
        <v>0.67900000000000005</v>
      </c>
      <c r="J8" s="47">
        <v>1.5289999999999999</v>
      </c>
      <c r="K8" s="45" t="s">
        <v>358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357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338</v>
      </c>
      <c r="E9" s="45" t="s">
        <v>27</v>
      </c>
      <c r="F9" s="45">
        <v>262711</v>
      </c>
      <c r="G9" s="45" t="s">
        <v>337</v>
      </c>
      <c r="H9" s="45">
        <v>250</v>
      </c>
      <c r="I9" s="47">
        <v>0.45900000000000002</v>
      </c>
      <c r="J9" s="47">
        <v>1.5089999999999999</v>
      </c>
      <c r="K9" s="45" t="s">
        <v>356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355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338</v>
      </c>
      <c r="E10" s="45" t="s">
        <v>27</v>
      </c>
      <c r="F10" s="45">
        <v>262719</v>
      </c>
      <c r="G10" s="45" t="s">
        <v>337</v>
      </c>
      <c r="H10" s="45">
        <v>700</v>
      </c>
      <c r="I10" s="47">
        <v>0.54900000000000004</v>
      </c>
      <c r="J10" s="47">
        <v>0.47899999999999998</v>
      </c>
      <c r="K10" s="45" t="s">
        <v>354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353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338</v>
      </c>
      <c r="E11" s="45" t="s">
        <v>27</v>
      </c>
      <c r="F11" s="45">
        <v>262716</v>
      </c>
      <c r="G11" s="45" t="s">
        <v>337</v>
      </c>
      <c r="H11" s="45">
        <v>700</v>
      </c>
      <c r="I11" s="47">
        <v>0.52900000000000003</v>
      </c>
      <c r="J11" s="47">
        <v>0.45900000000000002</v>
      </c>
      <c r="K11" s="45" t="s">
        <v>352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351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338</v>
      </c>
      <c r="E12" s="45" t="s">
        <v>27</v>
      </c>
      <c r="F12" s="45">
        <v>262717</v>
      </c>
      <c r="G12" s="45" t="s">
        <v>337</v>
      </c>
      <c r="H12" s="45">
        <v>100</v>
      </c>
      <c r="I12" s="47">
        <v>0.99399999999999999</v>
      </c>
      <c r="J12" s="47">
        <v>1.839</v>
      </c>
      <c r="K12" s="45" t="s">
        <v>350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349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338</v>
      </c>
      <c r="E13" s="45" t="s">
        <v>27</v>
      </c>
      <c r="F13" s="45">
        <v>262713</v>
      </c>
      <c r="G13" s="45" t="s">
        <v>337</v>
      </c>
      <c r="H13" s="45">
        <v>500</v>
      </c>
      <c r="I13" s="47">
        <v>0.32400000000000001</v>
      </c>
      <c r="J13" s="47">
        <v>0.95899999999999996</v>
      </c>
      <c r="K13" s="45" t="s">
        <v>348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347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338</v>
      </c>
      <c r="E14" s="45" t="s">
        <v>27</v>
      </c>
      <c r="F14" s="45">
        <v>262710</v>
      </c>
      <c r="G14" s="45" t="s">
        <v>337</v>
      </c>
      <c r="H14" s="45">
        <v>500</v>
      </c>
      <c r="I14" s="47">
        <v>0.51</v>
      </c>
      <c r="J14" s="47">
        <v>1.077</v>
      </c>
      <c r="K14" s="45" t="s">
        <v>346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345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338</v>
      </c>
      <c r="E15" s="45" t="s">
        <v>27</v>
      </c>
      <c r="F15" s="45">
        <v>262720</v>
      </c>
      <c r="G15" s="45" t="s">
        <v>337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344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338</v>
      </c>
      <c r="E16" s="45" t="s">
        <v>27</v>
      </c>
      <c r="F16" s="45">
        <v>262721</v>
      </c>
      <c r="G16" s="45" t="s">
        <v>337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343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338</v>
      </c>
      <c r="E17" s="45" t="s">
        <v>27</v>
      </c>
      <c r="F17" s="45">
        <v>262709</v>
      </c>
      <c r="G17" s="45" t="s">
        <v>337</v>
      </c>
      <c r="H17" s="45">
        <v>1100</v>
      </c>
      <c r="I17" s="47">
        <v>0.31</v>
      </c>
      <c r="J17" s="47">
        <v>0.81899999999999995</v>
      </c>
      <c r="K17" s="45" t="s">
        <v>342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341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338</v>
      </c>
      <c r="E18" s="45" t="s">
        <v>27</v>
      </c>
      <c r="F18" s="45">
        <v>262722</v>
      </c>
      <c r="G18" s="45" t="s">
        <v>337</v>
      </c>
      <c r="H18" s="45">
        <v>1000</v>
      </c>
      <c r="I18" s="47">
        <v>0.30399999999999999</v>
      </c>
      <c r="J18" s="47">
        <v>0.90900000000000003</v>
      </c>
      <c r="K18" s="45" t="s">
        <v>340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339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338</v>
      </c>
      <c r="E19" s="45" t="s">
        <v>27</v>
      </c>
      <c r="F19" s="45">
        <v>262723</v>
      </c>
      <c r="G19" s="45" t="s">
        <v>337</v>
      </c>
      <c r="H19" s="45">
        <v>1000</v>
      </c>
      <c r="I19" s="47">
        <v>0.32500000000000001</v>
      </c>
      <c r="J19" s="47">
        <v>0.97299999999999998</v>
      </c>
      <c r="K19" s="45" t="s">
        <v>336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335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workbookViewId="0">
      <selection activeCell="H23" sqref="H23"/>
    </sheetView>
  </sheetViews>
  <sheetFormatPr defaultRowHeight="14.4" x14ac:dyDescent="0.3"/>
  <cols>
    <col min="1" max="1" width="4.77734375" style="33" customWidth="1"/>
    <col min="2" max="2" width="20.77734375" style="33" customWidth="1"/>
    <col min="3" max="3" width="5.77734375" style="33" customWidth="1"/>
    <col min="4" max="4" width="11.77734375" style="33" hidden="1" customWidth="1"/>
    <col min="5" max="5" width="9" style="33" customWidth="1"/>
    <col min="6" max="6" width="6.77734375" style="33" customWidth="1"/>
    <col min="7" max="7" width="4.5546875" style="33" customWidth="1"/>
    <col min="8" max="8" width="5.109375" style="33" customWidth="1"/>
    <col min="9" max="9" width="6.5546875" style="33" customWidth="1"/>
    <col min="10" max="10" width="6.33203125" style="33" customWidth="1"/>
    <col min="11" max="11" width="10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5546875" style="33" customWidth="1"/>
    <col min="17" max="17" width="3.33203125" style="33" customWidth="1"/>
    <col min="18" max="18" width="5.109375" style="33" customWidth="1"/>
    <col min="19" max="19" width="5.88671875" style="33" customWidth="1"/>
    <col min="20" max="20" width="11.77734375" style="33" hidden="1" customWidth="1"/>
    <col min="21" max="21" width="8.77734375" style="33" hidden="1" customWidth="1"/>
    <col min="22" max="22" width="6.44140625" style="33" customWidth="1"/>
    <col min="23" max="23" width="8.21875" style="33" customWidth="1"/>
    <col min="24" max="24" width="8.5546875" style="33" customWidth="1"/>
    <col min="25" max="25" width="10.44140625" style="33" customWidth="1"/>
    <col min="26" max="26" width="10.109375" style="33" customWidth="1"/>
    <col min="27" max="27" width="4.5546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1" t="s">
        <v>333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5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126</v>
      </c>
      <c r="C3" s="41" t="s">
        <v>35</v>
      </c>
      <c r="D3" s="41" t="s">
        <v>331</v>
      </c>
      <c r="E3" s="41" t="s">
        <v>27</v>
      </c>
      <c r="F3" s="41">
        <v>262704</v>
      </c>
      <c r="G3" s="41" t="s">
        <v>330</v>
      </c>
      <c r="H3" s="41">
        <v>4000</v>
      </c>
      <c r="I3" s="42">
        <v>0.27900000000000003</v>
      </c>
      <c r="J3" s="42">
        <v>1.002</v>
      </c>
      <c r="K3" s="41" t="s">
        <v>188</v>
      </c>
      <c r="L3" s="38">
        <v>1118.232</v>
      </c>
      <c r="M3" s="40">
        <v>1336</v>
      </c>
      <c r="N3" s="37">
        <v>0.1237</v>
      </c>
      <c r="O3" s="39">
        <v>7.42</v>
      </c>
      <c r="P3" s="36">
        <v>352.2</v>
      </c>
      <c r="Q3" s="36">
        <v>3</v>
      </c>
      <c r="R3" s="36">
        <v>900</v>
      </c>
      <c r="S3" s="38">
        <v>0.83699999999999997</v>
      </c>
      <c r="T3" s="36">
        <v>63</v>
      </c>
      <c r="U3" s="37">
        <v>7.0000000000000007E-2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32</v>
      </c>
      <c r="AB3" s="36" t="s">
        <v>189</v>
      </c>
    </row>
    <row r="4" spans="1:28" x14ac:dyDescent="0.3">
      <c r="A4" s="35" t="s">
        <v>27</v>
      </c>
      <c r="B4" s="35" t="s">
        <v>27</v>
      </c>
      <c r="C4" s="35" t="s">
        <v>27</v>
      </c>
      <c r="D4" s="35" t="s">
        <v>27</v>
      </c>
      <c r="E4" s="35" t="s">
        <v>27</v>
      </c>
      <c r="F4" s="35" t="s">
        <v>27</v>
      </c>
      <c r="G4" s="35" t="s">
        <v>27</v>
      </c>
      <c r="H4" s="35">
        <v>4000</v>
      </c>
      <c r="I4" s="35" t="s">
        <v>27</v>
      </c>
      <c r="J4" s="35" t="s">
        <v>27</v>
      </c>
      <c r="K4" s="35" t="s">
        <v>27</v>
      </c>
      <c r="L4" s="34" t="s">
        <v>27</v>
      </c>
      <c r="M4" s="34" t="s">
        <v>27</v>
      </c>
      <c r="N4" s="34" t="s">
        <v>27</v>
      </c>
      <c r="O4" s="34" t="s">
        <v>27</v>
      </c>
      <c r="P4" s="34">
        <v>352.2</v>
      </c>
      <c r="Q4" s="34" t="s">
        <v>27</v>
      </c>
      <c r="R4" s="34" t="s">
        <v>27</v>
      </c>
      <c r="S4" s="34" t="s">
        <v>27</v>
      </c>
      <c r="T4" s="34" t="s">
        <v>27</v>
      </c>
      <c r="U4" s="34" t="s">
        <v>27</v>
      </c>
      <c r="V4" s="34" t="s">
        <v>27</v>
      </c>
      <c r="W4" s="34" t="s">
        <v>27</v>
      </c>
      <c r="X4" s="34" t="s">
        <v>27</v>
      </c>
      <c r="Y4" s="34" t="s">
        <v>27</v>
      </c>
      <c r="Z4" s="34" t="s">
        <v>27</v>
      </c>
      <c r="AA4" s="34" t="s">
        <v>27</v>
      </c>
      <c r="AB4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77" zoomScaleNormal="77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323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308</v>
      </c>
      <c r="C3" s="45" t="s">
        <v>26</v>
      </c>
      <c r="D3" s="45" t="s">
        <v>307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322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321</v>
      </c>
    </row>
    <row r="4" spans="1:28" s="51" customFormat="1" ht="25.05" customHeight="1" x14ac:dyDescent="0.3">
      <c r="A4" s="45">
        <v>2</v>
      </c>
      <c r="B4" s="46" t="s">
        <v>308</v>
      </c>
      <c r="C4" s="45" t="s">
        <v>26</v>
      </c>
      <c r="D4" s="45" t="s">
        <v>307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308</v>
      </c>
      <c r="C5" s="45" t="s">
        <v>26</v>
      </c>
      <c r="D5" s="45" t="s">
        <v>307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320</v>
      </c>
    </row>
    <row r="6" spans="1:28" s="51" customFormat="1" ht="25.05" customHeight="1" x14ac:dyDescent="0.3">
      <c r="A6" s="45">
        <v>4</v>
      </c>
      <c r="B6" s="46" t="s">
        <v>308</v>
      </c>
      <c r="C6" s="45" t="s">
        <v>26</v>
      </c>
      <c r="D6" s="45" t="s">
        <v>307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319</v>
      </c>
    </row>
    <row r="7" spans="1:28" s="51" customFormat="1" ht="25.05" customHeight="1" x14ac:dyDescent="0.3">
      <c r="A7" s="45">
        <v>5</v>
      </c>
      <c r="B7" s="46" t="s">
        <v>308</v>
      </c>
      <c r="C7" s="45" t="s">
        <v>26</v>
      </c>
      <c r="D7" s="45" t="s">
        <v>307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318</v>
      </c>
    </row>
    <row r="8" spans="1:28" s="51" customFormat="1" ht="25.05" customHeight="1" x14ac:dyDescent="0.3">
      <c r="A8" s="45">
        <v>6</v>
      </c>
      <c r="B8" s="46" t="s">
        <v>308</v>
      </c>
      <c r="C8" s="45" t="s">
        <v>26</v>
      </c>
      <c r="D8" s="45" t="s">
        <v>307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317</v>
      </c>
    </row>
    <row r="9" spans="1:28" s="51" customFormat="1" ht="25.05" customHeight="1" x14ac:dyDescent="0.3">
      <c r="A9" s="45">
        <v>7</v>
      </c>
      <c r="B9" s="46" t="s">
        <v>308</v>
      </c>
      <c r="C9" s="45" t="s">
        <v>26</v>
      </c>
      <c r="D9" s="45" t="s">
        <v>307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308</v>
      </c>
      <c r="C10" s="45" t="s">
        <v>26</v>
      </c>
      <c r="D10" s="45" t="s">
        <v>307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308</v>
      </c>
      <c r="C11" s="45" t="s">
        <v>44</v>
      </c>
      <c r="D11" s="45" t="s">
        <v>307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316</v>
      </c>
    </row>
    <row r="12" spans="1:28" s="51" customFormat="1" ht="25.05" customHeight="1" x14ac:dyDescent="0.3">
      <c r="A12" s="45">
        <v>10</v>
      </c>
      <c r="B12" s="46" t="s">
        <v>308</v>
      </c>
      <c r="C12" s="45" t="s">
        <v>35</v>
      </c>
      <c r="D12" s="45" t="s">
        <v>307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315</v>
      </c>
    </row>
    <row r="13" spans="1:28" s="51" customFormat="1" ht="25.05" customHeight="1" x14ac:dyDescent="0.3">
      <c r="A13" s="45">
        <v>11</v>
      </c>
      <c r="B13" s="46" t="s">
        <v>308</v>
      </c>
      <c r="C13" s="45" t="s">
        <v>81</v>
      </c>
      <c r="D13" s="45" t="s">
        <v>307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308</v>
      </c>
      <c r="C14" s="45" t="s">
        <v>35</v>
      </c>
      <c r="D14" s="45" t="s">
        <v>307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314</v>
      </c>
    </row>
    <row r="15" spans="1:28" s="51" customFormat="1" ht="25.05" customHeight="1" x14ac:dyDescent="0.3">
      <c r="A15" s="45">
        <v>13</v>
      </c>
      <c r="B15" s="46" t="s">
        <v>308</v>
      </c>
      <c r="C15" s="45" t="s">
        <v>35</v>
      </c>
      <c r="D15" s="45" t="s">
        <v>307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313</v>
      </c>
    </row>
    <row r="16" spans="1:28" s="51" customFormat="1" ht="25.05" customHeight="1" x14ac:dyDescent="0.3">
      <c r="A16" s="45">
        <v>14</v>
      </c>
      <c r="B16" s="46" t="s">
        <v>308</v>
      </c>
      <c r="C16" s="45" t="s">
        <v>35</v>
      </c>
      <c r="D16" s="45" t="s">
        <v>307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312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311</v>
      </c>
    </row>
    <row r="17" spans="1:28" s="51" customFormat="1" ht="25.05" customHeight="1" x14ac:dyDescent="0.3">
      <c r="A17" s="45">
        <v>15</v>
      </c>
      <c r="B17" s="46" t="s">
        <v>308</v>
      </c>
      <c r="C17" s="45" t="s">
        <v>81</v>
      </c>
      <c r="D17" s="45" t="s">
        <v>307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310</v>
      </c>
    </row>
    <row r="18" spans="1:28" s="51" customFormat="1" ht="25.05" customHeight="1" x14ac:dyDescent="0.3">
      <c r="A18" s="45">
        <v>16</v>
      </c>
      <c r="B18" s="46" t="s">
        <v>308</v>
      </c>
      <c r="C18" s="45" t="s">
        <v>35</v>
      </c>
      <c r="D18" s="45" t="s">
        <v>307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309</v>
      </c>
    </row>
    <row r="19" spans="1:28" s="51" customFormat="1" ht="25.05" customHeight="1" x14ac:dyDescent="0.3">
      <c r="A19" s="45">
        <v>17</v>
      </c>
      <c r="B19" s="46" t="s">
        <v>308</v>
      </c>
      <c r="C19" s="45" t="s">
        <v>35</v>
      </c>
      <c r="D19" s="45" t="s">
        <v>307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306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305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298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329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274</v>
      </c>
      <c r="E4" s="45" t="s">
        <v>27</v>
      </c>
      <c r="F4" s="45">
        <v>262676</v>
      </c>
      <c r="G4" s="45" t="s">
        <v>297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296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274</v>
      </c>
      <c r="E5" s="45" t="s">
        <v>27</v>
      </c>
      <c r="F5" s="45">
        <v>262678</v>
      </c>
      <c r="G5" s="45" t="s">
        <v>294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295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328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274</v>
      </c>
      <c r="E7" s="45" t="s">
        <v>27</v>
      </c>
      <c r="F7" s="45">
        <v>262679</v>
      </c>
      <c r="G7" s="45" t="s">
        <v>294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293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334</v>
      </c>
    </row>
    <row r="9" spans="1:28" s="51" customFormat="1" ht="25.05" customHeight="1" x14ac:dyDescent="0.3">
      <c r="A9" s="85">
        <v>7</v>
      </c>
      <c r="B9" s="46" t="s">
        <v>90</v>
      </c>
      <c r="C9" s="45" t="s">
        <v>42</v>
      </c>
      <c r="D9" s="45" t="s">
        <v>274</v>
      </c>
      <c r="E9" s="45" t="s">
        <v>27</v>
      </c>
      <c r="F9" s="45">
        <v>262677</v>
      </c>
      <c r="G9" s="45" t="s">
        <v>292</v>
      </c>
      <c r="H9" s="45">
        <v>1000</v>
      </c>
      <c r="I9" s="47">
        <v>0.8</v>
      </c>
      <c r="J9" s="47">
        <v>1.171</v>
      </c>
      <c r="K9" s="45" t="s">
        <v>33</v>
      </c>
      <c r="L9" s="47">
        <v>936.8</v>
      </c>
      <c r="M9" s="48">
        <v>1171</v>
      </c>
      <c r="N9" s="49">
        <v>0.32529999999999998</v>
      </c>
      <c r="O9" s="50">
        <v>19.52</v>
      </c>
      <c r="P9" s="45">
        <v>323.2</v>
      </c>
      <c r="Q9" s="45">
        <v>1</v>
      </c>
      <c r="R9" s="45">
        <v>850</v>
      </c>
      <c r="S9" s="47">
        <v>0.8</v>
      </c>
      <c r="T9" s="45">
        <v>50</v>
      </c>
      <c r="U9" s="49">
        <v>5.8799999999999998E-2</v>
      </c>
      <c r="V9" s="45" t="s">
        <v>29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32</v>
      </c>
      <c r="AB9" s="45" t="s">
        <v>291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332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91" t="s">
        <v>280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275</v>
      </c>
      <c r="C3" s="41" t="s">
        <v>44</v>
      </c>
      <c r="D3" s="41" t="s">
        <v>274</v>
      </c>
      <c r="E3" s="41" t="s">
        <v>27</v>
      </c>
      <c r="F3" s="41">
        <v>262670</v>
      </c>
      <c r="G3" s="41" t="s">
        <v>273</v>
      </c>
      <c r="H3" s="41">
        <v>1050</v>
      </c>
      <c r="I3" s="42">
        <v>0.56899999999999995</v>
      </c>
      <c r="J3" s="42">
        <v>1.33</v>
      </c>
      <c r="K3" s="41" t="s">
        <v>279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278</v>
      </c>
    </row>
    <row r="4" spans="1:28" x14ac:dyDescent="0.3">
      <c r="A4" s="41">
        <v>2</v>
      </c>
      <c r="B4" s="43" t="s">
        <v>275</v>
      </c>
      <c r="C4" s="41" t="s">
        <v>44</v>
      </c>
      <c r="D4" s="41" t="s">
        <v>274</v>
      </c>
      <c r="E4" s="41" t="s">
        <v>27</v>
      </c>
      <c r="F4" s="41">
        <v>262669</v>
      </c>
      <c r="G4" s="41" t="s">
        <v>273</v>
      </c>
      <c r="H4" s="41">
        <v>3100</v>
      </c>
      <c r="I4" s="42">
        <v>1.119</v>
      </c>
      <c r="J4" s="42">
        <v>1.67</v>
      </c>
      <c r="K4" s="41" t="s">
        <v>277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276</v>
      </c>
    </row>
    <row r="5" spans="1:28" x14ac:dyDescent="0.3">
      <c r="A5" s="41">
        <v>3</v>
      </c>
      <c r="B5" s="43" t="s">
        <v>275</v>
      </c>
      <c r="C5" s="41" t="s">
        <v>44</v>
      </c>
      <c r="D5" s="41" t="s">
        <v>274</v>
      </c>
      <c r="E5" s="41" t="s">
        <v>27</v>
      </c>
      <c r="F5" s="41">
        <v>262668</v>
      </c>
      <c r="G5" s="41" t="s">
        <v>273</v>
      </c>
      <c r="H5" s="41">
        <v>4200</v>
      </c>
      <c r="I5" s="42">
        <v>0.879</v>
      </c>
      <c r="J5" s="42">
        <v>1.48</v>
      </c>
      <c r="K5" s="41" t="s">
        <v>272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271</v>
      </c>
      <c r="AB5" s="36" t="s">
        <v>270</v>
      </c>
    </row>
    <row r="6" spans="1:28" x14ac:dyDescent="0.3">
      <c r="A6" s="41">
        <v>4</v>
      </c>
      <c r="B6" s="43" t="s">
        <v>299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300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93" t="s">
        <v>266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253</v>
      </c>
      <c r="E3" s="45" t="s">
        <v>27</v>
      </c>
      <c r="F3" s="45">
        <v>262658</v>
      </c>
      <c r="G3" s="45" t="s">
        <v>252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253</v>
      </c>
      <c r="E4" s="45" t="s">
        <v>27</v>
      </c>
      <c r="F4" s="45">
        <v>262656</v>
      </c>
      <c r="G4" s="45" t="s">
        <v>252</v>
      </c>
      <c r="H4" s="45">
        <v>1000</v>
      </c>
      <c r="I4" s="47">
        <v>0.76200000000000001</v>
      </c>
      <c r="J4" s="47">
        <v>0.69299999999999995</v>
      </c>
      <c r="K4" s="45" t="s">
        <v>265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264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253</v>
      </c>
      <c r="E5" s="45" t="s">
        <v>27</v>
      </c>
      <c r="F5" s="45">
        <v>262651</v>
      </c>
      <c r="G5" s="45" t="s">
        <v>252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263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253</v>
      </c>
      <c r="E6" s="45" t="s">
        <v>27</v>
      </c>
      <c r="F6" s="45">
        <v>262653</v>
      </c>
      <c r="G6" s="45" t="s">
        <v>252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262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253</v>
      </c>
      <c r="E7" s="45" t="s">
        <v>27</v>
      </c>
      <c r="F7" s="45">
        <v>262654</v>
      </c>
      <c r="G7" s="45" t="s">
        <v>252</v>
      </c>
      <c r="H7" s="45">
        <v>600</v>
      </c>
      <c r="I7" s="47">
        <v>0.66400000000000003</v>
      </c>
      <c r="J7" s="47">
        <v>1.2490000000000001</v>
      </c>
      <c r="K7" s="45" t="s">
        <v>261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260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253</v>
      </c>
      <c r="E8" s="45" t="s">
        <v>27</v>
      </c>
      <c r="F8" s="45">
        <v>262657</v>
      </c>
      <c r="G8" s="45" t="s">
        <v>252</v>
      </c>
      <c r="H8" s="45">
        <v>600</v>
      </c>
      <c r="I8" s="47">
        <v>1.1519999999999999</v>
      </c>
      <c r="J8" s="47">
        <v>0.69299999999999995</v>
      </c>
      <c r="K8" s="45" t="s">
        <v>259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258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253</v>
      </c>
      <c r="E9" s="45" t="s">
        <v>27</v>
      </c>
      <c r="F9" s="45">
        <v>262655</v>
      </c>
      <c r="G9" s="45" t="s">
        <v>252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257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253</v>
      </c>
      <c r="E10" s="45" t="s">
        <v>27</v>
      </c>
      <c r="F10" s="45">
        <v>262652</v>
      </c>
      <c r="G10" s="45" t="s">
        <v>252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256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253</v>
      </c>
      <c r="E11" s="45" t="s">
        <v>27</v>
      </c>
      <c r="F11" s="45">
        <v>262660</v>
      </c>
      <c r="G11" s="45" t="s">
        <v>252</v>
      </c>
      <c r="H11" s="45">
        <v>1500</v>
      </c>
      <c r="I11" s="47">
        <v>0.42399999999999999</v>
      </c>
      <c r="J11" s="47">
        <v>0.78900000000000003</v>
      </c>
      <c r="K11" s="45" t="s">
        <v>255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254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253</v>
      </c>
      <c r="E12" s="45" t="s">
        <v>27</v>
      </c>
      <c r="F12" s="45">
        <v>262659</v>
      </c>
      <c r="G12" s="45" t="s">
        <v>252</v>
      </c>
      <c r="H12" s="45">
        <v>3000</v>
      </c>
      <c r="I12" s="47">
        <v>0.36799999999999999</v>
      </c>
      <c r="J12" s="47">
        <v>0.72899999999999998</v>
      </c>
      <c r="K12" s="45" t="s">
        <v>251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250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91" t="s">
        <v>249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245</v>
      </c>
      <c r="E3" s="41" t="s">
        <v>27</v>
      </c>
      <c r="F3" s="41">
        <v>262649</v>
      </c>
      <c r="G3" s="41" t="s">
        <v>248</v>
      </c>
      <c r="H3" s="41">
        <v>2600</v>
      </c>
      <c r="I3" s="42">
        <v>0.49199999999999999</v>
      </c>
      <c r="J3" s="42">
        <v>1.2629999999999999</v>
      </c>
      <c r="K3" s="41" t="s">
        <v>247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246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245</v>
      </c>
      <c r="E4" s="41" t="s">
        <v>27</v>
      </c>
      <c r="F4" s="41">
        <v>262650</v>
      </c>
      <c r="G4" s="41" t="s">
        <v>244</v>
      </c>
      <c r="H4" s="41">
        <v>2300</v>
      </c>
      <c r="I4" s="42">
        <v>0.45700000000000002</v>
      </c>
      <c r="J4" s="42">
        <v>1.393</v>
      </c>
      <c r="K4" s="41" t="s">
        <v>243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242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109375" style="33" customWidth="1"/>
    <col min="4" max="4" width="11.77734375" style="33" hidden="1" customWidth="1"/>
    <col min="5" max="5" width="8.44140625" style="33" customWidth="1"/>
    <col min="6" max="6" width="6.77734375" style="33" customWidth="1"/>
    <col min="7" max="7" width="8.77734375" style="33" customWidth="1"/>
    <col min="8" max="8" width="6.21875" style="33" customWidth="1"/>
    <col min="9" max="9" width="5.77734375" style="33" customWidth="1"/>
    <col min="10" max="11" width="6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77734375" style="33" customWidth="1"/>
    <col min="17" max="17" width="4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8.109375" style="33" customWidth="1"/>
    <col min="25" max="25" width="9.44140625" style="33" customWidth="1"/>
    <col min="26" max="26" width="9.6640625" style="33" customWidth="1"/>
    <col min="27" max="27" width="4.10937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241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7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107</v>
      </c>
      <c r="C3" s="41" t="s">
        <v>55</v>
      </c>
      <c r="D3" s="41" t="s">
        <v>222</v>
      </c>
      <c r="E3" s="41" t="s">
        <v>27</v>
      </c>
      <c r="F3" s="41">
        <v>262645</v>
      </c>
      <c r="G3" s="41" t="s">
        <v>237</v>
      </c>
      <c r="H3" s="41">
        <v>2740</v>
      </c>
      <c r="I3" s="42">
        <v>0.48</v>
      </c>
      <c r="J3" s="42">
        <v>1.25</v>
      </c>
      <c r="K3" s="41" t="s">
        <v>33</v>
      </c>
      <c r="L3" s="38">
        <v>1644</v>
      </c>
      <c r="M3" s="40">
        <v>1141.7</v>
      </c>
      <c r="N3" s="37">
        <v>0.1057</v>
      </c>
      <c r="O3" s="39">
        <v>6.34</v>
      </c>
      <c r="P3" s="36">
        <v>600.1</v>
      </c>
      <c r="Q3" s="36">
        <v>3</v>
      </c>
      <c r="R3" s="36">
        <v>1500</v>
      </c>
      <c r="S3" s="38">
        <v>1.44</v>
      </c>
      <c r="T3" s="36">
        <v>60</v>
      </c>
      <c r="U3" s="37">
        <v>0.04</v>
      </c>
      <c r="V3" s="36" t="s">
        <v>37</v>
      </c>
      <c r="W3" s="36" t="s">
        <v>29</v>
      </c>
      <c r="X3" s="36" t="s">
        <v>34</v>
      </c>
      <c r="Y3" s="36" t="s">
        <v>27</v>
      </c>
      <c r="Z3" s="36" t="s">
        <v>27</v>
      </c>
      <c r="AA3" s="36" t="s">
        <v>31</v>
      </c>
      <c r="AB3" s="36" t="s">
        <v>240</v>
      </c>
    </row>
    <row r="4" spans="1:28" ht="25.05" customHeight="1" x14ac:dyDescent="0.3">
      <c r="A4" s="41">
        <v>2</v>
      </c>
      <c r="B4" s="43" t="s">
        <v>107</v>
      </c>
      <c r="C4" s="41" t="s">
        <v>55</v>
      </c>
      <c r="D4" s="41" t="s">
        <v>222</v>
      </c>
      <c r="E4" s="41" t="s">
        <v>27</v>
      </c>
      <c r="F4" s="41">
        <v>262644</v>
      </c>
      <c r="G4" s="41" t="s">
        <v>237</v>
      </c>
      <c r="H4" s="41">
        <v>1662</v>
      </c>
      <c r="I4" s="42">
        <v>0.43</v>
      </c>
      <c r="J4" s="42">
        <v>1.1499999999999999</v>
      </c>
      <c r="K4" s="41" t="s">
        <v>33</v>
      </c>
      <c r="L4" s="38">
        <v>821.85900000000004</v>
      </c>
      <c r="M4" s="40">
        <v>637.1</v>
      </c>
      <c r="N4" s="37">
        <v>5.8999999999999997E-2</v>
      </c>
      <c r="O4" s="39">
        <v>3.54</v>
      </c>
      <c r="P4" s="36">
        <v>300</v>
      </c>
      <c r="Q4" s="36">
        <v>3</v>
      </c>
      <c r="R4" s="36">
        <v>1350</v>
      </c>
      <c r="S4" s="38">
        <v>1.29</v>
      </c>
      <c r="T4" s="36">
        <v>60</v>
      </c>
      <c r="U4" s="37">
        <v>4.4400000000000002E-2</v>
      </c>
      <c r="V4" s="36" t="s">
        <v>37</v>
      </c>
      <c r="W4" s="36" t="s">
        <v>29</v>
      </c>
      <c r="X4" s="36" t="s">
        <v>34</v>
      </c>
      <c r="Y4" s="36" t="s">
        <v>27</v>
      </c>
      <c r="Z4" s="36" t="s">
        <v>27</v>
      </c>
      <c r="AA4" s="36" t="s">
        <v>32</v>
      </c>
      <c r="AB4" s="36" t="s">
        <v>239</v>
      </c>
    </row>
    <row r="5" spans="1:28" ht="25.05" customHeight="1" x14ac:dyDescent="0.3">
      <c r="A5" s="41">
        <v>5</v>
      </c>
      <c r="B5" s="43" t="s">
        <v>107</v>
      </c>
      <c r="C5" s="41" t="s">
        <v>55</v>
      </c>
      <c r="D5" s="41" t="s">
        <v>222</v>
      </c>
      <c r="E5" s="41" t="s">
        <v>27</v>
      </c>
      <c r="F5" s="41">
        <v>262646</v>
      </c>
      <c r="G5" s="41" t="s">
        <v>237</v>
      </c>
      <c r="H5" s="41">
        <v>1140</v>
      </c>
      <c r="I5" s="42">
        <v>0.53</v>
      </c>
      <c r="J5" s="42">
        <v>1.36</v>
      </c>
      <c r="K5" s="41" t="s">
        <v>33</v>
      </c>
      <c r="L5" s="38">
        <v>821.71199999999999</v>
      </c>
      <c r="M5" s="40">
        <v>775.2</v>
      </c>
      <c r="N5" s="37">
        <v>0.1077</v>
      </c>
      <c r="O5" s="39">
        <v>6.46</v>
      </c>
      <c r="P5" s="36">
        <v>299.89999999999998</v>
      </c>
      <c r="Q5" s="36">
        <v>2</v>
      </c>
      <c r="R5" s="36">
        <v>1100</v>
      </c>
      <c r="S5" s="38">
        <v>1.06</v>
      </c>
      <c r="T5" s="36">
        <v>40</v>
      </c>
      <c r="U5" s="37">
        <v>3.6400000000000002E-2</v>
      </c>
      <c r="V5" s="36" t="s">
        <v>37</v>
      </c>
      <c r="W5" s="36" t="s">
        <v>29</v>
      </c>
      <c r="X5" s="36" t="s">
        <v>34</v>
      </c>
      <c r="Y5" s="36" t="s">
        <v>27</v>
      </c>
      <c r="Z5" s="36" t="s">
        <v>27</v>
      </c>
      <c r="AA5" s="36" t="s">
        <v>32</v>
      </c>
      <c r="AB5" s="36" t="s">
        <v>238</v>
      </c>
    </row>
    <row r="6" spans="1:28" ht="25.05" customHeight="1" x14ac:dyDescent="0.3">
      <c r="A6" s="41">
        <v>3</v>
      </c>
      <c r="B6" s="43" t="s">
        <v>107</v>
      </c>
      <c r="C6" s="41" t="s">
        <v>49</v>
      </c>
      <c r="D6" s="41" t="s">
        <v>222</v>
      </c>
      <c r="E6" s="41" t="s">
        <v>27</v>
      </c>
      <c r="F6" s="41">
        <v>262647</v>
      </c>
      <c r="G6" s="41" t="s">
        <v>237</v>
      </c>
      <c r="H6" s="41">
        <v>3052</v>
      </c>
      <c r="I6" s="42">
        <v>0.39</v>
      </c>
      <c r="J6" s="42">
        <v>0.71</v>
      </c>
      <c r="K6" s="41" t="s">
        <v>33</v>
      </c>
      <c r="L6" s="38">
        <v>845.09900000000005</v>
      </c>
      <c r="M6" s="40">
        <v>722.3</v>
      </c>
      <c r="N6" s="37">
        <v>6.6900000000000001E-2</v>
      </c>
      <c r="O6" s="39">
        <v>4.01</v>
      </c>
      <c r="P6" s="36">
        <v>300</v>
      </c>
      <c r="Q6" s="36">
        <v>3</v>
      </c>
      <c r="R6" s="36">
        <v>1200</v>
      </c>
      <c r="S6" s="38">
        <v>1.17</v>
      </c>
      <c r="T6" s="36">
        <v>30</v>
      </c>
      <c r="U6" s="37">
        <v>2.5000000000000001E-2</v>
      </c>
      <c r="V6" s="36" t="s">
        <v>29</v>
      </c>
      <c r="W6" s="36" t="s">
        <v>28</v>
      </c>
      <c r="X6" s="36" t="s">
        <v>29</v>
      </c>
      <c r="Y6" s="36" t="s">
        <v>27</v>
      </c>
      <c r="Z6" s="36" t="s">
        <v>27</v>
      </c>
      <c r="AA6" s="36" t="s">
        <v>38</v>
      </c>
      <c r="AB6" s="36" t="s">
        <v>108</v>
      </c>
    </row>
    <row r="7" spans="1:28" ht="25.05" customHeight="1" x14ac:dyDescent="0.3">
      <c r="A7" s="41">
        <v>4</v>
      </c>
      <c r="B7" s="43" t="s">
        <v>107</v>
      </c>
      <c r="C7" s="41" t="s">
        <v>49</v>
      </c>
      <c r="D7" s="41" t="s">
        <v>222</v>
      </c>
      <c r="E7" s="41" t="s">
        <v>27</v>
      </c>
      <c r="F7" s="41">
        <v>262648</v>
      </c>
      <c r="G7" s="41" t="s">
        <v>237</v>
      </c>
      <c r="H7" s="41">
        <v>3317</v>
      </c>
      <c r="I7" s="42">
        <v>0.56000000000000005</v>
      </c>
      <c r="J7" s="42">
        <v>0.91</v>
      </c>
      <c r="K7" s="41" t="s">
        <v>33</v>
      </c>
      <c r="L7" s="38">
        <v>1690.3430000000001</v>
      </c>
      <c r="M7" s="40">
        <v>1509.2</v>
      </c>
      <c r="N7" s="37">
        <v>0.20960000000000001</v>
      </c>
      <c r="O7" s="39">
        <v>12.58</v>
      </c>
      <c r="P7" s="36">
        <v>600.1</v>
      </c>
      <c r="Q7" s="36">
        <v>2</v>
      </c>
      <c r="R7" s="36">
        <v>1150</v>
      </c>
      <c r="S7" s="38">
        <v>1.1200000000000001</v>
      </c>
      <c r="T7" s="36">
        <v>30</v>
      </c>
      <c r="U7" s="37">
        <v>2.6100000000000002E-2</v>
      </c>
      <c r="V7" s="36" t="s">
        <v>29</v>
      </c>
      <c r="W7" s="36" t="s">
        <v>28</v>
      </c>
      <c r="X7" s="36" t="s">
        <v>29</v>
      </c>
      <c r="Y7" s="36" t="s">
        <v>27</v>
      </c>
      <c r="Z7" s="36" t="s">
        <v>27</v>
      </c>
      <c r="AA7" s="36" t="s">
        <v>30</v>
      </c>
      <c r="AB7" s="36" t="s">
        <v>106</v>
      </c>
    </row>
    <row r="8" spans="1:28" ht="25.05" customHeight="1" x14ac:dyDescent="0.3">
      <c r="A8" s="35" t="s">
        <v>27</v>
      </c>
      <c r="B8" s="35" t="s">
        <v>27</v>
      </c>
      <c r="C8" s="35" t="s">
        <v>27</v>
      </c>
      <c r="D8" s="35" t="s">
        <v>27</v>
      </c>
      <c r="E8" s="35" t="s">
        <v>27</v>
      </c>
      <c r="F8" s="35" t="s">
        <v>27</v>
      </c>
      <c r="G8" s="35" t="s">
        <v>27</v>
      </c>
      <c r="H8" s="35">
        <v>11911</v>
      </c>
      <c r="I8" s="35" t="s">
        <v>27</v>
      </c>
      <c r="J8" s="35" t="s">
        <v>27</v>
      </c>
      <c r="K8" s="35" t="s">
        <v>27</v>
      </c>
      <c r="L8" s="34" t="s">
        <v>27</v>
      </c>
      <c r="M8" s="34" t="s">
        <v>27</v>
      </c>
      <c r="N8" s="34" t="s">
        <v>27</v>
      </c>
      <c r="O8" s="34" t="s">
        <v>27</v>
      </c>
      <c r="P8" s="34">
        <v>2100</v>
      </c>
      <c r="Q8" s="34" t="s">
        <v>27</v>
      </c>
      <c r="R8" s="34" t="s">
        <v>27</v>
      </c>
      <c r="S8" s="34" t="s">
        <v>27</v>
      </c>
      <c r="T8" s="34" t="s">
        <v>27</v>
      </c>
      <c r="U8" s="34" t="s">
        <v>27</v>
      </c>
      <c r="V8" s="34" t="s">
        <v>27</v>
      </c>
      <c r="W8" s="34" t="s">
        <v>27</v>
      </c>
      <c r="X8" s="34" t="s">
        <v>27</v>
      </c>
      <c r="Y8" s="34" t="s">
        <v>27</v>
      </c>
      <c r="Z8" s="34" t="s">
        <v>27</v>
      </c>
      <c r="AA8" s="34" t="s">
        <v>27</v>
      </c>
      <c r="AB8" s="34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tabSelected="1" zoomScale="172" zoomScaleNormal="172" workbookViewId="0">
      <selection activeCell="A3" sqref="A3:AB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1" t="s">
        <v>234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7">
        <v>1</v>
      </c>
      <c r="B3" s="98" t="s">
        <v>58</v>
      </c>
      <c r="C3" s="97" t="s">
        <v>26</v>
      </c>
      <c r="D3" s="97" t="s">
        <v>451</v>
      </c>
      <c r="E3" s="97" t="s">
        <v>27</v>
      </c>
      <c r="F3" s="97">
        <v>262778</v>
      </c>
      <c r="G3" s="97" t="s">
        <v>450</v>
      </c>
      <c r="H3" s="97">
        <v>430</v>
      </c>
      <c r="I3" s="99">
        <v>0.752</v>
      </c>
      <c r="J3" s="99">
        <v>1.64</v>
      </c>
      <c r="K3" s="97" t="s">
        <v>458</v>
      </c>
      <c r="L3" s="99">
        <v>530.30999999999995</v>
      </c>
      <c r="M3" s="100">
        <v>352.6</v>
      </c>
      <c r="N3" s="101">
        <v>4.9000000000000002E-2</v>
      </c>
      <c r="O3" s="102">
        <v>2.94</v>
      </c>
      <c r="P3" s="97">
        <v>285.3</v>
      </c>
      <c r="Q3" s="97">
        <v>2</v>
      </c>
      <c r="R3" s="97">
        <v>1550</v>
      </c>
      <c r="S3" s="99">
        <v>1.504</v>
      </c>
      <c r="T3" s="97">
        <v>46</v>
      </c>
      <c r="U3" s="101">
        <v>2.9700000000000001E-2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30</v>
      </c>
      <c r="AB3" s="97" t="s">
        <v>457</v>
      </c>
    </row>
    <row r="4" spans="1:28" s="90" customFormat="1" ht="25.05" customHeight="1" x14ac:dyDescent="0.3">
      <c r="A4" s="97">
        <v>2</v>
      </c>
      <c r="B4" s="98" t="s">
        <v>58</v>
      </c>
      <c r="C4" s="97" t="s">
        <v>26</v>
      </c>
      <c r="D4" s="97" t="s">
        <v>451</v>
      </c>
      <c r="E4" s="97" t="s">
        <v>27</v>
      </c>
      <c r="F4" s="97">
        <v>262777</v>
      </c>
      <c r="G4" s="97" t="s">
        <v>456</v>
      </c>
      <c r="H4" s="97">
        <v>450</v>
      </c>
      <c r="I4" s="99">
        <v>0.73299999999999998</v>
      </c>
      <c r="J4" s="99">
        <v>2.11</v>
      </c>
      <c r="K4" s="97" t="s">
        <v>455</v>
      </c>
      <c r="L4" s="99">
        <v>695.98299999999995</v>
      </c>
      <c r="M4" s="100">
        <v>474.8</v>
      </c>
      <c r="N4" s="101">
        <v>6.59E-2</v>
      </c>
      <c r="O4" s="102">
        <v>3.96</v>
      </c>
      <c r="P4" s="97">
        <v>374.4</v>
      </c>
      <c r="Q4" s="97">
        <v>2</v>
      </c>
      <c r="R4" s="97">
        <v>1500</v>
      </c>
      <c r="S4" s="99">
        <v>1.466</v>
      </c>
      <c r="T4" s="97">
        <v>34</v>
      </c>
      <c r="U4" s="101">
        <v>2.2700000000000001E-2</v>
      </c>
      <c r="V4" s="97" t="s">
        <v>28</v>
      </c>
      <c r="W4" s="97" t="s">
        <v>29</v>
      </c>
      <c r="X4" s="97" t="s">
        <v>28</v>
      </c>
      <c r="Y4" s="97" t="s">
        <v>28</v>
      </c>
      <c r="Z4" s="97" t="s">
        <v>28</v>
      </c>
      <c r="AA4" s="97" t="s">
        <v>30</v>
      </c>
      <c r="AB4" s="97" t="s">
        <v>454</v>
      </c>
    </row>
    <row r="5" spans="1:28" s="90" customFormat="1" ht="25.05" customHeight="1" x14ac:dyDescent="0.3">
      <c r="A5" s="97">
        <v>3</v>
      </c>
      <c r="B5" s="98" t="s">
        <v>58</v>
      </c>
      <c r="C5" s="97" t="s">
        <v>26</v>
      </c>
      <c r="D5" s="97" t="s">
        <v>385</v>
      </c>
      <c r="E5" s="97" t="s">
        <v>27</v>
      </c>
      <c r="F5" s="97">
        <v>262774</v>
      </c>
      <c r="G5" s="97" t="s">
        <v>403</v>
      </c>
      <c r="H5" s="97">
        <v>550</v>
      </c>
      <c r="I5" s="99">
        <v>0.70699999999999996</v>
      </c>
      <c r="J5" s="99">
        <v>1.4990000000000001</v>
      </c>
      <c r="K5" s="97" t="s">
        <v>402</v>
      </c>
      <c r="L5" s="99">
        <v>582.88599999999997</v>
      </c>
      <c r="M5" s="100">
        <v>412.2</v>
      </c>
      <c r="N5" s="101">
        <v>5.7299999999999997E-2</v>
      </c>
      <c r="O5" s="102">
        <v>3.44</v>
      </c>
      <c r="P5" s="97">
        <v>313.60000000000002</v>
      </c>
      <c r="Q5" s="97">
        <v>2</v>
      </c>
      <c r="R5" s="97">
        <v>1450</v>
      </c>
      <c r="S5" s="99">
        <v>1.4139999999999999</v>
      </c>
      <c r="T5" s="97">
        <v>36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30</v>
      </c>
      <c r="AB5" s="97" t="s">
        <v>453</v>
      </c>
    </row>
    <row r="6" spans="1:28" s="90" customFormat="1" ht="25.05" customHeight="1" x14ac:dyDescent="0.3">
      <c r="A6" s="97">
        <v>4</v>
      </c>
      <c r="B6" s="98" t="s">
        <v>58</v>
      </c>
      <c r="C6" s="97" t="s">
        <v>26</v>
      </c>
      <c r="D6" s="97" t="s">
        <v>385</v>
      </c>
      <c r="E6" s="97" t="s">
        <v>27</v>
      </c>
      <c r="F6" s="97">
        <v>262775</v>
      </c>
      <c r="G6" s="97" t="s">
        <v>403</v>
      </c>
      <c r="H6" s="97">
        <v>385</v>
      </c>
      <c r="I6" s="99">
        <v>0.71299999999999997</v>
      </c>
      <c r="J6" s="99">
        <v>2.0990000000000002</v>
      </c>
      <c r="K6" s="97" t="s">
        <v>405</v>
      </c>
      <c r="L6" s="99">
        <v>576.18600000000004</v>
      </c>
      <c r="M6" s="100">
        <v>404.1</v>
      </c>
      <c r="N6" s="101">
        <v>5.6099999999999997E-2</v>
      </c>
      <c r="O6" s="102">
        <v>3.37</v>
      </c>
      <c r="P6" s="97">
        <v>310</v>
      </c>
      <c r="Q6" s="97">
        <v>2</v>
      </c>
      <c r="R6" s="97">
        <v>1450</v>
      </c>
      <c r="S6" s="99">
        <v>1.4259999999999999</v>
      </c>
      <c r="T6" s="97">
        <v>24</v>
      </c>
      <c r="U6" s="101">
        <v>1.66E-2</v>
      </c>
      <c r="V6" s="97" t="s">
        <v>28</v>
      </c>
      <c r="W6" s="97" t="s">
        <v>29</v>
      </c>
      <c r="X6" s="97" t="s">
        <v>28</v>
      </c>
      <c r="Y6" s="97" t="s">
        <v>28</v>
      </c>
      <c r="Z6" s="97" t="s">
        <v>28</v>
      </c>
      <c r="AA6" s="97" t="s">
        <v>32</v>
      </c>
      <c r="AB6" s="97" t="s">
        <v>404</v>
      </c>
    </row>
    <row r="7" spans="1:28" s="90" customFormat="1" ht="25.05" customHeight="1" x14ac:dyDescent="0.3">
      <c r="A7" s="97">
        <v>5</v>
      </c>
      <c r="B7" s="98" t="s">
        <v>58</v>
      </c>
      <c r="C7" s="97" t="s">
        <v>26</v>
      </c>
      <c r="D7" s="97" t="s">
        <v>253</v>
      </c>
      <c r="E7" s="97" t="s">
        <v>27</v>
      </c>
      <c r="F7" s="97">
        <v>262767</v>
      </c>
      <c r="G7" s="97" t="s">
        <v>282</v>
      </c>
      <c r="H7" s="97">
        <v>400</v>
      </c>
      <c r="I7" s="99">
        <v>1.3520000000000001</v>
      </c>
      <c r="J7" s="99">
        <v>2.339</v>
      </c>
      <c r="K7" s="97" t="s">
        <v>281</v>
      </c>
      <c r="L7" s="99">
        <v>1264.931</v>
      </c>
      <c r="M7" s="100">
        <v>935.6</v>
      </c>
      <c r="N7" s="101">
        <v>0.25990000000000002</v>
      </c>
      <c r="O7" s="102">
        <v>15.59</v>
      </c>
      <c r="P7" s="97">
        <v>680.5</v>
      </c>
      <c r="Q7" s="97">
        <v>1</v>
      </c>
      <c r="R7" s="97">
        <v>1400</v>
      </c>
      <c r="S7" s="99">
        <v>1.3520000000000001</v>
      </c>
      <c r="T7" s="97">
        <v>48</v>
      </c>
      <c r="U7" s="101">
        <v>3.4299999999999997E-2</v>
      </c>
      <c r="V7" s="97" t="s">
        <v>28</v>
      </c>
      <c r="W7" s="97" t="s">
        <v>29</v>
      </c>
      <c r="X7" s="97" t="s">
        <v>28</v>
      </c>
      <c r="Y7" s="97" t="s">
        <v>28</v>
      </c>
      <c r="Z7" s="97" t="s">
        <v>28</v>
      </c>
      <c r="AA7" s="97" t="s">
        <v>30</v>
      </c>
      <c r="AB7" s="97" t="s">
        <v>452</v>
      </c>
    </row>
    <row r="8" spans="1:28" s="90" customFormat="1" ht="25.05" customHeight="1" x14ac:dyDescent="0.3">
      <c r="A8" s="97">
        <v>6</v>
      </c>
      <c r="B8" s="98" t="s">
        <v>58</v>
      </c>
      <c r="C8" s="97" t="s">
        <v>26</v>
      </c>
      <c r="D8" s="97" t="s">
        <v>253</v>
      </c>
      <c r="E8" s="97" t="s">
        <v>27</v>
      </c>
      <c r="F8" s="97">
        <v>262770</v>
      </c>
      <c r="G8" s="97" t="s">
        <v>282</v>
      </c>
      <c r="H8" s="97">
        <v>400</v>
      </c>
      <c r="I8" s="99">
        <v>1.3720000000000001</v>
      </c>
      <c r="J8" s="99">
        <v>2.38</v>
      </c>
      <c r="K8" s="97" t="s">
        <v>286</v>
      </c>
      <c r="L8" s="99">
        <v>1306.144</v>
      </c>
      <c r="M8" s="100">
        <v>952</v>
      </c>
      <c r="N8" s="101">
        <v>0.26440000000000002</v>
      </c>
      <c r="O8" s="102">
        <v>15.87</v>
      </c>
      <c r="P8" s="97">
        <v>702.7</v>
      </c>
      <c r="Q8" s="97">
        <v>1</v>
      </c>
      <c r="R8" s="97">
        <v>1400</v>
      </c>
      <c r="S8" s="99">
        <v>1.3720000000000001</v>
      </c>
      <c r="T8" s="97">
        <v>28</v>
      </c>
      <c r="U8" s="101">
        <v>0.02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285</v>
      </c>
    </row>
    <row r="9" spans="1:28" s="90" customFormat="1" ht="25.05" customHeight="1" x14ac:dyDescent="0.3">
      <c r="A9" s="97">
        <v>7</v>
      </c>
      <c r="B9" s="98" t="s">
        <v>58</v>
      </c>
      <c r="C9" s="97" t="s">
        <v>26</v>
      </c>
      <c r="D9" s="97" t="s">
        <v>253</v>
      </c>
      <c r="E9" s="97" t="s">
        <v>27</v>
      </c>
      <c r="F9" s="97">
        <v>262768</v>
      </c>
      <c r="G9" s="97" t="s">
        <v>282</v>
      </c>
      <c r="H9" s="97">
        <v>400</v>
      </c>
      <c r="I9" s="99">
        <v>1.1519999999999999</v>
      </c>
      <c r="J9" s="99">
        <v>2.34</v>
      </c>
      <c r="K9" s="97" t="s">
        <v>284</v>
      </c>
      <c r="L9" s="99">
        <v>1078.2719999999999</v>
      </c>
      <c r="M9" s="100">
        <v>936</v>
      </c>
      <c r="N9" s="101">
        <v>0.26</v>
      </c>
      <c r="O9" s="102">
        <v>15.6</v>
      </c>
      <c r="P9" s="97">
        <v>580.1</v>
      </c>
      <c r="Q9" s="97">
        <v>1</v>
      </c>
      <c r="R9" s="97">
        <v>1200</v>
      </c>
      <c r="S9" s="99">
        <v>1.1519999999999999</v>
      </c>
      <c r="T9" s="97">
        <v>48</v>
      </c>
      <c r="U9" s="101">
        <v>0.04</v>
      </c>
      <c r="V9" s="97" t="s">
        <v>28</v>
      </c>
      <c r="W9" s="97" t="s">
        <v>29</v>
      </c>
      <c r="X9" s="97" t="s">
        <v>28</v>
      </c>
      <c r="Y9" s="97" t="s">
        <v>28</v>
      </c>
      <c r="Z9" s="97" t="s">
        <v>28</v>
      </c>
      <c r="AA9" s="97" t="s">
        <v>30</v>
      </c>
      <c r="AB9" s="97" t="s">
        <v>283</v>
      </c>
    </row>
    <row r="10" spans="1:28" s="90" customFormat="1" ht="25.05" customHeight="1" x14ac:dyDescent="0.3">
      <c r="A10" s="97">
        <v>8</v>
      </c>
      <c r="B10" s="98" t="s">
        <v>58</v>
      </c>
      <c r="C10" s="97" t="s">
        <v>26</v>
      </c>
      <c r="D10" s="97" t="s">
        <v>385</v>
      </c>
      <c r="E10" s="97" t="s">
        <v>27</v>
      </c>
      <c r="F10" s="97">
        <v>262776</v>
      </c>
      <c r="G10" s="97" t="s">
        <v>403</v>
      </c>
      <c r="H10" s="97">
        <v>285</v>
      </c>
      <c r="I10" s="99">
        <v>0.96199999999999997</v>
      </c>
      <c r="J10" s="99">
        <v>2.1179999999999999</v>
      </c>
      <c r="K10" s="97" t="s">
        <v>70</v>
      </c>
      <c r="L10" s="99">
        <v>580.69200000000001</v>
      </c>
      <c r="M10" s="100">
        <v>603.6</v>
      </c>
      <c r="N10" s="101">
        <v>0.16769999999999999</v>
      </c>
      <c r="O10" s="102">
        <v>10.06</v>
      </c>
      <c r="P10" s="97">
        <v>312.39999999999998</v>
      </c>
      <c r="Q10" s="97">
        <v>1</v>
      </c>
      <c r="R10" s="97">
        <v>1000</v>
      </c>
      <c r="S10" s="99">
        <v>0.96199999999999997</v>
      </c>
      <c r="T10" s="97">
        <v>38</v>
      </c>
      <c r="U10" s="101">
        <v>3.7999999999999999E-2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32</v>
      </c>
      <c r="AB10" s="97" t="s">
        <v>406</v>
      </c>
    </row>
    <row r="11" spans="1:28" s="90" customFormat="1" ht="25.05" customHeight="1" x14ac:dyDescent="0.3">
      <c r="A11" s="97">
        <v>9</v>
      </c>
      <c r="B11" s="98" t="s">
        <v>58</v>
      </c>
      <c r="C11" s="97" t="s">
        <v>26</v>
      </c>
      <c r="D11" s="97" t="s">
        <v>451</v>
      </c>
      <c r="E11" s="97" t="s">
        <v>27</v>
      </c>
      <c r="F11" s="97">
        <v>262779</v>
      </c>
      <c r="G11" s="97" t="s">
        <v>450</v>
      </c>
      <c r="H11" s="97">
        <v>450</v>
      </c>
      <c r="I11" s="99">
        <v>0.93400000000000005</v>
      </c>
      <c r="J11" s="99">
        <v>1.3</v>
      </c>
      <c r="K11" s="97" t="s">
        <v>33</v>
      </c>
      <c r="L11" s="99">
        <v>546.39</v>
      </c>
      <c r="M11" s="100">
        <v>585</v>
      </c>
      <c r="N11" s="101">
        <v>0.16250000000000001</v>
      </c>
      <c r="O11" s="102">
        <v>9.75</v>
      </c>
      <c r="P11" s="97">
        <v>294</v>
      </c>
      <c r="Q11" s="97">
        <v>1</v>
      </c>
      <c r="R11" s="97">
        <v>1000</v>
      </c>
      <c r="S11" s="99">
        <v>0.93400000000000005</v>
      </c>
      <c r="T11" s="97">
        <v>66</v>
      </c>
      <c r="U11" s="101">
        <v>6.6000000000000003E-2</v>
      </c>
      <c r="V11" s="97" t="s">
        <v>28</v>
      </c>
      <c r="W11" s="97" t="s">
        <v>29</v>
      </c>
      <c r="X11" s="97" t="s">
        <v>28</v>
      </c>
      <c r="Y11" s="97" t="s">
        <v>28</v>
      </c>
      <c r="Z11" s="97" t="s">
        <v>28</v>
      </c>
      <c r="AA11" s="97" t="s">
        <v>30</v>
      </c>
      <c r="AB11" s="97" t="s">
        <v>449</v>
      </c>
    </row>
    <row r="12" spans="1:28" s="90" customFormat="1" ht="25.05" customHeight="1" x14ac:dyDescent="0.3">
      <c r="A12" s="97">
        <v>10</v>
      </c>
      <c r="B12" s="98" t="s">
        <v>58</v>
      </c>
      <c r="C12" s="97" t="s">
        <v>59</v>
      </c>
      <c r="D12" s="97" t="s">
        <v>448</v>
      </c>
      <c r="E12" s="97" t="s">
        <v>27</v>
      </c>
      <c r="F12" s="97">
        <v>262772</v>
      </c>
      <c r="G12" s="97" t="s">
        <v>447</v>
      </c>
      <c r="H12" s="97">
        <v>9500</v>
      </c>
      <c r="I12" s="99">
        <v>0.32200000000000001</v>
      </c>
      <c r="J12" s="99">
        <v>0.94</v>
      </c>
      <c r="K12" s="97" t="s">
        <v>324</v>
      </c>
      <c r="L12" s="99">
        <v>2875.46</v>
      </c>
      <c r="M12" s="100">
        <v>2232.5</v>
      </c>
      <c r="N12" s="101">
        <v>0.155</v>
      </c>
      <c r="O12" s="102">
        <v>9.3000000000000007</v>
      </c>
      <c r="P12" s="97">
        <v>931.6</v>
      </c>
      <c r="Q12" s="97">
        <v>4</v>
      </c>
      <c r="R12" s="97">
        <v>1350</v>
      </c>
      <c r="S12" s="99">
        <v>1.288</v>
      </c>
      <c r="T12" s="97">
        <v>62</v>
      </c>
      <c r="U12" s="101">
        <v>4.5900000000000003E-2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48</v>
      </c>
      <c r="AB12" s="97" t="s">
        <v>325</v>
      </c>
    </row>
    <row r="13" spans="1:28" s="90" customFormat="1" ht="25.05" customHeight="1" x14ac:dyDescent="0.3">
      <c r="A13" s="97">
        <v>11</v>
      </c>
      <c r="B13" s="98" t="s">
        <v>58</v>
      </c>
      <c r="C13" s="97" t="s">
        <v>59</v>
      </c>
      <c r="D13" s="97" t="s">
        <v>448</v>
      </c>
      <c r="E13" s="97" t="s">
        <v>27</v>
      </c>
      <c r="F13" s="97">
        <v>262773</v>
      </c>
      <c r="G13" s="97" t="s">
        <v>447</v>
      </c>
      <c r="H13" s="97">
        <v>930</v>
      </c>
      <c r="I13" s="99">
        <v>0.59199999999999997</v>
      </c>
      <c r="J13" s="99">
        <v>1.62</v>
      </c>
      <c r="K13" s="97" t="s">
        <v>326</v>
      </c>
      <c r="L13" s="99">
        <v>891.90700000000004</v>
      </c>
      <c r="M13" s="100">
        <v>753.3</v>
      </c>
      <c r="N13" s="101">
        <v>0.1046</v>
      </c>
      <c r="O13" s="102">
        <v>6.28</v>
      </c>
      <c r="P13" s="97">
        <v>289</v>
      </c>
      <c r="Q13" s="97">
        <v>2</v>
      </c>
      <c r="R13" s="97">
        <v>1250</v>
      </c>
      <c r="S13" s="99">
        <v>1.1839999999999999</v>
      </c>
      <c r="T13" s="97">
        <v>66</v>
      </c>
      <c r="U13" s="101">
        <v>5.28E-2</v>
      </c>
      <c r="V13" s="97" t="s">
        <v>28</v>
      </c>
      <c r="W13" s="97" t="s">
        <v>28</v>
      </c>
      <c r="X13" s="97" t="s">
        <v>28</v>
      </c>
      <c r="Y13" s="97" t="s">
        <v>27</v>
      </c>
      <c r="Z13" s="97" t="s">
        <v>27</v>
      </c>
      <c r="AA13" s="97" t="s">
        <v>30</v>
      </c>
      <c r="AB13" s="97" t="s">
        <v>327</v>
      </c>
    </row>
    <row r="14" spans="1:28" s="90" customFormat="1" ht="25.05" customHeight="1" x14ac:dyDescent="0.3">
      <c r="A14" s="97">
        <v>12</v>
      </c>
      <c r="B14" s="98" t="s">
        <v>58</v>
      </c>
      <c r="C14" s="97" t="s">
        <v>59</v>
      </c>
      <c r="D14" s="97" t="s">
        <v>222</v>
      </c>
      <c r="E14" s="97" t="s">
        <v>27</v>
      </c>
      <c r="F14" s="97">
        <v>262765</v>
      </c>
      <c r="G14" s="97" t="s">
        <v>231</v>
      </c>
      <c r="H14" s="97">
        <v>1150</v>
      </c>
      <c r="I14" s="99">
        <v>0.54700000000000004</v>
      </c>
      <c r="J14" s="99">
        <v>1.44</v>
      </c>
      <c r="K14" s="97" t="s">
        <v>233</v>
      </c>
      <c r="L14" s="99">
        <v>905.83199999999999</v>
      </c>
      <c r="M14" s="100">
        <v>828</v>
      </c>
      <c r="N14" s="101">
        <v>0.115</v>
      </c>
      <c r="O14" s="102">
        <v>6.9</v>
      </c>
      <c r="P14" s="97">
        <v>293.5</v>
      </c>
      <c r="Q14" s="97">
        <v>2</v>
      </c>
      <c r="R14" s="97">
        <v>1150</v>
      </c>
      <c r="S14" s="99">
        <v>1.0940000000000001</v>
      </c>
      <c r="T14" s="97">
        <v>56</v>
      </c>
      <c r="U14" s="101">
        <v>4.87E-2</v>
      </c>
      <c r="V14" s="97" t="s">
        <v>28</v>
      </c>
      <c r="W14" s="97" t="s">
        <v>28</v>
      </c>
      <c r="X14" s="97" t="s">
        <v>28</v>
      </c>
      <c r="Y14" s="97" t="s">
        <v>27</v>
      </c>
      <c r="Z14" s="97" t="s">
        <v>27</v>
      </c>
      <c r="AA14" s="97" t="s">
        <v>32</v>
      </c>
      <c r="AB14" s="97" t="s">
        <v>232</v>
      </c>
    </row>
    <row r="15" spans="1:28" s="90" customFormat="1" ht="25.05" customHeight="1" x14ac:dyDescent="0.3">
      <c r="A15" s="97">
        <v>13</v>
      </c>
      <c r="B15" s="98" t="s">
        <v>58</v>
      </c>
      <c r="C15" s="97" t="s">
        <v>35</v>
      </c>
      <c r="D15" s="97" t="s">
        <v>253</v>
      </c>
      <c r="E15" s="97" t="s">
        <v>27</v>
      </c>
      <c r="F15" s="97">
        <v>262769</v>
      </c>
      <c r="G15" s="97" t="s">
        <v>282</v>
      </c>
      <c r="H15" s="97">
        <v>1000</v>
      </c>
      <c r="I15" s="99">
        <v>0.76</v>
      </c>
      <c r="J15" s="99">
        <v>1.0900000000000001</v>
      </c>
      <c r="K15" s="97" t="s">
        <v>33</v>
      </c>
      <c r="L15" s="99">
        <v>828.4</v>
      </c>
      <c r="M15" s="100">
        <v>545</v>
      </c>
      <c r="N15" s="101">
        <v>7.5700000000000003E-2</v>
      </c>
      <c r="O15" s="102">
        <v>4.54</v>
      </c>
      <c r="P15" s="97">
        <v>260.89999999999998</v>
      </c>
      <c r="Q15" s="97">
        <v>2</v>
      </c>
      <c r="R15" s="97">
        <v>1550</v>
      </c>
      <c r="S15" s="99">
        <v>1.52</v>
      </c>
      <c r="T15" s="97">
        <v>30</v>
      </c>
      <c r="U15" s="101">
        <v>1.9400000000000001E-2</v>
      </c>
      <c r="V15" s="97" t="s">
        <v>28</v>
      </c>
      <c r="W15" s="97" t="s">
        <v>28</v>
      </c>
      <c r="X15" s="97" t="s">
        <v>28</v>
      </c>
      <c r="Y15" s="97" t="s">
        <v>27</v>
      </c>
      <c r="Z15" s="97" t="s">
        <v>27</v>
      </c>
      <c r="AA15" s="97" t="s">
        <v>32</v>
      </c>
      <c r="AB15" s="97" t="s">
        <v>287</v>
      </c>
    </row>
    <row r="16" spans="1:28" s="90" customFormat="1" ht="25.05" customHeight="1" x14ac:dyDescent="0.3">
      <c r="A16" s="97">
        <v>14</v>
      </c>
      <c r="B16" s="98" t="s">
        <v>58</v>
      </c>
      <c r="C16" s="97" t="s">
        <v>35</v>
      </c>
      <c r="D16" s="97" t="s">
        <v>274</v>
      </c>
      <c r="E16" s="97" t="s">
        <v>27</v>
      </c>
      <c r="F16" s="97">
        <v>262771</v>
      </c>
      <c r="G16" s="97" t="s">
        <v>288</v>
      </c>
      <c r="H16" s="97">
        <v>1350</v>
      </c>
      <c r="I16" s="99">
        <v>0.59199999999999997</v>
      </c>
      <c r="J16" s="99">
        <v>1.619</v>
      </c>
      <c r="K16" s="97" t="s">
        <v>289</v>
      </c>
      <c r="L16" s="99">
        <v>1293.905</v>
      </c>
      <c r="M16" s="100">
        <v>1092.8</v>
      </c>
      <c r="N16" s="101">
        <v>0.15179999999999999</v>
      </c>
      <c r="O16" s="102">
        <v>9.11</v>
      </c>
      <c r="P16" s="97">
        <v>407.6</v>
      </c>
      <c r="Q16" s="97">
        <v>2</v>
      </c>
      <c r="R16" s="97">
        <v>1250</v>
      </c>
      <c r="S16" s="99">
        <v>1.1839999999999999</v>
      </c>
      <c r="T16" s="97">
        <v>66</v>
      </c>
      <c r="U16" s="101">
        <v>5.28E-2</v>
      </c>
      <c r="V16" s="97" t="s">
        <v>28</v>
      </c>
      <c r="W16" s="97" t="s">
        <v>28</v>
      </c>
      <c r="X16" s="97" t="s">
        <v>28</v>
      </c>
      <c r="Y16" s="97" t="s">
        <v>27</v>
      </c>
      <c r="Z16" s="97" t="s">
        <v>27</v>
      </c>
      <c r="AA16" s="97" t="s">
        <v>31</v>
      </c>
      <c r="AB16" s="97" t="s">
        <v>290</v>
      </c>
    </row>
    <row r="17" spans="1:28" s="90" customFormat="1" x14ac:dyDescent="0.3">
      <c r="A17" s="97">
        <v>15</v>
      </c>
      <c r="B17" s="98" t="s">
        <v>58</v>
      </c>
      <c r="C17" s="97" t="s">
        <v>35</v>
      </c>
      <c r="D17" s="97" t="s">
        <v>222</v>
      </c>
      <c r="E17" s="97" t="s">
        <v>27</v>
      </c>
      <c r="F17" s="97">
        <v>262766</v>
      </c>
      <c r="G17" s="97" t="s">
        <v>231</v>
      </c>
      <c r="H17" s="97">
        <v>1000</v>
      </c>
      <c r="I17" s="99">
        <v>0.58099999999999996</v>
      </c>
      <c r="J17" s="99">
        <v>1.58</v>
      </c>
      <c r="K17" s="97" t="s">
        <v>230</v>
      </c>
      <c r="L17" s="99">
        <v>917.98</v>
      </c>
      <c r="M17" s="100">
        <v>790</v>
      </c>
      <c r="N17" s="101">
        <v>0.10970000000000001</v>
      </c>
      <c r="O17" s="102">
        <v>6.58</v>
      </c>
      <c r="P17" s="97">
        <v>289.2</v>
      </c>
      <c r="Q17" s="97">
        <v>2</v>
      </c>
      <c r="R17" s="97">
        <v>1200</v>
      </c>
      <c r="S17" s="99">
        <v>1.1619999999999999</v>
      </c>
      <c r="T17" s="97">
        <v>38</v>
      </c>
      <c r="U17" s="101">
        <v>3.1699999999999999E-2</v>
      </c>
      <c r="V17" s="97" t="s">
        <v>28</v>
      </c>
      <c r="W17" s="97" t="s">
        <v>28</v>
      </c>
      <c r="X17" s="97" t="s">
        <v>28</v>
      </c>
      <c r="Y17" s="97" t="s">
        <v>27</v>
      </c>
      <c r="Z17" s="97" t="s">
        <v>27</v>
      </c>
      <c r="AA17" s="97" t="s">
        <v>32</v>
      </c>
      <c r="AB17" s="97" t="s">
        <v>229</v>
      </c>
    </row>
    <row r="18" spans="1:28" s="90" customFormat="1" x14ac:dyDescent="0.3">
      <c r="A18" s="103" t="s">
        <v>27</v>
      </c>
      <c r="B18" s="103" t="s">
        <v>27</v>
      </c>
      <c r="C18" s="103" t="s">
        <v>27</v>
      </c>
      <c r="D18" s="103" t="s">
        <v>27</v>
      </c>
      <c r="E18" s="103" t="s">
        <v>27</v>
      </c>
      <c r="F18" s="103" t="s">
        <v>27</v>
      </c>
      <c r="G18" s="103" t="s">
        <v>27</v>
      </c>
      <c r="H18" s="103">
        <f>SUM(H3:H17)</f>
        <v>18680</v>
      </c>
      <c r="I18" s="103" t="s">
        <v>27</v>
      </c>
      <c r="J18" s="103" t="s">
        <v>27</v>
      </c>
      <c r="K18" s="103" t="s">
        <v>27</v>
      </c>
      <c r="L18" s="103" t="s">
        <v>27</v>
      </c>
      <c r="M18" s="103" t="s">
        <v>27</v>
      </c>
      <c r="N18" s="103" t="s">
        <v>27</v>
      </c>
      <c r="O18" s="103" t="s">
        <v>27</v>
      </c>
      <c r="P18" s="103">
        <f>SUM(P3:P17)</f>
        <v>6324.8</v>
      </c>
      <c r="Q18" s="103" t="s">
        <v>27</v>
      </c>
      <c r="R18" s="103" t="s">
        <v>27</v>
      </c>
      <c r="S18" s="103" t="s">
        <v>27</v>
      </c>
      <c r="T18" s="103" t="s">
        <v>27</v>
      </c>
      <c r="U18" s="103" t="s">
        <v>27</v>
      </c>
      <c r="V18" s="103" t="s">
        <v>27</v>
      </c>
      <c r="W18" s="103" t="s">
        <v>27</v>
      </c>
      <c r="X18" s="103" t="s">
        <v>27</v>
      </c>
      <c r="Y18" s="103" t="s">
        <v>27</v>
      </c>
      <c r="Z18" s="103" t="s">
        <v>27</v>
      </c>
      <c r="AA18" s="103" t="s">
        <v>27</v>
      </c>
      <c r="AB18" s="103" t="s">
        <v>27</v>
      </c>
    </row>
    <row r="19" spans="1:28" s="90" customForma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267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268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269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93" t="s">
        <v>235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181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303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304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92" t="s">
        <v>123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5" t="s">
        <v>105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6" t="s">
        <v>80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Renovapel 1235</vt:lpstr>
      <vt:lpstr>PCBOX EMBALAGENS LTDA 1233</vt:lpstr>
      <vt:lpstr>RM Embalagens 1232</vt:lpstr>
      <vt:lpstr>HARMONY EMBALAGENS 1231 P</vt:lpstr>
      <vt:lpstr>FAVINCO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2026-09-29T11:12:33Z</cp:lastPrinted>
  <dcterms:created xsi:type="dcterms:W3CDTF">2026-07-02T17:42:15Z</dcterms:created>
  <dcterms:modified xsi:type="dcterms:W3CDTF">2026-09-30T13:24:07Z</dcterms:modified>
</cp:coreProperties>
</file>