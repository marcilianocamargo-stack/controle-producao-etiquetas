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4CE3BAE-4EAD-452C-9128-21387B13EBE5}" xr6:coauthVersionLast="47" xr6:coauthVersionMax="47" xr10:uidLastSave="{00000000-0000-0000-0000-000000000000}"/>
  <bookViews>
    <workbookView xWindow="-38520" yWindow="-120" windowWidth="38640" windowHeight="21120" activeTab="1" xr2:uid="{00000000-000D-0000-FFFF-FFFF00000000}"/>
  </bookViews>
  <sheets>
    <sheet name="FORBOX 1310" sheetId="217" r:id="rId1"/>
    <sheet name="ABAPEL EMBALAGENS 1308 P" sheetId="215" r:id="rId2"/>
    <sheet name="CARPEL 1307 P" sheetId="214" r:id="rId3"/>
    <sheet name="RENOVAPEL 1306 P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 P" sheetId="209" r:id="rId8"/>
    <sheet name="RENOVAPEL 1297 P" sheetId="208" r:id="rId9"/>
    <sheet name="FORBOX 1289" sheetId="205" r:id="rId10"/>
    <sheet name="HARMONY EMBALAGENS 1285 P" sheetId="202" r:id="rId11"/>
    <sheet name="PCBOX  - IPE 1266 P" sheetId="21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18" l="1"/>
  <c r="G7" i="218"/>
  <c r="Q8" i="210" l="1"/>
  <c r="G8" i="210"/>
</calcChain>
</file>

<file path=xl/sharedStrings.xml><?xml version="1.0" encoding="utf-8"?>
<sst xmlns="http://schemas.openxmlformats.org/spreadsheetml/2006/main" count="2377" uniqueCount="256">
  <si>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</si>
  <si>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</si>
  <si>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</si>
  <si>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</si>
  <si>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</si>
  <si>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</si>
  <si>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</si>
  <si>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</si>
  <si>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</si>
  <si>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</si>
  <si>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</si>
  <si>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</si>
  <si>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</si>
  <si>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</si>
  <si>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</si>
  <si>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</si>
  <si>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</si>
  <si>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</si>
  <si>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</si>
  <si>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</si>
  <si>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</si>
  <si>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</si>
  <si>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</si>
  <si>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</si>
  <si>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</si>
  <si>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</si>
  <si>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</si>
  <si>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</si>
  <si>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</si>
  <si>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</si>
  <si>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</si>
  <si>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</si>
  <si>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</si>
  <si>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</si>
  <si>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</si>
  <si>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</si>
  <si>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</si>
  <si>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</si>
  <si>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</si>
  <si>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</si>
  <si>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</si>
  <si>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</si>
  <si>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</si>
  <si>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</si>
  <si>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</si>
  <si>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</si>
  <si>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</si>
  <si>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</si>
  <si>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</si>
  <si>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</si>
  <si>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</si>
  <si>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</si>
  <si>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</si>
  <si>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</si>
  <si>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</si>
  <si>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</si>
  <si>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</si>
  <si>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</si>
  <si>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</si>
  <si>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</si>
  <si>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</si>
  <si>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</si>
  <si>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</si>
  <si>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</si>
  <si>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</si>
  <si>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</si>
  <si>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</si>
  <si>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</si>
  <si>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</si>
  <si>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</si>
  <si>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</si>
  <si>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</si>
  <si>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</si>
  <si>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</si>
  <si>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</si>
  <si>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</si>
  <si>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</si>
  <si>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</si>
  <si>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</si>
  <si>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</si>
  <si>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</si>
  <si>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</si>
  <si>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</si>
  <si>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</si>
  <si>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</si>
  <si>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</si>
  <si>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</si>
  <si>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</si>
  <si>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</si>
  <si>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</si>
  <si>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</si>
  <si>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</si>
  <si>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</si>
  <si>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</si>
  <si>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</si>
  <si>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</si>
  <si>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</si>
  <si>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</si>
  <si>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</si>
  <si>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</si>
  <si>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</si>
  <si>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</si>
  <si>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</si>
  <si>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</si>
  <si>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</si>
  <si>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</si>
  <si>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</si>
  <si>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</si>
  <si>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</si>
  <si>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</si>
  <si>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</si>
  <si>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</si>
  <si>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</si>
  <si>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</si>
  <si>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</si>
  <si>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</si>
  <si>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</si>
  <si>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</si>
  <si>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</si>
  <si>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</si>
  <si>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</si>
  <si>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</si>
  <si>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</si>
  <si>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</si>
  <si>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</si>
  <si>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</si>
  <si>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</si>
  <si>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</si>
  <si>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</si>
  <si>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</si>
  <si>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</si>
  <si>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</si>
  <si>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</si>
  <si>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</si>
  <si>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</si>
  <si>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</si>
  <si>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</si>
  <si>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</si>
  <si>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</si>
  <si>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</si>
  <si>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</si>
  <si>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</si>
  <si>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</si>
  <si>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</si>
  <si>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</si>
  <si>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</si>
  <si>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</si>
  <si>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</si>
  <si>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</si>
  <si>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</si>
  <si>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</si>
  <si>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</si>
  <si>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</si>
  <si>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</si>
  <si>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</si>
  <si>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</si>
  <si>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</si>
  <si>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</si>
  <si>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</si>
  <si>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</si>
  <si>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</si>
  <si>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</si>
  <si>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</si>
  <si>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</si>
  <si>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</si>
  <si>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</si>
  <si>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</si>
  <si>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</si>
  <si>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</si>
  <si>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</si>
  <si>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</si>
  <si>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</si>
  <si>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</si>
  <si>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</si>
  <si>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</si>
  <si>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</si>
  <si>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</si>
  <si>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</si>
  <si>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</si>
  <si>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</si>
  <si>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</si>
  <si>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</si>
  <si>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</si>
  <si>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</si>
  <si>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</si>
  <si>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</si>
  <si>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</si>
  <si>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</si>
  <si>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</si>
  <si>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</si>
  <si>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</si>
  <si>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</si>
  <si>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</si>
  <si>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</si>
  <si>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</si>
  <si>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</si>
  <si>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</si>
  <si>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</si>
  <si>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</si>
  <si>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</si>
  <si>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</si>
  <si>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</si>
  <si>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</si>
  <si>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</si>
  <si>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</si>
  <si>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</si>
  <si>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</si>
  <si>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</si>
  <si>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</si>
  <si>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</si>
  <si>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</si>
  <si>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</si>
  <si>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</si>
  <si>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</si>
  <si>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</si>
  <si>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</si>
  <si>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</si>
  <si>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</si>
  <si>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</si>
  <si>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</si>
  <si>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</si>
  <si>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</si>
  <si>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</si>
  <si>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</si>
  <si>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</si>
  <si>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</si>
  <si>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</si>
  <si>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</si>
  <si>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</si>
  <si>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</si>
  <si>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</si>
  <si>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</si>
  <si>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</si>
  <si>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</si>
  <si>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</si>
  <si>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</si>
  <si>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</si>
  <si>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</si>
  <si>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</si>
  <si>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</si>
  <si>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</si>
  <si>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</si>
  <si>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</si>
  <si>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</si>
  <si>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</si>
  <si>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</si>
  <si>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</si>
  <si>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</si>
  <si>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</si>
  <si>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</si>
  <si>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</si>
  <si>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</si>
  <si>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</si>
  <si>
    <t>8346</t>
  </si>
  <si>
    <t>261x115x261</t>
  </si>
  <si>
    <t>657x1764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</si>
</sst>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67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G45" sqref="G45:H45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6640625" style="4" customWidth="1"/>
    <col min="6" max="6" width="6.21875" style="4" customWidth="1"/>
    <col min="7" max="7" width="6.88671875" style="4" customWidth="1"/>
    <col min="8" max="8" width="6.33203125" style="4" customWidth="1"/>
    <col min="9" max="9" width="7.33203125" style="4" customWidth="1"/>
    <col min="10" max="10" width="7.88671875" style="4" customWidth="1"/>
    <col min="11" max="11" width="6.33203125" style="4" customWidth="1"/>
    <col min="12" max="12" width="11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33203125" style="4" customWidth="1"/>
    <col min="19" max="19" width="6.4414062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6" width="7.77734375" style="4" customWidth="1"/>
    <col min="27" max="27" width="8.109375" style="4" customWidth="1"/>
    <col min="28" max="28" width="4.77734375" style="4" customWidth="1"/>
    <col min="29" max="29" width="11.21875" style="4" customWidth="1"/>
    <col min="30" max="16384" width="8.88671875" style="4"/>
  </cols>
  <sheetData>
    <row r="1" spans="1:29" ht="18" customHeight="1" x14ac:dyDescent="0.35">
      <c r="A1" s="56" t="s">
        <v>252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38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125</v>
      </c>
      <c r="C3" s="49" t="s">
        <v>49</v>
      </c>
      <c r="D3" s="49" t="s">
        <v>247</v>
      </c>
      <c r="E3" s="49">
        <v>263113</v>
      </c>
      <c r="F3" s="49" t="s">
        <v>246</v>
      </c>
      <c r="G3" s="49">
        <v>2000</v>
      </c>
      <c r="H3" s="50">
        <v>1.57</v>
      </c>
      <c r="I3" s="50">
        <v>1.2</v>
      </c>
      <c r="J3" s="49" t="s">
        <v>26</v>
      </c>
      <c r="K3" s="49" t="s">
        <v>32</v>
      </c>
      <c r="L3" s="49" t="s">
        <v>26</v>
      </c>
      <c r="M3" s="46">
        <v>3768</v>
      </c>
      <c r="N3" s="48">
        <v>2400</v>
      </c>
      <c r="O3" s="45">
        <v>0.66669999999999996</v>
      </c>
      <c r="P3" s="47">
        <v>40</v>
      </c>
      <c r="Q3" s="44">
        <v>1243.4000000000001</v>
      </c>
      <c r="R3" s="44">
        <v>1</v>
      </c>
      <c r="S3" s="44">
        <v>1600</v>
      </c>
      <c r="T3" s="46">
        <v>1.57</v>
      </c>
      <c r="U3" s="44">
        <v>30</v>
      </c>
      <c r="V3" s="45">
        <v>1.8700000000000001E-2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46</v>
      </c>
      <c r="AC3" s="44" t="s">
        <v>251</v>
      </c>
    </row>
    <row r="4" spans="1:29" x14ac:dyDescent="0.3">
      <c r="A4" s="49">
        <v>2</v>
      </c>
      <c r="B4" s="51" t="s">
        <v>125</v>
      </c>
      <c r="C4" s="49" t="s">
        <v>49</v>
      </c>
      <c r="D4" s="49" t="s">
        <v>247</v>
      </c>
      <c r="E4" s="49">
        <v>263114</v>
      </c>
      <c r="F4" s="49" t="s">
        <v>246</v>
      </c>
      <c r="G4" s="49">
        <v>2000</v>
      </c>
      <c r="H4" s="50">
        <v>1.57</v>
      </c>
      <c r="I4" s="50">
        <v>1.1000000000000001</v>
      </c>
      <c r="J4" s="49" t="s">
        <v>26</v>
      </c>
      <c r="K4" s="49" t="s">
        <v>32</v>
      </c>
      <c r="L4" s="49" t="s">
        <v>26</v>
      </c>
      <c r="M4" s="46">
        <v>3454</v>
      </c>
      <c r="N4" s="48">
        <v>2200</v>
      </c>
      <c r="O4" s="45">
        <v>0.61109999999999998</v>
      </c>
      <c r="P4" s="47">
        <v>36.67</v>
      </c>
      <c r="Q4" s="44">
        <v>1139.8</v>
      </c>
      <c r="R4" s="44">
        <v>1</v>
      </c>
      <c r="S4" s="44">
        <v>1600</v>
      </c>
      <c r="T4" s="46">
        <v>1.57</v>
      </c>
      <c r="U4" s="44">
        <v>30</v>
      </c>
      <c r="V4" s="45">
        <v>1.8700000000000001E-2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46</v>
      </c>
      <c r="AC4" s="44" t="s">
        <v>250</v>
      </c>
    </row>
    <row r="5" spans="1:29" x14ac:dyDescent="0.3">
      <c r="A5" s="49">
        <v>3</v>
      </c>
      <c r="B5" s="51" t="s">
        <v>125</v>
      </c>
      <c r="C5" s="49" t="s">
        <v>49</v>
      </c>
      <c r="D5" s="49" t="s">
        <v>247</v>
      </c>
      <c r="E5" s="49">
        <v>263115</v>
      </c>
      <c r="F5" s="49" t="s">
        <v>246</v>
      </c>
      <c r="G5" s="49">
        <v>2000</v>
      </c>
      <c r="H5" s="50">
        <v>1.57</v>
      </c>
      <c r="I5" s="50">
        <v>1</v>
      </c>
      <c r="J5" s="49" t="s">
        <v>26</v>
      </c>
      <c r="K5" s="49" t="s">
        <v>32</v>
      </c>
      <c r="L5" s="49" t="s">
        <v>26</v>
      </c>
      <c r="M5" s="46">
        <v>3140</v>
      </c>
      <c r="N5" s="48">
        <v>2000</v>
      </c>
      <c r="O5" s="45">
        <v>0.55559999999999998</v>
      </c>
      <c r="P5" s="47">
        <v>33.33</v>
      </c>
      <c r="Q5" s="44">
        <v>1036.2</v>
      </c>
      <c r="R5" s="44">
        <v>1</v>
      </c>
      <c r="S5" s="44">
        <v>1600</v>
      </c>
      <c r="T5" s="46">
        <v>1.57</v>
      </c>
      <c r="U5" s="44">
        <v>30</v>
      </c>
      <c r="V5" s="45">
        <v>1.8700000000000001E-2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46</v>
      </c>
      <c r="AC5" s="44" t="s">
        <v>249</v>
      </c>
    </row>
    <row r="6" spans="1:29" x14ac:dyDescent="0.3">
      <c r="A6" s="49">
        <v>4</v>
      </c>
      <c r="B6" s="51" t="s">
        <v>125</v>
      </c>
      <c r="C6" s="49" t="s">
        <v>49</v>
      </c>
      <c r="D6" s="49" t="s">
        <v>247</v>
      </c>
      <c r="E6" s="49">
        <v>263116</v>
      </c>
      <c r="F6" s="49" t="s">
        <v>246</v>
      </c>
      <c r="G6" s="49">
        <v>2000</v>
      </c>
      <c r="H6" s="50">
        <v>1.57</v>
      </c>
      <c r="I6" s="50">
        <v>0.9</v>
      </c>
      <c r="J6" s="49" t="s">
        <v>26</v>
      </c>
      <c r="K6" s="49" t="s">
        <v>32</v>
      </c>
      <c r="L6" s="49" t="s">
        <v>26</v>
      </c>
      <c r="M6" s="46">
        <v>2826</v>
      </c>
      <c r="N6" s="48">
        <v>1800</v>
      </c>
      <c r="O6" s="45">
        <v>0.5</v>
      </c>
      <c r="P6" s="47">
        <v>30</v>
      </c>
      <c r="Q6" s="44">
        <v>932.6</v>
      </c>
      <c r="R6" s="44">
        <v>1</v>
      </c>
      <c r="S6" s="44">
        <v>1600</v>
      </c>
      <c r="T6" s="46">
        <v>1.57</v>
      </c>
      <c r="U6" s="44">
        <v>30</v>
      </c>
      <c r="V6" s="45">
        <v>1.8700000000000001E-2</v>
      </c>
      <c r="W6" s="44" t="s">
        <v>27</v>
      </c>
      <c r="X6" s="44" t="s">
        <v>27</v>
      </c>
      <c r="Y6" s="44" t="s">
        <v>27</v>
      </c>
      <c r="Z6" s="44" t="s">
        <v>26</v>
      </c>
      <c r="AA6" s="44" t="s">
        <v>26</v>
      </c>
      <c r="AB6" s="44" t="s">
        <v>46</v>
      </c>
      <c r="AC6" s="44" t="s">
        <v>248</v>
      </c>
    </row>
    <row r="7" spans="1:29" x14ac:dyDescent="0.3">
      <c r="A7" s="49">
        <v>5</v>
      </c>
      <c r="B7" s="51" t="s">
        <v>125</v>
      </c>
      <c r="C7" s="49" t="s">
        <v>49</v>
      </c>
      <c r="D7" s="49" t="s">
        <v>247</v>
      </c>
      <c r="E7" s="49">
        <v>263117</v>
      </c>
      <c r="F7" s="49" t="s">
        <v>246</v>
      </c>
      <c r="G7" s="49">
        <v>2000</v>
      </c>
      <c r="H7" s="50">
        <v>1.57</v>
      </c>
      <c r="I7" s="50">
        <v>0.8</v>
      </c>
      <c r="J7" s="49" t="s">
        <v>26</v>
      </c>
      <c r="K7" s="49" t="s">
        <v>32</v>
      </c>
      <c r="L7" s="49" t="s">
        <v>26</v>
      </c>
      <c r="M7" s="46">
        <v>2512</v>
      </c>
      <c r="N7" s="48">
        <v>1600</v>
      </c>
      <c r="O7" s="45">
        <v>0.44440000000000002</v>
      </c>
      <c r="P7" s="47">
        <v>26.67</v>
      </c>
      <c r="Q7" s="44">
        <v>829</v>
      </c>
      <c r="R7" s="44">
        <v>1</v>
      </c>
      <c r="S7" s="44">
        <v>1600</v>
      </c>
      <c r="T7" s="46">
        <v>1.57</v>
      </c>
      <c r="U7" s="44">
        <v>30</v>
      </c>
      <c r="V7" s="45">
        <v>1.8700000000000001E-2</v>
      </c>
      <c r="W7" s="44" t="s">
        <v>27</v>
      </c>
      <c r="X7" s="44" t="s">
        <v>27</v>
      </c>
      <c r="Y7" s="44" t="s">
        <v>27</v>
      </c>
      <c r="Z7" s="44" t="s">
        <v>26</v>
      </c>
      <c r="AA7" s="44" t="s">
        <v>26</v>
      </c>
      <c r="AB7" s="44" t="s">
        <v>46</v>
      </c>
      <c r="AC7" s="44" t="s">
        <v>245</v>
      </c>
    </row>
    <row r="8" spans="1:29" x14ac:dyDescent="0.3">
      <c r="A8" s="43" t="s">
        <v>26</v>
      </c>
      <c r="B8" s="43" t="s">
        <v>26</v>
      </c>
      <c r="C8" s="43" t="s">
        <v>26</v>
      </c>
      <c r="D8" s="43" t="s">
        <v>26</v>
      </c>
      <c r="E8" s="43" t="s">
        <v>26</v>
      </c>
      <c r="F8" s="43" t="s">
        <v>26</v>
      </c>
      <c r="G8" s="43">
        <v>10000</v>
      </c>
      <c r="H8" s="43" t="s">
        <v>26</v>
      </c>
      <c r="I8" s="43" t="s">
        <v>26</v>
      </c>
      <c r="J8" s="43" t="s">
        <v>26</v>
      </c>
      <c r="K8" s="43" t="s">
        <v>26</v>
      </c>
      <c r="L8" s="43" t="s">
        <v>26</v>
      </c>
      <c r="M8" s="42" t="s">
        <v>26</v>
      </c>
      <c r="N8" s="42" t="s">
        <v>26</v>
      </c>
      <c r="O8" s="42" t="s">
        <v>26</v>
      </c>
      <c r="P8" s="42" t="s">
        <v>26</v>
      </c>
      <c r="Q8" s="42">
        <v>5181</v>
      </c>
      <c r="R8" s="42" t="s">
        <v>26</v>
      </c>
      <c r="S8" s="42" t="s">
        <v>26</v>
      </c>
      <c r="T8" s="42" t="s">
        <v>26</v>
      </c>
      <c r="U8" s="42" t="s">
        <v>26</v>
      </c>
      <c r="V8" s="42" t="s">
        <v>26</v>
      </c>
      <c r="W8" s="42" t="s">
        <v>26</v>
      </c>
      <c r="X8" s="42" t="s">
        <v>26</v>
      </c>
      <c r="Y8" s="42" t="s">
        <v>26</v>
      </c>
      <c r="Z8" s="42" t="s">
        <v>26</v>
      </c>
      <c r="AA8" s="42" t="s">
        <v>26</v>
      </c>
      <c r="AB8" s="42" t="s">
        <v>26</v>
      </c>
      <c r="AC8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tabSelected="1" workbookViewId="0">
      <selection activeCell="Z19" sqref="Z1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customFormat="1" ht="25.05" customHeight="1" x14ac:dyDescent="0.3">
      <c r="A3" s="61"/>
      <c r="B3" s="62" t="s">
        <v>234</v>
      </c>
      <c r="C3" s="62" t="s">
        <v>25</v>
      </c>
      <c r="D3" s="62" t="s">
        <v>188</v>
      </c>
      <c r="E3" s="61">
        <v>263118</v>
      </c>
      <c r="F3" s="62" t="s">
        <v>253</v>
      </c>
      <c r="G3" s="61">
        <v>700</v>
      </c>
      <c r="H3" s="63">
        <v>0.63700000000000001</v>
      </c>
      <c r="I3" s="63">
        <v>1.744</v>
      </c>
      <c r="J3" s="61"/>
      <c r="K3" s="62" t="s">
        <v>254</v>
      </c>
      <c r="L3" s="61"/>
      <c r="M3" s="63">
        <v>777.65</v>
      </c>
      <c r="N3" s="64">
        <v>610.4</v>
      </c>
      <c r="O3" s="65">
        <v>8.48E-2</v>
      </c>
      <c r="P3" s="66">
        <v>5.09</v>
      </c>
      <c r="Q3" s="61">
        <v>418.4</v>
      </c>
      <c r="R3" s="61">
        <v>2</v>
      </c>
      <c r="S3" s="61">
        <v>1300</v>
      </c>
      <c r="T3" s="63">
        <v>1.274</v>
      </c>
      <c r="U3" s="61">
        <v>26</v>
      </c>
      <c r="V3" s="65">
        <v>0.02</v>
      </c>
      <c r="W3" s="62" t="s">
        <v>27</v>
      </c>
      <c r="X3" s="62" t="s">
        <v>28</v>
      </c>
      <c r="Y3" s="62" t="s">
        <v>27</v>
      </c>
      <c r="Z3" s="62" t="s">
        <v>27</v>
      </c>
      <c r="AA3" s="62" t="s">
        <v>27</v>
      </c>
      <c r="AB3" s="62" t="s">
        <v>30</v>
      </c>
      <c r="AC3" s="62" t="s">
        <v>255</v>
      </c>
    </row>
    <row r="4" spans="1:29" ht="25.05" customHeight="1" x14ac:dyDescent="0.3">
      <c r="A4" s="6"/>
      <c r="B4" s="7" t="s">
        <v>234</v>
      </c>
      <c r="C4" s="6" t="s">
        <v>25</v>
      </c>
      <c r="D4" s="6" t="s">
        <v>147</v>
      </c>
      <c r="E4" s="6">
        <v>263109</v>
      </c>
      <c r="F4" s="6" t="s">
        <v>238</v>
      </c>
      <c r="G4" s="6">
        <v>1100</v>
      </c>
      <c r="H4" s="8">
        <v>0.58499999999999996</v>
      </c>
      <c r="I4" s="8">
        <v>1.268</v>
      </c>
      <c r="J4" s="6" t="s">
        <v>26</v>
      </c>
      <c r="K4" s="6" t="s">
        <v>240</v>
      </c>
      <c r="L4" s="6" t="s">
        <v>26</v>
      </c>
      <c r="M4" s="8">
        <v>815.95799999999997</v>
      </c>
      <c r="N4" s="9">
        <v>697.4</v>
      </c>
      <c r="O4" s="10">
        <v>9.69E-2</v>
      </c>
      <c r="P4" s="11">
        <v>5.81</v>
      </c>
      <c r="Q4" s="6">
        <v>439</v>
      </c>
      <c r="R4" s="6">
        <v>2</v>
      </c>
      <c r="S4" s="6">
        <v>1200</v>
      </c>
      <c r="T4" s="8">
        <v>1.17</v>
      </c>
      <c r="U4" s="6">
        <v>30</v>
      </c>
      <c r="V4" s="10">
        <v>2.5000000000000001E-2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29</v>
      </c>
      <c r="AC4" s="6" t="s">
        <v>239</v>
      </c>
    </row>
    <row r="5" spans="1:29" ht="25.05" customHeight="1" x14ac:dyDescent="0.3">
      <c r="A5" s="6"/>
      <c r="B5" s="7" t="s">
        <v>234</v>
      </c>
      <c r="C5" s="6" t="s">
        <v>25</v>
      </c>
      <c r="D5" s="6" t="s">
        <v>147</v>
      </c>
      <c r="E5" s="6">
        <v>263108</v>
      </c>
      <c r="F5" s="6" t="s">
        <v>238</v>
      </c>
      <c r="G5" s="6">
        <v>310</v>
      </c>
      <c r="H5" s="8">
        <v>0.878</v>
      </c>
      <c r="I5" s="8">
        <v>1.99</v>
      </c>
      <c r="J5" s="6" t="s">
        <v>26</v>
      </c>
      <c r="K5" s="6" t="s">
        <v>237</v>
      </c>
      <c r="L5" s="6" t="s">
        <v>26</v>
      </c>
      <c r="M5" s="8">
        <v>541.63800000000003</v>
      </c>
      <c r="N5" s="9">
        <v>616.9</v>
      </c>
      <c r="O5" s="10">
        <v>0.1714</v>
      </c>
      <c r="P5" s="11">
        <v>10.28</v>
      </c>
      <c r="Q5" s="6">
        <v>291.39999999999998</v>
      </c>
      <c r="R5" s="6">
        <v>1</v>
      </c>
      <c r="S5" s="6">
        <v>900</v>
      </c>
      <c r="T5" s="8">
        <v>0.878</v>
      </c>
      <c r="U5" s="6">
        <v>22</v>
      </c>
      <c r="V5" s="10">
        <v>2.4400000000000002E-2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31</v>
      </c>
      <c r="AC5" s="6" t="s">
        <v>236</v>
      </c>
    </row>
    <row r="6" spans="1:29" ht="25.05" customHeight="1" x14ac:dyDescent="0.3">
      <c r="A6" s="6"/>
      <c r="B6" s="7" t="s">
        <v>234</v>
      </c>
      <c r="C6" s="6" t="s">
        <v>49</v>
      </c>
      <c r="D6" s="6" t="s">
        <v>147</v>
      </c>
      <c r="E6" s="6">
        <v>263110</v>
      </c>
      <c r="F6" s="6" t="s">
        <v>233</v>
      </c>
      <c r="G6" s="6">
        <v>360</v>
      </c>
      <c r="H6" s="8">
        <v>1.546</v>
      </c>
      <c r="I6" s="8">
        <v>1.788</v>
      </c>
      <c r="J6" s="6" t="s">
        <v>26</v>
      </c>
      <c r="K6" s="6" t="s">
        <v>32</v>
      </c>
      <c r="L6" s="6" t="s">
        <v>26</v>
      </c>
      <c r="M6" s="8">
        <v>995.12900000000002</v>
      </c>
      <c r="N6" s="9">
        <v>643.70000000000005</v>
      </c>
      <c r="O6" s="10">
        <v>0.17879999999999999</v>
      </c>
      <c r="P6" s="11">
        <v>10.73</v>
      </c>
      <c r="Q6" s="6">
        <v>328.4</v>
      </c>
      <c r="R6" s="6">
        <v>1</v>
      </c>
      <c r="S6" s="6">
        <v>1600</v>
      </c>
      <c r="T6" s="8">
        <v>1.546</v>
      </c>
      <c r="U6" s="6">
        <v>54</v>
      </c>
      <c r="V6" s="10">
        <v>3.3799999999999997E-2</v>
      </c>
      <c r="W6" s="6" t="s">
        <v>27</v>
      </c>
      <c r="X6" s="6" t="s">
        <v>27</v>
      </c>
      <c r="Y6" s="6" t="s">
        <v>27</v>
      </c>
      <c r="Z6" s="6" t="s">
        <v>26</v>
      </c>
      <c r="AA6" s="6" t="s">
        <v>26</v>
      </c>
      <c r="AB6" s="6" t="s">
        <v>31</v>
      </c>
      <c r="AC6" s="6" t="s">
        <v>235</v>
      </c>
    </row>
    <row r="7" spans="1:29" ht="25.05" customHeight="1" x14ac:dyDescent="0.3">
      <c r="A7" s="6"/>
      <c r="B7" s="7" t="s">
        <v>234</v>
      </c>
      <c r="C7" s="6" t="s">
        <v>49</v>
      </c>
      <c r="D7" s="6" t="s">
        <v>147</v>
      </c>
      <c r="E7" s="6">
        <v>263111</v>
      </c>
      <c r="F7" s="6" t="s">
        <v>233</v>
      </c>
      <c r="G7" s="6">
        <v>440</v>
      </c>
      <c r="H7" s="8">
        <v>0.98199999999999998</v>
      </c>
      <c r="I7" s="8">
        <v>2.2599999999999998</v>
      </c>
      <c r="J7" s="6" t="s">
        <v>26</v>
      </c>
      <c r="K7" s="6" t="s">
        <v>232</v>
      </c>
      <c r="L7" s="6" t="s">
        <v>26</v>
      </c>
      <c r="M7" s="8">
        <v>976.50099999999998</v>
      </c>
      <c r="N7" s="9">
        <v>994.4</v>
      </c>
      <c r="O7" s="10">
        <v>0.2762</v>
      </c>
      <c r="P7" s="11">
        <v>16.57</v>
      </c>
      <c r="Q7" s="6">
        <v>322.2</v>
      </c>
      <c r="R7" s="6">
        <v>1</v>
      </c>
      <c r="S7" s="6">
        <v>1050</v>
      </c>
      <c r="T7" s="8">
        <v>0.98199999999999998</v>
      </c>
      <c r="U7" s="6">
        <v>68</v>
      </c>
      <c r="V7" s="10">
        <v>6.4799999999999996E-2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31</v>
      </c>
      <c r="AC7" s="6" t="s">
        <v>231</v>
      </c>
    </row>
    <row r="8" spans="1:29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2210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1381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8"/>
  <sheetViews>
    <sheetView workbookViewId="0">
      <selection activeCell="Z23" sqref="Z23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122</v>
      </c>
      <c r="C3" s="6" t="s">
        <v>78</v>
      </c>
      <c r="D3" s="6" t="s">
        <v>188</v>
      </c>
      <c r="E3" s="6">
        <v>263083</v>
      </c>
      <c r="F3" s="6" t="s">
        <v>196</v>
      </c>
      <c r="G3" s="6">
        <v>200</v>
      </c>
      <c r="H3" s="8">
        <v>0.502</v>
      </c>
      <c r="I3" s="8">
        <v>1.2350000000000001</v>
      </c>
      <c r="J3" s="6" t="s">
        <v>26</v>
      </c>
      <c r="K3" s="6" t="s">
        <v>202</v>
      </c>
      <c r="L3" s="6" t="s">
        <v>26</v>
      </c>
      <c r="M3" s="8">
        <v>123.994</v>
      </c>
      <c r="N3" s="9">
        <v>82.3</v>
      </c>
      <c r="O3" s="10">
        <v>7.6E-3</v>
      </c>
      <c r="P3" s="11">
        <v>0.46</v>
      </c>
      <c r="Q3" s="6">
        <v>58.3</v>
      </c>
      <c r="R3" s="6">
        <v>3</v>
      </c>
      <c r="S3" s="6">
        <v>1550</v>
      </c>
      <c r="T3" s="8">
        <v>1.506</v>
      </c>
      <c r="U3" s="6">
        <v>44</v>
      </c>
      <c r="V3" s="10">
        <v>2.8400000000000002E-2</v>
      </c>
      <c r="W3" s="6" t="s">
        <v>77</v>
      </c>
      <c r="X3" s="6" t="s">
        <v>39</v>
      </c>
      <c r="Y3" s="6" t="s">
        <v>77</v>
      </c>
      <c r="Z3" s="6" t="s">
        <v>26</v>
      </c>
      <c r="AA3" s="6" t="s">
        <v>26</v>
      </c>
      <c r="AB3" s="6" t="s">
        <v>37</v>
      </c>
      <c r="AC3" s="6" t="s">
        <v>201</v>
      </c>
    </row>
    <row r="4" spans="1:29" s="12" customFormat="1" ht="25.05" customHeight="1" x14ac:dyDescent="0.3">
      <c r="A4" s="6"/>
      <c r="B4" s="7" t="s">
        <v>122</v>
      </c>
      <c r="C4" s="6" t="s">
        <v>78</v>
      </c>
      <c r="D4" s="6" t="s">
        <v>188</v>
      </c>
      <c r="E4" s="6">
        <v>263086</v>
      </c>
      <c r="F4" s="6" t="s">
        <v>196</v>
      </c>
      <c r="G4" s="6">
        <v>200</v>
      </c>
      <c r="H4" s="8">
        <v>0.69199999999999995</v>
      </c>
      <c r="I4" s="8">
        <v>1.835</v>
      </c>
      <c r="J4" s="6" t="s">
        <v>26</v>
      </c>
      <c r="K4" s="6" t="s">
        <v>200</v>
      </c>
      <c r="L4" s="6" t="s">
        <v>26</v>
      </c>
      <c r="M4" s="8">
        <v>253.964</v>
      </c>
      <c r="N4" s="9">
        <v>183.5</v>
      </c>
      <c r="O4" s="10">
        <v>2.5499999999999998E-2</v>
      </c>
      <c r="P4" s="11">
        <v>1.53</v>
      </c>
      <c r="Q4" s="6">
        <v>119.4</v>
      </c>
      <c r="R4" s="6">
        <v>2</v>
      </c>
      <c r="S4" s="6">
        <v>1450</v>
      </c>
      <c r="T4" s="8">
        <v>1.3839999999999999</v>
      </c>
      <c r="U4" s="6">
        <v>66</v>
      </c>
      <c r="V4" s="10">
        <v>4.5499999999999999E-2</v>
      </c>
      <c r="W4" s="6" t="s">
        <v>77</v>
      </c>
      <c r="X4" s="6" t="s">
        <v>39</v>
      </c>
      <c r="Y4" s="6" t="s">
        <v>77</v>
      </c>
      <c r="Z4" s="6" t="s">
        <v>26</v>
      </c>
      <c r="AA4" s="6" t="s">
        <v>26</v>
      </c>
      <c r="AB4" s="6" t="s">
        <v>37</v>
      </c>
      <c r="AC4" s="6" t="s">
        <v>199</v>
      </c>
    </row>
    <row r="5" spans="1:29" s="12" customFormat="1" ht="25.05" customHeight="1" x14ac:dyDescent="0.3">
      <c r="A5" s="6"/>
      <c r="B5" s="7" t="s">
        <v>122</v>
      </c>
      <c r="C5" s="6" t="s">
        <v>78</v>
      </c>
      <c r="D5" s="6" t="s">
        <v>188</v>
      </c>
      <c r="E5" s="6">
        <v>263085</v>
      </c>
      <c r="F5" s="6" t="s">
        <v>196</v>
      </c>
      <c r="G5" s="6">
        <v>200</v>
      </c>
      <c r="H5" s="8">
        <v>0.30199999999999999</v>
      </c>
      <c r="I5" s="8">
        <v>0.73499999999999999</v>
      </c>
      <c r="J5" s="6" t="s">
        <v>26</v>
      </c>
      <c r="K5" s="6" t="s">
        <v>198</v>
      </c>
      <c r="L5" s="6" t="s">
        <v>26</v>
      </c>
      <c r="M5" s="8">
        <v>44.393999999999998</v>
      </c>
      <c r="N5" s="9">
        <v>36.799999999999997</v>
      </c>
      <c r="O5" s="10">
        <v>2.5999999999999999E-3</v>
      </c>
      <c r="P5" s="11">
        <v>0.15</v>
      </c>
      <c r="Q5" s="6">
        <v>20.9</v>
      </c>
      <c r="R5" s="6">
        <v>4</v>
      </c>
      <c r="S5" s="6">
        <v>1250</v>
      </c>
      <c r="T5" s="8">
        <v>1.208</v>
      </c>
      <c r="U5" s="6">
        <v>42</v>
      </c>
      <c r="V5" s="10">
        <v>3.3599999999999998E-2</v>
      </c>
      <c r="W5" s="6" t="s">
        <v>77</v>
      </c>
      <c r="X5" s="6" t="s">
        <v>39</v>
      </c>
      <c r="Y5" s="6" t="s">
        <v>77</v>
      </c>
      <c r="Z5" s="6" t="s">
        <v>26</v>
      </c>
      <c r="AA5" s="6" t="s">
        <v>26</v>
      </c>
      <c r="AB5" s="6" t="s">
        <v>37</v>
      </c>
      <c r="AC5" s="6" t="s">
        <v>197</v>
      </c>
    </row>
    <row r="6" spans="1:29" s="12" customFormat="1" ht="25.05" customHeight="1" x14ac:dyDescent="0.3">
      <c r="A6" s="6"/>
      <c r="B6" s="7" t="s">
        <v>122</v>
      </c>
      <c r="C6" s="6" t="s">
        <v>78</v>
      </c>
      <c r="D6" s="6" t="s">
        <v>188</v>
      </c>
      <c r="E6" s="6">
        <v>263084</v>
      </c>
      <c r="F6" s="6" t="s">
        <v>196</v>
      </c>
      <c r="G6" s="6">
        <v>200</v>
      </c>
      <c r="H6" s="8">
        <v>0.85199999999999998</v>
      </c>
      <c r="I6" s="8">
        <v>1.5349999999999999</v>
      </c>
      <c r="J6" s="6" t="s">
        <v>26</v>
      </c>
      <c r="K6" s="6" t="s">
        <v>195</v>
      </c>
      <c r="L6" s="6" t="s">
        <v>26</v>
      </c>
      <c r="M6" s="8">
        <v>261.56400000000002</v>
      </c>
      <c r="N6" s="9">
        <v>307</v>
      </c>
      <c r="O6" s="10">
        <v>8.5300000000000001E-2</v>
      </c>
      <c r="P6" s="11">
        <v>5.12</v>
      </c>
      <c r="Q6" s="6">
        <v>122.9</v>
      </c>
      <c r="R6" s="6">
        <v>1</v>
      </c>
      <c r="S6" s="6">
        <v>900</v>
      </c>
      <c r="T6" s="8">
        <v>0.85199999999999998</v>
      </c>
      <c r="U6" s="6">
        <v>48</v>
      </c>
      <c r="V6" s="10">
        <v>5.33E-2</v>
      </c>
      <c r="W6" s="6" t="s">
        <v>77</v>
      </c>
      <c r="X6" s="6" t="s">
        <v>39</v>
      </c>
      <c r="Y6" s="6" t="s">
        <v>77</v>
      </c>
      <c r="Z6" s="6" t="s">
        <v>26</v>
      </c>
      <c r="AA6" s="6" t="s">
        <v>26</v>
      </c>
      <c r="AB6" s="6" t="s">
        <v>37</v>
      </c>
      <c r="AC6" s="6" t="s">
        <v>194</v>
      </c>
    </row>
    <row r="7" spans="1:29" s="12" customFormat="1" ht="25.05" customHeight="1" x14ac:dyDescent="0.3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v>800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v>321.39999999999998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  <row r="8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1</v>
      </c>
      <c r="B3" s="21" t="s">
        <v>125</v>
      </c>
      <c r="C3" s="20" t="s">
        <v>41</v>
      </c>
      <c r="D3" s="20" t="s">
        <v>98</v>
      </c>
      <c r="E3" s="20">
        <v>263008</v>
      </c>
      <c r="F3" s="20" t="s">
        <v>69</v>
      </c>
      <c r="G3" s="20">
        <v>3300</v>
      </c>
      <c r="H3" s="22">
        <v>0.497</v>
      </c>
      <c r="I3" s="22">
        <v>0.97</v>
      </c>
      <c r="J3" s="20" t="s">
        <v>26</v>
      </c>
      <c r="K3" s="20" t="s">
        <v>127</v>
      </c>
      <c r="L3" s="20" t="s">
        <v>26</v>
      </c>
      <c r="M3" s="22">
        <v>1590.8969999999999</v>
      </c>
      <c r="N3" s="23">
        <v>1067</v>
      </c>
      <c r="O3" s="24">
        <v>9.8799999999999999E-2</v>
      </c>
      <c r="P3" s="25">
        <v>5.93</v>
      </c>
      <c r="Q3" s="20">
        <v>903.6</v>
      </c>
      <c r="R3" s="20">
        <v>3</v>
      </c>
      <c r="S3" s="20">
        <v>1550</v>
      </c>
      <c r="T3" s="22">
        <v>1.4910000000000001</v>
      </c>
      <c r="U3" s="20">
        <v>59</v>
      </c>
      <c r="V3" s="24">
        <v>3.8100000000000002E-2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42</v>
      </c>
      <c r="AC3" s="20" t="s">
        <v>126</v>
      </c>
    </row>
    <row r="4" spans="1:29" s="26" customFormat="1" x14ac:dyDescent="0.3">
      <c r="A4" s="20">
        <v>2</v>
      </c>
      <c r="B4" s="21" t="s">
        <v>125</v>
      </c>
      <c r="C4" s="20" t="s">
        <v>41</v>
      </c>
      <c r="D4" s="20" t="s">
        <v>98</v>
      </c>
      <c r="E4" s="20">
        <v>263009</v>
      </c>
      <c r="F4" s="20" t="s">
        <v>69</v>
      </c>
      <c r="G4" s="20">
        <v>1395</v>
      </c>
      <c r="H4" s="22">
        <v>0.879</v>
      </c>
      <c r="I4" s="22">
        <v>1.48</v>
      </c>
      <c r="J4" s="20" t="s">
        <v>26</v>
      </c>
      <c r="K4" s="20" t="s">
        <v>68</v>
      </c>
      <c r="L4" s="20" t="s">
        <v>26</v>
      </c>
      <c r="M4" s="22">
        <v>1814.7829999999999</v>
      </c>
      <c r="N4" s="23">
        <v>2064.6</v>
      </c>
      <c r="O4" s="24">
        <v>0.57350000000000001</v>
      </c>
      <c r="P4" s="25">
        <v>34.409999999999997</v>
      </c>
      <c r="Q4" s="20">
        <v>1030.8</v>
      </c>
      <c r="R4" s="20">
        <v>1</v>
      </c>
      <c r="S4" s="20">
        <v>900</v>
      </c>
      <c r="T4" s="22">
        <v>0.879</v>
      </c>
      <c r="U4" s="20">
        <v>21</v>
      </c>
      <c r="V4" s="24">
        <v>2.3300000000000001E-2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44</v>
      </c>
      <c r="AC4" s="20" t="s">
        <v>67</v>
      </c>
    </row>
    <row r="5" spans="1:29" s="26" customFormat="1" x14ac:dyDescent="0.3">
      <c r="A5" s="20">
        <v>3</v>
      </c>
      <c r="B5" s="21" t="s">
        <v>125</v>
      </c>
      <c r="C5" s="20" t="s">
        <v>41</v>
      </c>
      <c r="D5" s="20" t="s">
        <v>98</v>
      </c>
      <c r="E5" s="20">
        <v>263007</v>
      </c>
      <c r="F5" s="20" t="s">
        <v>69</v>
      </c>
      <c r="G5" s="20">
        <v>770</v>
      </c>
      <c r="H5" s="22">
        <v>0.79900000000000004</v>
      </c>
      <c r="I5" s="22">
        <v>1.0900000000000001</v>
      </c>
      <c r="J5" s="20" t="s">
        <v>26</v>
      </c>
      <c r="K5" s="20" t="s">
        <v>124</v>
      </c>
      <c r="L5" s="20" t="s">
        <v>26</v>
      </c>
      <c r="M5" s="22">
        <v>670.601</v>
      </c>
      <c r="N5" s="23">
        <v>839.3</v>
      </c>
      <c r="O5" s="24">
        <v>0.2331</v>
      </c>
      <c r="P5" s="25">
        <v>13.99</v>
      </c>
      <c r="Q5" s="20">
        <v>380.9</v>
      </c>
      <c r="R5" s="20">
        <v>1</v>
      </c>
      <c r="S5" s="20">
        <v>850</v>
      </c>
      <c r="T5" s="22">
        <v>0.79900000000000004</v>
      </c>
      <c r="U5" s="20">
        <v>51</v>
      </c>
      <c r="V5" s="24">
        <v>0.06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31</v>
      </c>
      <c r="AC5" s="20" t="s">
        <v>123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FORBOX 1310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2026-10-22T11:41:32Z</cp:lastPrinted>
  <dcterms:created xsi:type="dcterms:W3CDTF">2026-07-02T17:42:15Z</dcterms:created>
  <dcterms:modified xsi:type="dcterms:W3CDTF">2026-10-22T12:25:10Z</dcterms:modified>
</cp:coreProperties>
</file>