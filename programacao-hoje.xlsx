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84F65581-D74F-41AA-B293-86DA27E8A317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PCBOX EMBALAGENS 1339" sheetId="234" r:id="rId1"/>
    <sheet name="TOLECAIXAS 1337 P " sheetId="233" r:id="rId2"/>
    <sheet name="RM EMBALAGENS 1334" sheetId="232" r:id="rId3"/>
    <sheet name="ABAPEL EMBALAGENS 1333 P" sheetId="231" r:id="rId4"/>
    <sheet name="RENOVAPEL 1332 P" sheetId="230" r:id="rId5"/>
    <sheet name="DR EMBALAGENS 1331 P" sheetId="229" r:id="rId6"/>
    <sheet name="RM EMBALAGENS 1330 P" sheetId="228" r:id="rId7"/>
    <sheet name="FAVINCO EMBALAGENS 1329 P" sheetId="227" r:id="rId8"/>
    <sheet name="DR EMBALAGENS 1326 P" sheetId="226" r:id="rId9"/>
    <sheet name="HARMONY EMBALAGENS 1325 P" sheetId="225" r:id="rId10"/>
    <sheet name="HARMONY EMBALAGENS 1320 P" sheetId="224" r:id="rId11"/>
    <sheet name="FORBOX 1319 P" sheetId="223" r:id="rId12"/>
    <sheet name="PCBOX EMBALAGENS 1316 P" sheetId="222" r:id="rId13"/>
    <sheet name="FAVINCO EMBALAGENS 1314 P" sheetId="220" r:id="rId14"/>
    <sheet name="ABAPEL EMBALAGENS 1308 P" sheetId="215" r:id="rId15"/>
    <sheet name="RENOVAPEL 1306 P" sheetId="213" r:id="rId16"/>
    <sheet name="INTERNACIONAL - SEDAMED 1304 P" sheetId="212" r:id="rId17"/>
    <sheet name="RM EMBALAGENS 1303 P" sheetId="211" r:id="rId18"/>
    <sheet name="HARMONY EMBALAGENS 1301 P" sheetId="209" r:id="rId19"/>
    <sheet name="HARMONY EMBALAGENS 1285 P" sheetId="202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234" l="1"/>
  <c r="G7" i="234"/>
  <c r="Q13" i="230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<sst xmlns="http://schemas.openxmlformats.org/spreadsheetml/2006/main" count="3809" uniqueCount="394">
  <si>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</si>
  <si>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</si>
  <si>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</si>
  <si>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</si>
  <si>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</si>
  <si>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</si>
  <si>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</si>
  <si>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</si>
  <si>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</si>
  <si>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</si>
  <si>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</si>
  <si>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</si>
  <si>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</si>
  <si>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</si>
  <si>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</si>
  <si>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</si>
  <si>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</si>
  <si>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</si>
  <si>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</si>
  <si>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</si>
  <si>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</si>
  <si>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</si>
  <si>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</si>
  <si>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</si>
  <si>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</si>
  <si>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</si>
  <si>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</si>
  <si>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</si>
  <si>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</si>
  <si>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</si>
  <si>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</si>
  <si>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</si>
  <si>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</si>
  <si>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</si>
  <si>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</si>
  <si>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</si>
  <si>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</si>
  <si>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</si>
  <si>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</si>
  <si>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</si>
  <si>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</si>
  <si>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</si>
  <si>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</si>
  <si>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</si>
  <si>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</si>
  <si>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</si>
  <si>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</si>
  <si>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</si>
  <si>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</si>
  <si>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</si>
  <si>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</si>
  <si>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</si>
  <si>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</si>
  <si>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</si>
  <si>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</si>
  <si>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</si>
  <si>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</si>
  <si>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</si>
  <si>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</si>
  <si>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</si>
  <si>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</si>
  <si>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</si>
  <si>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</si>
  <si>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</si>
  <si>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</si>
  <si>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</si>
  <si>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</si>
  <si>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</si>
  <si>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</si>
  <si>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</si>
  <si>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</si>
  <si>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</si>
  <si>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</si>
  <si>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</si>
  <si>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</si>
  <si>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</si>
  <si>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</si>
  <si>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</si>
  <si>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</si>
  <si>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</si>
  <si>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</si>
  <si>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</si>
  <si>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</si>
  <si>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</si>
  <si>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</si>
  <si>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</si>
  <si>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</si>
  <si>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</si>
  <si>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</si>
  <si>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</si>
  <si>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</si>
  <si>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</si>
  <si>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</si>
  <si>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</si>
  <si>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</si>
  <si>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</si>
  <si>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</si>
  <si>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</si>
  <si>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</si>
  <si>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</si>
  <si>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</si>
  <si>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</si>
  <si>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</si>
  <si>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</si>
  <si>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</si>
  <si>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</si>
  <si>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</si>
  <si>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</si>
  <si>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</si>
  <si>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</si>
  <si>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</si>
  <si>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</si>
  <si>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</si>
  <si>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</si>
  <si>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</si>
  <si>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</si>
  <si>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</si>
  <si>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</si>
  <si>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</si>
  <si>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</si>
  <si>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</si>
  <si>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</si>
  <si>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</si>
  <si>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</si>
  <si>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</si>
  <si>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</si>
  <si>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</si>
  <si>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</si>
  <si>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</si>
  <si>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</si>
  <si>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</si>
  <si>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</si>
  <si>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</si>
  <si>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</si>
  <si>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</si>
  <si>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</si>
  <si>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</si>
  <si>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</si>
  <si>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</si>
  <si>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</si>
  <si>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</si>
  <si>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</si>
  <si>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</si>
  <si>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</si>
  <si>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</si>
  <si>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</si>
  <si>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</si>
  <si>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</si>
  <si>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</si>
  <si>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</si>
  <si>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</si>
  <si>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</si>
  <si>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</si>
  <si>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</si>
  <si>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</si>
  <si>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</si>
  <si>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</si>
  <si>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</si>
  <si>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</si>
  <si>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</si>
  <si>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</si>
  <si>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</si>
  <si>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</si>
  <si>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</si>
  <si>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</si>
  <si>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</si>
  <si>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</si>
  <si>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</si>
  <si>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</si>
  <si>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</si>
  <si>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</si>
  <si>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</si>
  <si>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</si>
  <si>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</si>
  <si>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</si>
  <si>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</si>
  <si>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</si>
  <si>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</si>
  <si>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</si>
  <si>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</si>
  <si>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</si>
  <si>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</si>
  <si>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</si>
  <si>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</si>
  <si>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</si>
  <si>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</si>
  <si>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</si>
  <si>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</si>
  <si>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</si>
  <si>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</si>
  <si>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</si>
  <si>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</si>
  <si>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</si>
  <si>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</si>
  <si>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</si>
  <si>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</si>
  <si>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</si>
  <si>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</si>
  <si>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</si>
  <si>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</si>
  <si>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</si>
  <si>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</si>
  <si>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</si>
  <si>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</si>
  <si>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</si>
  <si>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</si>
  <si>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</si>
  <si>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</si>
  <si>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</si>
  <si>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</si>
  <si>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</si>
  <si>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</si>
  <si>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</si>
  <si>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</si>
  <si>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</si>
  <si>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</si>
  <si>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</si>
  <si>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</si>
  <si>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</si>
  <si>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</si>
  <si>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</si>
  <si>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</si>
  <si>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</si>
  <si>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</si>
  <si>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</si>
  <si>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</si>
  <si>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</si>
  <si>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</si>
  <si>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</si>
  <si>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</si>
  <si>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</si>
  <si>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</si>
  <si>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</si>
  <si>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</si>
  <si>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</si>
  <si>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</si>
  <si>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</si>
  <si>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</si>
  <si>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</si>
  <si>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</si>
  <si>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</si>
  <si>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</si>
  <si>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</si>
  <si>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</si>
  <si>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</si>
  <si>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</si>
  <si>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</si>
  <si>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</si>
  <si>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</si>
  <si>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</si>
  <si>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</si>
  <si>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</si>
  <si>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</si>
  <si>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</si>
  <si>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</si>
  <si>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</si>
  <si>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</si>
  <si>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</si>
  <si>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</si>
  <si>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</si>
  <si>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</si>
  <si>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</si>
  <si>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</si>
  <si>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</si>
  <si>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</si>
  <si>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</si>
  <si>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</si>
  <si>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</si>
  <si>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</si>
  <si>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</si>
  <si>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</si>
  <si>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</si>
  <si>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</si>
  <si>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</si>
  <si>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</si>
  <si>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</si>
  <si>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</si>
  <si>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</si>
  <si>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</si>
  <si>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</si>
  <si>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</si>
  <si>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</si>
  <si>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</si>
  <si>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</si>
  <si>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</si>
  <si>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</si>
  <si>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</si>
  <si>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</si>
  <si>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</si>
  <si>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</si>
  <si>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</si>
  <si>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</si>
  <si>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</si>
  <si>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</si>
  <si>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</si>
  <si>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</si>
  <si>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</si>
  <si>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</si>
  <si>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</si>
  <si>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</si>
  <si>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</si>
  <si>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</si>
  <si>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</si>
  <si>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</si>
  <si>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</si>
  <si>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</si>
  <si>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</si>
  <si>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</si>
  <si>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</si>
  <si>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</si>
  <si>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</si>
  <si>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</si>
  <si>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</si>
  <si>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</si>
  <si>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</si>
  <si>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</si>
  <si>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</si>
  <si>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</si>
  <si>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</si>
  <si>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</si>
  <si>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</si>
  <si>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</si>
  <si>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</si>
  <si>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</si>
  <si>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</si>
  <si>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</si>
  <si>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</si>
  <si>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</si>
  <si>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</si>
  <si>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</si>
  <si>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</si>
  <si>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</si>
  <si>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</si>
  <si>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</si>
  <si>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</si>
  <si>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</si>
  <si>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</si>
  <si>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</si>
  <si>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</si>
  <si>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</si>
  <si>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</si>
  <si>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</si>
  <si>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</si>
  <si>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</si>
  <si>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</si>
  <si>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</si>
  <si>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</si>
  <si>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</si>
  <si>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</si>
  <si>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</si>
  <si>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</si>
  <si>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</si>
  <si>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</si>
  <si>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</si>
  <si>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</si>
  <si>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</si>
  <si>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</si>
  <si>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</si>
  <si>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</si>
  <si>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</si>
  <si>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</si>
  <si>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</si>
  <si>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</si>
  <si>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</si>
  <si>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</si>
  <si>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</si>
  <si>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</si>
  <si>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</si>
  <si>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</si>
  <si>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</si>
  <si>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187x103x373x103x187</t>
  </si>
  <si>
    <t>973x1902</t>
  </si>
  <si>
    <t>2-23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</si>
  <si>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</si>
  <si>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</si>
  <si>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</si>
  <si>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</si>
  <si>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</si>
  <si>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</si>
  <si>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</si>
  <si>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</si>
  <si>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</si>
  <si>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</si>
  <si>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</si>
  <si>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</si>
  <si>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</si>
  <si>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</si>
  <si>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</si>
  <si>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</si>
  <si>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</si>
  <si>
    <t>953x1798</t>
  </si>
  <si>
    <t>1871</t>
  </si>
  <si>
    <t>1132x1936</t>
  </si>
  <si>
    <t>1612x1820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</si>
</sst>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94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0" fontId="12" fillId="0" borderId="0" xfId="5" applyFont="1"/>
    <xf numFmtId="0" fontId="6" fillId="0" borderId="0" xfId="5" applyFont="1"/>
    <xf numFmtId="0" fontId="6" fillId="0" borderId="0" xfId="1" applyFont="1"/>
    <xf numFmtId="0" fontId="6" fillId="0" borderId="0" xfId="5" applyFont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right"/>
    </xf>
    <xf numFmtId="166" fontId="9" fillId="3" borderId="1" xfId="0" applyNumberFormat="1" applyFont="1" applyFill="1" applyBorder="1" applyAlignment="1">
      <alignment horizontal="right"/>
    </xf>
    <xf numFmtId="164" fontId="9" fillId="3" borderId="1" xfId="0" applyNumberFormat="1" applyFont="1" applyFill="1" applyBorder="1" applyAlignment="1">
      <alignment horizontal="right"/>
    </xf>
    <xf numFmtId="2" fontId="9" fillId="3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0" fontId="9" fillId="3" borderId="1" xfId="0" applyFont="1" applyFill="1" applyBorder="1" applyAlignment="1">
      <alignment horizontal="left"/>
    </xf>
    <xf numFmtId="164" fontId="9" fillId="3" borderId="1" xfId="0" applyNumberFormat="1" applyFont="1" applyFill="1" applyBorder="1" applyAlignment="1">
      <alignment horizontal="left"/>
    </xf>
    <xf numFmtId="0" fontId="10" fillId="3" borderId="1" xfId="0" applyFont="1" applyFill="1" applyBorder="1" applyAlignment="1">
      <alignment horizontal="left"/>
    </xf>
    <xf numFmtId="0" fontId="16" fillId="3" borderId="1" xfId="0" applyFont="1" applyFill="1" applyBorder="1" applyAlignment="1">
      <alignment horizontal="left"/>
    </xf>
    <xf numFmtId="0" fontId="17" fillId="3" borderId="1" xfId="0" applyFont="1" applyFill="1" applyBorder="1" applyAlignment="1">
      <alignment horizontal="left"/>
    </xf>
    <xf numFmtId="164" fontId="16" fillId="3" borderId="1" xfId="0" applyNumberFormat="1" applyFont="1" applyFill="1" applyBorder="1" applyAlignment="1">
      <alignment horizontal="left"/>
    </xf>
    <xf numFmtId="164" fontId="16" fillId="3" borderId="1" xfId="0" applyNumberFormat="1" applyFont="1" applyFill="1" applyBorder="1" applyAlignment="1">
      <alignment horizontal="right"/>
    </xf>
    <xf numFmtId="165" fontId="16" fillId="3" borderId="1" xfId="0" applyNumberFormat="1" applyFont="1" applyFill="1" applyBorder="1" applyAlignment="1">
      <alignment horizontal="right"/>
    </xf>
    <xf numFmtId="166" fontId="16" fillId="3" borderId="1" xfId="0" applyNumberFormat="1" applyFont="1" applyFill="1" applyBorder="1" applyAlignment="1">
      <alignment horizontal="right"/>
    </xf>
    <xf numFmtId="2" fontId="16" fillId="3" borderId="1" xfId="0" applyNumberFormat="1" applyFont="1" applyFill="1" applyBorder="1" applyAlignment="1">
      <alignment horizontal="right"/>
    </xf>
    <xf numFmtId="0" fontId="16" fillId="3" borderId="1" xfId="0" applyFont="1" applyFill="1" applyBorder="1" applyAlignment="1">
      <alignment horizontal="right"/>
    </xf>
    <xf numFmtId="0" fontId="16" fillId="0" borderId="0" xfId="5" applyFont="1"/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dimension ref="A1:AC7"/>
  <sheetViews>
    <sheetView tabSelected="1" workbookViewId="0">
      <selection activeCell="X35" sqref="X35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5.77734375" style="3" customWidth="1"/>
    <col min="7" max="7" width="4.6640625" style="3" customWidth="1"/>
    <col min="8" max="8" width="6" style="3" customWidth="1"/>
    <col min="9" max="9" width="6.5546875" style="3" customWidth="1"/>
    <col min="10" max="10" width="7.44140625" style="3" customWidth="1"/>
    <col min="11" max="11" width="10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9" width="6.5546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 x14ac:dyDescent="0.35">
      <c r="A1" s="67" t="s">
        <v>389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6.8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A3" s="64">
        <v>1</v>
      </c>
      <c r="B3" s="66" t="s">
        <v>80</v>
      </c>
      <c r="C3" s="64" t="s">
        <v>34</v>
      </c>
      <c r="D3" s="64" t="s">
        <v>318</v>
      </c>
      <c r="E3" s="64">
        <v>263223</v>
      </c>
      <c r="F3" s="64" t="s">
        <v>388</v>
      </c>
      <c r="G3" s="64">
        <v>800</v>
      </c>
      <c r="H3" s="65">
        <v>1</v>
      </c>
      <c r="I3" s="65">
        <v>3.4</v>
      </c>
      <c r="J3" s="64" t="s">
        <v>26</v>
      </c>
      <c r="K3" s="64" t="s">
        <v>32</v>
      </c>
      <c r="L3" s="64" t="s">
        <v>26</v>
      </c>
      <c r="M3" s="61">
        <v>2720</v>
      </c>
      <c r="N3" s="63">
        <v>2720</v>
      </c>
      <c r="O3" s="60">
        <v>0.75560000000000005</v>
      </c>
      <c r="P3" s="62">
        <v>45.33</v>
      </c>
      <c r="Q3" s="59">
        <v>870.4</v>
      </c>
      <c r="R3" s="59">
        <v>1</v>
      </c>
      <c r="S3" s="59">
        <v>1050</v>
      </c>
      <c r="T3" s="61">
        <v>1</v>
      </c>
      <c r="U3" s="59">
        <v>50</v>
      </c>
      <c r="V3" s="60">
        <v>4.7600000000000003E-2</v>
      </c>
      <c r="W3" s="59" t="s">
        <v>27</v>
      </c>
      <c r="X3" s="59" t="s">
        <v>27</v>
      </c>
      <c r="Y3" s="59" t="s">
        <v>27</v>
      </c>
      <c r="Z3" s="59" t="s">
        <v>26</v>
      </c>
      <c r="AA3" s="59" t="s">
        <v>26</v>
      </c>
      <c r="AB3" s="59" t="s">
        <v>31</v>
      </c>
      <c r="AC3" s="59" t="s">
        <v>387</v>
      </c>
    </row>
    <row r="4" spans="1:29" s="93" customFormat="1" x14ac:dyDescent="0.3">
      <c r="A4" s="85">
        <v>1</v>
      </c>
      <c r="B4" s="86" t="s">
        <v>107</v>
      </c>
      <c r="C4" s="85" t="s">
        <v>34</v>
      </c>
      <c r="D4" s="85" t="s">
        <v>318</v>
      </c>
      <c r="E4" s="85">
        <v>263224</v>
      </c>
      <c r="F4" s="85" t="s">
        <v>391</v>
      </c>
      <c r="G4" s="85">
        <v>300</v>
      </c>
      <c r="H4" s="87">
        <v>1.5920000000000001</v>
      </c>
      <c r="I4" s="87">
        <v>1.8</v>
      </c>
      <c r="J4" s="85" t="s">
        <v>26</v>
      </c>
      <c r="K4" s="85" t="s">
        <v>32</v>
      </c>
      <c r="L4" s="85" t="s">
        <v>26</v>
      </c>
      <c r="M4" s="88">
        <v>859.68</v>
      </c>
      <c r="N4" s="89">
        <v>540</v>
      </c>
      <c r="O4" s="90">
        <v>0.15</v>
      </c>
      <c r="P4" s="91">
        <v>9</v>
      </c>
      <c r="Q4" s="92">
        <v>275.10000000000002</v>
      </c>
      <c r="R4" s="92">
        <v>1</v>
      </c>
      <c r="S4" s="92">
        <v>1600</v>
      </c>
      <c r="T4" s="88">
        <v>1.5920000000000001</v>
      </c>
      <c r="U4" s="92">
        <v>8</v>
      </c>
      <c r="V4" s="90">
        <v>5.0000000000000001E-3</v>
      </c>
      <c r="W4" s="92" t="s">
        <v>27</v>
      </c>
      <c r="X4" s="92" t="s">
        <v>27</v>
      </c>
      <c r="Y4" s="92" t="s">
        <v>27</v>
      </c>
      <c r="Z4" s="92" t="s">
        <v>26</v>
      </c>
      <c r="AA4" s="92" t="s">
        <v>26</v>
      </c>
      <c r="AB4" s="92" t="s">
        <v>36</v>
      </c>
      <c r="AC4" s="92" t="s">
        <v>393</v>
      </c>
    </row>
    <row r="5" spans="1:29" x14ac:dyDescent="0.3">
      <c r="A5" s="82">
        <v>2</v>
      </c>
      <c r="B5" s="84" t="s">
        <v>107</v>
      </c>
      <c r="C5" s="82" t="s">
        <v>34</v>
      </c>
      <c r="D5" s="82" t="s">
        <v>318</v>
      </c>
      <c r="E5" s="82">
        <v>263225</v>
      </c>
      <c r="F5" s="82" t="s">
        <v>391</v>
      </c>
      <c r="G5" s="82">
        <v>1250</v>
      </c>
      <c r="H5" s="83">
        <v>0.55600000000000005</v>
      </c>
      <c r="I5" s="83">
        <v>0.95799999999999996</v>
      </c>
      <c r="J5" s="82" t="s">
        <v>26</v>
      </c>
      <c r="K5" s="82" t="s">
        <v>32</v>
      </c>
      <c r="L5" s="82" t="s">
        <v>26</v>
      </c>
      <c r="M5" s="79">
        <v>665.81</v>
      </c>
      <c r="N5" s="81">
        <v>598.79999999999995</v>
      </c>
      <c r="O5" s="78">
        <v>8.3199999999999996E-2</v>
      </c>
      <c r="P5" s="80">
        <v>4.99</v>
      </c>
      <c r="Q5" s="77">
        <v>213.1</v>
      </c>
      <c r="R5" s="77">
        <v>2</v>
      </c>
      <c r="S5" s="77">
        <v>1150</v>
      </c>
      <c r="T5" s="79">
        <v>1.1120000000000001</v>
      </c>
      <c r="U5" s="77">
        <v>38</v>
      </c>
      <c r="V5" s="78">
        <v>3.3000000000000002E-2</v>
      </c>
      <c r="W5" s="77" t="s">
        <v>27</v>
      </c>
      <c r="X5" s="77" t="s">
        <v>27</v>
      </c>
      <c r="Y5" s="77" t="s">
        <v>27</v>
      </c>
      <c r="Z5" s="77" t="s">
        <v>26</v>
      </c>
      <c r="AA5" s="77" t="s">
        <v>26</v>
      </c>
      <c r="AB5" s="77" t="s">
        <v>36</v>
      </c>
      <c r="AC5" s="77" t="s">
        <v>392</v>
      </c>
    </row>
    <row r="6" spans="1:29" x14ac:dyDescent="0.3">
      <c r="A6" s="82">
        <v>3</v>
      </c>
      <c r="B6" s="84" t="s">
        <v>107</v>
      </c>
      <c r="C6" s="82" t="s">
        <v>34</v>
      </c>
      <c r="D6" s="82" t="s">
        <v>318</v>
      </c>
      <c r="E6" s="82">
        <v>263226</v>
      </c>
      <c r="F6" s="82" t="s">
        <v>391</v>
      </c>
      <c r="G6" s="82">
        <v>300</v>
      </c>
      <c r="H6" s="83">
        <v>0.93300000000000005</v>
      </c>
      <c r="I6" s="83">
        <v>1.778</v>
      </c>
      <c r="J6" s="82" t="s">
        <v>26</v>
      </c>
      <c r="K6" s="82" t="s">
        <v>32</v>
      </c>
      <c r="L6" s="82" t="s">
        <v>26</v>
      </c>
      <c r="M6" s="79">
        <v>497.66199999999998</v>
      </c>
      <c r="N6" s="81">
        <v>533.4</v>
      </c>
      <c r="O6" s="78">
        <v>0.1482</v>
      </c>
      <c r="P6" s="80">
        <v>8.89</v>
      </c>
      <c r="Q6" s="77">
        <v>159.30000000000001</v>
      </c>
      <c r="R6" s="77">
        <v>1</v>
      </c>
      <c r="S6" s="77">
        <v>1000</v>
      </c>
      <c r="T6" s="79">
        <v>0.93300000000000005</v>
      </c>
      <c r="U6" s="77">
        <v>67</v>
      </c>
      <c r="V6" s="78">
        <v>6.7000000000000004E-2</v>
      </c>
      <c r="W6" s="77" t="s">
        <v>27</v>
      </c>
      <c r="X6" s="77" t="s">
        <v>27</v>
      </c>
      <c r="Y6" s="77" t="s">
        <v>27</v>
      </c>
      <c r="Z6" s="77" t="s">
        <v>26</v>
      </c>
      <c r="AA6" s="77" t="s">
        <v>26</v>
      </c>
      <c r="AB6" s="77" t="s">
        <v>36</v>
      </c>
      <c r="AC6" s="77" t="s">
        <v>390</v>
      </c>
    </row>
    <row r="7" spans="1:29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f>SUM(G3:G6)</f>
        <v>2650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f>SUM(Q3:Q6)</f>
        <v>1517.8999999999999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 x14ac:dyDescent="0.35">
      <c r="A1" s="68" t="s">
        <v>379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 x14ac:dyDescent="0.3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 x14ac:dyDescent="0.3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 x14ac:dyDescent="0.3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 x14ac:dyDescent="0.3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dimension ref="A1:AC14"/>
  <sheetViews>
    <sheetView workbookViewId="0">
      <selection activeCell="G20" sqref="G20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7" t="s">
        <v>367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68" t="s">
        <v>351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 x14ac:dyDescent="0.3">
      <c r="A4" s="13"/>
      <c r="B4" s="71" t="s">
        <v>160</v>
      </c>
      <c r="C4" s="71" t="s">
        <v>25</v>
      </c>
      <c r="D4" s="71" t="s">
        <v>313</v>
      </c>
      <c r="E4" s="72">
        <v>263222</v>
      </c>
      <c r="F4" s="71" t="s">
        <v>380</v>
      </c>
      <c r="G4" s="72">
        <v>850</v>
      </c>
      <c r="H4" s="73">
        <v>0.64200000000000002</v>
      </c>
      <c r="I4" s="73">
        <v>2.081</v>
      </c>
      <c r="J4" s="13"/>
      <c r="K4" s="71" t="s">
        <v>385</v>
      </c>
      <c r="L4" s="13"/>
      <c r="M4" s="73">
        <v>1135.6020000000001</v>
      </c>
      <c r="N4" s="74">
        <v>884.4</v>
      </c>
      <c r="O4" s="75">
        <v>0.12280000000000001</v>
      </c>
      <c r="P4" s="76">
        <v>7.37</v>
      </c>
      <c r="Q4" s="72">
        <v>611</v>
      </c>
      <c r="R4" s="72">
        <v>2</v>
      </c>
      <c r="S4" s="72">
        <v>1350</v>
      </c>
      <c r="T4" s="73">
        <v>1.284</v>
      </c>
      <c r="U4" s="72">
        <v>66</v>
      </c>
      <c r="V4" s="75">
        <v>4.8899999999999999E-2</v>
      </c>
      <c r="W4" s="71" t="s">
        <v>27</v>
      </c>
      <c r="X4" s="71" t="s">
        <v>28</v>
      </c>
      <c r="Y4" s="71" t="s">
        <v>27</v>
      </c>
      <c r="Z4" s="71" t="s">
        <v>27</v>
      </c>
      <c r="AA4" s="71" t="s">
        <v>27</v>
      </c>
      <c r="AB4" s="71" t="s">
        <v>41</v>
      </c>
      <c r="AC4" s="71" t="s">
        <v>386</v>
      </c>
    </row>
    <row r="5" spans="1:29" s="11" customFormat="1" ht="25.05" customHeight="1" x14ac:dyDescent="0.3">
      <c r="A5" s="13"/>
      <c r="B5" s="71" t="s">
        <v>160</v>
      </c>
      <c r="C5" s="71" t="s">
        <v>25</v>
      </c>
      <c r="D5" s="71" t="s">
        <v>313</v>
      </c>
      <c r="E5" s="72">
        <v>263221</v>
      </c>
      <c r="F5" s="71" t="s">
        <v>380</v>
      </c>
      <c r="G5" s="72">
        <v>650</v>
      </c>
      <c r="H5" s="73">
        <v>0.61799999999999999</v>
      </c>
      <c r="I5" s="73">
        <v>1.45</v>
      </c>
      <c r="J5" s="13"/>
      <c r="K5" s="71" t="s">
        <v>383</v>
      </c>
      <c r="L5" s="13"/>
      <c r="M5" s="73">
        <v>582.46500000000003</v>
      </c>
      <c r="N5" s="74">
        <v>471.3</v>
      </c>
      <c r="O5" s="75">
        <v>6.5500000000000003E-2</v>
      </c>
      <c r="P5" s="76">
        <v>3.93</v>
      </c>
      <c r="Q5" s="72">
        <v>313.39999999999998</v>
      </c>
      <c r="R5" s="72">
        <v>2</v>
      </c>
      <c r="S5" s="72">
        <v>1300</v>
      </c>
      <c r="T5" s="73">
        <v>1.236</v>
      </c>
      <c r="U5" s="72">
        <v>64</v>
      </c>
      <c r="V5" s="75">
        <v>4.9200000000000001E-2</v>
      </c>
      <c r="W5" s="71" t="s">
        <v>27</v>
      </c>
      <c r="X5" s="71" t="s">
        <v>28</v>
      </c>
      <c r="Y5" s="71" t="s">
        <v>27</v>
      </c>
      <c r="Z5" s="71" t="s">
        <v>27</v>
      </c>
      <c r="AA5" s="71" t="s">
        <v>27</v>
      </c>
      <c r="AB5" s="71" t="s">
        <v>30</v>
      </c>
      <c r="AC5" s="71" t="s">
        <v>384</v>
      </c>
    </row>
    <row r="6" spans="1:29" s="11" customFormat="1" ht="25.05" customHeight="1" x14ac:dyDescent="0.3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 x14ac:dyDescent="0.3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 x14ac:dyDescent="0.3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 x14ac:dyDescent="0.3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 x14ac:dyDescent="0.3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 x14ac:dyDescent="0.3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 x14ac:dyDescent="0.3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 x14ac:dyDescent="0.3">
      <c r="A13" s="13"/>
      <c r="B13" s="71" t="s">
        <v>160</v>
      </c>
      <c r="C13" s="71" t="s">
        <v>34</v>
      </c>
      <c r="D13" s="71" t="s">
        <v>313</v>
      </c>
      <c r="E13" s="72">
        <v>263220</v>
      </c>
      <c r="F13" s="71" t="s">
        <v>380</v>
      </c>
      <c r="G13" s="72">
        <v>1750</v>
      </c>
      <c r="H13" s="73">
        <v>0.59199999999999997</v>
      </c>
      <c r="I13" s="73">
        <v>1.62</v>
      </c>
      <c r="J13" s="13"/>
      <c r="K13" s="71" t="s">
        <v>381</v>
      </c>
      <c r="L13" s="13"/>
      <c r="M13" s="73">
        <v>1678.32</v>
      </c>
      <c r="N13" s="74">
        <v>1417.5</v>
      </c>
      <c r="O13" s="75">
        <v>0.19689999999999999</v>
      </c>
      <c r="P13" s="76">
        <v>11.81</v>
      </c>
      <c r="Q13" s="72">
        <v>537.1</v>
      </c>
      <c r="R13" s="72">
        <v>2</v>
      </c>
      <c r="S13" s="72">
        <v>1250</v>
      </c>
      <c r="T13" s="73">
        <v>1.1839999999999999</v>
      </c>
      <c r="U13" s="72">
        <v>66</v>
      </c>
      <c r="V13" s="75">
        <v>5.28E-2</v>
      </c>
      <c r="W13" s="71" t="s">
        <v>27</v>
      </c>
      <c r="X13" s="71" t="s">
        <v>27</v>
      </c>
      <c r="Y13" s="71" t="s">
        <v>27</v>
      </c>
      <c r="Z13" s="14"/>
      <c r="AA13" s="14"/>
      <c r="AB13" s="71" t="s">
        <v>41</v>
      </c>
      <c r="AC13" s="71" t="s">
        <v>382</v>
      </c>
    </row>
    <row r="14" spans="1:29" s="11" customFormat="1" ht="25.05" customHeight="1" x14ac:dyDescent="0.3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sheetPr>
    <pageSetUpPr fitToPage="1"/>
  </sheetPr>
  <dimension ref="A1:AC13"/>
  <sheetViews>
    <sheetView workbookViewId="0">
      <selection activeCell="G24" sqref="G24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8" t="s">
        <v>337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ht="25.05" customHeigh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ht="25.05" customHeigh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ht="25.05" customHeigh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ht="25.05" customHeigh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ht="25.05" customHeigh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ht="25.05" customHeigh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ht="25.05" customHeigh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ht="25.05" customHeigh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ht="25.05" customHeight="1" x14ac:dyDescent="0.3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ht="25.05" customHeigh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8" t="s">
        <v>314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sheetPr>
    <pageSetUpPr fitToPage="1"/>
  </sheetPr>
  <dimension ref="A1:AC16"/>
  <sheetViews>
    <sheetView workbookViewId="0">
      <selection activeCell="AH11" sqref="AH11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309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78</v>
      </c>
      <c r="C3" s="27" t="s">
        <v>25</v>
      </c>
      <c r="D3" s="27" t="s">
        <v>290</v>
      </c>
      <c r="E3" s="27">
        <v>263174</v>
      </c>
      <c r="F3" s="27" t="s">
        <v>289</v>
      </c>
      <c r="G3" s="27">
        <v>550</v>
      </c>
      <c r="H3" s="29">
        <v>0.95099999999999996</v>
      </c>
      <c r="I3" s="29">
        <v>2.06</v>
      </c>
      <c r="J3" s="27" t="s">
        <v>26</v>
      </c>
      <c r="K3" s="27" t="s">
        <v>308</v>
      </c>
      <c r="L3" s="27" t="s">
        <v>26</v>
      </c>
      <c r="M3" s="29">
        <v>1077.4829999999999</v>
      </c>
      <c r="N3" s="30">
        <v>1133</v>
      </c>
      <c r="O3" s="31">
        <v>0.31469999999999998</v>
      </c>
      <c r="P3" s="32">
        <v>18.88</v>
      </c>
      <c r="Q3" s="27">
        <v>579.70000000000005</v>
      </c>
      <c r="R3" s="27">
        <v>1</v>
      </c>
      <c r="S3" s="27">
        <v>1000</v>
      </c>
      <c r="T3" s="29">
        <v>0.95099999999999996</v>
      </c>
      <c r="U3" s="27">
        <v>49</v>
      </c>
      <c r="V3" s="31">
        <v>4.9000000000000002E-2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307</v>
      </c>
    </row>
    <row r="4" spans="1:29" s="11" customFormat="1" ht="25.05" customHeight="1" x14ac:dyDescent="0.3">
      <c r="A4" s="27"/>
      <c r="B4" s="28" t="s">
        <v>78</v>
      </c>
      <c r="C4" s="27" t="s">
        <v>51</v>
      </c>
      <c r="D4" s="27" t="s">
        <v>290</v>
      </c>
      <c r="E4" s="27">
        <v>263182</v>
      </c>
      <c r="F4" s="27" t="s">
        <v>289</v>
      </c>
      <c r="G4" s="27">
        <v>1600</v>
      </c>
      <c r="H4" s="29">
        <v>0.504</v>
      </c>
      <c r="I4" s="29">
        <v>1.04</v>
      </c>
      <c r="J4" s="27" t="s">
        <v>26</v>
      </c>
      <c r="K4" s="27" t="s">
        <v>306</v>
      </c>
      <c r="L4" s="27" t="s">
        <v>26</v>
      </c>
      <c r="M4" s="29">
        <v>838.65599999999995</v>
      </c>
      <c r="N4" s="30">
        <v>554.70000000000005</v>
      </c>
      <c r="O4" s="31">
        <v>5.1400000000000001E-2</v>
      </c>
      <c r="P4" s="32">
        <v>3.08</v>
      </c>
      <c r="Q4" s="27">
        <v>306.10000000000002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38</v>
      </c>
      <c r="X4" s="27" t="s">
        <v>28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305</v>
      </c>
    </row>
    <row r="5" spans="1:29" s="11" customFormat="1" ht="25.05" customHeight="1" x14ac:dyDescent="0.3">
      <c r="A5" s="13"/>
      <c r="B5" s="14" t="s">
        <v>78</v>
      </c>
      <c r="C5" s="14" t="s">
        <v>34</v>
      </c>
      <c r="D5" s="14" t="s">
        <v>290</v>
      </c>
      <c r="E5" s="13">
        <v>263181</v>
      </c>
      <c r="F5" s="14" t="s">
        <v>289</v>
      </c>
      <c r="G5" s="13">
        <v>3500</v>
      </c>
      <c r="H5" s="15">
        <v>0.374</v>
      </c>
      <c r="I5" s="15">
        <v>0.88</v>
      </c>
      <c r="J5" s="13"/>
      <c r="K5" s="14" t="s">
        <v>304</v>
      </c>
      <c r="L5" s="13"/>
      <c r="M5" s="15">
        <v>1151.92</v>
      </c>
      <c r="N5" s="16">
        <v>770</v>
      </c>
      <c r="O5" s="17">
        <v>5.3499999999999999E-2</v>
      </c>
      <c r="P5" s="18">
        <v>3.21</v>
      </c>
      <c r="Q5" s="13">
        <v>368.6</v>
      </c>
      <c r="R5" s="13">
        <v>4</v>
      </c>
      <c r="S5" s="13">
        <v>1550</v>
      </c>
      <c r="T5" s="15">
        <v>1.496</v>
      </c>
      <c r="U5" s="13">
        <v>54</v>
      </c>
      <c r="V5" s="17">
        <v>3.4799999999999998E-2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31</v>
      </c>
      <c r="AC5" s="14" t="s">
        <v>303</v>
      </c>
    </row>
    <row r="6" spans="1:29" s="11" customFormat="1" ht="25.05" customHeight="1" x14ac:dyDescent="0.3">
      <c r="A6" s="27"/>
      <c r="B6" s="28" t="s">
        <v>78</v>
      </c>
      <c r="C6" s="27" t="s">
        <v>34</v>
      </c>
      <c r="D6" s="27" t="s">
        <v>290</v>
      </c>
      <c r="E6" s="27">
        <v>263177</v>
      </c>
      <c r="F6" s="27" t="s">
        <v>289</v>
      </c>
      <c r="G6" s="27">
        <v>3000</v>
      </c>
      <c r="H6" s="29">
        <v>0.378</v>
      </c>
      <c r="I6" s="29">
        <v>0.84</v>
      </c>
      <c r="J6" s="27" t="s">
        <v>26</v>
      </c>
      <c r="K6" s="27" t="s">
        <v>302</v>
      </c>
      <c r="L6" s="27" t="s">
        <v>26</v>
      </c>
      <c r="M6" s="29">
        <v>952.56</v>
      </c>
      <c r="N6" s="30">
        <v>630</v>
      </c>
      <c r="O6" s="31">
        <v>4.3700000000000003E-2</v>
      </c>
      <c r="P6" s="32">
        <v>2.63</v>
      </c>
      <c r="Q6" s="27">
        <v>304.8</v>
      </c>
      <c r="R6" s="27">
        <v>4</v>
      </c>
      <c r="S6" s="27">
        <v>1550</v>
      </c>
      <c r="T6" s="29">
        <v>1.512</v>
      </c>
      <c r="U6" s="27">
        <v>38</v>
      </c>
      <c r="V6" s="31">
        <v>2.4500000000000001E-2</v>
      </c>
      <c r="W6" s="27" t="s">
        <v>27</v>
      </c>
      <c r="X6" s="27" t="s">
        <v>27</v>
      </c>
      <c r="Y6" s="27" t="s">
        <v>27</v>
      </c>
      <c r="Z6" s="27" t="s">
        <v>26</v>
      </c>
      <c r="AA6" s="27" t="s">
        <v>26</v>
      </c>
      <c r="AB6" s="27" t="s">
        <v>31</v>
      </c>
      <c r="AC6" s="27" t="s">
        <v>301</v>
      </c>
    </row>
    <row r="7" spans="1:29" s="11" customFormat="1" ht="25.05" customHeight="1" x14ac:dyDescent="0.3">
      <c r="A7" s="27"/>
      <c r="B7" s="28" t="s">
        <v>78</v>
      </c>
      <c r="C7" s="27" t="s">
        <v>34</v>
      </c>
      <c r="D7" s="27" t="s">
        <v>290</v>
      </c>
      <c r="E7" s="27">
        <v>263172</v>
      </c>
      <c r="F7" s="27" t="s">
        <v>289</v>
      </c>
      <c r="G7" s="27">
        <v>3000</v>
      </c>
      <c r="H7" s="29">
        <v>0.48</v>
      </c>
      <c r="I7" s="29">
        <v>0.73</v>
      </c>
      <c r="J7" s="27" t="s">
        <v>26</v>
      </c>
      <c r="K7" s="27" t="s">
        <v>32</v>
      </c>
      <c r="L7" s="27" t="s">
        <v>26</v>
      </c>
      <c r="M7" s="29">
        <v>1051.2</v>
      </c>
      <c r="N7" s="30">
        <v>730</v>
      </c>
      <c r="O7" s="31">
        <v>6.7599999999999993E-2</v>
      </c>
      <c r="P7" s="32">
        <v>4.0599999999999996</v>
      </c>
      <c r="Q7" s="27">
        <v>336.4</v>
      </c>
      <c r="R7" s="27">
        <v>3</v>
      </c>
      <c r="S7" s="27">
        <v>1500</v>
      </c>
      <c r="T7" s="29">
        <v>1.44</v>
      </c>
      <c r="U7" s="27">
        <v>60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300</v>
      </c>
    </row>
    <row r="8" spans="1:29" s="11" customFormat="1" ht="25.05" customHeight="1" x14ac:dyDescent="0.3">
      <c r="A8" s="27"/>
      <c r="B8" s="28" t="s">
        <v>78</v>
      </c>
      <c r="C8" s="27" t="s">
        <v>51</v>
      </c>
      <c r="D8" s="27" t="s">
        <v>290</v>
      </c>
      <c r="E8" s="27">
        <v>263175</v>
      </c>
      <c r="F8" s="27" t="s">
        <v>289</v>
      </c>
      <c r="G8" s="27">
        <v>1000</v>
      </c>
      <c r="H8" s="29">
        <v>1.44</v>
      </c>
      <c r="I8" s="29">
        <v>0.76900000000000002</v>
      </c>
      <c r="J8" s="27" t="s">
        <v>26</v>
      </c>
      <c r="K8" s="27" t="s">
        <v>32</v>
      </c>
      <c r="L8" s="27" t="s">
        <v>26</v>
      </c>
      <c r="M8" s="29">
        <v>1107.3599999999999</v>
      </c>
      <c r="N8" s="30">
        <v>769</v>
      </c>
      <c r="O8" s="31">
        <v>0.21360000000000001</v>
      </c>
      <c r="P8" s="32">
        <v>12.82</v>
      </c>
      <c r="Q8" s="27">
        <v>404.2</v>
      </c>
      <c r="R8" s="27">
        <v>1</v>
      </c>
      <c r="S8" s="27">
        <v>1500</v>
      </c>
      <c r="T8" s="29">
        <v>1.44</v>
      </c>
      <c r="U8" s="27">
        <v>60</v>
      </c>
      <c r="V8" s="31">
        <v>0.04</v>
      </c>
      <c r="W8" s="27" t="s">
        <v>38</v>
      </c>
      <c r="X8" s="27" t="s">
        <v>28</v>
      </c>
      <c r="Y8" s="27" t="s">
        <v>27</v>
      </c>
      <c r="Z8" s="27" t="s">
        <v>26</v>
      </c>
      <c r="AA8" s="27" t="s">
        <v>26</v>
      </c>
      <c r="AB8" s="27" t="s">
        <v>29</v>
      </c>
      <c r="AC8" s="27" t="s">
        <v>299</v>
      </c>
    </row>
    <row r="9" spans="1:29" s="11" customFormat="1" ht="25.05" customHeight="1" x14ac:dyDescent="0.3">
      <c r="A9" s="27"/>
      <c r="B9" s="28" t="s">
        <v>78</v>
      </c>
      <c r="C9" s="27" t="s">
        <v>34</v>
      </c>
      <c r="D9" s="27" t="s">
        <v>290</v>
      </c>
      <c r="E9" s="27">
        <v>263178</v>
      </c>
      <c r="F9" s="27" t="s">
        <v>289</v>
      </c>
      <c r="G9" s="27">
        <v>3000</v>
      </c>
      <c r="H9" s="29">
        <v>0.35399999999999998</v>
      </c>
      <c r="I9" s="29">
        <v>1</v>
      </c>
      <c r="J9" s="27" t="s">
        <v>26</v>
      </c>
      <c r="K9" s="27" t="s">
        <v>298</v>
      </c>
      <c r="L9" s="27" t="s">
        <v>26</v>
      </c>
      <c r="M9" s="29">
        <v>1062</v>
      </c>
      <c r="N9" s="30">
        <v>750</v>
      </c>
      <c r="O9" s="31">
        <v>5.21E-2</v>
      </c>
      <c r="P9" s="32">
        <v>3.13</v>
      </c>
      <c r="Q9" s="27">
        <v>339.8</v>
      </c>
      <c r="R9" s="27">
        <v>4</v>
      </c>
      <c r="S9" s="27">
        <v>1450</v>
      </c>
      <c r="T9" s="29">
        <v>1.4159999999999999</v>
      </c>
      <c r="U9" s="27">
        <v>34</v>
      </c>
      <c r="V9" s="31">
        <v>2.3400000000000001E-2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297</v>
      </c>
    </row>
    <row r="10" spans="1:29" s="11" customFormat="1" ht="25.05" customHeight="1" x14ac:dyDescent="0.3">
      <c r="A10" s="13"/>
      <c r="B10" s="14" t="s">
        <v>78</v>
      </c>
      <c r="C10" s="14" t="s">
        <v>34</v>
      </c>
      <c r="D10" s="14" t="s">
        <v>318</v>
      </c>
      <c r="E10" s="13">
        <v>263215</v>
      </c>
      <c r="F10" s="14" t="s">
        <v>372</v>
      </c>
      <c r="G10" s="13">
        <v>600</v>
      </c>
      <c r="H10" s="15">
        <v>1.3080000000000001</v>
      </c>
      <c r="I10" s="15">
        <v>1.337</v>
      </c>
      <c r="J10" s="13"/>
      <c r="K10" s="14" t="s">
        <v>32</v>
      </c>
      <c r="L10" s="13"/>
      <c r="M10" s="15">
        <v>1049.278</v>
      </c>
      <c r="N10" s="16">
        <v>802.2</v>
      </c>
      <c r="O10" s="17">
        <v>0.2228</v>
      </c>
      <c r="P10" s="18">
        <v>13.37</v>
      </c>
      <c r="Q10" s="13">
        <v>335.8</v>
      </c>
      <c r="R10" s="13">
        <v>1</v>
      </c>
      <c r="S10" s="13">
        <v>1350</v>
      </c>
      <c r="T10" s="15">
        <v>1.3080000000000001</v>
      </c>
      <c r="U10" s="13">
        <v>42</v>
      </c>
      <c r="V10" s="17">
        <v>3.1099999999999999E-2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31</v>
      </c>
      <c r="AC10" s="14" t="s">
        <v>355</v>
      </c>
    </row>
    <row r="11" spans="1:29" s="11" customFormat="1" ht="25.05" customHeight="1" x14ac:dyDescent="0.3">
      <c r="A11" s="27"/>
      <c r="B11" s="28" t="s">
        <v>78</v>
      </c>
      <c r="C11" s="27" t="s">
        <v>34</v>
      </c>
      <c r="D11" s="27" t="s">
        <v>290</v>
      </c>
      <c r="E11" s="27">
        <v>263173</v>
      </c>
      <c r="F11" s="27" t="s">
        <v>289</v>
      </c>
      <c r="G11" s="27">
        <v>5000</v>
      </c>
      <c r="H11" s="29">
        <v>0.30399999999999999</v>
      </c>
      <c r="I11" s="29">
        <v>0.98</v>
      </c>
      <c r="J11" s="27" t="s">
        <v>26</v>
      </c>
      <c r="K11" s="27" t="s">
        <v>296</v>
      </c>
      <c r="L11" s="27" t="s">
        <v>26</v>
      </c>
      <c r="M11" s="29">
        <v>1489.6</v>
      </c>
      <c r="N11" s="30">
        <v>1225</v>
      </c>
      <c r="O11" s="31">
        <v>8.5099999999999995E-2</v>
      </c>
      <c r="P11" s="32">
        <v>5.0999999999999996</v>
      </c>
      <c r="Q11" s="27">
        <v>476.7</v>
      </c>
      <c r="R11" s="27">
        <v>4</v>
      </c>
      <c r="S11" s="27">
        <v>1250</v>
      </c>
      <c r="T11" s="29">
        <v>1.216</v>
      </c>
      <c r="U11" s="27">
        <v>34</v>
      </c>
      <c r="V11" s="31">
        <v>2.7199999999999998E-2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295</v>
      </c>
    </row>
    <row r="12" spans="1:29" s="11" customFormat="1" ht="25.05" customHeight="1" x14ac:dyDescent="0.3">
      <c r="A12" s="27"/>
      <c r="B12" s="28" t="s">
        <v>78</v>
      </c>
      <c r="C12" s="27" t="s">
        <v>51</v>
      </c>
      <c r="D12" s="27" t="s">
        <v>290</v>
      </c>
      <c r="E12" s="27">
        <v>263176</v>
      </c>
      <c r="F12" s="27" t="s">
        <v>289</v>
      </c>
      <c r="G12" s="27">
        <v>2000</v>
      </c>
      <c r="H12" s="29">
        <v>0.57999999999999996</v>
      </c>
      <c r="I12" s="29">
        <v>1.38</v>
      </c>
      <c r="J12" s="27" t="s">
        <v>26</v>
      </c>
      <c r="K12" s="27" t="s">
        <v>294</v>
      </c>
      <c r="L12" s="27" t="s">
        <v>26</v>
      </c>
      <c r="M12" s="29">
        <v>1600.8</v>
      </c>
      <c r="N12" s="30">
        <v>1380</v>
      </c>
      <c r="O12" s="31">
        <v>0.19170000000000001</v>
      </c>
      <c r="P12" s="32">
        <v>11.5</v>
      </c>
      <c r="Q12" s="27">
        <v>584.29999999999995</v>
      </c>
      <c r="R12" s="27">
        <v>2</v>
      </c>
      <c r="S12" s="27">
        <v>1200</v>
      </c>
      <c r="T12" s="29">
        <v>1.1599999999999999</v>
      </c>
      <c r="U12" s="27">
        <v>40</v>
      </c>
      <c r="V12" s="31">
        <v>3.3300000000000003E-2</v>
      </c>
      <c r="W12" s="27" t="s">
        <v>38</v>
      </c>
      <c r="X12" s="27" t="s">
        <v>28</v>
      </c>
      <c r="Y12" s="27" t="s">
        <v>27</v>
      </c>
      <c r="Z12" s="27" t="s">
        <v>26</v>
      </c>
      <c r="AA12" s="27" t="s">
        <v>26</v>
      </c>
      <c r="AB12" s="27" t="s">
        <v>29</v>
      </c>
      <c r="AC12" s="27" t="s">
        <v>293</v>
      </c>
    </row>
    <row r="13" spans="1:29" s="11" customFormat="1" ht="25.05" customHeight="1" x14ac:dyDescent="0.3">
      <c r="A13" s="27"/>
      <c r="B13" s="28" t="s">
        <v>78</v>
      </c>
      <c r="C13" s="27" t="s">
        <v>34</v>
      </c>
      <c r="D13" s="27" t="s">
        <v>290</v>
      </c>
      <c r="E13" s="27">
        <v>263180</v>
      </c>
      <c r="F13" s="27" t="s">
        <v>289</v>
      </c>
      <c r="G13" s="27">
        <v>6000</v>
      </c>
      <c r="H13" s="29">
        <v>0.27400000000000002</v>
      </c>
      <c r="I13" s="29">
        <v>0.71</v>
      </c>
      <c r="J13" s="27" t="s">
        <v>26</v>
      </c>
      <c r="K13" s="27" t="s">
        <v>292</v>
      </c>
      <c r="L13" s="27" t="s">
        <v>26</v>
      </c>
      <c r="M13" s="29">
        <v>1167.24</v>
      </c>
      <c r="N13" s="30">
        <v>1065</v>
      </c>
      <c r="O13" s="31">
        <v>7.3999999999999996E-2</v>
      </c>
      <c r="P13" s="32">
        <v>4.4400000000000004</v>
      </c>
      <c r="Q13" s="27">
        <v>373.5</v>
      </c>
      <c r="R13" s="27">
        <v>4</v>
      </c>
      <c r="S13" s="27">
        <v>1150</v>
      </c>
      <c r="T13" s="29">
        <v>1.0960000000000001</v>
      </c>
      <c r="U13" s="27">
        <v>54</v>
      </c>
      <c r="V13" s="31">
        <v>4.7E-2</v>
      </c>
      <c r="W13" s="27" t="s">
        <v>27</v>
      </c>
      <c r="X13" s="27" t="s">
        <v>27</v>
      </c>
      <c r="Y13" s="27" t="s">
        <v>27</v>
      </c>
      <c r="Z13" s="27" t="s">
        <v>26</v>
      </c>
      <c r="AA13" s="27" t="s">
        <v>26</v>
      </c>
      <c r="AB13" s="27" t="s">
        <v>31</v>
      </c>
      <c r="AC13" s="27" t="s">
        <v>291</v>
      </c>
    </row>
    <row r="14" spans="1:29" s="11" customFormat="1" ht="25.05" customHeight="1" x14ac:dyDescent="0.3">
      <c r="A14" s="13"/>
      <c r="B14" s="14" t="s">
        <v>78</v>
      </c>
      <c r="C14" s="14" t="s">
        <v>34</v>
      </c>
      <c r="D14" s="14" t="s">
        <v>318</v>
      </c>
      <c r="E14" s="13">
        <v>263214</v>
      </c>
      <c r="F14" s="14" t="s">
        <v>372</v>
      </c>
      <c r="G14" s="13">
        <v>1070</v>
      </c>
      <c r="H14" s="15">
        <v>0.95299999999999996</v>
      </c>
      <c r="I14" s="15">
        <v>0.94099999999999995</v>
      </c>
      <c r="J14" s="13"/>
      <c r="K14" s="14" t="s">
        <v>370</v>
      </c>
      <c r="L14" s="13"/>
      <c r="M14" s="15">
        <v>959.54700000000003</v>
      </c>
      <c r="N14" s="16">
        <v>1006.9</v>
      </c>
      <c r="O14" s="17">
        <v>0.2797</v>
      </c>
      <c r="P14" s="18">
        <v>16.78</v>
      </c>
      <c r="Q14" s="13">
        <v>307.10000000000002</v>
      </c>
      <c r="R14" s="13">
        <v>1</v>
      </c>
      <c r="S14" s="13">
        <v>1000</v>
      </c>
      <c r="T14" s="15">
        <v>0.95299999999999996</v>
      </c>
      <c r="U14" s="13">
        <v>47</v>
      </c>
      <c r="V14" s="17">
        <v>4.7E-2</v>
      </c>
      <c r="W14" s="14" t="s">
        <v>27</v>
      </c>
      <c r="X14" s="14" t="s">
        <v>27</v>
      </c>
      <c r="Y14" s="14" t="s">
        <v>27</v>
      </c>
      <c r="Z14" s="14"/>
      <c r="AA14" s="14"/>
      <c r="AB14" s="14" t="s">
        <v>31</v>
      </c>
      <c r="AC14" s="14" t="s">
        <v>371</v>
      </c>
    </row>
    <row r="15" spans="1:29" s="11" customFormat="1" ht="25.05" customHeight="1" x14ac:dyDescent="0.3">
      <c r="A15" s="27"/>
      <c r="B15" s="28" t="s">
        <v>78</v>
      </c>
      <c r="C15" s="27" t="s">
        <v>34</v>
      </c>
      <c r="D15" s="27" t="s">
        <v>290</v>
      </c>
      <c r="E15" s="27">
        <v>263179</v>
      </c>
      <c r="F15" s="27" t="s">
        <v>289</v>
      </c>
      <c r="G15" s="27">
        <v>611</v>
      </c>
      <c r="H15" s="29">
        <v>1</v>
      </c>
      <c r="I15" s="29">
        <v>1.56</v>
      </c>
      <c r="J15" s="27" t="s">
        <v>26</v>
      </c>
      <c r="K15" s="27" t="s">
        <v>32</v>
      </c>
      <c r="L15" s="27" t="s">
        <v>26</v>
      </c>
      <c r="M15" s="29">
        <v>953.16</v>
      </c>
      <c r="N15" s="30">
        <v>953.2</v>
      </c>
      <c r="O15" s="31">
        <v>0.26479999999999998</v>
      </c>
      <c r="P15" s="32">
        <v>15.89</v>
      </c>
      <c r="Q15" s="27">
        <v>305</v>
      </c>
      <c r="R15" s="27">
        <v>1</v>
      </c>
      <c r="S15" s="27">
        <v>1050</v>
      </c>
      <c r="T15" s="29">
        <v>1</v>
      </c>
      <c r="U15" s="27">
        <v>50</v>
      </c>
      <c r="V15" s="31">
        <v>4.7600000000000003E-2</v>
      </c>
      <c r="W15" s="27" t="s">
        <v>27</v>
      </c>
      <c r="X15" s="27" t="s">
        <v>27</v>
      </c>
      <c r="Y15" s="27" t="s">
        <v>27</v>
      </c>
      <c r="Z15" s="27" t="s">
        <v>26</v>
      </c>
      <c r="AA15" s="27" t="s">
        <v>26</v>
      </c>
      <c r="AB15" s="27" t="s">
        <v>31</v>
      </c>
      <c r="AC15" s="27" t="s">
        <v>288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v>31761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v>4326.5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sheetPr>
    <pageSetUpPr fitToPage="1"/>
  </sheetPr>
  <dimension ref="A1:AC5"/>
  <sheetViews>
    <sheetView workbookViewId="0">
      <selection activeCell="E16" sqref="E16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287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ht="25.05" customHeigh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  <row r="5" spans="1:29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5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3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PCBOX EMBALAGENS 1339</vt:lpstr>
      <vt:lpstr>TOLECAIXAS 1337 P </vt:lpstr>
      <vt:lpstr>RM EMBALAGENS 1334</vt:lpstr>
      <vt:lpstr>ABAPEL EMBALAGENS 1333 P</vt:lpstr>
      <vt:lpstr>RENOVAPEL 1332 P</vt:lpstr>
      <vt:lpstr>DR EMBALAGENS 1331 P</vt:lpstr>
      <vt:lpstr>RM EMBALAGENS 1330 P</vt:lpstr>
      <vt:lpstr>FAVINCO EMBALAGENS 1329 P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2026-10-28T19:50:33Z</cp:lastPrinted>
  <dcterms:created xsi:type="dcterms:W3CDTF">2026-07-02T17:42:15Z</dcterms:created>
  <dcterms:modified xsi:type="dcterms:W3CDTF">2026-10-28T20:14:57Z</dcterms:modified>
</cp:coreProperties>
</file>