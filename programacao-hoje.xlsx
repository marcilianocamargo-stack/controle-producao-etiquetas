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B76F382C-4AAB-4118-B2ED-47DF4AC314A8}" xr6:coauthVersionLast="47" xr6:coauthVersionMax="47" xr10:uidLastSave="{00000000-0000-0000-0000-000000000000}"/>
  <bookViews>
    <workbookView xWindow="-38510" yWindow="-10830" windowWidth="38620" windowHeight="21100" firstSheet="3" activeTab="9" xr2:uid="{00000000-000D-0000-FFFF-FFFF00000000}"/>
  </bookViews>
  <sheets>
    <sheet name="PCBOX  - IPE 1266 P" sheetId="191" r:id="rId1"/>
    <sheet name="Tolecaixas 1264" sheetId="190" r:id="rId2"/>
    <sheet name="RM Embalagens 1263 P" sheetId="189" r:id="rId3"/>
    <sheet name="HARMONY EMBALAGENS 1262 P" sheetId="188" r:id="rId4"/>
    <sheet name="HARMONY EMBALAGENS 1260" sheetId="187" r:id="rId5"/>
    <sheet name="CARTOMIL EMBALAGENS LTDA 1258 P" sheetId="185" r:id="rId6"/>
    <sheet name="CARPEL 1257 P" sheetId="184" r:id="rId7"/>
    <sheet name="FAVINCO EMBALAGENS 1256 P" sheetId="183" r:id="rId8"/>
    <sheet name="RR STELLA 1253" sheetId="181" r:id="rId9"/>
    <sheet name="FAVINCO EMBALAGENS 1252 P" sheetId="180" r:id="rId10"/>
    <sheet name="DR EMBALAGENS 1250 P" sheetId="179" r:id="rId11"/>
    <sheet name="HARMONY EMBALAGENS 1249 P" sheetId="178" r:id="rId12"/>
    <sheet name="FAVINCO 1248 AMOSTRA" sheetId="177" r:id="rId13"/>
    <sheet name="ABAPEL 1246 P" sheetId="176" r:id="rId14"/>
    <sheet name="FAVINCO 1243 P" sheetId="175" r:id="rId15"/>
    <sheet name="Renovapel 1242 P" sheetId="174" r:id="rId16"/>
    <sheet name="Tole. DR EMB. VO CH S. M 1241 P" sheetId="173" r:id="rId17"/>
    <sheet name="FAVINCO 1239 P" sheetId="172" r:id="rId18"/>
    <sheet name="PCBOX EMBALAGENS 1233 P" sheetId="170" r:id="rId19"/>
    <sheet name="RM Embalagens 1232 P" sheetId="169" r:id="rId20"/>
    <sheet name="HARMONY EMBALAGENS 1231 P" sheetId="168" r:id="rId21"/>
    <sheet name="RM Embalagens P" sheetId="166" r:id="rId22"/>
    <sheet name="PCBOX EMBALAGENS LTDA 1222 P" sheetId="164" r:id="rId23"/>
    <sheet name="FORBOX 1220 P" sheetId="163" r:id="rId24"/>
    <sheet name="HARMONY EMBALAGENS 1217 P" sheetId="162" r:id="rId25"/>
    <sheet name="Z4A EMBALAGENS LTDA 1216" sheetId="161" r:id="rId26"/>
    <sheet name="ABAPEL 1213 P" sheetId="159" r:id="rId27"/>
    <sheet name="IPE - PCBOX 1212 P" sheetId="158" r:id="rId28"/>
    <sheet name="Z4A EMBALAGENS LTDA 1210 P" sheetId="157" r:id="rId29"/>
    <sheet name="RM Embalagens 1209 P" sheetId="156" r:id="rId30"/>
    <sheet name="ABAPEL 1201 P" sheetId="153" r:id="rId31"/>
    <sheet name="HARMONY EMBALAGENS 1200 P" sheetId="152" r:id="rId32"/>
    <sheet name="FAVINCO EMBALAGENS 1197 P" sheetId="150" r:id="rId33"/>
    <sheet name="ABAPEL 1196 P" sheetId="149" r:id="rId34"/>
    <sheet name="RM Embalagens 1184 P" sheetId="141" r:id="rId35"/>
    <sheet name="HARMONY EMBALAGENS 1180 P" sheetId="137" r:id="rId36"/>
    <sheet name="Carpel 1158 P" sheetId="119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9" i="190" l="1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<sst xmlns="http://schemas.openxmlformats.org/spreadsheetml/2006/main" count="7106" uniqueCount="705">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</sst>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7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  <font>
      <sz val="11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5">
    <xf numFmtId="0" fontId="0" fillId="0" borderId="0"/>
    <xf numFmtId="0" fontId="2" fillId="0" borderId="0"/>
    <xf numFmtId="0" fontId="4" fillId="0" borderId="0"/>
    <xf numFmtId="0" fontId="14" fillId="0" borderId="0"/>
    <xf numFmtId="0" fontId="26" fillId="0" borderId="0"/>
  </cellStyleXfs>
  <cellXfs count="244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14" fillId="6" borderId="1" xfId="3" applyFill="1" applyBorder="1" applyAlignment="1">
      <alignment horizontal="center" vertical="center"/>
    </xf>
    <xf numFmtId="0" fontId="15" fillId="6" borderId="1" xfId="3" applyFont="1" applyFill="1" applyBorder="1" applyAlignment="1">
      <alignment horizontal="center" vertical="center"/>
    </xf>
    <xf numFmtId="164" fontId="14" fillId="6" borderId="1" xfId="3" applyNumberFormat="1" applyFill="1" applyBorder="1" applyAlignment="1">
      <alignment horizontal="center" vertical="center"/>
    </xf>
    <xf numFmtId="165" fontId="14" fillId="6" borderId="1" xfId="3" applyNumberFormat="1" applyFill="1" applyBorder="1" applyAlignment="1">
      <alignment horizontal="center" vertical="center"/>
    </xf>
    <xf numFmtId="166" fontId="14" fillId="6" borderId="1" xfId="3" applyNumberFormat="1" applyFill="1" applyBorder="1" applyAlignment="1">
      <alignment horizontal="center" vertical="center"/>
    </xf>
    <xf numFmtId="2" fontId="14" fillId="6" borderId="1" xfId="3" applyNumberFormat="1" applyFill="1" applyBorder="1" applyAlignment="1">
      <alignment horizontal="center" vertical="center"/>
    </xf>
    <xf numFmtId="1" fontId="2" fillId="0" borderId="0" xfId="1" applyNumberFormat="1"/>
    <xf numFmtId="1" fontId="1" fillId="4" borderId="1" xfId="1" applyNumberFormat="1" applyFont="1" applyFill="1" applyBorder="1" applyAlignment="1">
      <alignment horizontal="center" vertical="center" wrapText="1"/>
    </xf>
    <xf numFmtId="0" fontId="14" fillId="6" borderId="0" xfId="3" applyFill="1" applyAlignment="1">
      <alignment horizontal="center" vertical="center"/>
    </xf>
    <xf numFmtId="0" fontId="16" fillId="4" borderId="3" xfId="3" applyFont="1" applyFill="1" applyBorder="1" applyAlignment="1">
      <alignment horizontal="center" vertical="center" wrapText="1"/>
    </xf>
    <xf numFmtId="0" fontId="15" fillId="2" borderId="4" xfId="3" applyFont="1" applyFill="1" applyBorder="1" applyAlignment="1">
      <alignment horizontal="center" vertical="center"/>
    </xf>
    <xf numFmtId="0" fontId="14" fillId="6" borderId="2" xfId="3" applyFill="1" applyBorder="1" applyAlignment="1">
      <alignment horizontal="center" vertical="center"/>
    </xf>
    <xf numFmtId="0" fontId="15" fillId="6" borderId="2" xfId="3" applyFont="1" applyFill="1" applyBorder="1" applyAlignment="1">
      <alignment horizontal="center" vertical="center"/>
    </xf>
    <xf numFmtId="164" fontId="14" fillId="6" borderId="2" xfId="3" applyNumberFormat="1" applyFill="1" applyBorder="1" applyAlignment="1">
      <alignment horizontal="center" vertical="center"/>
    </xf>
    <xf numFmtId="165" fontId="14" fillId="6" borderId="2" xfId="3" applyNumberFormat="1" applyFill="1" applyBorder="1" applyAlignment="1">
      <alignment horizontal="center" vertical="center"/>
    </xf>
    <xf numFmtId="166" fontId="14" fillId="6" borderId="2" xfId="3" applyNumberFormat="1" applyFill="1" applyBorder="1" applyAlignment="1">
      <alignment horizontal="center" vertical="center"/>
    </xf>
    <xf numFmtId="2" fontId="14" fillId="6" borderId="2" xfId="3" applyNumberFormat="1" applyFill="1" applyBorder="1" applyAlignment="1">
      <alignment horizontal="center" vertical="center"/>
    </xf>
    <xf numFmtId="0" fontId="26" fillId="6" borderId="2" xfId="4" applyFill="1" applyBorder="1" applyAlignment="1">
      <alignment horizontal="center" vertical="center"/>
    </xf>
    <xf numFmtId="0" fontId="2" fillId="6" borderId="2" xfId="1" applyFill="1" applyBorder="1" applyAlignment="1">
      <alignment horizontal="center" vertical="center"/>
    </xf>
    <xf numFmtId="0" fontId="3" fillId="6" borderId="2" xfId="1" applyFont="1" applyFill="1" applyBorder="1" applyAlignment="1">
      <alignment horizontal="center" vertical="center"/>
    </xf>
    <xf numFmtId="164" fontId="2" fillId="6" borderId="2" xfId="1" applyNumberFormat="1" applyFill="1" applyBorder="1" applyAlignment="1">
      <alignment horizontal="center" vertical="center"/>
    </xf>
    <xf numFmtId="165" fontId="2" fillId="6" borderId="2" xfId="1" applyNumberFormat="1" applyFill="1" applyBorder="1" applyAlignment="1">
      <alignment horizontal="center" vertical="center"/>
    </xf>
    <xf numFmtId="166" fontId="2" fillId="6" borderId="2" xfId="1" applyNumberFormat="1" applyFill="1" applyBorder="1" applyAlignment="1">
      <alignment horizontal="center" vertical="center"/>
    </xf>
    <xf numFmtId="2" fontId="2" fillId="6" borderId="2" xfId="1" applyNumberForma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164" fontId="14" fillId="5" borderId="1" xfId="0" applyNumberFormat="1" applyFont="1" applyFill="1" applyBorder="1" applyAlignment="1">
      <alignment horizontal="center" vertical="center"/>
    </xf>
    <xf numFmtId="165" fontId="14" fillId="5" borderId="1" xfId="0" applyNumberFormat="1" applyFont="1" applyFill="1" applyBorder="1" applyAlignment="1">
      <alignment horizontal="center" vertical="center"/>
    </xf>
    <xf numFmtId="166" fontId="14" fillId="5" borderId="1" xfId="0" applyNumberFormat="1" applyFont="1" applyFill="1" applyBorder="1" applyAlignment="1">
      <alignment horizontal="center" vertical="center"/>
    </xf>
    <xf numFmtId="2" fontId="14" fillId="5" borderId="1" xfId="0" applyNumberFormat="1" applyFont="1" applyFill="1" applyBorder="1" applyAlignment="1">
      <alignment horizontal="center" vertical="center"/>
    </xf>
    <xf numFmtId="0" fontId="2" fillId="5" borderId="1" xfId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164" fontId="2" fillId="5" borderId="1" xfId="1" applyNumberFormat="1" applyFill="1" applyBorder="1" applyAlignment="1">
      <alignment horizontal="center" vertical="center"/>
    </xf>
    <xf numFmtId="165" fontId="2" fillId="5" borderId="1" xfId="1" applyNumberFormat="1" applyFill="1" applyBorder="1" applyAlignment="1">
      <alignment horizontal="center" vertical="center"/>
    </xf>
    <xf numFmtId="166" fontId="2" fillId="5" borderId="1" xfId="1" applyNumberFormat="1" applyFill="1" applyBorder="1" applyAlignment="1">
      <alignment horizontal="center" vertical="center"/>
    </xf>
    <xf numFmtId="2" fontId="2" fillId="5" borderId="1" xfId="1" applyNumberFormat="1" applyFill="1" applyBorder="1" applyAlignment="1">
      <alignment horizontal="center" vertical="center"/>
    </xf>
    <xf numFmtId="0" fontId="2" fillId="0" borderId="0" xfId="1" applyAlignment="1">
      <alignment wrapText="1"/>
    </xf>
    <xf numFmtId="0" fontId="2" fillId="6" borderId="1" xfId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1" fontId="2" fillId="6" borderId="1" xfId="1" applyNumberFormat="1" applyFill="1" applyBorder="1" applyAlignment="1">
      <alignment horizontal="center" vertical="center"/>
    </xf>
    <xf numFmtId="164" fontId="2" fillId="6" borderId="1" xfId="1" applyNumberFormat="1" applyFill="1" applyBorder="1" applyAlignment="1">
      <alignment horizontal="center" vertical="center"/>
    </xf>
    <xf numFmtId="165" fontId="2" fillId="6" borderId="1" xfId="1" applyNumberFormat="1" applyFill="1" applyBorder="1" applyAlignment="1">
      <alignment horizontal="center" vertical="center"/>
    </xf>
    <xf numFmtId="166" fontId="2" fillId="6" borderId="1" xfId="1" applyNumberFormat="1" applyFill="1" applyBorder="1" applyAlignment="1">
      <alignment horizontal="center" vertical="center"/>
    </xf>
    <xf numFmtId="2" fontId="2" fillId="6" borderId="1" xfId="1" applyNumberFormat="1" applyFill="1" applyBorder="1" applyAlignment="1">
      <alignment horizontal="center" vertical="center"/>
    </xf>
    <xf numFmtId="0" fontId="2" fillId="6" borderId="0" xfId="1" applyFill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164" fontId="14" fillId="6" borderId="1" xfId="0" applyNumberFormat="1" applyFont="1" applyFill="1" applyBorder="1" applyAlignment="1">
      <alignment horizontal="center" vertical="center"/>
    </xf>
    <xf numFmtId="165" fontId="14" fillId="6" borderId="1" xfId="0" applyNumberFormat="1" applyFont="1" applyFill="1" applyBorder="1" applyAlignment="1">
      <alignment horizontal="center" vertical="center"/>
    </xf>
    <xf numFmtId="166" fontId="14" fillId="6" borderId="1" xfId="0" applyNumberFormat="1" applyFont="1" applyFill="1" applyBorder="1" applyAlignment="1">
      <alignment horizontal="center" vertical="center"/>
    </xf>
    <xf numFmtId="2" fontId="14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3" fillId="2" borderId="1" xfId="1" applyNumberFormat="1" applyFont="1" applyFill="1" applyBorder="1" applyAlignment="1">
      <alignment horizontal="center" vertical="center"/>
    </xf>
    <xf numFmtId="0" fontId="6" fillId="0" borderId="0" xfId="3" applyFont="1"/>
    <xf numFmtId="0" fontId="25" fillId="0" borderId="0" xfId="1" applyFont="1"/>
    <xf numFmtId="0" fontId="17" fillId="0" borderId="0" xfId="3" applyFont="1"/>
    <xf numFmtId="0" fontId="6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4" fillId="3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/>
    </xf>
    <xf numFmtId="164" fontId="14" fillId="3" borderId="1" xfId="0" applyNumberFormat="1" applyFont="1" applyFill="1" applyBorder="1" applyAlignment="1">
      <alignment horizontal="center"/>
    </xf>
    <xf numFmtId="165" fontId="14" fillId="3" borderId="1" xfId="0" applyNumberFormat="1" applyFont="1" applyFill="1" applyBorder="1" applyAlignment="1">
      <alignment horizontal="center"/>
    </xf>
    <xf numFmtId="166" fontId="14" fillId="3" borderId="1" xfId="0" applyNumberFormat="1" applyFont="1" applyFill="1" applyBorder="1" applyAlignment="1">
      <alignment horizontal="center"/>
    </xf>
    <xf numFmtId="2" fontId="14" fillId="3" borderId="1" xfId="0" applyNumberFormat="1" applyFont="1" applyFill="1" applyBorder="1" applyAlignment="1">
      <alignment horizontal="center"/>
    </xf>
    <xf numFmtId="0" fontId="6" fillId="0" borderId="0" xfId="1" applyFont="1" applyAlignment="1">
      <alignment horizontal="center"/>
    </xf>
    <xf numFmtId="0" fontId="1" fillId="4" borderId="1" xfId="1" applyFont="1" applyFill="1" applyBorder="1" applyAlignment="1">
      <alignment horizontal="center" wrapText="1"/>
    </xf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3" fillId="3" borderId="1" xfId="3" applyFont="1" applyFill="1" applyBorder="1" applyAlignment="1">
      <alignment horizontal="center"/>
    </xf>
    <xf numFmtId="0" fontId="2" fillId="3" borderId="1" xfId="3" applyFont="1" applyFill="1" applyBorder="1" applyAlignment="1">
      <alignment horizontal="center"/>
    </xf>
    <xf numFmtId="164" fontId="2" fillId="3" borderId="1" xfId="3" applyNumberFormat="1" applyFont="1" applyFill="1" applyBorder="1" applyAlignment="1">
      <alignment horizontal="center"/>
    </xf>
    <xf numFmtId="165" fontId="2" fillId="3" borderId="1" xfId="3" applyNumberFormat="1" applyFont="1" applyFill="1" applyBorder="1" applyAlignment="1">
      <alignment horizontal="center"/>
    </xf>
    <xf numFmtId="166" fontId="2" fillId="3" borderId="1" xfId="3" applyNumberFormat="1" applyFont="1" applyFill="1" applyBorder="1" applyAlignment="1">
      <alignment horizontal="center"/>
    </xf>
    <xf numFmtId="2" fontId="2" fillId="3" borderId="1" xfId="3" applyNumberFormat="1" applyFont="1" applyFill="1" applyBorder="1" applyAlignment="1">
      <alignment horizontal="center"/>
    </xf>
    <xf numFmtId="0" fontId="3" fillId="2" borderId="1" xfId="1" applyFont="1" applyFill="1" applyBorder="1" applyAlignment="1">
      <alignment horizontal="center"/>
    </xf>
  </cellXfs>
  <cellStyles count="5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sqref="A1:AC1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15" t="s">
        <v>696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  <c r="AC1" s="215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dimension ref="A1:AC21"/>
  <sheetViews>
    <sheetView workbookViewId="0">
      <selection activeCell="H13" sqref="H13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16" t="s">
        <v>664</v>
      </c>
      <c r="B1" s="216" t="s">
        <v>27</v>
      </c>
      <c r="C1" s="216" t="s">
        <v>27</v>
      </c>
      <c r="D1" s="216" t="s">
        <v>27</v>
      </c>
      <c r="E1" s="216" t="s">
        <v>27</v>
      </c>
      <c r="F1" s="216" t="s">
        <v>27</v>
      </c>
      <c r="G1" s="216" t="s">
        <v>27</v>
      </c>
      <c r="H1" s="216" t="s">
        <v>27</v>
      </c>
      <c r="I1" s="216" t="s">
        <v>27</v>
      </c>
      <c r="J1" s="216" t="s">
        <v>27</v>
      </c>
      <c r="K1" s="216" t="s">
        <v>27</v>
      </c>
      <c r="L1" s="216" t="s">
        <v>27</v>
      </c>
      <c r="M1" s="216" t="s">
        <v>27</v>
      </c>
      <c r="N1" s="216" t="s">
        <v>27</v>
      </c>
      <c r="O1" s="216" t="s">
        <v>27</v>
      </c>
      <c r="P1" s="216" t="s">
        <v>27</v>
      </c>
      <c r="Q1" s="216" t="s">
        <v>27</v>
      </c>
      <c r="R1" s="216" t="s">
        <v>27</v>
      </c>
      <c r="S1" s="216" t="s">
        <v>27</v>
      </c>
      <c r="T1" s="216" t="s">
        <v>27</v>
      </c>
      <c r="U1" s="216" t="s">
        <v>27</v>
      </c>
      <c r="V1" s="216" t="s">
        <v>27</v>
      </c>
      <c r="W1" s="216" t="s">
        <v>27</v>
      </c>
      <c r="X1" s="216" t="s">
        <v>27</v>
      </c>
      <c r="Y1" s="216" t="s">
        <v>27</v>
      </c>
      <c r="Z1" s="216" t="s">
        <v>27</v>
      </c>
      <c r="AA1" s="216" t="s">
        <v>27</v>
      </c>
      <c r="AB1" s="216" t="s">
        <v>27</v>
      </c>
      <c r="AC1" s="216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15" t="s">
        <v>660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/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  <c r="AC1" s="215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15" t="s">
        <v>645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/>
      <c r="L1" s="215" t="s">
        <v>27</v>
      </c>
      <c r="M1" s="215" t="s">
        <v>27</v>
      </c>
      <c r="N1" s="215" t="s">
        <v>27</v>
      </c>
      <c r="O1" s="215" t="s">
        <v>27</v>
      </c>
      <c r="P1" s="215"/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  <c r="AC1" s="215" t="s">
        <v>27</v>
      </c>
      <c r="AD1" s="215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workbookViewId="0">
      <selection activeCell="V20" sqref="V20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17" t="s">
        <v>622</v>
      </c>
      <c r="B1" s="217" t="s">
        <v>27</v>
      </c>
      <c r="C1" s="217" t="s">
        <v>27</v>
      </c>
      <c r="D1" s="217" t="s">
        <v>27</v>
      </c>
      <c r="E1" s="217" t="s">
        <v>27</v>
      </c>
      <c r="F1" s="217" t="s">
        <v>27</v>
      </c>
      <c r="G1" s="217" t="s">
        <v>27</v>
      </c>
      <c r="H1" s="217" t="s">
        <v>27</v>
      </c>
      <c r="I1" s="217" t="s">
        <v>27</v>
      </c>
      <c r="J1" s="217" t="s">
        <v>27</v>
      </c>
      <c r="K1" s="217" t="s">
        <v>27</v>
      </c>
      <c r="L1" s="217" t="s">
        <v>27</v>
      </c>
      <c r="M1" s="217" t="s">
        <v>27</v>
      </c>
      <c r="N1" s="217" t="s">
        <v>27</v>
      </c>
      <c r="O1" s="217" t="s">
        <v>27</v>
      </c>
      <c r="P1" s="217" t="s">
        <v>27</v>
      </c>
      <c r="Q1" s="217" t="s">
        <v>27</v>
      </c>
      <c r="R1" s="217" t="s">
        <v>27</v>
      </c>
      <c r="S1" s="217" t="s">
        <v>27</v>
      </c>
      <c r="T1" s="217" t="s">
        <v>27</v>
      </c>
      <c r="U1" s="217" t="s">
        <v>27</v>
      </c>
      <c r="V1" s="217" t="s">
        <v>27</v>
      </c>
      <c r="W1" s="217" t="s">
        <v>27</v>
      </c>
      <c r="X1" s="217" t="s">
        <v>27</v>
      </c>
      <c r="Y1" s="217" t="s">
        <v>27</v>
      </c>
      <c r="Z1" s="217" t="s">
        <v>27</v>
      </c>
      <c r="AA1" s="217" t="s">
        <v>27</v>
      </c>
      <c r="AB1" s="217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5" t="s">
        <v>621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620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5" t="s">
        <v>619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618</v>
      </c>
    </row>
    <row r="5" spans="1:28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5" t="s">
        <v>616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615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15" t="s">
        <v>614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18" t="s">
        <v>606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15" t="s">
        <v>595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16" t="s">
        <v>585</v>
      </c>
      <c r="B1" s="216" t="s">
        <v>27</v>
      </c>
      <c r="C1" s="216" t="s">
        <v>27</v>
      </c>
      <c r="D1" s="216" t="s">
        <v>27</v>
      </c>
      <c r="E1" s="216" t="s">
        <v>27</v>
      </c>
      <c r="F1" s="216" t="s">
        <v>27</v>
      </c>
      <c r="G1" s="216" t="s">
        <v>27</v>
      </c>
      <c r="H1" s="216" t="s">
        <v>27</v>
      </c>
      <c r="I1" s="216" t="s">
        <v>27</v>
      </c>
      <c r="J1" s="216" t="s">
        <v>27</v>
      </c>
      <c r="K1" s="216" t="s">
        <v>27</v>
      </c>
      <c r="L1" s="216" t="s">
        <v>27</v>
      </c>
      <c r="M1" s="216" t="s">
        <v>27</v>
      </c>
      <c r="N1" s="216" t="s">
        <v>27</v>
      </c>
      <c r="O1" s="216" t="s">
        <v>27</v>
      </c>
      <c r="P1" s="216" t="s">
        <v>27</v>
      </c>
      <c r="Q1" s="216" t="s">
        <v>27</v>
      </c>
      <c r="R1" s="216" t="s">
        <v>27</v>
      </c>
      <c r="S1" s="216" t="s">
        <v>27</v>
      </c>
      <c r="T1" s="216" t="s">
        <v>27</v>
      </c>
      <c r="U1" s="216" t="s">
        <v>27</v>
      </c>
      <c r="V1" s="216" t="s">
        <v>27</v>
      </c>
      <c r="W1" s="216" t="s">
        <v>27</v>
      </c>
      <c r="X1" s="216" t="s">
        <v>27</v>
      </c>
      <c r="Y1" s="216" t="s">
        <v>27</v>
      </c>
      <c r="Z1" s="216" t="s">
        <v>27</v>
      </c>
      <c r="AA1" s="216" t="s">
        <v>27</v>
      </c>
      <c r="AB1" s="216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tabSelected="1" zoomScale="220" zoomScaleNormal="220" workbookViewId="0">
      <selection activeCell="S14" sqref="S1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29" t="s">
        <v>578</v>
      </c>
      <c r="B1" s="229" t="s">
        <v>27</v>
      </c>
      <c r="C1" s="229" t="s">
        <v>27</v>
      </c>
      <c r="D1" s="229" t="s">
        <v>27</v>
      </c>
      <c r="E1" s="229" t="s">
        <v>27</v>
      </c>
      <c r="F1" s="229" t="s">
        <v>27</v>
      </c>
      <c r="G1" s="229" t="s">
        <v>27</v>
      </c>
      <c r="H1" s="229" t="s">
        <v>27</v>
      </c>
      <c r="I1" s="229" t="s">
        <v>27</v>
      </c>
      <c r="J1" s="229"/>
      <c r="K1" s="229" t="s">
        <v>27</v>
      </c>
      <c r="L1" s="229" t="s">
        <v>27</v>
      </c>
      <c r="M1" s="229" t="s">
        <v>27</v>
      </c>
      <c r="N1" s="229" t="s">
        <v>27</v>
      </c>
      <c r="O1" s="229" t="s">
        <v>27</v>
      </c>
      <c r="P1" s="229"/>
      <c r="Q1" s="229" t="s">
        <v>27</v>
      </c>
      <c r="R1" s="229" t="s">
        <v>27</v>
      </c>
      <c r="S1" s="229" t="s">
        <v>27</v>
      </c>
      <c r="T1" s="229" t="s">
        <v>27</v>
      </c>
      <c r="U1" s="229" t="s">
        <v>27</v>
      </c>
      <c r="V1" s="229" t="s">
        <v>27</v>
      </c>
      <c r="W1" s="229" t="s">
        <v>27</v>
      </c>
      <c r="X1" s="229" t="s">
        <v>27</v>
      </c>
      <c r="Y1" s="229" t="s">
        <v>27</v>
      </c>
      <c r="Z1" s="229" t="s">
        <v>27</v>
      </c>
      <c r="AA1" s="229" t="s">
        <v>27</v>
      </c>
      <c r="AB1" s="229" t="s">
        <v>27</v>
      </c>
      <c r="AC1" s="229" t="s">
        <v>27</v>
      </c>
    </row>
    <row r="2" spans="1:29" ht="42" customHeight="1" x14ac:dyDescent="0.3">
      <c r="A2" s="230" t="s">
        <v>0</v>
      </c>
      <c r="B2" s="230" t="s">
        <v>36</v>
      </c>
      <c r="C2" s="230" t="s">
        <v>1</v>
      </c>
      <c r="D2" s="230" t="s">
        <v>2</v>
      </c>
      <c r="E2" s="230" t="s">
        <v>53</v>
      </c>
      <c r="F2" s="230" t="s">
        <v>4</v>
      </c>
      <c r="G2" s="230" t="s">
        <v>5</v>
      </c>
      <c r="H2" s="230" t="s">
        <v>6</v>
      </c>
      <c r="I2" s="230" t="s">
        <v>7</v>
      </c>
      <c r="J2" s="230"/>
      <c r="K2" s="230" t="s">
        <v>8</v>
      </c>
      <c r="L2" s="230" t="s">
        <v>9</v>
      </c>
      <c r="M2" s="230" t="s">
        <v>10</v>
      </c>
      <c r="N2" s="230" t="s">
        <v>11</v>
      </c>
      <c r="O2" s="230" t="s">
        <v>12</v>
      </c>
      <c r="P2" s="230"/>
      <c r="Q2" s="230" t="s">
        <v>13</v>
      </c>
      <c r="R2" s="230" t="s">
        <v>14</v>
      </c>
      <c r="S2" s="230" t="s">
        <v>15</v>
      </c>
      <c r="T2" s="230" t="s">
        <v>16</v>
      </c>
      <c r="U2" s="230" t="s">
        <v>17</v>
      </c>
      <c r="V2" s="230" t="s">
        <v>18</v>
      </c>
      <c r="W2" s="230" t="s">
        <v>19</v>
      </c>
      <c r="X2" s="230" t="s">
        <v>20</v>
      </c>
      <c r="Y2" s="230" t="s">
        <v>21</v>
      </c>
      <c r="Z2" s="230" t="s">
        <v>22</v>
      </c>
      <c r="AA2" s="230" t="s">
        <v>23</v>
      </c>
      <c r="AB2" s="230" t="s">
        <v>24</v>
      </c>
      <c r="AC2" s="230" t="s">
        <v>25</v>
      </c>
    </row>
    <row r="3" spans="1:29" s="12" customFormat="1" ht="25.05" customHeight="1" x14ac:dyDescent="0.3">
      <c r="A3" s="231">
        <v>1</v>
      </c>
      <c r="B3" s="232" t="s">
        <v>93</v>
      </c>
      <c r="C3" s="231" t="s">
        <v>35</v>
      </c>
      <c r="D3" s="231" t="s">
        <v>576</v>
      </c>
      <c r="E3" s="231">
        <v>262865</v>
      </c>
      <c r="F3" s="231" t="s">
        <v>575</v>
      </c>
      <c r="G3" s="231">
        <v>1400</v>
      </c>
      <c r="H3" s="233">
        <v>0.44500000000000001</v>
      </c>
      <c r="I3" s="233">
        <v>0.83</v>
      </c>
      <c r="J3" s="233"/>
      <c r="K3" s="231" t="s">
        <v>577</v>
      </c>
      <c r="L3" s="233">
        <v>517.09</v>
      </c>
      <c r="M3" s="234">
        <v>387.3</v>
      </c>
      <c r="N3" s="235">
        <v>3.5900000000000001E-2</v>
      </c>
      <c r="O3" s="236">
        <v>2.15</v>
      </c>
      <c r="P3" s="236"/>
      <c r="Q3" s="231">
        <v>162.9</v>
      </c>
      <c r="R3" s="231">
        <v>3</v>
      </c>
      <c r="S3" s="231">
        <v>1400</v>
      </c>
      <c r="T3" s="233">
        <v>1.335</v>
      </c>
      <c r="U3" s="231">
        <v>65</v>
      </c>
      <c r="V3" s="235">
        <v>4.6399999999999997E-2</v>
      </c>
      <c r="W3" s="231" t="s">
        <v>28</v>
      </c>
      <c r="X3" s="231" t="s">
        <v>28</v>
      </c>
      <c r="Y3" s="231" t="s">
        <v>28</v>
      </c>
      <c r="Z3" s="231" t="s">
        <v>27</v>
      </c>
      <c r="AA3" s="231" t="s">
        <v>27</v>
      </c>
      <c r="AB3" s="231" t="s">
        <v>38</v>
      </c>
      <c r="AC3" s="231" t="s">
        <v>574</v>
      </c>
    </row>
    <row r="4" spans="1:29" s="98" customFormat="1" ht="25.05" customHeight="1" x14ac:dyDescent="0.3">
      <c r="A4" s="223">
        <v>1</v>
      </c>
      <c r="B4" s="224" t="s">
        <v>126</v>
      </c>
      <c r="C4" s="223" t="s">
        <v>35</v>
      </c>
      <c r="D4" s="223" t="s">
        <v>698</v>
      </c>
      <c r="E4" s="223">
        <v>262930</v>
      </c>
      <c r="F4" s="223" t="s">
        <v>699</v>
      </c>
      <c r="G4" s="223">
        <v>500</v>
      </c>
      <c r="H4" s="225">
        <v>0.62</v>
      </c>
      <c r="I4" s="225">
        <v>0.96</v>
      </c>
      <c r="J4" s="223" t="s">
        <v>27</v>
      </c>
      <c r="K4" s="223" t="s">
        <v>33</v>
      </c>
      <c r="L4" s="223" t="s">
        <v>27</v>
      </c>
      <c r="M4" s="225">
        <v>297.60000000000002</v>
      </c>
      <c r="N4" s="226">
        <v>240</v>
      </c>
      <c r="O4" s="227">
        <v>3.3300000000000003E-2</v>
      </c>
      <c r="P4" s="228"/>
      <c r="Q4" s="223">
        <v>93.7</v>
      </c>
      <c r="R4" s="223">
        <v>2</v>
      </c>
      <c r="S4" s="223">
        <v>1300</v>
      </c>
      <c r="T4" s="225">
        <v>1.24</v>
      </c>
      <c r="U4" s="223">
        <v>60</v>
      </c>
      <c r="V4" s="227">
        <v>4.6199999999999998E-2</v>
      </c>
      <c r="W4" s="223" t="s">
        <v>28</v>
      </c>
      <c r="X4" s="223" t="s">
        <v>28</v>
      </c>
      <c r="Y4" s="223" t="s">
        <v>28</v>
      </c>
      <c r="Z4" s="223" t="s">
        <v>27</v>
      </c>
      <c r="AA4" s="223" t="s">
        <v>27</v>
      </c>
      <c r="AB4" s="223" t="s">
        <v>38</v>
      </c>
      <c r="AC4" s="223" t="s">
        <v>697</v>
      </c>
    </row>
    <row r="5" spans="1:29" s="12" customFormat="1" ht="25.05" customHeight="1" x14ac:dyDescent="0.3">
      <c r="A5" s="231">
        <v>2</v>
      </c>
      <c r="B5" s="232" t="s">
        <v>93</v>
      </c>
      <c r="C5" s="231" t="s">
        <v>35</v>
      </c>
      <c r="D5" s="231" t="s">
        <v>576</v>
      </c>
      <c r="E5" s="231">
        <v>262866</v>
      </c>
      <c r="F5" s="231">
        <v>83</v>
      </c>
      <c r="G5" s="231">
        <v>1000</v>
      </c>
      <c r="H5" s="233">
        <v>0.63</v>
      </c>
      <c r="I5" s="233">
        <v>1</v>
      </c>
      <c r="J5" s="233"/>
      <c r="K5" s="231" t="s">
        <v>33</v>
      </c>
      <c r="L5" s="233">
        <v>630</v>
      </c>
      <c r="M5" s="234">
        <v>500</v>
      </c>
      <c r="N5" s="235">
        <v>6.9400000000000003E-2</v>
      </c>
      <c r="O5" s="236">
        <v>4.17</v>
      </c>
      <c r="P5" s="236"/>
      <c r="Q5" s="231">
        <v>198.4</v>
      </c>
      <c r="R5" s="231">
        <v>2</v>
      </c>
      <c r="S5" s="231">
        <v>1300</v>
      </c>
      <c r="T5" s="233">
        <v>1.26</v>
      </c>
      <c r="U5" s="231">
        <v>40</v>
      </c>
      <c r="V5" s="235">
        <v>3.0800000000000001E-2</v>
      </c>
      <c r="W5" s="231" t="s">
        <v>28</v>
      </c>
      <c r="X5" s="231" t="s">
        <v>28</v>
      </c>
      <c r="Y5" s="231" t="s">
        <v>28</v>
      </c>
      <c r="Z5" s="231" t="s">
        <v>27</v>
      </c>
      <c r="AA5" s="231" t="s">
        <v>27</v>
      </c>
      <c r="AB5" s="231" t="s">
        <v>38</v>
      </c>
      <c r="AC5" s="231" t="s">
        <v>574</v>
      </c>
    </row>
    <row r="6" spans="1:29" s="90" customFormat="1" ht="25.05" customHeight="1" x14ac:dyDescent="0.3">
      <c r="A6" s="223">
        <v>1</v>
      </c>
      <c r="B6" s="224" t="s">
        <v>704</v>
      </c>
      <c r="C6" s="223" t="s">
        <v>45</v>
      </c>
      <c r="D6" s="223" t="s">
        <v>661</v>
      </c>
      <c r="E6" s="223">
        <v>262932</v>
      </c>
      <c r="F6" s="223" t="s">
        <v>703</v>
      </c>
      <c r="G6" s="223">
        <v>450</v>
      </c>
      <c r="H6" s="225">
        <v>0.56699999999999995</v>
      </c>
      <c r="I6" s="225">
        <v>1.6619999999999999</v>
      </c>
      <c r="J6" s="223" t="s">
        <v>27</v>
      </c>
      <c r="K6" s="223" t="s">
        <v>702</v>
      </c>
      <c r="L6" s="223" t="s">
        <v>27</v>
      </c>
      <c r="M6" s="225">
        <v>424.05900000000003</v>
      </c>
      <c r="N6" s="226">
        <v>373.9</v>
      </c>
      <c r="O6" s="227">
        <v>5.1900000000000002E-2</v>
      </c>
      <c r="P6" s="228"/>
      <c r="Q6" s="223">
        <v>186.6</v>
      </c>
      <c r="R6" s="223">
        <v>2</v>
      </c>
      <c r="S6" s="223">
        <v>1200</v>
      </c>
      <c r="T6" s="225">
        <v>1.1339999999999999</v>
      </c>
      <c r="U6" s="223">
        <v>66</v>
      </c>
      <c r="V6" s="227">
        <v>5.5E-2</v>
      </c>
      <c r="W6" s="223" t="s">
        <v>41</v>
      </c>
      <c r="X6" s="223" t="s">
        <v>41</v>
      </c>
      <c r="Y6" s="223" t="s">
        <v>41</v>
      </c>
      <c r="Z6" s="223" t="s">
        <v>27</v>
      </c>
      <c r="AA6" s="223" t="s">
        <v>27</v>
      </c>
      <c r="AB6" s="223" t="s">
        <v>38</v>
      </c>
      <c r="AC6" s="223" t="s">
        <v>701</v>
      </c>
    </row>
    <row r="7" spans="1:29" s="51" customFormat="1" ht="25.05" customHeight="1" x14ac:dyDescent="0.3">
      <c r="A7" s="231">
        <v>3</v>
      </c>
      <c r="B7" s="237" t="s">
        <v>126</v>
      </c>
      <c r="C7" s="238" t="s">
        <v>35</v>
      </c>
      <c r="D7" s="238"/>
      <c r="E7" s="238">
        <v>262919</v>
      </c>
      <c r="F7" s="238" t="s">
        <v>665</v>
      </c>
      <c r="G7" s="238">
        <v>4500</v>
      </c>
      <c r="H7" s="239">
        <v>0.58099999999999996</v>
      </c>
      <c r="I7" s="239">
        <v>1.9059999999999999</v>
      </c>
      <c r="J7" s="239"/>
      <c r="K7" s="238" t="s">
        <v>666</v>
      </c>
      <c r="L7" s="239"/>
      <c r="M7" s="240"/>
      <c r="N7" s="241"/>
      <c r="O7" s="242"/>
      <c r="P7" s="242"/>
      <c r="Q7" s="238">
        <v>1569.7</v>
      </c>
      <c r="R7" s="238">
        <v>2</v>
      </c>
      <c r="S7" s="238">
        <v>1200</v>
      </c>
      <c r="T7" s="239">
        <v>1.1619999999999999</v>
      </c>
      <c r="U7" s="238">
        <v>38</v>
      </c>
      <c r="V7" s="241">
        <v>3.1699999999999999E-2</v>
      </c>
      <c r="W7" s="238" t="s">
        <v>28</v>
      </c>
      <c r="X7" s="238" t="s">
        <v>28</v>
      </c>
      <c r="Y7" s="238" t="s">
        <v>28</v>
      </c>
      <c r="Z7" s="238" t="s">
        <v>27</v>
      </c>
      <c r="AA7" s="238" t="s">
        <v>27</v>
      </c>
      <c r="AB7" s="238" t="s">
        <v>40</v>
      </c>
      <c r="AC7" s="238" t="s">
        <v>667</v>
      </c>
    </row>
    <row r="8" spans="1:29" s="98" customFormat="1" ht="25.05" customHeight="1" x14ac:dyDescent="0.3">
      <c r="A8" s="231">
        <v>4</v>
      </c>
      <c r="B8" s="224" t="s">
        <v>126</v>
      </c>
      <c r="C8" s="223" t="s">
        <v>49</v>
      </c>
      <c r="D8" s="223" t="s">
        <v>599</v>
      </c>
      <c r="E8" s="223">
        <v>262890</v>
      </c>
      <c r="F8" s="223" t="s">
        <v>625</v>
      </c>
      <c r="G8" s="223">
        <v>1000</v>
      </c>
      <c r="H8" s="225">
        <v>0.55000000000000004</v>
      </c>
      <c r="I8" s="225">
        <v>1.45</v>
      </c>
      <c r="J8" s="225"/>
      <c r="K8" s="223" t="s">
        <v>623</v>
      </c>
      <c r="L8" s="225">
        <v>797.5</v>
      </c>
      <c r="M8" s="226">
        <v>725</v>
      </c>
      <c r="N8" s="227">
        <v>0.1007</v>
      </c>
      <c r="O8" s="228">
        <v>6.04</v>
      </c>
      <c r="P8" s="228"/>
      <c r="Q8" s="223">
        <v>283.10000000000002</v>
      </c>
      <c r="R8" s="223">
        <v>2</v>
      </c>
      <c r="S8" s="223">
        <v>1150</v>
      </c>
      <c r="T8" s="225">
        <v>1.1000000000000001</v>
      </c>
      <c r="U8" s="223">
        <v>50</v>
      </c>
      <c r="V8" s="227">
        <v>4.3499999999999997E-2</v>
      </c>
      <c r="W8" s="223" t="s">
        <v>29</v>
      </c>
      <c r="X8" s="223" t="s">
        <v>28</v>
      </c>
      <c r="Y8" s="223" t="s">
        <v>29</v>
      </c>
      <c r="Z8" s="223" t="s">
        <v>27</v>
      </c>
      <c r="AA8" s="223" t="s">
        <v>27</v>
      </c>
      <c r="AB8" s="223" t="s">
        <v>32</v>
      </c>
      <c r="AC8" s="223" t="s">
        <v>624</v>
      </c>
    </row>
    <row r="9" spans="1:29" s="129" customFormat="1" x14ac:dyDescent="0.3">
      <c r="A9" s="243" t="s">
        <v>27</v>
      </c>
      <c r="B9" s="243" t="s">
        <v>27</v>
      </c>
      <c r="C9" s="243" t="s">
        <v>27</v>
      </c>
      <c r="D9" s="243" t="s">
        <v>27</v>
      </c>
      <c r="E9" s="243" t="s">
        <v>27</v>
      </c>
      <c r="F9" s="243" t="s">
        <v>27</v>
      </c>
      <c r="G9" s="243">
        <f>SUM(G3:G8)</f>
        <v>8850</v>
      </c>
      <c r="H9" s="243" t="s">
        <v>27</v>
      </c>
      <c r="I9" s="243" t="s">
        <v>27</v>
      </c>
      <c r="J9" s="243"/>
      <c r="K9" s="243" t="s">
        <v>27</v>
      </c>
      <c r="L9" s="243" t="s">
        <v>27</v>
      </c>
      <c r="M9" s="243" t="s">
        <v>27</v>
      </c>
      <c r="N9" s="243" t="s">
        <v>27</v>
      </c>
      <c r="O9" s="243" t="s">
        <v>27</v>
      </c>
      <c r="P9" s="243"/>
      <c r="Q9" s="243">
        <f>SUM(Q3:Q8)</f>
        <v>2494.4</v>
      </c>
      <c r="R9" s="243" t="s">
        <v>27</v>
      </c>
      <c r="S9" s="243" t="s">
        <v>27</v>
      </c>
      <c r="T9" s="243" t="s">
        <v>27</v>
      </c>
      <c r="U9" s="243" t="s">
        <v>27</v>
      </c>
      <c r="V9" s="243" t="s">
        <v>27</v>
      </c>
      <c r="W9" s="243" t="s">
        <v>27</v>
      </c>
      <c r="X9" s="243" t="s">
        <v>27</v>
      </c>
      <c r="Y9" s="243" t="s">
        <v>27</v>
      </c>
      <c r="Z9" s="243" t="s">
        <v>27</v>
      </c>
      <c r="AA9" s="243" t="s">
        <v>27</v>
      </c>
      <c r="AB9" s="243" t="s">
        <v>27</v>
      </c>
      <c r="AC9" s="243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8" t="s">
        <v>573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15" t="s">
        <v>566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18" t="s">
        <v>528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18" t="s">
        <v>508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19" t="s">
        <v>489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18" t="s">
        <v>478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20" t="s">
        <v>477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15" t="s">
        <v>458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15" t="s">
        <v>395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15" t="s">
        <v>593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20" t="s">
        <v>364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15" t="s">
        <v>321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15" t="s">
        <v>296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15" t="s">
        <v>278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15" t="s">
        <v>264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17" t="s">
        <v>247</v>
      </c>
      <c r="B1" s="217" t="s">
        <v>27</v>
      </c>
      <c r="C1" s="217" t="s">
        <v>27</v>
      </c>
      <c r="D1" s="217" t="s">
        <v>27</v>
      </c>
      <c r="E1" s="217" t="s">
        <v>27</v>
      </c>
      <c r="F1" s="217" t="s">
        <v>27</v>
      </c>
      <c r="G1" s="217" t="s">
        <v>27</v>
      </c>
      <c r="H1" s="217" t="s">
        <v>27</v>
      </c>
      <c r="I1" s="217" t="s">
        <v>27</v>
      </c>
      <c r="J1" s="217" t="s">
        <v>27</v>
      </c>
      <c r="K1" s="217" t="s">
        <v>27</v>
      </c>
      <c r="L1" s="217" t="s">
        <v>27</v>
      </c>
      <c r="M1" s="217" t="s">
        <v>27</v>
      </c>
      <c r="N1" s="217" t="s">
        <v>27</v>
      </c>
      <c r="O1" s="217" t="s">
        <v>27</v>
      </c>
      <c r="P1" s="217" t="s">
        <v>27</v>
      </c>
      <c r="Q1" s="217" t="s">
        <v>27</v>
      </c>
      <c r="R1" s="217" t="s">
        <v>27</v>
      </c>
      <c r="S1" s="217" t="s">
        <v>27</v>
      </c>
      <c r="T1" s="217" t="s">
        <v>27</v>
      </c>
      <c r="U1" s="217" t="s">
        <v>27</v>
      </c>
      <c r="V1" s="217" t="s">
        <v>27</v>
      </c>
      <c r="W1" s="217" t="s">
        <v>27</v>
      </c>
      <c r="X1" s="217" t="s">
        <v>27</v>
      </c>
      <c r="Y1" s="217" t="s">
        <v>27</v>
      </c>
      <c r="Z1" s="217" t="s">
        <v>27</v>
      </c>
      <c r="AA1" s="217" t="s">
        <v>27</v>
      </c>
      <c r="AB1" s="217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15" t="s">
        <v>234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15" t="s">
        <v>228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15" t="s">
        <v>218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15" t="s">
        <v>235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18" t="s">
        <v>181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8" t="s">
        <v>173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15" t="s">
        <v>143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15" t="s">
        <v>139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20" t="s">
        <v>123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1" t="s">
        <v>105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2" t="s">
        <v>80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37</vt:i4>
      </vt:variant>
    </vt:vector>
  </HeadingPairs>
  <TitlesOfParts>
    <vt:vector size="37" baseType="lpstr">
      <vt:lpstr>PCBOX  - IPE 1266 P</vt:lpstr>
      <vt:lpstr>Tolecaixas 1264</vt:lpstr>
      <vt:lpstr>RM Embalagens 1263 P</vt:lpstr>
      <vt:lpstr>HARMONY EMBALAGENS 1262 P</vt:lpstr>
      <vt:lpstr>HARMONY EMBALAGENS 1260</vt:lpstr>
      <vt:lpstr>CARTOMIL EMBALAGENS LTDA 1258 P</vt:lpstr>
      <vt:lpstr>CARPEL 1257 P</vt:lpstr>
      <vt:lpstr>FAVINCO EMBALAGENS 1256 P</vt:lpstr>
      <vt:lpstr>RR STELLA 1253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2026-10-08T12:09:55Z</cp:lastPrinted>
  <dcterms:created xsi:type="dcterms:W3CDTF">2026-07-02T17:42:15Z</dcterms:created>
  <dcterms:modified xsi:type="dcterms:W3CDTF">2026-10-08T17:13:13Z</dcterms:modified>
</cp:coreProperties>
</file>