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6D395F6-3A54-4C01-A54E-96BF75768DC7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DR EMBALAGENS 1282 P" sheetId="201" r:id="rId1"/>
    <sheet name="J FER 1281 P" sheetId="200" r:id="rId2"/>
    <sheet name="VÔ CHICO 1280 P" sheetId="199" r:id="rId3"/>
    <sheet name="PCBOX EMBALAGENS 1278 P" sheetId="198" r:id="rId4"/>
    <sheet name="RM EMBALAGENS 1277" sheetId="197" r:id="rId5"/>
    <sheet name="RM Embalagens 1275 P" sheetId="196" r:id="rId6"/>
    <sheet name="FAVINCO EMBALAGENS 1273 P" sheetId="195" r:id="rId7"/>
    <sheet name="ABAPEL 1272 P" sheetId="194" r:id="rId8"/>
    <sheet name="RM Embalagens 1271 P" sheetId="193" r:id="rId9"/>
    <sheet name="IPE -PC BOX 1270 P" sheetId="192" r:id="rId10"/>
    <sheet name="PCBOX  - IPE 1266 P" sheetId="191" r:id="rId11"/>
    <sheet name="Tolecaixas 1264 P" sheetId="190" r:id="rId12"/>
    <sheet name="RM Embalagens 1263 P" sheetId="189" r:id="rId13"/>
    <sheet name="HARMONY EMBALAGENS 1262 P" sheetId="188" r:id="rId14"/>
    <sheet name="HARMONY EMBALAGENS 1260 P" sheetId="187" r:id="rId15"/>
    <sheet name="CARTOMIL EMBALAGENS LTDA 1258 P" sheetId="185" r:id="rId16"/>
    <sheet name="CARPEL 1257 P" sheetId="184" r:id="rId17"/>
    <sheet name="FAVINCO EMBALAGENS 1256 P" sheetId="183" r:id="rId18"/>
    <sheet name="RR STELLA 1253 P" sheetId="181" r:id="rId19"/>
    <sheet name="FAVINCO EMBALAGENS 1252 P" sheetId="180" r:id="rId20"/>
    <sheet name="DR EMBALAGENS 1250 P" sheetId="179" r:id="rId21"/>
    <sheet name="HARMONY EMBALAGENS 1249 P" sheetId="178" r:id="rId22"/>
    <sheet name="FAVINCO 1248 AMOSTRA" sheetId="177" r:id="rId23"/>
    <sheet name="ABAPEL 1246 P" sheetId="176" r:id="rId24"/>
    <sheet name="FAVINCO 1243 P" sheetId="175" r:id="rId25"/>
    <sheet name="Renovapel 1242 P" sheetId="174" r:id="rId26"/>
    <sheet name="Tole. DR EMB. VO CH S. M 1241 P" sheetId="173" r:id="rId27"/>
    <sheet name="FAVINCO 1239 P" sheetId="172" r:id="rId28"/>
    <sheet name="PCBOX EMBALAGENS 1233 P" sheetId="170" r:id="rId29"/>
    <sheet name="RM Embalagens 1232 P" sheetId="169" r:id="rId30"/>
    <sheet name="HARMONY EMBALAGENS 1231 P" sheetId="168" r:id="rId31"/>
    <sheet name="RM Embalagens P" sheetId="166" r:id="rId32"/>
    <sheet name="PCBOX EMBALAGENS LTDA 1222 P" sheetId="164" r:id="rId33"/>
    <sheet name="FORBOX 1220 P" sheetId="163" r:id="rId34"/>
    <sheet name="HARMONY EMBALAGENS 1217 P" sheetId="162" r:id="rId35"/>
    <sheet name="Z4A EMBALAGENS LTDA 1216" sheetId="161" r:id="rId36"/>
    <sheet name="ABAPEL 1213 P" sheetId="159" r:id="rId37"/>
    <sheet name="IPE - PCBOX 1212 P" sheetId="158" r:id="rId38"/>
    <sheet name="Z4A EMBALAGENS LTDA 1210 P" sheetId="157" r:id="rId39"/>
    <sheet name="RM Embalagens 1209 P" sheetId="156" r:id="rId40"/>
    <sheet name="ABAPEL 1201 P" sheetId="153" r:id="rId41"/>
    <sheet name="HARMONY EMBALAGENS 1200 P" sheetId="152" r:id="rId42"/>
    <sheet name="FAVINCO EMBALAGENS 1197 P" sheetId="150" r:id="rId43"/>
    <sheet name="ABAPEL 1196 P" sheetId="149" r:id="rId44"/>
    <sheet name="RM Embalagens 1184 P" sheetId="141" r:id="rId45"/>
    <sheet name="HARMONY EMBALAGENS 1180 P" sheetId="137" r:id="rId46"/>
    <sheet name="Carpel 1158 P" sheetId="119" r:id="rId47"/>
  </sheets>
  <definedNames>
    <definedName name="_xlnm.Print_Area" localSheetId="6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<sst xmlns="http://schemas.openxmlformats.org/spreadsheetml/2006/main" count="8682" uniqueCount="784">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</sst>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3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1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/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7"/>
  <sheetViews>
    <sheetView tabSelected="1" workbookViewId="0">
      <selection activeCell="A3" sqref="A3:XFD3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76" t="s">
        <v>778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2" customFormat="1" ht="25.05" customHeight="1" x14ac:dyDescent="0.3">
      <c r="A3" s="245"/>
      <c r="B3" s="244" t="s">
        <v>569</v>
      </c>
      <c r="C3" s="244" t="s">
        <v>55</v>
      </c>
      <c r="D3" s="244" t="s">
        <v>783</v>
      </c>
      <c r="E3" s="245">
        <v>262986</v>
      </c>
      <c r="F3" s="244" t="s">
        <v>777</v>
      </c>
      <c r="G3" s="245">
        <v>2000</v>
      </c>
      <c r="H3" s="246">
        <v>0.51</v>
      </c>
      <c r="I3" s="246">
        <v>1.02</v>
      </c>
      <c r="J3" s="245"/>
      <c r="K3" s="244" t="s">
        <v>33</v>
      </c>
      <c r="L3" s="245"/>
      <c r="M3" s="246">
        <v>1040.4000000000001</v>
      </c>
      <c r="N3" s="247">
        <v>680</v>
      </c>
      <c r="O3" s="248">
        <v>6.3E-2</v>
      </c>
      <c r="P3" s="249">
        <v>3.78</v>
      </c>
      <c r="Q3" s="245">
        <v>379.7</v>
      </c>
      <c r="R3" s="245">
        <v>3</v>
      </c>
      <c r="S3" s="245">
        <v>1550</v>
      </c>
      <c r="T3" s="246">
        <v>1.53</v>
      </c>
      <c r="U3" s="245">
        <v>20</v>
      </c>
      <c r="V3" s="248">
        <v>1.29E-2</v>
      </c>
      <c r="W3" s="244" t="s">
        <v>37</v>
      </c>
      <c r="X3" s="244" t="s">
        <v>29</v>
      </c>
      <c r="Y3" s="244" t="s">
        <v>34</v>
      </c>
      <c r="Z3" s="244"/>
      <c r="AA3" s="244"/>
      <c r="AB3" s="244" t="s">
        <v>32</v>
      </c>
      <c r="AC3" s="244" t="s">
        <v>571</v>
      </c>
    </row>
    <row r="4" spans="1:29" s="264" customFormat="1" ht="25.05" customHeight="1" x14ac:dyDescent="0.3">
      <c r="A4" s="258"/>
      <c r="B4" s="259" t="s">
        <v>569</v>
      </c>
      <c r="C4" s="258" t="s">
        <v>35</v>
      </c>
      <c r="D4" s="258" t="s">
        <v>761</v>
      </c>
      <c r="E4" s="258">
        <v>262981</v>
      </c>
      <c r="F4" s="258" t="s">
        <v>777</v>
      </c>
      <c r="G4" s="258">
        <v>8000</v>
      </c>
      <c r="H4" s="260">
        <v>0.46</v>
      </c>
      <c r="I4" s="260">
        <v>0.92</v>
      </c>
      <c r="J4" s="258" t="s">
        <v>27</v>
      </c>
      <c r="K4" s="258" t="s">
        <v>33</v>
      </c>
      <c r="L4" s="258" t="s">
        <v>27</v>
      </c>
      <c r="M4" s="260">
        <v>3385.6</v>
      </c>
      <c r="N4" s="261">
        <v>2453.3000000000002</v>
      </c>
      <c r="O4" s="262">
        <v>0.22720000000000001</v>
      </c>
      <c r="P4" s="263">
        <v>13.63</v>
      </c>
      <c r="Q4" s="258">
        <v>1066.5</v>
      </c>
      <c r="R4" s="258">
        <v>3</v>
      </c>
      <c r="S4" s="258">
        <v>1400</v>
      </c>
      <c r="T4" s="260">
        <v>1.38</v>
      </c>
      <c r="U4" s="258">
        <v>20</v>
      </c>
      <c r="V4" s="262">
        <v>1.43E-2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48</v>
      </c>
      <c r="AC4" s="258" t="s">
        <v>474</v>
      </c>
    </row>
    <row r="5" spans="1:29" s="264" customFormat="1" ht="25.05" customHeight="1" x14ac:dyDescent="0.3">
      <c r="A5" s="258"/>
      <c r="B5" s="259" t="s">
        <v>569</v>
      </c>
      <c r="C5" s="258" t="s">
        <v>35</v>
      </c>
      <c r="D5" s="258" t="s">
        <v>761</v>
      </c>
      <c r="E5" s="258">
        <v>262982</v>
      </c>
      <c r="F5" s="258" t="s">
        <v>777</v>
      </c>
      <c r="G5" s="258">
        <v>3000</v>
      </c>
      <c r="H5" s="260">
        <v>0.67</v>
      </c>
      <c r="I5" s="260">
        <v>0.95</v>
      </c>
      <c r="J5" s="258" t="s">
        <v>27</v>
      </c>
      <c r="K5" s="258" t="s">
        <v>33</v>
      </c>
      <c r="L5" s="258" t="s">
        <v>27</v>
      </c>
      <c r="M5" s="260">
        <v>1909.5</v>
      </c>
      <c r="N5" s="261">
        <v>1425</v>
      </c>
      <c r="O5" s="262">
        <v>0.19789999999999999</v>
      </c>
      <c r="P5" s="263">
        <v>11.88</v>
      </c>
      <c r="Q5" s="258">
        <v>601.5</v>
      </c>
      <c r="R5" s="258">
        <v>2</v>
      </c>
      <c r="S5" s="258">
        <v>1400</v>
      </c>
      <c r="T5" s="260">
        <v>1.34</v>
      </c>
      <c r="U5" s="258">
        <v>60</v>
      </c>
      <c r="V5" s="262">
        <v>4.2900000000000001E-2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30</v>
      </c>
      <c r="AC5" s="258" t="s">
        <v>570</v>
      </c>
    </row>
    <row r="6" spans="1:29" s="264" customFormat="1" ht="25.05" customHeight="1" x14ac:dyDescent="0.3">
      <c r="A6" s="258"/>
      <c r="B6" s="259" t="s">
        <v>569</v>
      </c>
      <c r="C6" s="258" t="s">
        <v>35</v>
      </c>
      <c r="D6" s="258" t="s">
        <v>761</v>
      </c>
      <c r="E6" s="258">
        <v>262983</v>
      </c>
      <c r="F6" s="258" t="s">
        <v>777</v>
      </c>
      <c r="G6" s="258">
        <v>500</v>
      </c>
      <c r="H6" s="260">
        <v>0.56000000000000005</v>
      </c>
      <c r="I6" s="260">
        <v>0.93</v>
      </c>
      <c r="J6" s="258" t="s">
        <v>27</v>
      </c>
      <c r="K6" s="258" t="s">
        <v>33</v>
      </c>
      <c r="L6" s="258" t="s">
        <v>27</v>
      </c>
      <c r="M6" s="260">
        <v>260.39999999999998</v>
      </c>
      <c r="N6" s="261">
        <v>232.5</v>
      </c>
      <c r="O6" s="262">
        <v>3.2300000000000002E-2</v>
      </c>
      <c r="P6" s="263">
        <v>1.94</v>
      </c>
      <c r="Q6" s="258">
        <v>82</v>
      </c>
      <c r="R6" s="258">
        <v>2</v>
      </c>
      <c r="S6" s="258">
        <v>1150</v>
      </c>
      <c r="T6" s="260">
        <v>1.1200000000000001</v>
      </c>
      <c r="U6" s="258">
        <v>30</v>
      </c>
      <c r="V6" s="262">
        <v>2.6100000000000002E-2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460</v>
      </c>
    </row>
    <row r="7" spans="1:29" s="264" customFormat="1" ht="25.05" customHeight="1" x14ac:dyDescent="0.3">
      <c r="A7" s="265" t="s">
        <v>27</v>
      </c>
      <c r="B7" s="265" t="s">
        <v>27</v>
      </c>
      <c r="C7" s="265" t="s">
        <v>27</v>
      </c>
      <c r="D7" s="265" t="s">
        <v>27</v>
      </c>
      <c r="E7" s="265" t="s">
        <v>27</v>
      </c>
      <c r="F7" s="265" t="s">
        <v>27</v>
      </c>
      <c r="G7" s="265">
        <v>11500</v>
      </c>
      <c r="H7" s="265" t="s">
        <v>27</v>
      </c>
      <c r="I7" s="265" t="s">
        <v>27</v>
      </c>
      <c r="J7" s="265" t="s">
        <v>27</v>
      </c>
      <c r="K7" s="265" t="s">
        <v>27</v>
      </c>
      <c r="L7" s="265" t="s">
        <v>27</v>
      </c>
      <c r="M7" s="265" t="s">
        <v>27</v>
      </c>
      <c r="N7" s="265" t="s">
        <v>27</v>
      </c>
      <c r="O7" s="265" t="s">
        <v>27</v>
      </c>
      <c r="P7" s="265" t="s">
        <v>27</v>
      </c>
      <c r="Q7" s="265">
        <v>1750</v>
      </c>
      <c r="R7" s="265" t="s">
        <v>27</v>
      </c>
      <c r="S7" s="265" t="s">
        <v>27</v>
      </c>
      <c r="T7" s="265" t="s">
        <v>27</v>
      </c>
      <c r="U7" s="265" t="s">
        <v>27</v>
      </c>
      <c r="V7" s="265" t="s">
        <v>27</v>
      </c>
      <c r="W7" s="265" t="s">
        <v>27</v>
      </c>
      <c r="X7" s="265" t="s">
        <v>27</v>
      </c>
      <c r="Y7" s="265" t="s">
        <v>27</v>
      </c>
      <c r="Z7" s="265" t="s">
        <v>27</v>
      </c>
      <c r="AA7" s="265" t="s">
        <v>27</v>
      </c>
      <c r="AB7" s="265" t="s">
        <v>27</v>
      </c>
      <c r="AC7" s="265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6" t="s">
        <v>776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67" t="s">
        <v>771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67" t="s">
        <v>763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6" t="s">
        <v>759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  <c r="AC1" s="266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7" t="s">
        <v>737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workbookViewId="0">
      <selection activeCell="AE31" sqref="AE31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76" t="s">
        <v>721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30" ht="48" customHeight="1" x14ac:dyDescent="0.3">
      <c r="A2" s="277" t="s">
        <v>0</v>
      </c>
      <c r="B2" s="277" t="s">
        <v>36</v>
      </c>
      <c r="C2" s="277" t="s">
        <v>1</v>
      </c>
      <c r="D2" s="277" t="s">
        <v>2</v>
      </c>
      <c r="E2" s="277" t="s">
        <v>53</v>
      </c>
      <c r="F2" s="277" t="s">
        <v>4</v>
      </c>
      <c r="G2" s="277" t="s">
        <v>5</v>
      </c>
      <c r="H2" s="277" t="s">
        <v>6</v>
      </c>
      <c r="I2" s="277" t="s">
        <v>7</v>
      </c>
      <c r="J2" s="277" t="s">
        <v>27</v>
      </c>
      <c r="K2" s="277" t="s">
        <v>8</v>
      </c>
      <c r="L2" s="277" t="s">
        <v>27</v>
      </c>
      <c r="M2" s="277" t="s">
        <v>9</v>
      </c>
      <c r="N2" s="277" t="s">
        <v>10</v>
      </c>
      <c r="O2" s="277" t="s">
        <v>11</v>
      </c>
      <c r="P2" s="277" t="s">
        <v>12</v>
      </c>
      <c r="Q2" s="277" t="s">
        <v>13</v>
      </c>
      <c r="R2" s="277" t="s">
        <v>14</v>
      </c>
      <c r="S2" s="277" t="s">
        <v>15</v>
      </c>
      <c r="T2" s="277" t="s">
        <v>16</v>
      </c>
      <c r="U2" s="277" t="s">
        <v>17</v>
      </c>
      <c r="V2" s="277" t="s">
        <v>18</v>
      </c>
      <c r="W2" s="277" t="s">
        <v>19</v>
      </c>
      <c r="X2" s="277" t="s">
        <v>20</v>
      </c>
      <c r="Y2" s="277" t="s">
        <v>21</v>
      </c>
      <c r="Z2" s="277" t="s">
        <v>22</v>
      </c>
      <c r="AA2" s="277" t="s">
        <v>23</v>
      </c>
      <c r="AB2" s="277" t="s">
        <v>24</v>
      </c>
      <c r="AC2" s="277" t="s">
        <v>25</v>
      </c>
    </row>
    <row r="3" spans="1:30" customFormat="1" ht="25.05" customHeight="1" x14ac:dyDescent="0.3">
      <c r="A3" s="287"/>
      <c r="B3" s="288" t="s">
        <v>93</v>
      </c>
      <c r="C3" s="288" t="s">
        <v>35</v>
      </c>
      <c r="D3" s="288" t="s">
        <v>761</v>
      </c>
      <c r="E3" s="287">
        <v>262984</v>
      </c>
      <c r="F3" s="288" t="s">
        <v>779</v>
      </c>
      <c r="G3" s="287">
        <v>2000</v>
      </c>
      <c r="H3" s="289">
        <v>0.51400000000000001</v>
      </c>
      <c r="I3" s="289">
        <v>1.3420000000000001</v>
      </c>
      <c r="J3" s="287"/>
      <c r="K3" s="288" t="s">
        <v>184</v>
      </c>
      <c r="L3" s="287"/>
      <c r="M3" s="289">
        <v>1379.576</v>
      </c>
      <c r="N3" s="290">
        <v>894.7</v>
      </c>
      <c r="O3" s="291">
        <v>8.2799999999999999E-2</v>
      </c>
      <c r="P3" s="292">
        <v>4.97</v>
      </c>
      <c r="Q3" s="287">
        <v>434.6</v>
      </c>
      <c r="R3" s="287">
        <v>3</v>
      </c>
      <c r="S3" s="287">
        <v>1600</v>
      </c>
      <c r="T3" s="289">
        <v>1.542</v>
      </c>
      <c r="U3" s="287">
        <v>58</v>
      </c>
      <c r="V3" s="291">
        <v>3.6200000000000003E-2</v>
      </c>
      <c r="W3" s="288" t="s">
        <v>28</v>
      </c>
      <c r="X3" s="288" t="s">
        <v>28</v>
      </c>
      <c r="Y3" s="288" t="s">
        <v>28</v>
      </c>
      <c r="Z3" s="288"/>
      <c r="AA3" s="288"/>
      <c r="AB3" s="288" t="s">
        <v>30</v>
      </c>
      <c r="AC3" s="288" t="s">
        <v>185</v>
      </c>
    </row>
    <row r="4" spans="1:30" customFormat="1" ht="25.05" customHeight="1" x14ac:dyDescent="0.3">
      <c r="A4" s="287"/>
      <c r="B4" s="288" t="s">
        <v>93</v>
      </c>
      <c r="C4" s="288" t="s">
        <v>44</v>
      </c>
      <c r="D4" s="288" t="s">
        <v>761</v>
      </c>
      <c r="E4" s="287">
        <v>262985</v>
      </c>
      <c r="F4" s="288" t="s">
        <v>780</v>
      </c>
      <c r="G4" s="287">
        <v>2000</v>
      </c>
      <c r="H4" s="289">
        <v>0.45</v>
      </c>
      <c r="I4" s="289">
        <v>1.25</v>
      </c>
      <c r="J4" s="287"/>
      <c r="K4" s="288" t="s">
        <v>781</v>
      </c>
      <c r="L4" s="287"/>
      <c r="M4" s="289">
        <v>1125</v>
      </c>
      <c r="N4" s="290">
        <v>833.3</v>
      </c>
      <c r="O4" s="291">
        <v>7.7200000000000005E-2</v>
      </c>
      <c r="P4" s="292">
        <v>4.63</v>
      </c>
      <c r="Q4" s="287">
        <v>639</v>
      </c>
      <c r="R4" s="287">
        <v>3</v>
      </c>
      <c r="S4" s="287">
        <v>1400</v>
      </c>
      <c r="T4" s="289">
        <v>1.35</v>
      </c>
      <c r="U4" s="287">
        <v>50</v>
      </c>
      <c r="V4" s="291">
        <v>3.5700000000000003E-2</v>
      </c>
      <c r="W4" s="288" t="s">
        <v>34</v>
      </c>
      <c r="X4" s="288" t="s">
        <v>39</v>
      </c>
      <c r="Y4" s="288" t="s">
        <v>34</v>
      </c>
      <c r="Z4" s="288" t="s">
        <v>34</v>
      </c>
      <c r="AA4" s="288" t="s">
        <v>34</v>
      </c>
      <c r="AB4" s="288" t="s">
        <v>40</v>
      </c>
      <c r="AC4" s="288" t="s">
        <v>782</v>
      </c>
    </row>
    <row r="5" spans="1:30" s="286" customFormat="1" ht="25.05" customHeight="1" x14ac:dyDescent="0.3">
      <c r="A5" s="280"/>
      <c r="B5" s="281" t="s">
        <v>93</v>
      </c>
      <c r="C5" s="280" t="s">
        <v>44</v>
      </c>
      <c r="D5" s="280" t="s">
        <v>708</v>
      </c>
      <c r="E5" s="280">
        <v>262942</v>
      </c>
      <c r="F5" s="280" t="s">
        <v>720</v>
      </c>
      <c r="G5" s="280">
        <v>2200</v>
      </c>
      <c r="H5" s="282">
        <v>0.33</v>
      </c>
      <c r="I5" s="282">
        <v>1.1299999999999999</v>
      </c>
      <c r="J5" s="280" t="s">
        <v>27</v>
      </c>
      <c r="K5" s="280" t="s">
        <v>719</v>
      </c>
      <c r="L5" s="280" t="s">
        <v>27</v>
      </c>
      <c r="M5" s="282">
        <v>820.38</v>
      </c>
      <c r="N5" s="283">
        <v>621.5</v>
      </c>
      <c r="O5" s="284">
        <v>4.3200000000000002E-2</v>
      </c>
      <c r="P5" s="285">
        <v>2.59</v>
      </c>
      <c r="Q5" s="280">
        <v>466</v>
      </c>
      <c r="R5" s="280">
        <v>4</v>
      </c>
      <c r="S5" s="280">
        <v>1350</v>
      </c>
      <c r="T5" s="282">
        <v>1.32</v>
      </c>
      <c r="U5" s="280">
        <v>30</v>
      </c>
      <c r="V5" s="284">
        <v>2.2200000000000001E-2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30</v>
      </c>
      <c r="AC5" s="280" t="s">
        <v>718</v>
      </c>
      <c r="AD5" s="301"/>
    </row>
    <row r="6" spans="1:30" s="286" customFormat="1" ht="25.05" customHeight="1" x14ac:dyDescent="0.3">
      <c r="A6" s="287"/>
      <c r="B6" s="288" t="s">
        <v>93</v>
      </c>
      <c r="C6" s="288" t="s">
        <v>35</v>
      </c>
      <c r="D6" s="288" t="s">
        <v>739</v>
      </c>
      <c r="E6" s="287">
        <v>262953</v>
      </c>
      <c r="F6" s="288" t="s">
        <v>740</v>
      </c>
      <c r="G6" s="287">
        <v>11500</v>
      </c>
      <c r="H6" s="289">
        <v>0.27900000000000003</v>
      </c>
      <c r="I6" s="289">
        <v>1.002</v>
      </c>
      <c r="J6" s="287"/>
      <c r="K6" s="288" t="s">
        <v>188</v>
      </c>
      <c r="L6" s="287"/>
      <c r="M6" s="289">
        <v>3214.9169999999999</v>
      </c>
      <c r="N6" s="290">
        <v>2880.8</v>
      </c>
      <c r="O6" s="291">
        <v>0.2001</v>
      </c>
      <c r="P6" s="292">
        <v>12</v>
      </c>
      <c r="Q6" s="287">
        <v>1012.7</v>
      </c>
      <c r="R6" s="287">
        <v>4</v>
      </c>
      <c r="S6" s="287">
        <v>1150</v>
      </c>
      <c r="T6" s="289">
        <v>1.1160000000000001</v>
      </c>
      <c r="U6" s="287">
        <v>34</v>
      </c>
      <c r="V6" s="291">
        <v>2.9600000000000001E-2</v>
      </c>
      <c r="W6" s="288" t="s">
        <v>28</v>
      </c>
      <c r="X6" s="288" t="s">
        <v>28</v>
      </c>
      <c r="Y6" s="288" t="s">
        <v>28</v>
      </c>
      <c r="Z6" s="288"/>
      <c r="AA6" s="288"/>
      <c r="AB6" s="288" t="s">
        <v>31</v>
      </c>
      <c r="AC6" s="288" t="s">
        <v>189</v>
      </c>
      <c r="AD6" s="301"/>
    </row>
    <row r="7" spans="1:30" s="286" customFormat="1" ht="25.05" customHeight="1" x14ac:dyDescent="0.3">
      <c r="A7" s="293"/>
      <c r="B7" s="294" t="s">
        <v>93</v>
      </c>
      <c r="C7" s="294" t="s">
        <v>35</v>
      </c>
      <c r="D7" s="294" t="s">
        <v>761</v>
      </c>
      <c r="E7" s="295">
        <v>262974</v>
      </c>
      <c r="F7" s="294" t="s">
        <v>764</v>
      </c>
      <c r="G7" s="295">
        <v>4000</v>
      </c>
      <c r="H7" s="296">
        <v>0.35899999999999999</v>
      </c>
      <c r="I7" s="296">
        <v>0.92200000000000004</v>
      </c>
      <c r="J7" s="293"/>
      <c r="K7" s="294" t="s">
        <v>765</v>
      </c>
      <c r="L7" s="293"/>
      <c r="M7" s="296">
        <v>1323.992</v>
      </c>
      <c r="N7" s="297">
        <v>922</v>
      </c>
      <c r="O7" s="298">
        <v>6.4000000000000001E-2</v>
      </c>
      <c r="P7" s="299">
        <v>3.84</v>
      </c>
      <c r="Q7" s="295">
        <v>417.1</v>
      </c>
      <c r="R7" s="295">
        <v>4</v>
      </c>
      <c r="S7" s="295">
        <v>1500</v>
      </c>
      <c r="T7" s="296">
        <v>1.4359999999999999</v>
      </c>
      <c r="U7" s="295">
        <v>64</v>
      </c>
      <c r="V7" s="298">
        <v>4.2700000000000002E-2</v>
      </c>
      <c r="W7" s="294" t="s">
        <v>28</v>
      </c>
      <c r="X7" s="294" t="s">
        <v>28</v>
      </c>
      <c r="Y7" s="294" t="s">
        <v>28</v>
      </c>
      <c r="Z7" s="300"/>
      <c r="AA7" s="300"/>
      <c r="AB7" s="294" t="s">
        <v>32</v>
      </c>
      <c r="AC7" s="294" t="s">
        <v>766</v>
      </c>
      <c r="AD7" s="301"/>
    </row>
    <row r="8" spans="1:30" ht="25.05" customHeight="1" x14ac:dyDescent="0.3">
      <c r="A8" s="278" t="s">
        <v>27</v>
      </c>
      <c r="B8" s="278" t="s">
        <v>27</v>
      </c>
      <c r="C8" s="278" t="s">
        <v>27</v>
      </c>
      <c r="D8" s="278" t="s">
        <v>27</v>
      </c>
      <c r="E8" s="278" t="s">
        <v>27</v>
      </c>
      <c r="F8" s="278" t="s">
        <v>27</v>
      </c>
      <c r="G8" s="278">
        <f>SUM(G3:G7)</f>
        <v>21700</v>
      </c>
      <c r="H8" s="278" t="s">
        <v>27</v>
      </c>
      <c r="I8" s="278" t="s">
        <v>27</v>
      </c>
      <c r="J8" s="278" t="s">
        <v>27</v>
      </c>
      <c r="K8" s="278" t="s">
        <v>27</v>
      </c>
      <c r="L8" s="278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f>SUM(Q3:Q7)</f>
        <v>2969.4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7" t="s">
        <v>717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8" t="s">
        <v>709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7" t="s">
        <v>738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9" t="s">
        <v>696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7" t="s">
        <v>664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9" t="s">
        <v>660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/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9" t="s">
        <v>645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/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9" t="s">
        <v>622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/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614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7" t="s">
        <v>606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9" t="s">
        <v>595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7" t="s">
        <v>585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70" t="s">
        <v>578</v>
      </c>
      <c r="B1" s="270" t="s">
        <v>27</v>
      </c>
      <c r="C1" s="270" t="s">
        <v>27</v>
      </c>
      <c r="D1" s="270" t="s">
        <v>27</v>
      </c>
      <c r="E1" s="270" t="s">
        <v>27</v>
      </c>
      <c r="F1" s="270" t="s">
        <v>27</v>
      </c>
      <c r="G1" s="270" t="s">
        <v>27</v>
      </c>
      <c r="H1" s="270" t="s">
        <v>27</v>
      </c>
      <c r="I1" s="270" t="s">
        <v>27</v>
      </c>
      <c r="J1" s="270"/>
      <c r="K1" s="270" t="s">
        <v>27</v>
      </c>
      <c r="L1" s="270" t="s">
        <v>27</v>
      </c>
      <c r="M1" s="270" t="s">
        <v>27</v>
      </c>
      <c r="N1" s="270" t="s">
        <v>27</v>
      </c>
      <c r="O1" s="270" t="s">
        <v>27</v>
      </c>
      <c r="P1" s="270"/>
      <c r="Q1" s="270" t="s">
        <v>27</v>
      </c>
      <c r="R1" s="270" t="s">
        <v>27</v>
      </c>
      <c r="S1" s="270" t="s">
        <v>27</v>
      </c>
      <c r="T1" s="270" t="s">
        <v>27</v>
      </c>
      <c r="U1" s="270" t="s">
        <v>27</v>
      </c>
      <c r="V1" s="270" t="s">
        <v>27</v>
      </c>
      <c r="W1" s="270" t="s">
        <v>27</v>
      </c>
      <c r="X1" s="270" t="s">
        <v>27</v>
      </c>
      <c r="Y1" s="270" t="s">
        <v>27</v>
      </c>
      <c r="Z1" s="270" t="s">
        <v>27</v>
      </c>
      <c r="AA1" s="270" t="s">
        <v>27</v>
      </c>
      <c r="AB1" s="270" t="s">
        <v>27</v>
      </c>
      <c r="AC1" s="27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573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9" t="s">
        <v>566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7" t="s">
        <v>528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7" t="s">
        <v>508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71" t="s">
        <v>489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7" t="s">
        <v>478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72" t="s">
        <v>477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9" t="s">
        <v>458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9" t="s">
        <v>395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9" t="s">
        <v>593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72" t="s">
        <v>364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321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9" t="s">
        <v>296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9" t="s">
        <v>278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9" t="s">
        <v>264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73" t="s">
        <v>247</v>
      </c>
      <c r="B1" s="273" t="s">
        <v>27</v>
      </c>
      <c r="C1" s="273" t="s">
        <v>27</v>
      </c>
      <c r="D1" s="273" t="s">
        <v>27</v>
      </c>
      <c r="E1" s="273" t="s">
        <v>27</v>
      </c>
      <c r="F1" s="273" t="s">
        <v>27</v>
      </c>
      <c r="G1" s="273" t="s">
        <v>27</v>
      </c>
      <c r="H1" s="273" t="s">
        <v>27</v>
      </c>
      <c r="I1" s="273" t="s">
        <v>27</v>
      </c>
      <c r="J1" s="273" t="s">
        <v>27</v>
      </c>
      <c r="K1" s="273" t="s">
        <v>27</v>
      </c>
      <c r="L1" s="273" t="s">
        <v>27</v>
      </c>
      <c r="M1" s="273" t="s">
        <v>27</v>
      </c>
      <c r="N1" s="273" t="s">
        <v>27</v>
      </c>
      <c r="O1" s="273" t="s">
        <v>27</v>
      </c>
      <c r="P1" s="273" t="s">
        <v>27</v>
      </c>
      <c r="Q1" s="273" t="s">
        <v>27</v>
      </c>
      <c r="R1" s="273" t="s">
        <v>27</v>
      </c>
      <c r="S1" s="273" t="s">
        <v>27</v>
      </c>
      <c r="T1" s="273" t="s">
        <v>27</v>
      </c>
      <c r="U1" s="273" t="s">
        <v>27</v>
      </c>
      <c r="V1" s="273" t="s">
        <v>27</v>
      </c>
      <c r="W1" s="273" t="s">
        <v>27</v>
      </c>
      <c r="X1" s="273" t="s">
        <v>27</v>
      </c>
      <c r="Y1" s="273" t="s">
        <v>27</v>
      </c>
      <c r="Z1" s="273" t="s">
        <v>27</v>
      </c>
      <c r="AA1" s="273" t="s">
        <v>27</v>
      </c>
      <c r="AB1" s="27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234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228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9" t="s">
        <v>218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9" t="s">
        <v>235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7" t="s">
        <v>181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173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9" t="s">
        <v>143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139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72" t="s">
        <v>123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74" t="s">
        <v>105</v>
      </c>
      <c r="B1" s="274" t="s">
        <v>27</v>
      </c>
      <c r="C1" s="274" t="s">
        <v>27</v>
      </c>
      <c r="D1" s="274" t="s">
        <v>27</v>
      </c>
      <c r="E1" s="274" t="s">
        <v>27</v>
      </c>
      <c r="F1" s="274" t="s">
        <v>27</v>
      </c>
      <c r="G1" s="274" t="s">
        <v>27</v>
      </c>
      <c r="H1" s="274" t="s">
        <v>27</v>
      </c>
      <c r="I1" s="274" t="s">
        <v>27</v>
      </c>
      <c r="J1" s="274" t="s">
        <v>27</v>
      </c>
      <c r="K1" s="274" t="s">
        <v>27</v>
      </c>
      <c r="L1" s="274" t="s">
        <v>27</v>
      </c>
      <c r="M1" s="274" t="s">
        <v>27</v>
      </c>
      <c r="N1" s="274" t="s">
        <v>27</v>
      </c>
      <c r="O1" s="274" t="s">
        <v>27</v>
      </c>
      <c r="P1" s="274" t="s">
        <v>27</v>
      </c>
      <c r="Q1" s="274" t="s">
        <v>27</v>
      </c>
      <c r="R1" s="274" t="s">
        <v>27</v>
      </c>
      <c r="S1" s="274" t="s">
        <v>27</v>
      </c>
      <c r="T1" s="274" t="s">
        <v>27</v>
      </c>
      <c r="U1" s="274" t="s">
        <v>27</v>
      </c>
      <c r="V1" s="274" t="s">
        <v>27</v>
      </c>
      <c r="W1" s="274" t="s">
        <v>27</v>
      </c>
      <c r="X1" s="274" t="s">
        <v>27</v>
      </c>
      <c r="Y1" s="274" t="s">
        <v>27</v>
      </c>
      <c r="Z1" s="274" t="s">
        <v>27</v>
      </c>
      <c r="AA1" s="274" t="s">
        <v>27</v>
      </c>
      <c r="AB1" s="2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75" t="s">
        <v>80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47</vt:i4>
      </vt:variant>
      <vt:variant>
        <vt:lpstr>Intervalos Nomeados</vt:lpstr>
      </vt:variant>
      <vt:variant>
        <vt:i4>1</vt:i4>
      </vt:variant>
    </vt:vector>
  </HeadingPairs>
  <TitlesOfParts>
    <vt:vector size="48" baseType="lpstr"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2026-10-15T12:36:46Z</cp:lastPrinted>
  <dcterms:created xsi:type="dcterms:W3CDTF">2026-07-02T17:42:15Z</dcterms:created>
  <dcterms:modified xsi:type="dcterms:W3CDTF">2026-10-15T13:09:03Z</dcterms:modified>
</cp:coreProperties>
</file>