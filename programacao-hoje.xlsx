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7188D08-1A9C-4E00-AA41-CF020E731348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FAVINCO EMBALAGENS 1314 P" sheetId="220" r:id="rId4"/>
    <sheet name="ABAPEL EMBALAGENS 1308 P" sheetId="215" r:id="rId5"/>
    <sheet name="RENOVAPEL 1306 P" sheetId="213" r:id="rId6"/>
    <sheet name="INTERNACIONAL - SEDAMED 1304 P" sheetId="212" r:id="rId7"/>
    <sheet name="RM EMBALAGENS 1303" sheetId="211" r:id="rId8"/>
    <sheet name="HARMONY EMBALAGENS 1301 P" sheetId="209" r:id="rId9"/>
    <sheet name="HARMONY EMBALAGENS 1285 P" sheetId="20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2" i="220" l="1"/>
  <c r="G12" i="220"/>
  <c r="Q7" i="222"/>
  <c r="G7" i="222"/>
  <c r="Q9" i="213"/>
  <c r="G9" i="213"/>
  <c r="G10" i="215" l="1"/>
  <c r="Q10" i="215"/>
</calcChain>
</file>

<file path=xl/sharedStrings.xml><?xml version="1.0" encoding="utf-8"?>
<sst xmlns="http://schemas.openxmlformats.org/spreadsheetml/2006/main" count="1953" uniqueCount="242">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</sst>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E8" sqref="AE8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35" t="s">
        <v>229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37" t="s">
        <v>208</v>
      </c>
      <c r="B1" s="37" t="s">
        <v>26</v>
      </c>
      <c r="C1" s="37" t="s">
        <v>26</v>
      </c>
      <c r="D1" s="37" t="s">
        <v>26</v>
      </c>
      <c r="E1" s="37" t="s">
        <v>26</v>
      </c>
      <c r="F1" s="37" t="s">
        <v>26</v>
      </c>
      <c r="G1" s="37" t="s">
        <v>26</v>
      </c>
      <c r="H1" s="37" t="s">
        <v>26</v>
      </c>
      <c r="I1" s="37" t="s">
        <v>26</v>
      </c>
      <c r="J1" s="37" t="s">
        <v>26</v>
      </c>
      <c r="K1" s="37" t="s">
        <v>26</v>
      </c>
      <c r="L1" s="37" t="s">
        <v>26</v>
      </c>
      <c r="M1" s="37" t="s">
        <v>26</v>
      </c>
      <c r="N1" s="37" t="s">
        <v>26</v>
      </c>
      <c r="O1" s="37" t="s">
        <v>26</v>
      </c>
      <c r="P1" s="37" t="s">
        <v>26</v>
      </c>
      <c r="Q1" s="37" t="s">
        <v>26</v>
      </c>
      <c r="R1" s="37" t="s">
        <v>26</v>
      </c>
      <c r="S1" s="37" t="s">
        <v>26</v>
      </c>
      <c r="T1" s="37" t="s">
        <v>26</v>
      </c>
      <c r="U1" s="37" t="s">
        <v>26</v>
      </c>
      <c r="V1" s="37" t="s">
        <v>26</v>
      </c>
      <c r="W1" s="37" t="s">
        <v>26</v>
      </c>
      <c r="X1" s="37" t="s">
        <v>26</v>
      </c>
      <c r="Y1" s="37" t="s">
        <v>26</v>
      </c>
      <c r="Z1" s="37" t="s">
        <v>26</v>
      </c>
      <c r="AA1" s="37" t="s">
        <v>26</v>
      </c>
      <c r="AB1" s="37" t="s">
        <v>26</v>
      </c>
      <c r="AC1" s="37" t="s">
        <v>26</v>
      </c>
    </row>
    <row r="2" spans="1:29" ht="56.4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44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2" customFormat="1" ht="25.05" customHeight="1" x14ac:dyDescent="0.3">
      <c r="A3" s="42"/>
      <c r="B3" s="47" t="s">
        <v>106</v>
      </c>
      <c r="C3" s="42" t="s">
        <v>40</v>
      </c>
      <c r="D3" s="42" t="s">
        <v>79</v>
      </c>
      <c r="E3" s="42">
        <v>263136</v>
      </c>
      <c r="F3" s="42" t="s">
        <v>206</v>
      </c>
      <c r="G3" s="42">
        <v>400</v>
      </c>
      <c r="H3" s="44">
        <v>1.24</v>
      </c>
      <c r="I3" s="44">
        <v>1.45</v>
      </c>
      <c r="J3" s="42" t="s">
        <v>26</v>
      </c>
      <c r="K3" s="42" t="s">
        <v>32</v>
      </c>
      <c r="L3" s="42" t="s">
        <v>26</v>
      </c>
      <c r="M3" s="44">
        <v>719.2</v>
      </c>
      <c r="N3" s="46">
        <v>580</v>
      </c>
      <c r="O3" s="43">
        <v>0.16109999999999999</v>
      </c>
      <c r="P3" s="45">
        <v>9.67</v>
      </c>
      <c r="Q3" s="42">
        <v>408.5</v>
      </c>
      <c r="R3" s="42">
        <v>1</v>
      </c>
      <c r="S3" s="42">
        <v>1300</v>
      </c>
      <c r="T3" s="44">
        <v>1.24</v>
      </c>
      <c r="U3" s="42">
        <v>60</v>
      </c>
      <c r="V3" s="43">
        <v>4.6199999999999998E-2</v>
      </c>
      <c r="W3" s="42" t="s">
        <v>33</v>
      </c>
      <c r="X3" s="42" t="s">
        <v>37</v>
      </c>
      <c r="Y3" s="42" t="s">
        <v>33</v>
      </c>
      <c r="Z3" s="42" t="s">
        <v>33</v>
      </c>
      <c r="AA3" s="42" t="s">
        <v>33</v>
      </c>
      <c r="AB3" s="42" t="s">
        <v>29</v>
      </c>
      <c r="AC3" s="42" t="s">
        <v>207</v>
      </c>
    </row>
    <row r="4" spans="1:29" s="48" customFormat="1" ht="25.05" customHeight="1" x14ac:dyDescent="0.3">
      <c r="A4" s="49"/>
      <c r="B4" s="54" t="s">
        <v>106</v>
      </c>
      <c r="C4" s="49" t="s">
        <v>40</v>
      </c>
      <c r="D4" s="49" t="s">
        <v>79</v>
      </c>
      <c r="E4" s="49">
        <v>263009</v>
      </c>
      <c r="F4" s="49">
        <v>1410</v>
      </c>
      <c r="G4" s="49">
        <v>1395</v>
      </c>
      <c r="H4" s="51">
        <v>0.879</v>
      </c>
      <c r="I4" s="51">
        <v>1.48</v>
      </c>
      <c r="J4" s="49" t="s">
        <v>26</v>
      </c>
      <c r="K4" s="49" t="s">
        <v>59</v>
      </c>
      <c r="L4" s="49" t="s">
        <v>26</v>
      </c>
      <c r="M4" s="51">
        <v>1814.7829999999999</v>
      </c>
      <c r="N4" s="53">
        <v>2064.6</v>
      </c>
      <c r="O4" s="50">
        <v>0.57350000000000001</v>
      </c>
      <c r="P4" s="52">
        <v>34.409999999999997</v>
      </c>
      <c r="Q4" s="49">
        <v>1030.8</v>
      </c>
      <c r="R4" s="49">
        <v>1</v>
      </c>
      <c r="S4" s="49">
        <v>900</v>
      </c>
      <c r="T4" s="51">
        <v>0.879</v>
      </c>
      <c r="U4" s="49">
        <v>21</v>
      </c>
      <c r="V4" s="50">
        <v>2.3300000000000001E-2</v>
      </c>
      <c r="W4" s="49" t="s">
        <v>33</v>
      </c>
      <c r="X4" s="49" t="s">
        <v>37</v>
      </c>
      <c r="Y4" s="49" t="s">
        <v>33</v>
      </c>
      <c r="Z4" s="49" t="s">
        <v>33</v>
      </c>
      <c r="AA4" s="49" t="s">
        <v>33</v>
      </c>
      <c r="AB4" s="49" t="s">
        <v>43</v>
      </c>
      <c r="AC4" s="49" t="s">
        <v>58</v>
      </c>
    </row>
    <row r="5" spans="1:29" s="2" customFormat="1" ht="25.05" customHeight="1" x14ac:dyDescent="0.3">
      <c r="A5" s="42"/>
      <c r="B5" s="47" t="s">
        <v>106</v>
      </c>
      <c r="C5" s="42" t="s">
        <v>40</v>
      </c>
      <c r="D5" s="42" t="s">
        <v>79</v>
      </c>
      <c r="E5" s="42">
        <v>263135</v>
      </c>
      <c r="F5" s="42" t="s">
        <v>206</v>
      </c>
      <c r="G5" s="42">
        <v>770</v>
      </c>
      <c r="H5" s="44">
        <v>0.79900000000000004</v>
      </c>
      <c r="I5" s="44">
        <v>1.0900000000000001</v>
      </c>
      <c r="J5" s="42" t="s">
        <v>26</v>
      </c>
      <c r="K5" s="42" t="s">
        <v>105</v>
      </c>
      <c r="L5" s="42" t="s">
        <v>26</v>
      </c>
      <c r="M5" s="44">
        <v>670.601</v>
      </c>
      <c r="N5" s="46">
        <v>839.3</v>
      </c>
      <c r="O5" s="43">
        <v>0.2331</v>
      </c>
      <c r="P5" s="45">
        <v>13.99</v>
      </c>
      <c r="Q5" s="42">
        <v>380.9</v>
      </c>
      <c r="R5" s="42">
        <v>1</v>
      </c>
      <c r="S5" s="42">
        <v>850</v>
      </c>
      <c r="T5" s="44">
        <v>0.79900000000000004</v>
      </c>
      <c r="U5" s="42">
        <v>51</v>
      </c>
      <c r="V5" s="43">
        <v>0.06</v>
      </c>
      <c r="W5" s="42" t="s">
        <v>33</v>
      </c>
      <c r="X5" s="42" t="s">
        <v>37</v>
      </c>
      <c r="Y5" s="42" t="s">
        <v>33</v>
      </c>
      <c r="Z5" s="42" t="s">
        <v>33</v>
      </c>
      <c r="AA5" s="42" t="s">
        <v>33</v>
      </c>
      <c r="AB5" s="42" t="s">
        <v>31</v>
      </c>
      <c r="AC5" s="42" t="s">
        <v>104</v>
      </c>
    </row>
    <row r="6" spans="1:29" s="2" customFormat="1" ht="25.05" customHeight="1" x14ac:dyDescent="0.3">
      <c r="A6" s="42"/>
      <c r="B6" s="47" t="s">
        <v>106</v>
      </c>
      <c r="C6" s="42" t="s">
        <v>172</v>
      </c>
      <c r="D6" s="42" t="s">
        <v>79</v>
      </c>
      <c r="E6" s="42">
        <v>263137</v>
      </c>
      <c r="F6" s="42" t="s">
        <v>206</v>
      </c>
      <c r="G6" s="42">
        <v>3300</v>
      </c>
      <c r="H6" s="44">
        <v>0.53900000000000003</v>
      </c>
      <c r="I6" s="44">
        <v>1.05</v>
      </c>
      <c r="J6" s="42" t="s">
        <v>26</v>
      </c>
      <c r="K6" s="42" t="s">
        <v>205</v>
      </c>
      <c r="L6" s="42" t="s">
        <v>26</v>
      </c>
      <c r="M6" s="44">
        <v>1867.635</v>
      </c>
      <c r="N6" s="46">
        <v>1732.5</v>
      </c>
      <c r="O6" s="43">
        <v>0.24060000000000001</v>
      </c>
      <c r="P6" s="45">
        <v>14.44</v>
      </c>
      <c r="Q6" s="42">
        <v>763.9</v>
      </c>
      <c r="R6" s="42">
        <v>2</v>
      </c>
      <c r="S6" s="42">
        <v>1100</v>
      </c>
      <c r="T6" s="44">
        <v>1.0780000000000001</v>
      </c>
      <c r="U6" s="42">
        <v>22</v>
      </c>
      <c r="V6" s="43">
        <v>0.02</v>
      </c>
      <c r="W6" s="42" t="s">
        <v>37</v>
      </c>
      <c r="X6" s="42" t="s">
        <v>37</v>
      </c>
      <c r="Y6" s="42" t="s">
        <v>28</v>
      </c>
      <c r="Z6" s="42" t="s">
        <v>26</v>
      </c>
      <c r="AA6" s="42" t="s">
        <v>26</v>
      </c>
      <c r="AB6" s="42" t="s">
        <v>29</v>
      </c>
      <c r="AC6" s="42" t="s">
        <v>204</v>
      </c>
    </row>
    <row r="7" spans="1:29" s="2" customFormat="1" ht="25.05" customHeight="1" x14ac:dyDescent="0.3">
      <c r="A7" s="41" t="s">
        <v>26</v>
      </c>
      <c r="B7" s="41" t="s">
        <v>26</v>
      </c>
      <c r="C7" s="41" t="s">
        <v>26</v>
      </c>
      <c r="D7" s="41" t="s">
        <v>26</v>
      </c>
      <c r="E7" s="41" t="s">
        <v>26</v>
      </c>
      <c r="F7" s="41" t="s">
        <v>26</v>
      </c>
      <c r="G7" s="41">
        <f>SUM(G3:G6)</f>
        <v>5865</v>
      </c>
      <c r="H7" s="41" t="s">
        <v>26</v>
      </c>
      <c r="I7" s="41" t="s">
        <v>26</v>
      </c>
      <c r="J7" s="41" t="s">
        <v>26</v>
      </c>
      <c r="K7" s="41" t="s">
        <v>26</v>
      </c>
      <c r="L7" s="41" t="s">
        <v>26</v>
      </c>
      <c r="M7" s="41" t="s">
        <v>26</v>
      </c>
      <c r="N7" s="41" t="s">
        <v>26</v>
      </c>
      <c r="O7" s="41" t="s">
        <v>26</v>
      </c>
      <c r="P7" s="41" t="s">
        <v>26</v>
      </c>
      <c r="Q7" s="41">
        <f>SUM(Q3:Q6)</f>
        <v>2584.1</v>
      </c>
      <c r="R7" s="41" t="s">
        <v>26</v>
      </c>
      <c r="S7" s="41" t="s">
        <v>26</v>
      </c>
      <c r="T7" s="41" t="s">
        <v>26</v>
      </c>
      <c r="U7" s="41" t="s">
        <v>26</v>
      </c>
      <c r="V7" s="41" t="s">
        <v>26</v>
      </c>
      <c r="W7" s="41" t="s">
        <v>26</v>
      </c>
      <c r="X7" s="41" t="s">
        <v>26</v>
      </c>
      <c r="Y7" s="41" t="s">
        <v>26</v>
      </c>
      <c r="Z7" s="41" t="s">
        <v>26</v>
      </c>
      <c r="AA7" s="41" t="s">
        <v>26</v>
      </c>
      <c r="AB7" s="41" t="s">
        <v>26</v>
      </c>
      <c r="AC7" s="41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7"/>
  <sheetViews>
    <sheetView workbookViewId="0">
      <selection activeCell="J36" sqref="J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35" t="s">
        <v>193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107</v>
      </c>
      <c r="C6" s="21" t="s">
        <v>34</v>
      </c>
      <c r="D6" s="21" t="s">
        <v>198</v>
      </c>
      <c r="E6" s="20">
        <v>263151</v>
      </c>
      <c r="F6" s="21" t="s">
        <v>237</v>
      </c>
      <c r="G6" s="20">
        <v>400</v>
      </c>
      <c r="H6" s="22">
        <v>1.3160000000000001</v>
      </c>
      <c r="I6" s="22">
        <v>1.857</v>
      </c>
      <c r="J6" s="20"/>
      <c r="K6" s="21" t="s">
        <v>238</v>
      </c>
      <c r="L6" s="20"/>
      <c r="M6" s="22">
        <v>977.52499999999998</v>
      </c>
      <c r="N6" s="23">
        <v>742.8</v>
      </c>
      <c r="O6" s="24">
        <v>0.20630000000000001</v>
      </c>
      <c r="P6" s="25">
        <v>12.38</v>
      </c>
      <c r="Q6" s="20">
        <v>312.8</v>
      </c>
      <c r="R6" s="20">
        <v>1</v>
      </c>
      <c r="S6" s="20">
        <v>1350</v>
      </c>
      <c r="T6" s="22">
        <v>1.3160000000000001</v>
      </c>
      <c r="U6" s="20">
        <v>34</v>
      </c>
      <c r="V6" s="24">
        <v>2.52E-2</v>
      </c>
      <c r="W6" s="21" t="s">
        <v>27</v>
      </c>
      <c r="X6" s="21" t="s">
        <v>27</v>
      </c>
      <c r="Y6" s="21" t="s">
        <v>27</v>
      </c>
      <c r="Z6" s="21"/>
      <c r="AA6" s="21"/>
      <c r="AB6" s="21" t="s">
        <v>36</v>
      </c>
      <c r="AC6" s="21" t="s">
        <v>239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SUM(G3:G5)</f>
        <v>1500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SUM(Q3:Q5)</f>
        <v>2788.8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tabSelected="1" workbookViewId="0">
      <selection activeCell="H22" sqref="H22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35" t="s">
        <v>186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/>
      <c r="C4" s="58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8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8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8" t="s">
        <v>240</v>
      </c>
    </row>
    <row r="5" spans="1:29" s="19" customFormat="1" ht="25.05" customHeight="1" x14ac:dyDescent="0.3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40" customFormat="1" ht="25.05" customHeight="1" x14ac:dyDescent="0.3">
      <c r="A12" s="38" t="s">
        <v>26</v>
      </c>
      <c r="B12" s="38" t="s">
        <v>26</v>
      </c>
      <c r="C12" s="38" t="s">
        <v>26</v>
      </c>
      <c r="D12" s="38" t="s">
        <v>26</v>
      </c>
      <c r="E12" s="38" t="s">
        <v>26</v>
      </c>
      <c r="F12" s="38" t="s">
        <v>26</v>
      </c>
      <c r="G12" s="38">
        <f>SUM(G3:G11)</f>
        <v>13560</v>
      </c>
      <c r="H12" s="38" t="s">
        <v>26</v>
      </c>
      <c r="I12" s="38" t="s">
        <v>26</v>
      </c>
      <c r="J12" s="38" t="s">
        <v>26</v>
      </c>
      <c r="K12" s="38" t="s">
        <v>26</v>
      </c>
      <c r="L12" s="38" t="s">
        <v>26</v>
      </c>
      <c r="M12" s="39" t="s">
        <v>26</v>
      </c>
      <c r="N12" s="39" t="s">
        <v>26</v>
      </c>
      <c r="O12" s="39" t="s">
        <v>26</v>
      </c>
      <c r="P12" s="39" t="s">
        <v>26</v>
      </c>
      <c r="Q12" s="39">
        <f>SUM(Q3:Q11)</f>
        <v>2105.3000000000002</v>
      </c>
      <c r="R12" s="39" t="s">
        <v>26</v>
      </c>
      <c r="S12" s="39" t="s">
        <v>26</v>
      </c>
      <c r="T12" s="39" t="s">
        <v>26</v>
      </c>
      <c r="U12" s="39" t="s">
        <v>26</v>
      </c>
      <c r="V12" s="39" t="s">
        <v>26</v>
      </c>
      <c r="W12" s="39" t="s">
        <v>26</v>
      </c>
      <c r="X12" s="39" t="s">
        <v>26</v>
      </c>
      <c r="Y12" s="39" t="s">
        <v>26</v>
      </c>
      <c r="Z12" s="39" t="s">
        <v>26</v>
      </c>
      <c r="AA12" s="39" t="s">
        <v>26</v>
      </c>
      <c r="AB12" s="39" t="s">
        <v>26</v>
      </c>
      <c r="AC12" s="39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36" t="s">
        <v>167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6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7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6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6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6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6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6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6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35" t="s">
        <v>156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35" t="s">
        <v>146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34" t="s">
        <v>139</v>
      </c>
      <c r="B1" s="34" t="s">
        <v>26</v>
      </c>
      <c r="C1" s="34" t="s">
        <v>26</v>
      </c>
      <c r="D1" s="34" t="s">
        <v>26</v>
      </c>
      <c r="E1" s="34" t="s">
        <v>26</v>
      </c>
      <c r="F1" s="34" t="s">
        <v>26</v>
      </c>
      <c r="G1" s="34" t="s">
        <v>26</v>
      </c>
      <c r="H1" s="34" t="s">
        <v>26</v>
      </c>
      <c r="I1" s="34" t="s">
        <v>26</v>
      </c>
      <c r="J1" s="34" t="s">
        <v>26</v>
      </c>
      <c r="K1" s="34" t="s">
        <v>26</v>
      </c>
      <c r="L1" s="34" t="s">
        <v>26</v>
      </c>
      <c r="M1" s="34" t="s">
        <v>26</v>
      </c>
      <c r="N1" s="34" t="s">
        <v>26</v>
      </c>
      <c r="O1" s="34" t="s">
        <v>26</v>
      </c>
      <c r="P1" s="34" t="s">
        <v>26</v>
      </c>
      <c r="Q1" s="34" t="s">
        <v>26</v>
      </c>
      <c r="R1" s="34" t="s">
        <v>26</v>
      </c>
      <c r="S1" s="34" t="s">
        <v>26</v>
      </c>
      <c r="T1" s="34" t="s">
        <v>26</v>
      </c>
      <c r="U1" s="34" t="s">
        <v>26</v>
      </c>
      <c r="V1" s="34" t="s">
        <v>26</v>
      </c>
      <c r="W1" s="34" t="s">
        <v>26</v>
      </c>
      <c r="X1" s="34" t="s">
        <v>26</v>
      </c>
      <c r="Y1" s="34" t="s">
        <v>26</v>
      </c>
      <c r="Z1" s="34" t="s">
        <v>26</v>
      </c>
      <c r="AA1" s="34" t="s">
        <v>26</v>
      </c>
      <c r="AB1" s="34" t="s">
        <v>26</v>
      </c>
      <c r="AC1" s="3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35" t="s">
        <v>119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35" t="s">
        <v>102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2026-10-23T17:38:54Z</cp:lastPrinted>
  <dcterms:created xsi:type="dcterms:W3CDTF">2026-07-02T17:42:15Z</dcterms:created>
  <dcterms:modified xsi:type="dcterms:W3CDTF">2026-10-23T19:47:44Z</dcterms:modified>
</cp:coreProperties>
</file>