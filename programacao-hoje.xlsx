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8_{8A3ECCE8-ACEE-4E8C-A9BD-76448DAF8C71}" xr6:coauthVersionLast="47" xr6:coauthVersionMax="47" xr10:uidLastSave="{00000000-0000-0000-0000-000000000000}"/>
  <bookViews>
    <workbookView xWindow="-21720" yWindow="-120" windowWidth="21840" windowHeight="13020" firstSheet="24" activeTab="26" xr2:uid="{00000000-000D-0000-FFFF-FFFF00000000}"/>
  </bookViews>
  <sheets>
    <sheet name="PCBOX EMBALAGENS LTDA 1222" sheetId="164" r:id="rId1"/>
    <sheet name="FORBOX 1220" sheetId="163" r:id="rId2"/>
    <sheet name="HARMONY EMBALAGENS 1217" sheetId="162" r:id="rId3"/>
    <sheet name="Z4A EMBALAGENS LTDA 1216" sheetId="161" r:id="rId4"/>
    <sheet name="Tolecaixas 1215" sheetId="160" r:id="rId5"/>
    <sheet name="ABAPEL 1213" sheetId="159" r:id="rId6"/>
    <sheet name="IPE - PCBOX 1212" sheetId="158" r:id="rId7"/>
    <sheet name="Z4A EMBALAGENS LTDA 1210 P" sheetId="157" r:id="rId8"/>
    <sheet name="RM Embalagens 1209 P" sheetId="156" r:id="rId9"/>
    <sheet name="IPE - PC BOX 1203P" sheetId="154" r:id="rId10"/>
    <sheet name="ABAPEL 1201" sheetId="153" r:id="rId11"/>
    <sheet name="HARMONY EMBALAGENS 1200" sheetId="152" r:id="rId12"/>
    <sheet name="HARMONY EMBALAGENS 1199 P" sheetId="151" r:id="rId13"/>
    <sheet name="FAVINCO EMBALAGENS 1197 P" sheetId="150" r:id="rId14"/>
    <sheet name="ABAPEL 1196" sheetId="149" r:id="rId15"/>
    <sheet name="CARPELL LTDA 1195 P" sheetId="147" r:id="rId16"/>
    <sheet name="Renovapel 1192 P" sheetId="146" r:id="rId17"/>
    <sheet name="DR EMBALAGENS 1189  P" sheetId="144" r:id="rId18"/>
    <sheet name="FAVINCO EMBALAGENS 1188 R" sheetId="143" r:id="rId19"/>
    <sheet name="PCBOX - IPE 1187 P" sheetId="142" r:id="rId20"/>
    <sheet name="RM Embalagens 1184 P" sheetId="141" r:id="rId21"/>
    <sheet name="CARTOMIL EMBALAGENS LTDA 1183 P" sheetId="140" r:id="rId22"/>
    <sheet name="Z4A EMBALAGENS LTDA 1182P" sheetId="139" r:id="rId23"/>
    <sheet name="HARMONY EMBALAGENS 1180 P" sheetId="137" r:id="rId24"/>
    <sheet name="RM Embalagens 1179 P" sheetId="136" r:id="rId25"/>
    <sheet name="Tolecaixas 1181 P" sheetId="138" r:id="rId26"/>
    <sheet name="FAVINCO EMBALAGENS 1177 P" sheetId="134" r:id="rId27"/>
    <sheet name="IPE EMBALAGENS 1176 P" sheetId="133" r:id="rId28"/>
    <sheet name="PCBOX EMBALAGENS 1175 P" sheetId="132" r:id="rId29"/>
    <sheet name="ABAPEL 1174 P" sheetId="131" r:id="rId30"/>
    <sheet name="PCBOX EMBALAGENS 1171 P" sheetId="127" r:id="rId31"/>
    <sheet name="HARMONY EMBALAGENS 1169 P" sheetId="125" r:id="rId32"/>
    <sheet name="DR EMBALAGEM 1167 P" sheetId="124" r:id="rId33"/>
    <sheet name="Z4A EMBALAGENS  1166 P" sheetId="123" r:id="rId34"/>
    <sheet name="RM Embalagens 1165 P" sheetId="122" r:id="rId35"/>
    <sheet name="Carpel 1158 P" sheetId="119" r:id="rId36"/>
    <sheet name="ABAPEL 1155 P" sheetId="118" r:id="rId37"/>
    <sheet name="IPE - PCBOX 1154 P" sheetId="117" r:id="rId38"/>
    <sheet name="ABAPEL 1143 P" sheetId="109" r:id="rId39"/>
    <sheet name="HARMONY EMBALAGENS 1138 P" sheetId="102" r:id="rId40"/>
    <sheet name="ABAPEL 1127 P" sheetId="97" r:id="rId41"/>
    <sheet name="ABAPEL 1105 P" sheetId="85" r:id="rId42"/>
    <sheet name="IVAIR SILVA 1122 P" sheetId="91" r:id="rId43"/>
    <sheet name="RENOVAPEL 1115 P" sheetId="88" r:id="rId4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1" i="159" l="1"/>
  <c r="H11" i="159"/>
  <c r="H20" i="152"/>
  <c r="P20" i="152"/>
  <c r="H12" i="158"/>
  <c r="P12" i="158"/>
  <c r="P17" i="150"/>
  <c r="H17" i="150"/>
  <c r="P6" i="143" l="1"/>
  <c r="H6" i="143"/>
  <c r="P8" i="134"/>
  <c r="H8" i="134"/>
</calcChain>
</file>

<file path=xl/sharedStrings.xml><?xml version="1.0" encoding="utf-8"?>
<sst xmlns="http://schemas.openxmlformats.org/spreadsheetml/2006/main" count="7939" uniqueCount="822">
  <si>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</si>
  <si>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</si>
  <si>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</si>
  <si>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</si>
  <si>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</si>
  <si>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</si>
  <si>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</si>
  <si>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</si>
  <si>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</si>
  <si>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</si>
  <si>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</si>
  <si>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</si>
  <si>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</si>
  <si>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</si>
  <si>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</si>
  <si>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</si>
  <si>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</si>
  <si>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</si>
  <si>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</si>
  <si>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</si>
  <si>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</si>
  <si>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</si>
  <si>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</si>
  <si>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</si>
  <si>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</si>
  <si>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</si>
  <si>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</si>
  <si>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</si>
  <si>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</si>
  <si>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</si>
  <si>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</si>
  <si>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</si>
  <si>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</si>
  <si>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</si>
  <si>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</si>
  <si>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</si>
  <si>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</si>
  <si>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</si>
  <si>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</si>
  <si>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</si>
  <si>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</si>
  <si>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</si>
  <si>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</si>
  <si>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</si>
  <si>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</si>
  <si>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</si>
  <si>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</si>
  <si>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</si>
  <si>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</si>
  <si>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</si>
  <si>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</si>
  <si>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</si>
  <si>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</si>
  <si>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</si>
  <si>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</si>
  <si>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</si>
  <si>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</si>
  <si>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</si>
  <si>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</si>
  <si>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</si>
  <si>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</si>
  <si>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</si>
  <si>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</si>
  <si>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</si>
  <si>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</si>
  <si>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</si>
  <si>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</si>
  <si>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</si>
  <si>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</si>
  <si>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</si>
  <si>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</si>
  <si>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</si>
  <si>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</si>
  <si>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</si>
  <si>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</si>
  <si>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</si>
  <si>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</si>
  <si>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</si>
  <si>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</si>
  <si>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</si>
  <si>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</si>
  <si>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</si>
  <si>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</si>
  <si>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</si>
  <si>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</si>
  <si>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</si>
  <si>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</si>
  <si>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</si>
  <si>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</si>
  <si>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</si>
  <si>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</si>
  <si>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</si>
  <si>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</si>
  <si>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</si>
  <si>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</si>
  <si>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</si>
  <si>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</si>
  <si>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</si>
  <si>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</si>
  <si>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</si>
  <si>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</si>
  <si>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</si>
  <si>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</si>
  <si>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</si>
  <si>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</si>
  <si>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</si>
  <si>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</si>
  <si>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</si>
  <si>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</si>
  <si>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</si>
  <si>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</si>
  <si>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</si>
  <si>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</si>
  <si>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</si>
  <si>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</si>
  <si>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</si>
  <si>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</si>
  <si>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</si>
  <si>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</si>
  <si>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</si>
  <si>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</si>
  <si>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</si>
  <si>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</si>
  <si>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</si>
  <si>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</si>
  <si>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</si>
  <si>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</si>
  <si>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</si>
  <si>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</si>
  <si>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</si>
  <si>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</si>
  <si>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</si>
  <si>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</si>
  <si>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</si>
  <si>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</si>
  <si>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</si>
  <si>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</si>
  <si>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</si>
  <si>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</si>
  <si>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</si>
  <si>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</si>
  <si>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</si>
  <si>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</si>
  <si>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</si>
  <si>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</si>
  <si>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</si>
  <si>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</si>
  <si>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</si>
  <si>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</si>
  <si>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</si>
  <si>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</si>
  <si>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</si>
  <si>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</si>
  <si>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</si>
  <si>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</si>
  <si>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</si>
  <si>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</si>
  <si>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</si>
  <si>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</si>
  <si>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</si>
  <si>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</si>
  <si>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</si>
  <si>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</si>
  <si>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</si>
  <si>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</si>
  <si>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</si>
  <si>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</si>
  <si>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</si>
  <si>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</si>
  <si>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</si>
  <si>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</si>
  <si>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</si>
  <si>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</si>
  <si>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</si>
  <si>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</si>
  <si>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</si>
  <si>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</si>
  <si>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</si>
  <si>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</si>
  <si>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</si>
  <si>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</si>
  <si>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</si>
  <si>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</si>
  <si>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</si>
  <si>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</si>
  <si>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</si>
  <si>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</si>
  <si>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</si>
  <si>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</si>
  <si>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</si>
  <si>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</si>
  <si>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</si>
  <si>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</si>
  <si>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</si>
  <si>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</si>
  <si>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</si>
  <si>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</si>
  <si>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</si>
  <si>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</si>
  <si>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</si>
  <si>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</si>
  <si>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</si>
  <si>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</si>
  <si>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</si>
  <si>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</si>
  <si>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</si>
  <si>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</si>
  <si>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</si>
  <si>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</si>
  <si>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</si>
  <si>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</si>
  <si>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</si>
  <si>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</si>
  <si>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</si>
  <si>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</si>
  <si>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</si>
  <si>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</si>
  <si>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</si>
  <si>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</si>
  <si>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</si>
  <si>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</si>
  <si>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</si>
  <si>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</si>
  <si>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</si>
  <si>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</si>
  <si>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</si>
  <si>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</si>
  <si>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</si>
  <si>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</si>
  <si>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</si>
  <si>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</si>
  <si>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</si>
  <si>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</si>
  <si>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</si>
  <si>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</si>
  <si>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</si>
  <si>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</si>
  <si>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</si>
  <si>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</si>
  <si>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</si>
  <si>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</si>
  <si>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</si>
  <si>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</si>
  <si>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</si>
  <si>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</si>
  <si>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</si>
  <si>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</si>
  <si>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</si>
  <si>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</si>
  <si>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</si>
  <si>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</si>
  <si>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</si>
  <si>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</si>
  <si>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</si>
  <si>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</si>
  <si>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</si>
  <si>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</si>
  <si>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</si>
  <si>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</si>
  <si>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</si>
  <si>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</si>
  <si>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</si>
  <si>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</si>
  <si>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</si>
  <si>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</si>
  <si>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</si>
  <si>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</si>
  <si>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</si>
  <si>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</si>
  <si>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</si>
  <si>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</si>
  <si>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</si>
  <si>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</si>
  <si>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</si>
  <si>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</si>
  <si>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</si>
  <si>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</si>
  <si>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</si>
  <si>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</si>
  <si>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</si>
  <si>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</si>
  <si>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</si>
  <si>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</si>
  <si>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</si>
  <si>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</si>
  <si>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</si>
  <si>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</si>
  <si>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</si>
  <si>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</si>
  <si>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</si>
  <si>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</si>
  <si>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</si>
  <si>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</si>
  <si>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</si>
  <si>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</si>
  <si>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</si>
  <si>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</si>
  <si>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</si>
  <si>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</si>
  <si>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</si>
  <si>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</si>
  <si>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</si>
  <si>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</si>
  <si>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</si>
  <si>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</si>
  <si>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</si>
  <si>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</si>
  <si>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</si>
  <si>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</si>
  <si>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</si>
  <si>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</si>
  <si>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</si>
  <si>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</si>
  <si>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</si>
  <si>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</si>
  <si>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</si>
  <si>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</si>
  <si>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</si>
  <si>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</si>
  <si>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</si>
  <si>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</si>
  <si>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</si>
  <si>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</si>
  <si>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</si>
  <si>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</si>
  <si>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</si>
  <si>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</si>
  <si>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</si>
  <si>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</si>
  <si>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</si>
  <si>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</si>
  <si>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</si>
  <si>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</si>
  <si>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</si>
  <si>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</si>
  <si>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</si>
  <si>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</si>
  <si>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</si>
  <si>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</si>
  <si>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</si>
  <si>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</si>
  <si>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</si>
  <si>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</si>
  <si>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</si>
  <si>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</si>
  <si>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</si>
  <si>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</si>
  <si>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</si>
  <si>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</si>
  <si>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</si>
  <si>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</si>
  <si>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</si>
  <si>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</si>
  <si>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</si>
  <si>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</si>
  <si>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</si>
  <si>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</si>
  <si>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</si>
  <si>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</si>
  <si>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</si>
  <si>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</si>
  <si>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</si>
  <si>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</si>
  <si>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</si>
  <si>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</si>
  <si>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</si>
  <si>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</si>
  <si>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</si>
  <si>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</si>
  <si>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</si>
  <si>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</si>
  <si>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</si>
  <si>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</si>
  <si>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</si>
  <si>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</si>
  <si>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</si>
  <si>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</si>
  <si>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</si>
  <si>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</si>
  <si>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</si>
  <si>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</si>
  <si>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</si>
  <si>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</si>
  <si>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</si>
  <si>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</si>
  <si>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</si>
  <si>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</si>
  <si>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</si>
  <si>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</si>
  <si>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</si>
  <si>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</si>
  <si>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</si>
  <si>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</si>
  <si>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</si>
  <si>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</si>
  <si>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</si>
  <si>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</si>
  <si>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</si>
  <si>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</si>
  <si>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</si>
  <si>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</si>
  <si>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</si>
  <si>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</si>
  <si>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</si>
  <si>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</si>
  <si>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</si>
  <si>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</si>
  <si>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</si>
  <si>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</si>
  <si>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</si>
  <si>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</si>
  <si>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</si>
  <si>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</si>
  <si>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</si>
  <si>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</si>
  <si>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</si>
  <si>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</si>
  <si>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</si>
  <si>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</si>
  <si>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</si>
  <si>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</si>
  <si>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</si>
  <si>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</si>
  <si>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</si>
  <si>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</si>
  <si>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</si>
  <si>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</si>
  <si>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</si>
  <si>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</si>
  <si>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</si>
  <si>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</si>
  <si>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</si>
  <si>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</si>
  <si>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</si>
  <si>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</si>
  <si>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</si>
  <si>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</si>
  <si>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</si>
  <si>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</si>
  <si>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</si>
  <si>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</si>
  <si>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</si>
  <si>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</si>
  <si>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</si>
  <si>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</si>
  <si>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</si>
  <si>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</si>
  <si>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</si>
  <si>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</si>
  <si>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</si>
  <si>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</si>
  <si>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</si>
  <si>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</si>
  <si>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</si>
  <si>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</si>
  <si>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</si>
  <si>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</si>
  <si>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</si>
  <si>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</si>
  <si>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</si>
  <si>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</si>
  <si>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</si>
  <si>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</si>
  <si>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</si>
  <si>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</si>
  <si>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</si>
  <si>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</si>
  <si>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</si>
  <si>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</si>
  <si>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</si>
  <si>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</si>
  <si>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</si>
  <si>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</si>
  <si>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</si>
  <si>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</si>
  <si>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</si>
  <si>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</si>
  <si>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</si>
  <si>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</si>
  <si>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</si>
  <si>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</si>
  <si>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</si>
  <si>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</si>
  <si>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</si>
  <si>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</si>
  <si>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</si>
  <si>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</si>
  <si>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03/09/2026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</si>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</sst>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0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14" fontId="0" fillId="0" borderId="0" xfId="0" applyNumberFormat="1" applyFont="1" applyAlignment="1"/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7"/>
  <sheetViews>
    <sheetView workbookViewId="0">
      <selection sqref="A1:AB1"/>
    </sheetView>
  </sheetViews>
  <sheetFormatPr defaultRowHeight="14.4" x14ac:dyDescent="0.3"/>
  <cols>
    <col min="1" max="1" width="4.109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77734375" style="108" customWidth="1"/>
    <col min="7" max="7" width="5.77734375" style="108" customWidth="1"/>
    <col min="8" max="8" width="6.77734375" style="108" customWidth="1"/>
    <col min="9" max="9" width="6.5546875" style="108" customWidth="1"/>
    <col min="10" max="10" width="6.88671875" style="108" customWidth="1"/>
    <col min="11" max="11" width="8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4.5546875" style="108" customWidth="1"/>
    <col min="18" max="18" width="7.109375" style="108" customWidth="1"/>
    <col min="19" max="19" width="7.21875" style="108" customWidth="1"/>
    <col min="20" max="20" width="11.77734375" style="108" hidden="1" customWidth="1"/>
    <col min="21" max="21" width="8.77734375" style="108" hidden="1" customWidth="1"/>
    <col min="22" max="22" width="9.109375" style="108" customWidth="1"/>
    <col min="23" max="23" width="7.77734375" style="108" customWidth="1"/>
    <col min="24" max="24" width="8.21875" style="108" customWidth="1"/>
    <col min="25" max="25" width="8" style="108" customWidth="1"/>
    <col min="26" max="26" width="7.88671875" style="108" customWidth="1"/>
    <col min="27" max="27" width="4.4414062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10" t="s">
        <v>821</v>
      </c>
      <c r="B1" s="210" t="s">
        <v>27</v>
      </c>
      <c r="C1" s="210" t="s">
        <v>27</v>
      </c>
      <c r="D1" s="210" t="s">
        <v>27</v>
      </c>
      <c r="E1" s="210" t="s">
        <v>27</v>
      </c>
      <c r="F1" s="210" t="s">
        <v>27</v>
      </c>
      <c r="G1" s="210" t="s">
        <v>27</v>
      </c>
      <c r="H1" s="210" t="s">
        <v>27</v>
      </c>
      <c r="I1" s="210" t="s">
        <v>27</v>
      </c>
      <c r="J1" s="210" t="s">
        <v>27</v>
      </c>
      <c r="K1" s="210" t="s">
        <v>27</v>
      </c>
      <c r="L1" s="210" t="s">
        <v>27</v>
      </c>
      <c r="M1" s="210" t="s">
        <v>27</v>
      </c>
      <c r="N1" s="210" t="s">
        <v>27</v>
      </c>
      <c r="O1" s="210" t="s">
        <v>27</v>
      </c>
      <c r="P1" s="210" t="s">
        <v>27</v>
      </c>
      <c r="Q1" s="210" t="s">
        <v>27</v>
      </c>
      <c r="R1" s="210" t="s">
        <v>27</v>
      </c>
      <c r="S1" s="210" t="s">
        <v>27</v>
      </c>
      <c r="T1" s="210" t="s">
        <v>27</v>
      </c>
      <c r="U1" s="210" t="s">
        <v>27</v>
      </c>
      <c r="V1" s="210" t="s">
        <v>27</v>
      </c>
      <c r="W1" s="210" t="s">
        <v>27</v>
      </c>
      <c r="X1" s="210" t="s">
        <v>27</v>
      </c>
      <c r="Y1" s="210" t="s">
        <v>27</v>
      </c>
      <c r="Z1" s="210" t="s">
        <v>27</v>
      </c>
      <c r="AA1" s="210" t="s">
        <v>27</v>
      </c>
      <c r="AB1" s="210" t="s">
        <v>27</v>
      </c>
    </row>
    <row r="2" spans="1:28" ht="40.79999999999999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444</v>
      </c>
      <c r="C3" s="116" t="s">
        <v>26</v>
      </c>
      <c r="D3" s="116" t="s">
        <v>797</v>
      </c>
      <c r="E3" s="116" t="s">
        <v>27</v>
      </c>
      <c r="F3" s="116">
        <v>262676</v>
      </c>
      <c r="G3" s="116" t="s">
        <v>820</v>
      </c>
      <c r="H3" s="116">
        <v>200</v>
      </c>
      <c r="I3" s="117">
        <v>1.026</v>
      </c>
      <c r="J3" s="117">
        <v>2.0630000000000002</v>
      </c>
      <c r="K3" s="116" t="s">
        <v>34</v>
      </c>
      <c r="L3" s="113">
        <v>423.32799999999997</v>
      </c>
      <c r="M3" s="115">
        <v>412.6</v>
      </c>
      <c r="N3" s="112">
        <v>0.11459999999999999</v>
      </c>
      <c r="O3" s="114">
        <v>6.88</v>
      </c>
      <c r="P3" s="111">
        <v>227.8</v>
      </c>
      <c r="Q3" s="111">
        <v>1</v>
      </c>
      <c r="R3" s="111">
        <v>1050</v>
      </c>
      <c r="S3" s="113">
        <v>1.026</v>
      </c>
      <c r="T3" s="111">
        <v>24</v>
      </c>
      <c r="U3" s="112">
        <v>2.29E-2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819</v>
      </c>
    </row>
    <row r="4" spans="1:28" x14ac:dyDescent="0.3">
      <c r="A4" s="116">
        <v>2</v>
      </c>
      <c r="B4" s="118" t="s">
        <v>444</v>
      </c>
      <c r="C4" s="116" t="s">
        <v>36</v>
      </c>
      <c r="D4" s="116" t="s">
        <v>797</v>
      </c>
      <c r="E4" s="116" t="s">
        <v>27</v>
      </c>
      <c r="F4" s="116">
        <v>262678</v>
      </c>
      <c r="G4" s="116" t="s">
        <v>817</v>
      </c>
      <c r="H4" s="116">
        <v>250</v>
      </c>
      <c r="I4" s="117">
        <v>1.4890000000000001</v>
      </c>
      <c r="J4" s="117">
        <v>1.9890000000000001</v>
      </c>
      <c r="K4" s="116" t="s">
        <v>34</v>
      </c>
      <c r="L4" s="113">
        <v>740.40499999999997</v>
      </c>
      <c r="M4" s="115">
        <v>497.3</v>
      </c>
      <c r="N4" s="112">
        <v>0.1381</v>
      </c>
      <c r="O4" s="114">
        <v>8.2899999999999991</v>
      </c>
      <c r="P4" s="111">
        <v>233.2</v>
      </c>
      <c r="Q4" s="111">
        <v>1</v>
      </c>
      <c r="R4" s="111">
        <v>1550</v>
      </c>
      <c r="S4" s="113">
        <v>1.4890000000000001</v>
      </c>
      <c r="T4" s="111">
        <v>61</v>
      </c>
      <c r="U4" s="112">
        <v>3.9399999999999998E-2</v>
      </c>
      <c r="V4" s="111" t="s">
        <v>28</v>
      </c>
      <c r="W4" s="111" t="s">
        <v>28</v>
      </c>
      <c r="X4" s="111" t="s">
        <v>28</v>
      </c>
      <c r="Y4" s="111" t="s">
        <v>27</v>
      </c>
      <c r="Z4" s="111" t="s">
        <v>27</v>
      </c>
      <c r="AA4" s="111" t="s">
        <v>39</v>
      </c>
      <c r="AB4" s="111" t="s">
        <v>818</v>
      </c>
    </row>
    <row r="5" spans="1:28" x14ac:dyDescent="0.3">
      <c r="A5" s="116">
        <v>3</v>
      </c>
      <c r="B5" s="118" t="s">
        <v>444</v>
      </c>
      <c r="C5" s="116" t="s">
        <v>36</v>
      </c>
      <c r="D5" s="116" t="s">
        <v>797</v>
      </c>
      <c r="E5" s="116" t="s">
        <v>27</v>
      </c>
      <c r="F5" s="116">
        <v>262679</v>
      </c>
      <c r="G5" s="116" t="s">
        <v>817</v>
      </c>
      <c r="H5" s="116">
        <v>150</v>
      </c>
      <c r="I5" s="117">
        <v>1.19</v>
      </c>
      <c r="J5" s="117">
        <v>1.417</v>
      </c>
      <c r="K5" s="116" t="s">
        <v>34</v>
      </c>
      <c r="L5" s="113">
        <v>252.934</v>
      </c>
      <c r="M5" s="115">
        <v>212.6</v>
      </c>
      <c r="N5" s="112">
        <v>5.8999999999999997E-2</v>
      </c>
      <c r="O5" s="114">
        <v>3.54</v>
      </c>
      <c r="P5" s="111">
        <v>79.7</v>
      </c>
      <c r="Q5" s="111">
        <v>1</v>
      </c>
      <c r="R5" s="111">
        <v>1250</v>
      </c>
      <c r="S5" s="113">
        <v>1.19</v>
      </c>
      <c r="T5" s="111">
        <v>60</v>
      </c>
      <c r="U5" s="112">
        <v>4.8000000000000001E-2</v>
      </c>
      <c r="V5" s="111" t="s">
        <v>28</v>
      </c>
      <c r="W5" s="111" t="s">
        <v>28</v>
      </c>
      <c r="X5" s="111" t="s">
        <v>28</v>
      </c>
      <c r="Y5" s="111" t="s">
        <v>27</v>
      </c>
      <c r="Z5" s="111" t="s">
        <v>27</v>
      </c>
      <c r="AA5" s="111" t="s">
        <v>39</v>
      </c>
      <c r="AB5" s="111" t="s">
        <v>816</v>
      </c>
    </row>
    <row r="6" spans="1:28" x14ac:dyDescent="0.3">
      <c r="A6" s="116">
        <v>4</v>
      </c>
      <c r="B6" s="118" t="s">
        <v>444</v>
      </c>
      <c r="C6" s="116" t="s">
        <v>43</v>
      </c>
      <c r="D6" s="116" t="s">
        <v>797</v>
      </c>
      <c r="E6" s="116" t="s">
        <v>27</v>
      </c>
      <c r="F6" s="116">
        <v>262677</v>
      </c>
      <c r="G6" s="116" t="s">
        <v>815</v>
      </c>
      <c r="H6" s="116">
        <v>1000</v>
      </c>
      <c r="I6" s="117">
        <v>0.8</v>
      </c>
      <c r="J6" s="117">
        <v>1.171</v>
      </c>
      <c r="K6" s="116" t="s">
        <v>34</v>
      </c>
      <c r="L6" s="113">
        <v>936.8</v>
      </c>
      <c r="M6" s="115">
        <v>1171</v>
      </c>
      <c r="N6" s="112">
        <v>0.32529999999999998</v>
      </c>
      <c r="O6" s="114">
        <v>19.52</v>
      </c>
      <c r="P6" s="111">
        <v>323.2</v>
      </c>
      <c r="Q6" s="111">
        <v>1</v>
      </c>
      <c r="R6" s="111">
        <v>850</v>
      </c>
      <c r="S6" s="113">
        <v>0.8</v>
      </c>
      <c r="T6" s="111">
        <v>50</v>
      </c>
      <c r="U6" s="112">
        <v>5.8799999999999998E-2</v>
      </c>
      <c r="V6" s="111" t="s">
        <v>29</v>
      </c>
      <c r="W6" s="111" t="s">
        <v>29</v>
      </c>
      <c r="X6" s="111" t="s">
        <v>28</v>
      </c>
      <c r="Y6" s="111" t="s">
        <v>27</v>
      </c>
      <c r="Z6" s="111" t="s">
        <v>27</v>
      </c>
      <c r="AA6" s="111" t="s">
        <v>33</v>
      </c>
      <c r="AB6" s="111" t="s">
        <v>814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1600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863.8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6"/>
  <sheetViews>
    <sheetView workbookViewId="0">
      <selection activeCell="X21" sqref="X21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6.21875" style="108" customWidth="1"/>
    <col min="4" max="4" width="11.77734375" style="108" hidden="1" customWidth="1"/>
    <col min="5" max="5" width="9" style="108" customWidth="1"/>
    <col min="6" max="6" width="7.33203125" style="108" customWidth="1"/>
    <col min="7" max="7" width="4.5546875" style="108" customWidth="1"/>
    <col min="8" max="8" width="5.88671875" style="108" customWidth="1"/>
    <col min="9" max="10" width="6.6640625" style="108" customWidth="1"/>
    <col min="11" max="11" width="12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33203125" style="108" customWidth="1"/>
    <col min="18" max="18" width="4.77734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2" width="8.109375" style="108" customWidth="1"/>
    <col min="23" max="24" width="7.5546875" style="108" customWidth="1"/>
    <col min="25" max="26" width="7.109375" style="108" customWidth="1"/>
    <col min="27" max="27" width="4.2187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10" t="s">
        <v>803</v>
      </c>
      <c r="B1" s="210" t="s">
        <v>27</v>
      </c>
      <c r="C1" s="210" t="s">
        <v>27</v>
      </c>
      <c r="D1" s="210" t="s">
        <v>27</v>
      </c>
      <c r="E1" s="210" t="s">
        <v>27</v>
      </c>
      <c r="F1" s="210" t="s">
        <v>27</v>
      </c>
      <c r="G1" s="210" t="s">
        <v>27</v>
      </c>
      <c r="H1" s="210" t="s">
        <v>27</v>
      </c>
      <c r="I1" s="210" t="s">
        <v>27</v>
      </c>
      <c r="J1" s="210" t="s">
        <v>27</v>
      </c>
      <c r="K1" s="210" t="s">
        <v>27</v>
      </c>
      <c r="L1" s="210" t="s">
        <v>27</v>
      </c>
      <c r="M1" s="210" t="s">
        <v>27</v>
      </c>
      <c r="N1" s="210" t="s">
        <v>27</v>
      </c>
      <c r="O1" s="210" t="s">
        <v>27</v>
      </c>
      <c r="P1" s="210" t="s">
        <v>27</v>
      </c>
      <c r="Q1" s="210" t="s">
        <v>27</v>
      </c>
      <c r="R1" s="210" t="s">
        <v>27</v>
      </c>
      <c r="S1" s="210" t="s">
        <v>27</v>
      </c>
      <c r="T1" s="210" t="s">
        <v>27</v>
      </c>
      <c r="U1" s="210" t="s">
        <v>27</v>
      </c>
      <c r="V1" s="210" t="s">
        <v>27</v>
      </c>
      <c r="W1" s="210" t="s">
        <v>27</v>
      </c>
      <c r="X1" s="210" t="s">
        <v>27</v>
      </c>
      <c r="Y1" s="210" t="s">
        <v>27</v>
      </c>
      <c r="Z1" s="210" t="s">
        <v>27</v>
      </c>
      <c r="AA1" s="210" t="s">
        <v>27</v>
      </c>
      <c r="AB1" s="21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798</v>
      </c>
      <c r="C3" s="116" t="s">
        <v>45</v>
      </c>
      <c r="D3" s="116" t="s">
        <v>797</v>
      </c>
      <c r="E3" s="116" t="s">
        <v>27</v>
      </c>
      <c r="F3" s="116">
        <v>262670</v>
      </c>
      <c r="G3" s="116" t="s">
        <v>796</v>
      </c>
      <c r="H3" s="116">
        <v>1050</v>
      </c>
      <c r="I3" s="117">
        <v>0.56899999999999995</v>
      </c>
      <c r="J3" s="117">
        <v>1.33</v>
      </c>
      <c r="K3" s="116" t="s">
        <v>802</v>
      </c>
      <c r="L3" s="113">
        <v>794.60799999999995</v>
      </c>
      <c r="M3" s="115">
        <v>698.3</v>
      </c>
      <c r="N3" s="112">
        <v>9.7000000000000003E-2</v>
      </c>
      <c r="O3" s="114">
        <v>5.82</v>
      </c>
      <c r="P3" s="111">
        <v>451.3</v>
      </c>
      <c r="Q3" s="111">
        <v>2</v>
      </c>
      <c r="R3" s="111">
        <v>1200</v>
      </c>
      <c r="S3" s="113">
        <v>1.1379999999999999</v>
      </c>
      <c r="T3" s="111">
        <v>62</v>
      </c>
      <c r="U3" s="112">
        <v>5.1700000000000003E-2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30</v>
      </c>
      <c r="AB3" s="111" t="s">
        <v>801</v>
      </c>
    </row>
    <row r="4" spans="1:28" x14ac:dyDescent="0.3">
      <c r="A4" s="116">
        <v>2</v>
      </c>
      <c r="B4" s="118" t="s">
        <v>798</v>
      </c>
      <c r="C4" s="116" t="s">
        <v>45</v>
      </c>
      <c r="D4" s="116" t="s">
        <v>797</v>
      </c>
      <c r="E4" s="116" t="s">
        <v>27</v>
      </c>
      <c r="F4" s="116">
        <v>262669</v>
      </c>
      <c r="G4" s="116" t="s">
        <v>796</v>
      </c>
      <c r="H4" s="116">
        <v>3100</v>
      </c>
      <c r="I4" s="117">
        <v>1.119</v>
      </c>
      <c r="J4" s="117">
        <v>1.67</v>
      </c>
      <c r="K4" s="116" t="s">
        <v>800</v>
      </c>
      <c r="L4" s="113">
        <v>5793.0630000000001</v>
      </c>
      <c r="M4" s="115">
        <v>5177</v>
      </c>
      <c r="N4" s="112">
        <v>1.4380999999999999</v>
      </c>
      <c r="O4" s="114">
        <v>86.28</v>
      </c>
      <c r="P4" s="111">
        <v>3290.5</v>
      </c>
      <c r="Q4" s="111">
        <v>1</v>
      </c>
      <c r="R4" s="111">
        <v>1150</v>
      </c>
      <c r="S4" s="113">
        <v>1.119</v>
      </c>
      <c r="T4" s="111">
        <v>31</v>
      </c>
      <c r="U4" s="112">
        <v>2.7E-2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71</v>
      </c>
      <c r="AB4" s="111" t="s">
        <v>799</v>
      </c>
    </row>
    <row r="5" spans="1:28" x14ac:dyDescent="0.3">
      <c r="A5" s="116">
        <v>3</v>
      </c>
      <c r="B5" s="118" t="s">
        <v>798</v>
      </c>
      <c r="C5" s="116" t="s">
        <v>45</v>
      </c>
      <c r="D5" s="116" t="s">
        <v>797</v>
      </c>
      <c r="E5" s="116" t="s">
        <v>27</v>
      </c>
      <c r="F5" s="116">
        <v>262668</v>
      </c>
      <c r="G5" s="116" t="s">
        <v>796</v>
      </c>
      <c r="H5" s="116">
        <v>4200</v>
      </c>
      <c r="I5" s="117">
        <v>0.879</v>
      </c>
      <c r="J5" s="117">
        <v>1.48</v>
      </c>
      <c r="K5" s="116" t="s">
        <v>795</v>
      </c>
      <c r="L5" s="113">
        <v>5463.8639999999996</v>
      </c>
      <c r="M5" s="115">
        <v>6216</v>
      </c>
      <c r="N5" s="112">
        <v>1.7266999999999999</v>
      </c>
      <c r="O5" s="114">
        <v>103.6</v>
      </c>
      <c r="P5" s="111">
        <v>3103.5</v>
      </c>
      <c r="Q5" s="111">
        <v>1</v>
      </c>
      <c r="R5" s="111">
        <v>900</v>
      </c>
      <c r="S5" s="113">
        <v>0.879</v>
      </c>
      <c r="T5" s="111">
        <v>21</v>
      </c>
      <c r="U5" s="112">
        <v>2.3300000000000001E-2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794</v>
      </c>
      <c r="AB5" s="111" t="s">
        <v>793</v>
      </c>
    </row>
    <row r="6" spans="1:28" x14ac:dyDescent="0.3">
      <c r="A6" s="110" t="s">
        <v>27</v>
      </c>
      <c r="B6" s="110" t="s">
        <v>27</v>
      </c>
      <c r="C6" s="110" t="s">
        <v>27</v>
      </c>
      <c r="D6" s="110" t="s">
        <v>27</v>
      </c>
      <c r="E6" s="110" t="s">
        <v>27</v>
      </c>
      <c r="F6" s="110" t="s">
        <v>27</v>
      </c>
      <c r="G6" s="110" t="s">
        <v>27</v>
      </c>
      <c r="H6" s="110">
        <v>8350</v>
      </c>
      <c r="I6" s="110" t="s">
        <v>27</v>
      </c>
      <c r="J6" s="110" t="s">
        <v>27</v>
      </c>
      <c r="K6" s="110" t="s">
        <v>27</v>
      </c>
      <c r="L6" s="109" t="s">
        <v>27</v>
      </c>
      <c r="M6" s="109" t="s">
        <v>27</v>
      </c>
      <c r="N6" s="109" t="s">
        <v>27</v>
      </c>
      <c r="O6" s="109" t="s">
        <v>27</v>
      </c>
      <c r="P6" s="109">
        <v>6845.3</v>
      </c>
      <c r="Q6" s="109" t="s">
        <v>27</v>
      </c>
      <c r="R6" s="109" t="s">
        <v>27</v>
      </c>
      <c r="S6" s="109" t="s">
        <v>27</v>
      </c>
      <c r="T6" s="109" t="s">
        <v>27</v>
      </c>
      <c r="U6" s="109" t="s">
        <v>27</v>
      </c>
      <c r="V6" s="109" t="s">
        <v>27</v>
      </c>
      <c r="W6" s="109" t="s">
        <v>27</v>
      </c>
      <c r="X6" s="109" t="s">
        <v>27</v>
      </c>
      <c r="Y6" s="109" t="s">
        <v>27</v>
      </c>
      <c r="Z6" s="109" t="s">
        <v>27</v>
      </c>
      <c r="AA6" s="109" t="s">
        <v>27</v>
      </c>
      <c r="AB6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7" workbookViewId="0">
      <selection sqref="A1:AB1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77734375" style="108" customWidth="1"/>
    <col min="6" max="6" width="7" style="108" customWidth="1"/>
    <col min="7" max="7" width="8.6640625" style="108" customWidth="1"/>
    <col min="8" max="8" width="7.6640625" style="108" customWidth="1"/>
    <col min="9" max="9" width="6.5546875" style="108" customWidth="1"/>
    <col min="10" max="10" width="6.777343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109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3" width="7.5546875" style="108" customWidth="1"/>
    <col min="24" max="24" width="7.44140625" style="108" customWidth="1"/>
    <col min="25" max="25" width="8.109375" style="108" customWidth="1"/>
    <col min="26" max="26" width="7.77734375" style="108" customWidth="1"/>
    <col min="27" max="27" width="4.109375" style="108" customWidth="1"/>
    <col min="28" max="28" width="11.21875" style="108" customWidth="1"/>
    <col min="29" max="16384" width="8.88671875" style="108"/>
  </cols>
  <sheetData>
    <row r="1" spans="1:28" ht="18" customHeight="1" x14ac:dyDescent="0.35">
      <c r="A1" s="210" t="s">
        <v>789</v>
      </c>
      <c r="B1" s="210" t="s">
        <v>27</v>
      </c>
      <c r="C1" s="210" t="s">
        <v>27</v>
      </c>
      <c r="D1" s="210" t="s">
        <v>27</v>
      </c>
      <c r="E1" s="210" t="s">
        <v>27</v>
      </c>
      <c r="F1" s="210" t="s">
        <v>27</v>
      </c>
      <c r="G1" s="210" t="s">
        <v>27</v>
      </c>
      <c r="H1" s="210" t="s">
        <v>27</v>
      </c>
      <c r="I1" s="210" t="s">
        <v>27</v>
      </c>
      <c r="J1" s="210" t="s">
        <v>27</v>
      </c>
      <c r="K1" s="210" t="s">
        <v>27</v>
      </c>
      <c r="L1" s="210" t="s">
        <v>27</v>
      </c>
      <c r="M1" s="210" t="s">
        <v>27</v>
      </c>
      <c r="N1" s="210" t="s">
        <v>27</v>
      </c>
      <c r="O1" s="210" t="s">
        <v>27</v>
      </c>
      <c r="P1" s="210" t="s">
        <v>27</v>
      </c>
      <c r="Q1" s="210" t="s">
        <v>27</v>
      </c>
      <c r="R1" s="210" t="s">
        <v>27</v>
      </c>
      <c r="S1" s="210" t="s">
        <v>27</v>
      </c>
      <c r="T1" s="210" t="s">
        <v>27</v>
      </c>
      <c r="U1" s="210" t="s">
        <v>27</v>
      </c>
      <c r="V1" s="210" t="s">
        <v>27</v>
      </c>
      <c r="W1" s="210" t="s">
        <v>27</v>
      </c>
      <c r="X1" s="210" t="s">
        <v>27</v>
      </c>
      <c r="Y1" s="210" t="s">
        <v>27</v>
      </c>
      <c r="Z1" s="210" t="s">
        <v>27</v>
      </c>
      <c r="AA1" s="210" t="s">
        <v>27</v>
      </c>
      <c r="AB1" s="210" t="s">
        <v>27</v>
      </c>
    </row>
    <row r="2" spans="1:28" ht="59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66</v>
      </c>
      <c r="C3" s="150" t="s">
        <v>26</v>
      </c>
      <c r="D3" s="150" t="s">
        <v>776</v>
      </c>
      <c r="E3" s="150" t="s">
        <v>27</v>
      </c>
      <c r="F3" s="150">
        <v>262658</v>
      </c>
      <c r="G3" s="150" t="s">
        <v>775</v>
      </c>
      <c r="H3" s="150">
        <v>300</v>
      </c>
      <c r="I3" s="152">
        <v>1.1539999999999999</v>
      </c>
      <c r="J3" s="152">
        <v>1.9710000000000001</v>
      </c>
      <c r="K3" s="150" t="s">
        <v>367</v>
      </c>
      <c r="L3" s="152">
        <v>682.36</v>
      </c>
      <c r="M3" s="153">
        <v>591.29999999999995</v>
      </c>
      <c r="N3" s="154">
        <v>0.1643</v>
      </c>
      <c r="O3" s="155">
        <v>9.86</v>
      </c>
      <c r="P3" s="150">
        <v>367.1</v>
      </c>
      <c r="Q3" s="150">
        <v>1</v>
      </c>
      <c r="R3" s="150">
        <v>1200</v>
      </c>
      <c r="S3" s="152">
        <v>1.1539999999999999</v>
      </c>
      <c r="T3" s="150">
        <v>46</v>
      </c>
      <c r="U3" s="154">
        <v>3.8300000000000001E-2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33</v>
      </c>
      <c r="AB3" s="150" t="s">
        <v>366</v>
      </c>
    </row>
    <row r="4" spans="1:28" s="156" customFormat="1" ht="25.05" customHeight="1" x14ac:dyDescent="0.3">
      <c r="A4" s="150">
        <v>2</v>
      </c>
      <c r="B4" s="151" t="s">
        <v>66</v>
      </c>
      <c r="C4" s="150" t="s">
        <v>36</v>
      </c>
      <c r="D4" s="150" t="s">
        <v>776</v>
      </c>
      <c r="E4" s="150" t="s">
        <v>27</v>
      </c>
      <c r="F4" s="150">
        <v>262656</v>
      </c>
      <c r="G4" s="150" t="s">
        <v>775</v>
      </c>
      <c r="H4" s="150">
        <v>1000</v>
      </c>
      <c r="I4" s="152">
        <v>0.76200000000000001</v>
      </c>
      <c r="J4" s="152">
        <v>0.69299999999999995</v>
      </c>
      <c r="K4" s="150" t="s">
        <v>788</v>
      </c>
      <c r="L4" s="152">
        <v>528.06600000000003</v>
      </c>
      <c r="M4" s="153">
        <v>346.5</v>
      </c>
      <c r="N4" s="154">
        <v>4.8099999999999997E-2</v>
      </c>
      <c r="O4" s="155">
        <v>2.89</v>
      </c>
      <c r="P4" s="150">
        <v>166.3</v>
      </c>
      <c r="Q4" s="150">
        <v>2</v>
      </c>
      <c r="R4" s="150">
        <v>1550</v>
      </c>
      <c r="S4" s="152">
        <v>1.524</v>
      </c>
      <c r="T4" s="150">
        <v>26</v>
      </c>
      <c r="U4" s="154">
        <v>1.6799999999999999E-2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787</v>
      </c>
    </row>
    <row r="5" spans="1:28" s="156" customFormat="1" ht="25.05" customHeight="1" x14ac:dyDescent="0.3">
      <c r="A5" s="150">
        <v>3</v>
      </c>
      <c r="B5" s="151" t="s">
        <v>66</v>
      </c>
      <c r="C5" s="150" t="s">
        <v>36</v>
      </c>
      <c r="D5" s="150" t="s">
        <v>776</v>
      </c>
      <c r="E5" s="150" t="s">
        <v>27</v>
      </c>
      <c r="F5" s="150">
        <v>262651</v>
      </c>
      <c r="G5" s="150" t="s">
        <v>775</v>
      </c>
      <c r="H5" s="150">
        <v>400</v>
      </c>
      <c r="I5" s="152">
        <v>0.48799999999999999</v>
      </c>
      <c r="J5" s="152">
        <v>1.2689999999999999</v>
      </c>
      <c r="K5" s="150" t="s">
        <v>34</v>
      </c>
      <c r="L5" s="152">
        <v>247.709</v>
      </c>
      <c r="M5" s="153">
        <v>169.2</v>
      </c>
      <c r="N5" s="154">
        <v>1.5699999999999999E-2</v>
      </c>
      <c r="O5" s="155">
        <v>0.94</v>
      </c>
      <c r="P5" s="150">
        <v>78</v>
      </c>
      <c r="Q5" s="150">
        <v>3</v>
      </c>
      <c r="R5" s="150">
        <v>1500</v>
      </c>
      <c r="S5" s="152">
        <v>1.464</v>
      </c>
      <c r="T5" s="150">
        <v>36</v>
      </c>
      <c r="U5" s="154">
        <v>2.4E-2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786</v>
      </c>
    </row>
    <row r="6" spans="1:28" s="156" customFormat="1" ht="25.05" customHeight="1" x14ac:dyDescent="0.3">
      <c r="A6" s="150">
        <v>4</v>
      </c>
      <c r="B6" s="151" t="s">
        <v>66</v>
      </c>
      <c r="C6" s="150" t="s">
        <v>36</v>
      </c>
      <c r="D6" s="150" t="s">
        <v>776</v>
      </c>
      <c r="E6" s="150" t="s">
        <v>27</v>
      </c>
      <c r="F6" s="150">
        <v>262653</v>
      </c>
      <c r="G6" s="150" t="s">
        <v>775</v>
      </c>
      <c r="H6" s="150">
        <v>400</v>
      </c>
      <c r="I6" s="152">
        <v>0.46800000000000003</v>
      </c>
      <c r="J6" s="152">
        <v>1.1890000000000001</v>
      </c>
      <c r="K6" s="150" t="s">
        <v>34</v>
      </c>
      <c r="L6" s="152">
        <v>222.58099999999999</v>
      </c>
      <c r="M6" s="153">
        <v>158.5</v>
      </c>
      <c r="N6" s="154">
        <v>1.47E-2</v>
      </c>
      <c r="O6" s="155">
        <v>0.88</v>
      </c>
      <c r="P6" s="150">
        <v>70.099999999999994</v>
      </c>
      <c r="Q6" s="150">
        <v>3</v>
      </c>
      <c r="R6" s="150">
        <v>1450</v>
      </c>
      <c r="S6" s="152">
        <v>1.4039999999999999</v>
      </c>
      <c r="T6" s="150">
        <v>46</v>
      </c>
      <c r="U6" s="154">
        <v>3.1699999999999999E-2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39</v>
      </c>
      <c r="AB6" s="150" t="s">
        <v>785</v>
      </c>
    </row>
    <row r="7" spans="1:28" s="156" customFormat="1" ht="25.05" customHeight="1" x14ac:dyDescent="0.3">
      <c r="A7" s="150">
        <v>5</v>
      </c>
      <c r="B7" s="151" t="s">
        <v>66</v>
      </c>
      <c r="C7" s="150" t="s">
        <v>36</v>
      </c>
      <c r="D7" s="150" t="s">
        <v>776</v>
      </c>
      <c r="E7" s="150" t="s">
        <v>27</v>
      </c>
      <c r="F7" s="150">
        <v>262654</v>
      </c>
      <c r="G7" s="150" t="s">
        <v>775</v>
      </c>
      <c r="H7" s="150">
        <v>600</v>
      </c>
      <c r="I7" s="152">
        <v>0.66400000000000003</v>
      </c>
      <c r="J7" s="152">
        <v>1.2490000000000001</v>
      </c>
      <c r="K7" s="150" t="s">
        <v>784</v>
      </c>
      <c r="L7" s="152">
        <v>497.60199999999998</v>
      </c>
      <c r="M7" s="153">
        <v>374.7</v>
      </c>
      <c r="N7" s="154">
        <v>5.1999999999999998E-2</v>
      </c>
      <c r="O7" s="155">
        <v>3.12</v>
      </c>
      <c r="P7" s="150">
        <v>156.69999999999999</v>
      </c>
      <c r="Q7" s="150">
        <v>2</v>
      </c>
      <c r="R7" s="150">
        <v>1350</v>
      </c>
      <c r="S7" s="152">
        <v>1.3280000000000001</v>
      </c>
      <c r="T7" s="150">
        <v>22</v>
      </c>
      <c r="U7" s="154">
        <v>1.6299999999999999E-2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783</v>
      </c>
    </row>
    <row r="8" spans="1:28" s="156" customFormat="1" ht="25.05" customHeight="1" x14ac:dyDescent="0.3">
      <c r="A8" s="150">
        <v>6</v>
      </c>
      <c r="B8" s="151" t="s">
        <v>66</v>
      </c>
      <c r="C8" s="150" t="s">
        <v>36</v>
      </c>
      <c r="D8" s="150" t="s">
        <v>776</v>
      </c>
      <c r="E8" s="150" t="s">
        <v>27</v>
      </c>
      <c r="F8" s="150">
        <v>262657</v>
      </c>
      <c r="G8" s="150" t="s">
        <v>775</v>
      </c>
      <c r="H8" s="150">
        <v>600</v>
      </c>
      <c r="I8" s="152">
        <v>1.1519999999999999</v>
      </c>
      <c r="J8" s="152">
        <v>0.69299999999999995</v>
      </c>
      <c r="K8" s="150" t="s">
        <v>782</v>
      </c>
      <c r="L8" s="152">
        <v>479.00200000000001</v>
      </c>
      <c r="M8" s="153">
        <v>415.8</v>
      </c>
      <c r="N8" s="154">
        <v>0.11550000000000001</v>
      </c>
      <c r="O8" s="155">
        <v>6.93</v>
      </c>
      <c r="P8" s="150">
        <v>150.9</v>
      </c>
      <c r="Q8" s="150">
        <v>1</v>
      </c>
      <c r="R8" s="150">
        <v>1200</v>
      </c>
      <c r="S8" s="152">
        <v>1.1519999999999999</v>
      </c>
      <c r="T8" s="150">
        <v>48</v>
      </c>
      <c r="U8" s="154">
        <v>0.04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39</v>
      </c>
      <c r="AB8" s="150" t="s">
        <v>781</v>
      </c>
    </row>
    <row r="9" spans="1:28" s="156" customFormat="1" ht="25.05" customHeight="1" x14ac:dyDescent="0.3">
      <c r="A9" s="150">
        <v>7</v>
      </c>
      <c r="B9" s="151" t="s">
        <v>66</v>
      </c>
      <c r="C9" s="150" t="s">
        <v>36</v>
      </c>
      <c r="D9" s="150" t="s">
        <v>776</v>
      </c>
      <c r="E9" s="150" t="s">
        <v>27</v>
      </c>
      <c r="F9" s="150">
        <v>262655</v>
      </c>
      <c r="G9" s="150" t="s">
        <v>775</v>
      </c>
      <c r="H9" s="150">
        <v>2500</v>
      </c>
      <c r="I9" s="152">
        <v>0.38400000000000001</v>
      </c>
      <c r="J9" s="152">
        <v>0.58299999999999996</v>
      </c>
      <c r="K9" s="150" t="s">
        <v>34</v>
      </c>
      <c r="L9" s="152">
        <v>559.67999999999995</v>
      </c>
      <c r="M9" s="153">
        <v>485.8</v>
      </c>
      <c r="N9" s="154">
        <v>4.4999999999999998E-2</v>
      </c>
      <c r="O9" s="155">
        <v>2.7</v>
      </c>
      <c r="P9" s="150">
        <v>176.3</v>
      </c>
      <c r="Q9" s="150">
        <v>3</v>
      </c>
      <c r="R9" s="150">
        <v>1200</v>
      </c>
      <c r="S9" s="152">
        <v>1.1519999999999999</v>
      </c>
      <c r="T9" s="150">
        <v>48</v>
      </c>
      <c r="U9" s="154">
        <v>0.04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39</v>
      </c>
      <c r="AB9" s="150" t="s">
        <v>780</v>
      </c>
    </row>
    <row r="10" spans="1:28" s="156" customFormat="1" ht="25.05" customHeight="1" x14ac:dyDescent="0.3">
      <c r="A10" s="150">
        <v>8</v>
      </c>
      <c r="B10" s="151" t="s">
        <v>66</v>
      </c>
      <c r="C10" s="150" t="s">
        <v>36</v>
      </c>
      <c r="D10" s="150" t="s">
        <v>776</v>
      </c>
      <c r="E10" s="150" t="s">
        <v>27</v>
      </c>
      <c r="F10" s="150">
        <v>262652</v>
      </c>
      <c r="G10" s="150" t="s">
        <v>775</v>
      </c>
      <c r="H10" s="150">
        <v>400</v>
      </c>
      <c r="I10" s="152">
        <v>0.52800000000000002</v>
      </c>
      <c r="J10" s="152">
        <v>1.149</v>
      </c>
      <c r="K10" s="150" t="s">
        <v>34</v>
      </c>
      <c r="L10" s="152">
        <v>242.66900000000001</v>
      </c>
      <c r="M10" s="153">
        <v>229.8</v>
      </c>
      <c r="N10" s="154">
        <v>3.1899999999999998E-2</v>
      </c>
      <c r="O10" s="155">
        <v>1.92</v>
      </c>
      <c r="P10" s="150">
        <v>76.400000000000006</v>
      </c>
      <c r="Q10" s="150">
        <v>2</v>
      </c>
      <c r="R10" s="150">
        <v>1100</v>
      </c>
      <c r="S10" s="152">
        <v>1.056</v>
      </c>
      <c r="T10" s="150">
        <v>44</v>
      </c>
      <c r="U10" s="154">
        <v>0.04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779</v>
      </c>
    </row>
    <row r="11" spans="1:28" s="156" customFormat="1" ht="25.05" customHeight="1" x14ac:dyDescent="0.3">
      <c r="A11" s="150">
        <v>9</v>
      </c>
      <c r="B11" s="151" t="s">
        <v>66</v>
      </c>
      <c r="C11" s="150" t="s">
        <v>36</v>
      </c>
      <c r="D11" s="150" t="s">
        <v>776</v>
      </c>
      <c r="E11" s="150" t="s">
        <v>27</v>
      </c>
      <c r="F11" s="150">
        <v>262660</v>
      </c>
      <c r="G11" s="150" t="s">
        <v>775</v>
      </c>
      <c r="H11" s="150">
        <v>1500</v>
      </c>
      <c r="I11" s="152">
        <v>0.42399999999999999</v>
      </c>
      <c r="J11" s="152">
        <v>0.78900000000000003</v>
      </c>
      <c r="K11" s="150" t="s">
        <v>778</v>
      </c>
      <c r="L11" s="152">
        <v>501.80399999999997</v>
      </c>
      <c r="M11" s="153">
        <v>591.79999999999995</v>
      </c>
      <c r="N11" s="154">
        <v>8.2199999999999995E-2</v>
      </c>
      <c r="O11" s="155">
        <v>4.93</v>
      </c>
      <c r="P11" s="150">
        <v>158.1</v>
      </c>
      <c r="Q11" s="150">
        <v>2</v>
      </c>
      <c r="R11" s="150">
        <v>900</v>
      </c>
      <c r="S11" s="152">
        <v>0.84799999999999998</v>
      </c>
      <c r="T11" s="150">
        <v>52</v>
      </c>
      <c r="U11" s="154">
        <v>5.7799999999999997E-2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39</v>
      </c>
      <c r="AB11" s="150" t="s">
        <v>777</v>
      </c>
    </row>
    <row r="12" spans="1:28" s="156" customFormat="1" ht="25.05" customHeight="1" x14ac:dyDescent="0.3">
      <c r="A12" s="150">
        <v>10</v>
      </c>
      <c r="B12" s="151" t="s">
        <v>66</v>
      </c>
      <c r="C12" s="150" t="s">
        <v>36</v>
      </c>
      <c r="D12" s="150" t="s">
        <v>776</v>
      </c>
      <c r="E12" s="150" t="s">
        <v>27</v>
      </c>
      <c r="F12" s="150">
        <v>262659</v>
      </c>
      <c r="G12" s="150" t="s">
        <v>775</v>
      </c>
      <c r="H12" s="150">
        <v>3000</v>
      </c>
      <c r="I12" s="152">
        <v>0.36799999999999999</v>
      </c>
      <c r="J12" s="152">
        <v>0.72899999999999998</v>
      </c>
      <c r="K12" s="150" t="s">
        <v>774</v>
      </c>
      <c r="L12" s="152">
        <v>804.81600000000003</v>
      </c>
      <c r="M12" s="153">
        <v>1093.5</v>
      </c>
      <c r="N12" s="154">
        <v>0.15190000000000001</v>
      </c>
      <c r="O12" s="155">
        <v>9.11</v>
      </c>
      <c r="P12" s="150">
        <v>253.5</v>
      </c>
      <c r="Q12" s="150">
        <v>2</v>
      </c>
      <c r="R12" s="150">
        <v>800</v>
      </c>
      <c r="S12" s="152">
        <v>0.73599999999999999</v>
      </c>
      <c r="T12" s="150">
        <v>64</v>
      </c>
      <c r="U12" s="154">
        <v>0.08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773</v>
      </c>
    </row>
    <row r="13" spans="1:28" s="156" customFormat="1" ht="25.05" customHeight="1" x14ac:dyDescent="0.3">
      <c r="A13" s="157" t="s">
        <v>27</v>
      </c>
      <c r="B13" s="157" t="s">
        <v>27</v>
      </c>
      <c r="C13" s="157" t="s">
        <v>27</v>
      </c>
      <c r="D13" s="157" t="s">
        <v>27</v>
      </c>
      <c r="E13" s="157" t="s">
        <v>27</v>
      </c>
      <c r="F13" s="157" t="s">
        <v>27</v>
      </c>
      <c r="G13" s="157" t="s">
        <v>27</v>
      </c>
      <c r="H13" s="157">
        <v>10700</v>
      </c>
      <c r="I13" s="157" t="s">
        <v>27</v>
      </c>
      <c r="J13" s="157" t="s">
        <v>27</v>
      </c>
      <c r="K13" s="157" t="s">
        <v>27</v>
      </c>
      <c r="L13" s="157" t="s">
        <v>27</v>
      </c>
      <c r="M13" s="157" t="s">
        <v>27</v>
      </c>
      <c r="N13" s="157" t="s">
        <v>27</v>
      </c>
      <c r="O13" s="157" t="s">
        <v>27</v>
      </c>
      <c r="P13" s="157">
        <v>1653.5</v>
      </c>
      <c r="Q13" s="157" t="s">
        <v>27</v>
      </c>
      <c r="R13" s="157" t="s">
        <v>27</v>
      </c>
      <c r="S13" s="157" t="s">
        <v>27</v>
      </c>
      <c r="T13" s="157" t="s">
        <v>27</v>
      </c>
      <c r="U13" s="157" t="s">
        <v>27</v>
      </c>
      <c r="V13" s="157" t="s">
        <v>27</v>
      </c>
      <c r="W13" s="157" t="s">
        <v>27</v>
      </c>
      <c r="X13" s="157" t="s">
        <v>27</v>
      </c>
      <c r="Y13" s="157" t="s">
        <v>27</v>
      </c>
      <c r="Z13" s="157" t="s">
        <v>27</v>
      </c>
      <c r="AA13" s="157" t="s">
        <v>27</v>
      </c>
      <c r="AB13" s="157" t="s">
        <v>27</v>
      </c>
    </row>
    <row r="14" spans="1:28" s="156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108" customWidth="1"/>
    <col min="2" max="2" width="20.77734375" style="108" hidden="1" customWidth="1"/>
    <col min="3" max="3" width="5.6640625" style="108" customWidth="1"/>
    <col min="4" max="4" width="11.77734375" style="108" hidden="1" customWidth="1"/>
    <col min="5" max="5" width="9.109375" style="108" customWidth="1"/>
    <col min="6" max="6" width="7.21875" style="108" customWidth="1"/>
    <col min="7" max="7" width="6.21875" style="108" customWidth="1"/>
    <col min="8" max="8" width="6" style="108" customWidth="1"/>
    <col min="9" max="9" width="6.5546875" style="108" customWidth="1"/>
    <col min="10" max="10" width="6.44140625" style="108" customWidth="1"/>
    <col min="11" max="11" width="12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77734375" style="108" customWidth="1"/>
    <col min="17" max="17" width="3.6640625" style="108" customWidth="1"/>
    <col min="18" max="18" width="5.6640625" style="108" customWidth="1"/>
    <col min="19" max="19" width="5.33203125" style="108" customWidth="1"/>
    <col min="20" max="20" width="11.77734375" style="108" hidden="1" customWidth="1"/>
    <col min="21" max="21" width="8.77734375" style="108" hidden="1" customWidth="1"/>
    <col min="22" max="22" width="7.109375" style="108" customWidth="1"/>
    <col min="23" max="23" width="6.88671875" style="108" customWidth="1"/>
    <col min="24" max="24" width="7.21875" style="108" customWidth="1"/>
    <col min="25" max="25" width="7.33203125" style="108" customWidth="1"/>
    <col min="26" max="26" width="7.5546875" style="108" customWidth="1"/>
    <col min="27" max="27" width="3.5546875" style="108" customWidth="1"/>
    <col min="28" max="28" width="9.77734375" style="108" customWidth="1"/>
    <col min="29" max="16384" width="8.88671875" style="108"/>
  </cols>
  <sheetData>
    <row r="1" spans="1:28" ht="18" customHeight="1" x14ac:dyDescent="0.35">
      <c r="A1" s="210" t="s">
        <v>772</v>
      </c>
      <c r="B1" s="210" t="s">
        <v>27</v>
      </c>
      <c r="C1" s="210" t="s">
        <v>27</v>
      </c>
      <c r="D1" s="210" t="s">
        <v>27</v>
      </c>
      <c r="E1" s="210" t="s">
        <v>27</v>
      </c>
      <c r="F1" s="210" t="s">
        <v>27</v>
      </c>
      <c r="G1" s="210" t="s">
        <v>27</v>
      </c>
      <c r="H1" s="210" t="s">
        <v>27</v>
      </c>
      <c r="I1" s="210" t="s">
        <v>27</v>
      </c>
      <c r="J1" s="210" t="s">
        <v>27</v>
      </c>
      <c r="K1" s="210" t="s">
        <v>27</v>
      </c>
      <c r="L1" s="210" t="s">
        <v>27</v>
      </c>
      <c r="M1" s="210" t="s">
        <v>27</v>
      </c>
      <c r="N1" s="210" t="s">
        <v>27</v>
      </c>
      <c r="O1" s="210" t="s">
        <v>27</v>
      </c>
      <c r="P1" s="210" t="s">
        <v>27</v>
      </c>
      <c r="Q1" s="210" t="s">
        <v>27</v>
      </c>
      <c r="R1" s="210" t="s">
        <v>27</v>
      </c>
      <c r="S1" s="210" t="s">
        <v>27</v>
      </c>
      <c r="T1" s="210" t="s">
        <v>27</v>
      </c>
      <c r="U1" s="210" t="s">
        <v>27</v>
      </c>
      <c r="V1" s="210" t="s">
        <v>27</v>
      </c>
      <c r="W1" s="210" t="s">
        <v>27</v>
      </c>
      <c r="X1" s="210" t="s">
        <v>27</v>
      </c>
      <c r="Y1" s="210" t="s">
        <v>27</v>
      </c>
      <c r="Z1" s="210" t="s">
        <v>27</v>
      </c>
      <c r="AA1" s="210" t="s">
        <v>27</v>
      </c>
      <c r="AB1" s="210" t="s">
        <v>27</v>
      </c>
    </row>
    <row r="2" spans="1:28" ht="6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296</v>
      </c>
      <c r="D3" s="116" t="s">
        <v>768</v>
      </c>
      <c r="E3" s="116" t="s">
        <v>27</v>
      </c>
      <c r="F3" s="116">
        <v>262649</v>
      </c>
      <c r="G3" s="116" t="s">
        <v>771</v>
      </c>
      <c r="H3" s="116">
        <v>2600</v>
      </c>
      <c r="I3" s="117">
        <v>0.49199999999999999</v>
      </c>
      <c r="J3" s="117">
        <v>1.2629999999999999</v>
      </c>
      <c r="K3" s="116" t="s">
        <v>770</v>
      </c>
      <c r="L3" s="113">
        <v>1615.63</v>
      </c>
      <c r="M3" s="115">
        <v>1641.9</v>
      </c>
      <c r="N3" s="112">
        <v>0.22800000000000001</v>
      </c>
      <c r="O3" s="114">
        <v>13.68</v>
      </c>
      <c r="P3" s="111">
        <v>589.70000000000005</v>
      </c>
      <c r="Q3" s="111">
        <v>2</v>
      </c>
      <c r="R3" s="111">
        <v>1050</v>
      </c>
      <c r="S3" s="113">
        <v>0.98399999999999999</v>
      </c>
      <c r="T3" s="111">
        <v>66</v>
      </c>
      <c r="U3" s="112">
        <v>6.2899999999999998E-2</v>
      </c>
      <c r="V3" s="111" t="s">
        <v>42</v>
      </c>
      <c r="W3" s="111" t="s">
        <v>29</v>
      </c>
      <c r="X3" s="111" t="s">
        <v>28</v>
      </c>
      <c r="Y3" s="111" t="s">
        <v>27</v>
      </c>
      <c r="Z3" s="111" t="s">
        <v>27</v>
      </c>
      <c r="AA3" s="111" t="s">
        <v>32</v>
      </c>
      <c r="AB3" s="111" t="s">
        <v>769</v>
      </c>
    </row>
    <row r="4" spans="1:28" x14ac:dyDescent="0.3">
      <c r="A4" s="116">
        <v>2</v>
      </c>
      <c r="B4" s="118" t="s">
        <v>326</v>
      </c>
      <c r="C4" s="116" t="s">
        <v>296</v>
      </c>
      <c r="D4" s="116" t="s">
        <v>768</v>
      </c>
      <c r="E4" s="116" t="s">
        <v>27</v>
      </c>
      <c r="F4" s="116">
        <v>262650</v>
      </c>
      <c r="G4" s="116" t="s">
        <v>767</v>
      </c>
      <c r="H4" s="116">
        <v>2300</v>
      </c>
      <c r="I4" s="117">
        <v>0.45700000000000002</v>
      </c>
      <c r="J4" s="117">
        <v>1.393</v>
      </c>
      <c r="K4" s="116" t="s">
        <v>766</v>
      </c>
      <c r="L4" s="113">
        <v>1464.182</v>
      </c>
      <c r="M4" s="115">
        <v>1602</v>
      </c>
      <c r="N4" s="112">
        <v>0.2225</v>
      </c>
      <c r="O4" s="114">
        <v>13.35</v>
      </c>
      <c r="P4" s="111">
        <v>534.4</v>
      </c>
      <c r="Q4" s="111">
        <v>2</v>
      </c>
      <c r="R4" s="111">
        <v>950</v>
      </c>
      <c r="S4" s="113">
        <v>0.91400000000000003</v>
      </c>
      <c r="T4" s="111">
        <v>36</v>
      </c>
      <c r="U4" s="112">
        <v>3.7900000000000003E-2</v>
      </c>
      <c r="V4" s="111" t="s">
        <v>42</v>
      </c>
      <c r="W4" s="111" t="s">
        <v>29</v>
      </c>
      <c r="X4" s="111" t="s">
        <v>28</v>
      </c>
      <c r="Y4" s="111" t="s">
        <v>27</v>
      </c>
      <c r="Z4" s="111" t="s">
        <v>27</v>
      </c>
      <c r="AA4" s="111" t="s">
        <v>30</v>
      </c>
      <c r="AB4" s="111" t="s">
        <v>765</v>
      </c>
    </row>
    <row r="5" spans="1:28" x14ac:dyDescent="0.3">
      <c r="A5" s="110" t="s">
        <v>27</v>
      </c>
      <c r="B5" s="110" t="s">
        <v>27</v>
      </c>
      <c r="C5" s="110" t="s">
        <v>27</v>
      </c>
      <c r="D5" s="110" t="s">
        <v>27</v>
      </c>
      <c r="E5" s="110" t="s">
        <v>27</v>
      </c>
      <c r="F5" s="110" t="s">
        <v>27</v>
      </c>
      <c r="G5" s="110" t="s">
        <v>27</v>
      </c>
      <c r="H5" s="110">
        <v>4900</v>
      </c>
      <c r="I5" s="110" t="s">
        <v>27</v>
      </c>
      <c r="J5" s="110" t="s">
        <v>27</v>
      </c>
      <c r="K5" s="110" t="s">
        <v>27</v>
      </c>
      <c r="L5" s="109" t="s">
        <v>27</v>
      </c>
      <c r="M5" s="109" t="s">
        <v>27</v>
      </c>
      <c r="N5" s="109" t="s">
        <v>27</v>
      </c>
      <c r="O5" s="109" t="s">
        <v>27</v>
      </c>
      <c r="P5" s="109">
        <v>1124.0999999999999</v>
      </c>
      <c r="Q5" s="109" t="s">
        <v>27</v>
      </c>
      <c r="R5" s="109" t="s">
        <v>27</v>
      </c>
      <c r="S5" s="109" t="s">
        <v>27</v>
      </c>
      <c r="T5" s="109" t="s">
        <v>27</v>
      </c>
      <c r="U5" s="109" t="s">
        <v>27</v>
      </c>
      <c r="V5" s="109" t="s">
        <v>27</v>
      </c>
      <c r="W5" s="109" t="s">
        <v>27</v>
      </c>
      <c r="X5" s="109" t="s">
        <v>27</v>
      </c>
      <c r="Y5" s="109" t="s">
        <v>27</v>
      </c>
      <c r="Z5" s="109" t="s">
        <v>27</v>
      </c>
      <c r="AA5" s="109" t="s">
        <v>27</v>
      </c>
      <c r="AB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8.44140625" style="108" customWidth="1"/>
    <col min="6" max="6" width="6.77734375" style="108" customWidth="1"/>
    <col min="7" max="7" width="8.77734375" style="108" customWidth="1"/>
    <col min="8" max="8" width="6.21875" style="108" customWidth="1"/>
    <col min="9" max="9" width="5.77734375" style="108" customWidth="1"/>
    <col min="10" max="11" width="6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77734375" style="108" customWidth="1"/>
    <col min="17" max="17" width="4" style="108" customWidth="1"/>
    <col min="18" max="18" width="6.332031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8.109375" style="108" customWidth="1"/>
    <col min="25" max="25" width="9.44140625" style="108" customWidth="1"/>
    <col min="26" max="26" width="9.6640625" style="108" customWidth="1"/>
    <col min="27" max="27" width="4.10937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10" t="s">
        <v>764</v>
      </c>
      <c r="B1" s="210" t="s">
        <v>27</v>
      </c>
      <c r="C1" s="210" t="s">
        <v>27</v>
      </c>
      <c r="D1" s="210" t="s">
        <v>27</v>
      </c>
      <c r="E1" s="210" t="s">
        <v>27</v>
      </c>
      <c r="F1" s="210" t="s">
        <v>27</v>
      </c>
      <c r="G1" s="210" t="s">
        <v>27</v>
      </c>
      <c r="H1" s="210" t="s">
        <v>27</v>
      </c>
      <c r="I1" s="210" t="s">
        <v>27</v>
      </c>
      <c r="J1" s="210" t="s">
        <v>27</v>
      </c>
      <c r="K1" s="210" t="s">
        <v>27</v>
      </c>
      <c r="L1" s="210" t="s">
        <v>27</v>
      </c>
      <c r="M1" s="210" t="s">
        <v>27</v>
      </c>
      <c r="N1" s="210" t="s">
        <v>27</v>
      </c>
      <c r="O1" s="210" t="s">
        <v>27</v>
      </c>
      <c r="P1" s="210" t="s">
        <v>27</v>
      </c>
      <c r="Q1" s="210" t="s">
        <v>27</v>
      </c>
      <c r="R1" s="210" t="s">
        <v>27</v>
      </c>
      <c r="S1" s="210" t="s">
        <v>27</v>
      </c>
      <c r="T1" s="210" t="s">
        <v>27</v>
      </c>
      <c r="U1" s="210" t="s">
        <v>27</v>
      </c>
      <c r="V1" s="210" t="s">
        <v>27</v>
      </c>
      <c r="W1" s="210" t="s">
        <v>27</v>
      </c>
      <c r="X1" s="210" t="s">
        <v>27</v>
      </c>
      <c r="Y1" s="210" t="s">
        <v>27</v>
      </c>
      <c r="Z1" s="210" t="s">
        <v>27</v>
      </c>
      <c r="AA1" s="210" t="s">
        <v>27</v>
      </c>
      <c r="AB1" s="210" t="s">
        <v>27</v>
      </c>
    </row>
    <row r="2" spans="1:28" ht="47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517</v>
      </c>
      <c r="C3" s="116" t="s">
        <v>60</v>
      </c>
      <c r="D3" s="116" t="s">
        <v>743</v>
      </c>
      <c r="E3" s="116" t="s">
        <v>27</v>
      </c>
      <c r="F3" s="116">
        <v>262645</v>
      </c>
      <c r="G3" s="116" t="s">
        <v>760</v>
      </c>
      <c r="H3" s="116">
        <v>2740</v>
      </c>
      <c r="I3" s="117">
        <v>0.48</v>
      </c>
      <c r="J3" s="117">
        <v>1.25</v>
      </c>
      <c r="K3" s="116" t="s">
        <v>34</v>
      </c>
      <c r="L3" s="113">
        <v>1644</v>
      </c>
      <c r="M3" s="115">
        <v>1141.7</v>
      </c>
      <c r="N3" s="112">
        <v>0.1057</v>
      </c>
      <c r="O3" s="114">
        <v>6.34</v>
      </c>
      <c r="P3" s="111">
        <v>600.1</v>
      </c>
      <c r="Q3" s="111">
        <v>3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32</v>
      </c>
      <c r="AB3" s="111" t="s">
        <v>763</v>
      </c>
    </row>
    <row r="4" spans="1:28" ht="25.05" customHeight="1" x14ac:dyDescent="0.3">
      <c r="A4" s="116">
        <v>2</v>
      </c>
      <c r="B4" s="118" t="s">
        <v>517</v>
      </c>
      <c r="C4" s="116" t="s">
        <v>60</v>
      </c>
      <c r="D4" s="116" t="s">
        <v>743</v>
      </c>
      <c r="E4" s="116" t="s">
        <v>27</v>
      </c>
      <c r="F4" s="116">
        <v>262644</v>
      </c>
      <c r="G4" s="116" t="s">
        <v>760</v>
      </c>
      <c r="H4" s="116">
        <v>1662</v>
      </c>
      <c r="I4" s="117">
        <v>0.43</v>
      </c>
      <c r="J4" s="117">
        <v>1.1499999999999999</v>
      </c>
      <c r="K4" s="116" t="s">
        <v>34</v>
      </c>
      <c r="L4" s="113">
        <v>821.85900000000004</v>
      </c>
      <c r="M4" s="115">
        <v>637.1</v>
      </c>
      <c r="N4" s="112">
        <v>5.8999999999999997E-2</v>
      </c>
      <c r="O4" s="114">
        <v>3.54</v>
      </c>
      <c r="P4" s="111">
        <v>300</v>
      </c>
      <c r="Q4" s="111">
        <v>3</v>
      </c>
      <c r="R4" s="111">
        <v>1350</v>
      </c>
      <c r="S4" s="113">
        <v>1.29</v>
      </c>
      <c r="T4" s="111">
        <v>60</v>
      </c>
      <c r="U4" s="112">
        <v>4.4400000000000002E-2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762</v>
      </c>
    </row>
    <row r="5" spans="1:28" ht="25.05" customHeight="1" x14ac:dyDescent="0.3">
      <c r="A5" s="116">
        <v>5</v>
      </c>
      <c r="B5" s="118" t="s">
        <v>517</v>
      </c>
      <c r="C5" s="116" t="s">
        <v>60</v>
      </c>
      <c r="D5" s="116" t="s">
        <v>743</v>
      </c>
      <c r="E5" s="116" t="s">
        <v>27</v>
      </c>
      <c r="F5" s="116">
        <v>262646</v>
      </c>
      <c r="G5" s="116" t="s">
        <v>760</v>
      </c>
      <c r="H5" s="116">
        <v>1140</v>
      </c>
      <c r="I5" s="117">
        <v>0.53</v>
      </c>
      <c r="J5" s="117">
        <v>1.36</v>
      </c>
      <c r="K5" s="116" t="s">
        <v>34</v>
      </c>
      <c r="L5" s="113">
        <v>821.71199999999999</v>
      </c>
      <c r="M5" s="115">
        <v>775.2</v>
      </c>
      <c r="N5" s="112">
        <v>0.1077</v>
      </c>
      <c r="O5" s="114">
        <v>6.46</v>
      </c>
      <c r="P5" s="111">
        <v>299.89999999999998</v>
      </c>
      <c r="Q5" s="111">
        <v>2</v>
      </c>
      <c r="R5" s="111">
        <v>1100</v>
      </c>
      <c r="S5" s="113">
        <v>1.06</v>
      </c>
      <c r="T5" s="111">
        <v>40</v>
      </c>
      <c r="U5" s="112">
        <v>3.6400000000000002E-2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761</v>
      </c>
    </row>
    <row r="6" spans="1:28" ht="25.05" customHeight="1" x14ac:dyDescent="0.3">
      <c r="A6" s="116">
        <v>3</v>
      </c>
      <c r="B6" s="118" t="s">
        <v>517</v>
      </c>
      <c r="C6" s="116" t="s">
        <v>50</v>
      </c>
      <c r="D6" s="116" t="s">
        <v>743</v>
      </c>
      <c r="E6" s="116" t="s">
        <v>27</v>
      </c>
      <c r="F6" s="116">
        <v>262647</v>
      </c>
      <c r="G6" s="116" t="s">
        <v>760</v>
      </c>
      <c r="H6" s="116">
        <v>3052</v>
      </c>
      <c r="I6" s="117">
        <v>0.39</v>
      </c>
      <c r="J6" s="117">
        <v>0.71</v>
      </c>
      <c r="K6" s="116" t="s">
        <v>34</v>
      </c>
      <c r="L6" s="113">
        <v>845.09900000000005</v>
      </c>
      <c r="M6" s="115">
        <v>722.3</v>
      </c>
      <c r="N6" s="112">
        <v>6.6900000000000001E-2</v>
      </c>
      <c r="O6" s="114">
        <v>4.01</v>
      </c>
      <c r="P6" s="111">
        <v>300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39</v>
      </c>
      <c r="AB6" s="111" t="s">
        <v>518</v>
      </c>
    </row>
    <row r="7" spans="1:28" ht="25.05" customHeight="1" x14ac:dyDescent="0.3">
      <c r="A7" s="116">
        <v>4</v>
      </c>
      <c r="B7" s="118" t="s">
        <v>517</v>
      </c>
      <c r="C7" s="116" t="s">
        <v>50</v>
      </c>
      <c r="D7" s="116" t="s">
        <v>743</v>
      </c>
      <c r="E7" s="116" t="s">
        <v>27</v>
      </c>
      <c r="F7" s="116">
        <v>262648</v>
      </c>
      <c r="G7" s="116" t="s">
        <v>760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600.1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515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11911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2100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1"/>
  <sheetViews>
    <sheetView workbookViewId="0">
      <selection activeCell="AE3" sqref="AE3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0" t="s">
        <v>757</v>
      </c>
      <c r="B1" s="210" t="s">
        <v>27</v>
      </c>
      <c r="C1" s="210" t="s">
        <v>27</v>
      </c>
      <c r="D1" s="210" t="s">
        <v>27</v>
      </c>
      <c r="E1" s="210" t="s">
        <v>27</v>
      </c>
      <c r="F1" s="210" t="s">
        <v>27</v>
      </c>
      <c r="G1" s="210" t="s">
        <v>27</v>
      </c>
      <c r="H1" s="210" t="s">
        <v>27</v>
      </c>
      <c r="I1" s="210" t="s">
        <v>27</v>
      </c>
      <c r="J1" s="210" t="s">
        <v>27</v>
      </c>
      <c r="K1" s="210" t="s">
        <v>27</v>
      </c>
      <c r="L1" s="210" t="s">
        <v>27</v>
      </c>
      <c r="M1" s="210" t="s">
        <v>27</v>
      </c>
      <c r="N1" s="210" t="s">
        <v>27</v>
      </c>
      <c r="O1" s="210" t="s">
        <v>27</v>
      </c>
      <c r="P1" s="210" t="s">
        <v>27</v>
      </c>
      <c r="Q1" s="210" t="s">
        <v>27</v>
      </c>
      <c r="R1" s="210" t="s">
        <v>27</v>
      </c>
      <c r="S1" s="210" t="s">
        <v>27</v>
      </c>
      <c r="T1" s="210" t="s">
        <v>27</v>
      </c>
      <c r="U1" s="210" t="s">
        <v>27</v>
      </c>
      <c r="V1" s="210" t="s">
        <v>27</v>
      </c>
      <c r="W1" s="210" t="s">
        <v>27</v>
      </c>
      <c r="X1" s="210" t="s">
        <v>27</v>
      </c>
      <c r="Y1" s="210" t="s">
        <v>27</v>
      </c>
      <c r="Z1" s="210" t="s">
        <v>27</v>
      </c>
      <c r="AA1" s="210" t="s">
        <v>27</v>
      </c>
      <c r="AB1" s="210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776</v>
      </c>
      <c r="E3" s="133" t="s">
        <v>27</v>
      </c>
      <c r="F3" s="133">
        <v>262674</v>
      </c>
      <c r="G3" s="133" t="s">
        <v>805</v>
      </c>
      <c r="H3" s="133">
        <v>400</v>
      </c>
      <c r="I3" s="135">
        <v>1.3720000000000001</v>
      </c>
      <c r="J3" s="135">
        <v>2.38</v>
      </c>
      <c r="K3" s="133" t="s">
        <v>809</v>
      </c>
      <c r="L3" s="135">
        <v>1306.144</v>
      </c>
      <c r="M3" s="136">
        <v>952</v>
      </c>
      <c r="N3" s="137">
        <v>0.26440000000000002</v>
      </c>
      <c r="O3" s="138">
        <v>15.87</v>
      </c>
      <c r="P3" s="133">
        <v>702.7</v>
      </c>
      <c r="Q3" s="133">
        <v>1</v>
      </c>
      <c r="R3" s="133">
        <v>1400</v>
      </c>
      <c r="S3" s="135">
        <v>1.3720000000000001</v>
      </c>
      <c r="T3" s="133">
        <v>28</v>
      </c>
      <c r="U3" s="137">
        <v>0.02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808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33" t="s">
        <v>776</v>
      </c>
      <c r="E4" s="133" t="s">
        <v>27</v>
      </c>
      <c r="F4" s="133">
        <v>262672</v>
      </c>
      <c r="G4" s="133" t="s">
        <v>805</v>
      </c>
      <c r="H4" s="133">
        <v>400</v>
      </c>
      <c r="I4" s="135">
        <v>1.1519999999999999</v>
      </c>
      <c r="J4" s="135">
        <v>2.34</v>
      </c>
      <c r="K4" s="133" t="s">
        <v>807</v>
      </c>
      <c r="L4" s="135">
        <v>1078.2719999999999</v>
      </c>
      <c r="M4" s="136">
        <v>936</v>
      </c>
      <c r="N4" s="137">
        <v>0.26</v>
      </c>
      <c r="O4" s="138">
        <v>15.6</v>
      </c>
      <c r="P4" s="133">
        <v>580.1</v>
      </c>
      <c r="Q4" s="133">
        <v>1</v>
      </c>
      <c r="R4" s="133">
        <v>1200</v>
      </c>
      <c r="S4" s="135">
        <v>1.1519999999999999</v>
      </c>
      <c r="T4" s="133">
        <v>48</v>
      </c>
      <c r="U4" s="137">
        <v>0.04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 t="s">
        <v>30</v>
      </c>
      <c r="AB4" s="133" t="s">
        <v>806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776</v>
      </c>
      <c r="E5" s="133" t="s">
        <v>27</v>
      </c>
      <c r="F5" s="133">
        <v>262671</v>
      </c>
      <c r="G5" s="133" t="s">
        <v>805</v>
      </c>
      <c r="H5" s="133">
        <v>400</v>
      </c>
      <c r="I5" s="135">
        <v>1.3520000000000001</v>
      </c>
      <c r="J5" s="135">
        <v>2.339</v>
      </c>
      <c r="K5" s="133" t="s">
        <v>804</v>
      </c>
      <c r="L5" s="135">
        <v>1264.931</v>
      </c>
      <c r="M5" s="136">
        <v>467.8</v>
      </c>
      <c r="N5" s="137">
        <v>6.5000000000000002E-2</v>
      </c>
      <c r="O5" s="138">
        <v>3.9</v>
      </c>
      <c r="P5" s="133">
        <v>680.5</v>
      </c>
      <c r="Q5" s="133">
        <v>2</v>
      </c>
      <c r="R5" s="133">
        <v>1200</v>
      </c>
      <c r="S5" s="135">
        <v>2.7040000000000002</v>
      </c>
      <c r="T5" s="133">
        <v>-1504</v>
      </c>
      <c r="U5" s="137">
        <v>-1.2533000000000001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30</v>
      </c>
      <c r="AB5" s="133" t="s">
        <v>801</v>
      </c>
    </row>
    <row r="6" spans="1:28" s="156" customFormat="1" ht="25.05" customHeight="1" x14ac:dyDescent="0.3">
      <c r="A6" s="150">
        <v>1</v>
      </c>
      <c r="B6" s="151" t="s">
        <v>63</v>
      </c>
      <c r="C6" s="150" t="s">
        <v>65</v>
      </c>
      <c r="D6" s="150" t="s">
        <v>743</v>
      </c>
      <c r="E6" s="150" t="s">
        <v>27</v>
      </c>
      <c r="F6" s="150">
        <v>262640</v>
      </c>
      <c r="G6" s="150" t="s">
        <v>752</v>
      </c>
      <c r="H6" s="150">
        <v>800</v>
      </c>
      <c r="I6" s="152">
        <v>0.73199999999999998</v>
      </c>
      <c r="J6" s="152">
        <v>1.6739999999999999</v>
      </c>
      <c r="K6" s="150" t="s">
        <v>756</v>
      </c>
      <c r="L6" s="152">
        <v>980.29399999999998</v>
      </c>
      <c r="M6" s="153">
        <v>669.6</v>
      </c>
      <c r="N6" s="154">
        <v>9.2999999999999999E-2</v>
      </c>
      <c r="O6" s="155">
        <v>5.58</v>
      </c>
      <c r="P6" s="150">
        <v>317.60000000000002</v>
      </c>
      <c r="Q6" s="150">
        <v>2</v>
      </c>
      <c r="R6" s="150">
        <v>1500</v>
      </c>
      <c r="S6" s="152">
        <v>1.464</v>
      </c>
      <c r="T6" s="150">
        <v>36</v>
      </c>
      <c r="U6" s="154">
        <v>2.4E-2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755</v>
      </c>
    </row>
    <row r="7" spans="1:28" s="156" customFormat="1" ht="25.05" customHeight="1" x14ac:dyDescent="0.3">
      <c r="A7" s="150">
        <v>2</v>
      </c>
      <c r="B7" s="151" t="s">
        <v>63</v>
      </c>
      <c r="C7" s="150" t="s">
        <v>65</v>
      </c>
      <c r="D7" s="150" t="s">
        <v>743</v>
      </c>
      <c r="E7" s="150" t="s">
        <v>27</v>
      </c>
      <c r="F7" s="150">
        <v>262641</v>
      </c>
      <c r="G7" s="150" t="s">
        <v>752</v>
      </c>
      <c r="H7" s="150">
        <v>1150</v>
      </c>
      <c r="I7" s="152">
        <v>0.54700000000000004</v>
      </c>
      <c r="J7" s="152">
        <v>1.44</v>
      </c>
      <c r="K7" s="150" t="s">
        <v>754</v>
      </c>
      <c r="L7" s="152">
        <v>905.83199999999999</v>
      </c>
      <c r="M7" s="153">
        <v>828</v>
      </c>
      <c r="N7" s="154">
        <v>0.115</v>
      </c>
      <c r="O7" s="155">
        <v>6.9</v>
      </c>
      <c r="P7" s="150">
        <v>293.5</v>
      </c>
      <c r="Q7" s="150">
        <v>2</v>
      </c>
      <c r="R7" s="150">
        <v>1150</v>
      </c>
      <c r="S7" s="152">
        <v>1.0940000000000001</v>
      </c>
      <c r="T7" s="150">
        <v>56</v>
      </c>
      <c r="U7" s="154">
        <v>4.87E-2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753</v>
      </c>
    </row>
    <row r="8" spans="1:28" s="38" customFormat="1" ht="25.05" customHeight="1" x14ac:dyDescent="0.3">
      <c r="A8" s="133">
        <v>4</v>
      </c>
      <c r="B8" s="134" t="s">
        <v>63</v>
      </c>
      <c r="C8" s="133" t="s">
        <v>36</v>
      </c>
      <c r="D8" s="133" t="s">
        <v>776</v>
      </c>
      <c r="E8" s="133" t="s">
        <v>27</v>
      </c>
      <c r="F8" s="133">
        <v>262673</v>
      </c>
      <c r="G8" s="133" t="s">
        <v>805</v>
      </c>
      <c r="H8" s="133">
        <v>1000</v>
      </c>
      <c r="I8" s="135">
        <v>0.76</v>
      </c>
      <c r="J8" s="135">
        <v>1.0900000000000001</v>
      </c>
      <c r="K8" s="133" t="s">
        <v>34</v>
      </c>
      <c r="L8" s="135">
        <v>828.4</v>
      </c>
      <c r="M8" s="136">
        <v>545</v>
      </c>
      <c r="N8" s="137">
        <v>7.5700000000000003E-2</v>
      </c>
      <c r="O8" s="138">
        <v>4.54</v>
      </c>
      <c r="P8" s="133">
        <v>260.89999999999998</v>
      </c>
      <c r="Q8" s="133">
        <v>2</v>
      </c>
      <c r="R8" s="133">
        <v>1550</v>
      </c>
      <c r="S8" s="135">
        <v>1.52</v>
      </c>
      <c r="T8" s="133">
        <v>30</v>
      </c>
      <c r="U8" s="137">
        <v>1.9400000000000001E-2</v>
      </c>
      <c r="V8" s="133" t="s">
        <v>28</v>
      </c>
      <c r="W8" s="133" t="s">
        <v>28</v>
      </c>
      <c r="X8" s="133" t="s">
        <v>28</v>
      </c>
      <c r="Y8" s="133" t="s">
        <v>27</v>
      </c>
      <c r="Z8" s="133" t="s">
        <v>27</v>
      </c>
      <c r="AA8" s="133" t="s">
        <v>33</v>
      </c>
      <c r="AB8" s="133" t="s">
        <v>810</v>
      </c>
    </row>
    <row r="9" spans="1:28" s="38" customFormat="1" ht="25.05" customHeight="1" x14ac:dyDescent="0.3">
      <c r="A9" s="133">
        <v>5</v>
      </c>
      <c r="B9" s="134" t="s">
        <v>63</v>
      </c>
      <c r="C9" s="133" t="s">
        <v>36</v>
      </c>
      <c r="D9" s="133" t="s">
        <v>797</v>
      </c>
      <c r="E9" s="133" t="s">
        <v>27</v>
      </c>
      <c r="F9" s="133">
        <v>262675</v>
      </c>
      <c r="G9" s="133" t="s">
        <v>811</v>
      </c>
      <c r="H9" s="133">
        <v>1350</v>
      </c>
      <c r="I9" s="135">
        <v>0.59199999999999997</v>
      </c>
      <c r="J9" s="135">
        <v>1.619</v>
      </c>
      <c r="K9" s="133" t="s">
        <v>812</v>
      </c>
      <c r="L9" s="135">
        <v>1293.905</v>
      </c>
      <c r="M9" s="136">
        <v>1092.8</v>
      </c>
      <c r="N9" s="137">
        <v>0.15179999999999999</v>
      </c>
      <c r="O9" s="138">
        <v>9.11</v>
      </c>
      <c r="P9" s="133">
        <v>407.6</v>
      </c>
      <c r="Q9" s="133">
        <v>2</v>
      </c>
      <c r="R9" s="133">
        <v>1250</v>
      </c>
      <c r="S9" s="135">
        <v>1.1839999999999999</v>
      </c>
      <c r="T9" s="133">
        <v>66</v>
      </c>
      <c r="U9" s="137">
        <v>5.28E-2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813</v>
      </c>
    </row>
    <row r="10" spans="1:28" s="156" customFormat="1" ht="25.05" customHeight="1" x14ac:dyDescent="0.3">
      <c r="A10" s="150">
        <v>3</v>
      </c>
      <c r="B10" s="151" t="s">
        <v>63</v>
      </c>
      <c r="C10" s="150" t="s">
        <v>36</v>
      </c>
      <c r="D10" s="150" t="s">
        <v>743</v>
      </c>
      <c r="E10" s="150" t="s">
        <v>27</v>
      </c>
      <c r="F10" s="150">
        <v>262642</v>
      </c>
      <c r="G10" s="150" t="s">
        <v>752</v>
      </c>
      <c r="H10" s="150">
        <v>1000</v>
      </c>
      <c r="I10" s="152">
        <v>0.58099999999999996</v>
      </c>
      <c r="J10" s="152">
        <v>1.58</v>
      </c>
      <c r="K10" s="150" t="s">
        <v>751</v>
      </c>
      <c r="L10" s="152">
        <v>917.98</v>
      </c>
      <c r="M10" s="153">
        <v>790</v>
      </c>
      <c r="N10" s="154">
        <v>0.10970000000000001</v>
      </c>
      <c r="O10" s="155">
        <v>6.58</v>
      </c>
      <c r="P10" s="150">
        <v>289.2</v>
      </c>
      <c r="Q10" s="150">
        <v>2</v>
      </c>
      <c r="R10" s="150">
        <v>1200</v>
      </c>
      <c r="S10" s="152">
        <v>1.1619999999999999</v>
      </c>
      <c r="T10" s="150">
        <v>38</v>
      </c>
      <c r="U10" s="154">
        <v>3.1699999999999999E-2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33</v>
      </c>
      <c r="AB10" s="150" t="s">
        <v>750</v>
      </c>
    </row>
    <row r="11" spans="1:28" s="156" customForma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f>SUM(H3:H10)</f>
        <v>6500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f>SUM(P3:P10)</f>
        <v>3532.1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12"/>
  <sheetViews>
    <sheetView workbookViewId="0">
      <selection activeCell="AD8" sqref="AD8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2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10" t="s">
        <v>749</v>
      </c>
      <c r="B1" s="210" t="s">
        <v>27</v>
      </c>
      <c r="C1" s="210" t="s">
        <v>27</v>
      </c>
      <c r="D1" s="210" t="s">
        <v>27</v>
      </c>
      <c r="E1" s="210" t="s">
        <v>27</v>
      </c>
      <c r="F1" s="210" t="s">
        <v>27</v>
      </c>
      <c r="G1" s="210" t="s">
        <v>27</v>
      </c>
      <c r="H1" s="210" t="s">
        <v>27</v>
      </c>
      <c r="I1" s="210" t="s">
        <v>27</v>
      </c>
      <c r="J1" s="210" t="s">
        <v>27</v>
      </c>
      <c r="K1" s="210" t="s">
        <v>27</v>
      </c>
      <c r="L1" s="210" t="s">
        <v>27</v>
      </c>
      <c r="M1" s="210" t="s">
        <v>27</v>
      </c>
      <c r="N1" s="210" t="s">
        <v>27</v>
      </c>
      <c r="O1" s="210" t="s">
        <v>27</v>
      </c>
      <c r="P1" s="210" t="s">
        <v>27</v>
      </c>
      <c r="Q1" s="210" t="s">
        <v>27</v>
      </c>
      <c r="R1" s="210" t="s">
        <v>27</v>
      </c>
      <c r="S1" s="210" t="s">
        <v>27</v>
      </c>
      <c r="T1" s="210" t="s">
        <v>27</v>
      </c>
      <c r="U1" s="210" t="s">
        <v>27</v>
      </c>
      <c r="V1" s="210" t="s">
        <v>27</v>
      </c>
      <c r="W1" s="210" t="s">
        <v>27</v>
      </c>
      <c r="X1" s="210" t="s">
        <v>27</v>
      </c>
      <c r="Y1" s="210" t="s">
        <v>27</v>
      </c>
      <c r="Z1" s="210" t="s">
        <v>27</v>
      </c>
      <c r="AA1" s="210" t="s">
        <v>27</v>
      </c>
      <c r="AB1" s="210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customFormat="1" ht="25.05" customHeight="1" x14ac:dyDescent="0.3">
      <c r="A3">
        <v>1</v>
      </c>
      <c r="B3" t="s">
        <v>444</v>
      </c>
      <c r="C3" t="s">
        <v>45</v>
      </c>
      <c r="D3" s="209">
        <v>46283</v>
      </c>
      <c r="F3">
        <v>262665</v>
      </c>
      <c r="G3">
        <v>1749</v>
      </c>
      <c r="H3">
        <v>500</v>
      </c>
      <c r="I3">
        <v>1.494</v>
      </c>
      <c r="J3">
        <v>2.5630000000000002</v>
      </c>
      <c r="K3" t="s">
        <v>34</v>
      </c>
      <c r="L3">
        <v>1914.5609999999999</v>
      </c>
      <c r="M3">
        <v>1281.5</v>
      </c>
      <c r="N3">
        <v>0.35599999999999998</v>
      </c>
      <c r="O3">
        <v>21.36</v>
      </c>
      <c r="P3">
        <v>1087.5</v>
      </c>
      <c r="Q3">
        <v>1</v>
      </c>
      <c r="R3">
        <v>1550</v>
      </c>
      <c r="S3">
        <v>1.494</v>
      </c>
      <c r="T3">
        <v>56</v>
      </c>
      <c r="U3">
        <v>3.61E-2</v>
      </c>
      <c r="V3" t="s">
        <v>35</v>
      </c>
      <c r="W3" t="s">
        <v>40</v>
      </c>
      <c r="X3" t="s">
        <v>35</v>
      </c>
      <c r="Y3" t="s">
        <v>35</v>
      </c>
      <c r="Z3" t="s">
        <v>35</v>
      </c>
      <c r="AA3">
        <v>3</v>
      </c>
      <c r="AB3" t="s">
        <v>790</v>
      </c>
    </row>
    <row r="4" spans="1:28" customFormat="1" ht="25.05" customHeight="1" x14ac:dyDescent="0.3">
      <c r="A4">
        <v>2</v>
      </c>
      <c r="B4" t="s">
        <v>444</v>
      </c>
      <c r="C4" t="s">
        <v>45</v>
      </c>
      <c r="D4" s="209">
        <v>46283</v>
      </c>
      <c r="F4">
        <v>262666</v>
      </c>
      <c r="G4">
        <v>1749</v>
      </c>
      <c r="H4">
        <v>500</v>
      </c>
      <c r="I4">
        <v>1.444</v>
      </c>
      <c r="J4">
        <v>2.383</v>
      </c>
      <c r="K4" t="s">
        <v>34</v>
      </c>
      <c r="L4">
        <v>1720.5260000000001</v>
      </c>
      <c r="M4">
        <v>1191.5</v>
      </c>
      <c r="N4">
        <v>0.33100000000000002</v>
      </c>
      <c r="O4">
        <v>19.86</v>
      </c>
      <c r="P4">
        <v>977.3</v>
      </c>
      <c r="Q4">
        <v>1</v>
      </c>
      <c r="R4">
        <v>1500</v>
      </c>
      <c r="S4">
        <v>1.444</v>
      </c>
      <c r="T4">
        <v>56</v>
      </c>
      <c r="U4">
        <v>3.73E-2</v>
      </c>
      <c r="V4" t="s">
        <v>35</v>
      </c>
      <c r="W4" t="s">
        <v>40</v>
      </c>
      <c r="X4" t="s">
        <v>35</v>
      </c>
      <c r="Y4" t="s">
        <v>35</v>
      </c>
      <c r="Z4" t="s">
        <v>35</v>
      </c>
      <c r="AA4">
        <v>3</v>
      </c>
      <c r="AB4" t="s">
        <v>791</v>
      </c>
    </row>
    <row r="5" spans="1:28" customFormat="1" ht="25.05" customHeight="1" x14ac:dyDescent="0.3">
      <c r="A5">
        <v>3</v>
      </c>
      <c r="B5" t="s">
        <v>444</v>
      </c>
      <c r="C5" t="s">
        <v>45</v>
      </c>
      <c r="D5" s="209">
        <v>46283</v>
      </c>
      <c r="F5">
        <v>262667</v>
      </c>
      <c r="G5">
        <v>1751</v>
      </c>
      <c r="H5">
        <v>400</v>
      </c>
      <c r="I5">
        <v>1.3879999999999999</v>
      </c>
      <c r="J5">
        <v>1.5029999999999999</v>
      </c>
      <c r="K5" t="s">
        <v>34</v>
      </c>
      <c r="L5">
        <v>834.46600000000001</v>
      </c>
      <c r="M5">
        <v>601.20000000000005</v>
      </c>
      <c r="N5">
        <v>0.16700000000000001</v>
      </c>
      <c r="O5">
        <v>10.02</v>
      </c>
      <c r="P5">
        <v>474</v>
      </c>
      <c r="Q5">
        <v>1</v>
      </c>
      <c r="R5">
        <v>1450</v>
      </c>
      <c r="S5">
        <v>1.3879999999999999</v>
      </c>
      <c r="T5">
        <v>62</v>
      </c>
      <c r="U5">
        <v>4.2799999999999998E-2</v>
      </c>
      <c r="V5" t="s">
        <v>35</v>
      </c>
      <c r="W5" t="s">
        <v>40</v>
      </c>
      <c r="X5" t="s">
        <v>35</v>
      </c>
      <c r="Y5" t="s">
        <v>35</v>
      </c>
      <c r="Z5" t="s">
        <v>35</v>
      </c>
      <c r="AA5">
        <v>3</v>
      </c>
      <c r="AB5" t="s">
        <v>792</v>
      </c>
    </row>
    <row r="6" spans="1:28" ht="25.05" customHeight="1" x14ac:dyDescent="0.3">
      <c r="A6">
        <v>4</v>
      </c>
      <c r="B6" s="118" t="s">
        <v>444</v>
      </c>
      <c r="C6" s="116" t="s">
        <v>45</v>
      </c>
      <c r="D6" s="116" t="s">
        <v>743</v>
      </c>
      <c r="E6" s="116" t="s">
        <v>27</v>
      </c>
      <c r="F6" s="116">
        <v>262639</v>
      </c>
      <c r="G6" s="116" t="s">
        <v>748</v>
      </c>
      <c r="H6" s="116">
        <v>300</v>
      </c>
      <c r="I6" s="117">
        <v>0.67400000000000004</v>
      </c>
      <c r="J6" s="117">
        <v>1.5229999999999999</v>
      </c>
      <c r="K6" t="s">
        <v>34</v>
      </c>
      <c r="L6" s="113">
        <v>307.95100000000002</v>
      </c>
      <c r="M6" s="115">
        <v>228.4</v>
      </c>
      <c r="N6" s="112">
        <v>3.1699999999999999E-2</v>
      </c>
      <c r="O6" s="114">
        <v>1.9</v>
      </c>
      <c r="P6" s="111">
        <v>174.9</v>
      </c>
      <c r="Q6" s="111">
        <v>2</v>
      </c>
      <c r="R6" s="111">
        <v>1400</v>
      </c>
      <c r="S6" s="113">
        <v>1.3480000000000001</v>
      </c>
      <c r="T6" s="111">
        <v>52</v>
      </c>
      <c r="U6" s="112">
        <v>3.7100000000000001E-2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33</v>
      </c>
      <c r="AB6" s="111" t="s">
        <v>747</v>
      </c>
    </row>
    <row r="7" spans="1:28" ht="25.05" customHeight="1" x14ac:dyDescent="0.3">
      <c r="A7">
        <v>5</v>
      </c>
      <c r="B7" s="118" t="s">
        <v>444</v>
      </c>
      <c r="C7" s="116" t="s">
        <v>45</v>
      </c>
      <c r="D7" s="116" t="s">
        <v>743</v>
      </c>
      <c r="E7" s="116" t="s">
        <v>27</v>
      </c>
      <c r="F7" s="116">
        <v>262637</v>
      </c>
      <c r="G7" s="116" t="s">
        <v>746</v>
      </c>
      <c r="H7" s="116">
        <v>500</v>
      </c>
      <c r="I7" s="117">
        <v>0.56599999999999995</v>
      </c>
      <c r="J7" s="117">
        <v>1.4630000000000001</v>
      </c>
      <c r="K7" t="s">
        <v>34</v>
      </c>
      <c r="L7" s="113">
        <v>414.029</v>
      </c>
      <c r="M7" s="115">
        <v>365.8</v>
      </c>
      <c r="N7" s="112">
        <v>5.0799999999999998E-2</v>
      </c>
      <c r="O7" s="114">
        <v>3.05</v>
      </c>
      <c r="P7" s="111">
        <v>235.2</v>
      </c>
      <c r="Q7" s="111">
        <v>2</v>
      </c>
      <c r="R7" s="111">
        <v>1200</v>
      </c>
      <c r="S7" s="113">
        <v>1.1319999999999999</v>
      </c>
      <c r="T7" s="111">
        <v>68</v>
      </c>
      <c r="U7" s="112">
        <v>5.67E-2</v>
      </c>
      <c r="V7" s="111" t="s">
        <v>35</v>
      </c>
      <c r="W7" s="111" t="s">
        <v>40</v>
      </c>
      <c r="X7" s="111" t="s">
        <v>35</v>
      </c>
      <c r="Y7" s="111" t="s">
        <v>35</v>
      </c>
      <c r="Z7" s="111" t="s">
        <v>35</v>
      </c>
      <c r="AA7" s="111" t="s">
        <v>33</v>
      </c>
      <c r="AB7" s="111" t="s">
        <v>745</v>
      </c>
    </row>
    <row r="8" spans="1:28" ht="25.05" customHeight="1" x14ac:dyDescent="0.3">
      <c r="A8">
        <v>6</v>
      </c>
      <c r="B8" s="118" t="s">
        <v>448</v>
      </c>
      <c r="C8" s="116" t="s">
        <v>45</v>
      </c>
      <c r="D8" s="116" t="s">
        <v>743</v>
      </c>
      <c r="E8" s="116" t="s">
        <v>27</v>
      </c>
      <c r="F8" s="116">
        <v>262635</v>
      </c>
      <c r="G8" s="116" t="s">
        <v>744</v>
      </c>
      <c r="H8" s="116">
        <v>5000</v>
      </c>
      <c r="I8" s="117">
        <v>0.55900000000000005</v>
      </c>
      <c r="J8" s="117">
        <v>1.389</v>
      </c>
      <c r="K8" t="s">
        <v>34</v>
      </c>
      <c r="L8" s="113">
        <v>3882.2550000000001</v>
      </c>
      <c r="M8" s="115">
        <v>3472.5</v>
      </c>
      <c r="N8" s="112">
        <v>0.48230000000000001</v>
      </c>
      <c r="O8" s="114">
        <v>28.94</v>
      </c>
      <c r="P8" s="111">
        <v>2205.1</v>
      </c>
      <c r="Q8" s="111">
        <v>2</v>
      </c>
      <c r="R8" s="111">
        <v>1150</v>
      </c>
      <c r="S8" s="113">
        <v>1.1180000000000001</v>
      </c>
      <c r="T8" s="111">
        <v>32</v>
      </c>
      <c r="U8" s="112">
        <v>2.7799999999999998E-2</v>
      </c>
      <c r="V8" s="111" t="s">
        <v>35</v>
      </c>
      <c r="W8" s="111" t="s">
        <v>40</v>
      </c>
      <c r="X8" s="111" t="s">
        <v>35</v>
      </c>
      <c r="Y8" s="111" t="s">
        <v>35</v>
      </c>
      <c r="Z8" s="111" t="s">
        <v>35</v>
      </c>
      <c r="AA8" s="111" t="s">
        <v>73</v>
      </c>
      <c r="AB8" s="111" t="s">
        <v>445</v>
      </c>
    </row>
    <row r="9" spans="1:28" ht="25.05" customHeight="1" x14ac:dyDescent="0.3">
      <c r="A9">
        <v>7</v>
      </c>
      <c r="B9" s="118" t="s">
        <v>448</v>
      </c>
      <c r="C9" s="116" t="s">
        <v>45</v>
      </c>
      <c r="D9" s="116" t="s">
        <v>743</v>
      </c>
      <c r="E9" s="116" t="s">
        <v>27</v>
      </c>
      <c r="F9" s="116">
        <v>262636</v>
      </c>
      <c r="G9" s="116" t="s">
        <v>744</v>
      </c>
      <c r="H9" s="116">
        <v>5000</v>
      </c>
      <c r="I9" s="117">
        <v>0.55900000000000005</v>
      </c>
      <c r="J9" s="117">
        <v>1.389</v>
      </c>
      <c r="K9" t="s">
        <v>34</v>
      </c>
      <c r="L9" s="113">
        <v>3882.2550000000001</v>
      </c>
      <c r="M9" s="115">
        <v>3472.5</v>
      </c>
      <c r="N9" s="112">
        <v>0.48230000000000001</v>
      </c>
      <c r="O9" s="114">
        <v>28.94</v>
      </c>
      <c r="P9" s="111">
        <v>2205.1</v>
      </c>
      <c r="Q9" s="111">
        <v>2</v>
      </c>
      <c r="R9" s="111">
        <v>1150</v>
      </c>
      <c r="S9" s="113">
        <v>1.1180000000000001</v>
      </c>
      <c r="T9" s="111">
        <v>32</v>
      </c>
      <c r="U9" s="112">
        <v>2.7799999999999998E-2</v>
      </c>
      <c r="V9" s="111" t="s">
        <v>35</v>
      </c>
      <c r="W9" s="111" t="s">
        <v>40</v>
      </c>
      <c r="X9" s="111" t="s">
        <v>35</v>
      </c>
      <c r="Y9" s="111" t="s">
        <v>35</v>
      </c>
      <c r="Z9" s="111" t="s">
        <v>35</v>
      </c>
      <c r="AA9" s="111" t="s">
        <v>73</v>
      </c>
      <c r="AB9" s="111" t="s">
        <v>445</v>
      </c>
    </row>
    <row r="10" spans="1:28" ht="25.05" customHeight="1" x14ac:dyDescent="0.3">
      <c r="A10">
        <v>8</v>
      </c>
      <c r="B10" s="118" t="s">
        <v>444</v>
      </c>
      <c r="C10" s="116" t="s">
        <v>26</v>
      </c>
      <c r="D10" s="116" t="s">
        <v>743</v>
      </c>
      <c r="E10" s="116" t="s">
        <v>27</v>
      </c>
      <c r="F10" s="116">
        <v>262638</v>
      </c>
      <c r="G10" s="116" t="s">
        <v>742</v>
      </c>
      <c r="H10" s="116">
        <v>200</v>
      </c>
      <c r="I10" s="117">
        <v>0.53800000000000003</v>
      </c>
      <c r="J10" s="117">
        <v>1.423</v>
      </c>
      <c r="K10" t="s">
        <v>34</v>
      </c>
      <c r="L10" s="113">
        <v>153.11500000000001</v>
      </c>
      <c r="M10" s="115">
        <v>142.30000000000001</v>
      </c>
      <c r="N10" s="112">
        <v>1.9800000000000002E-2</v>
      </c>
      <c r="O10" s="114">
        <v>1.19</v>
      </c>
      <c r="P10" s="111">
        <v>82.4</v>
      </c>
      <c r="Q10" s="111">
        <v>2</v>
      </c>
      <c r="R10" s="111">
        <v>1100</v>
      </c>
      <c r="S10" s="113">
        <v>1.0760000000000001</v>
      </c>
      <c r="T10" s="111">
        <v>24</v>
      </c>
      <c r="U10" s="112">
        <v>2.18E-2</v>
      </c>
      <c r="V10" s="111" t="s">
        <v>28</v>
      </c>
      <c r="W10" s="111" t="s">
        <v>29</v>
      </c>
      <c r="X10" s="111" t="s">
        <v>28</v>
      </c>
      <c r="Y10" s="111" t="s">
        <v>28</v>
      </c>
      <c r="Z10" s="111" t="s">
        <v>28</v>
      </c>
      <c r="AA10" s="111" t="s">
        <v>39</v>
      </c>
      <c r="AB10" s="111" t="s">
        <v>741</v>
      </c>
    </row>
    <row r="11" spans="1:28" ht="25.05" customHeight="1" x14ac:dyDescent="0.3">
      <c r="A11">
        <v>9</v>
      </c>
      <c r="B11" s="118" t="s">
        <v>444</v>
      </c>
      <c r="C11" s="116" t="s">
        <v>36</v>
      </c>
      <c r="D11" s="208">
        <v>46282</v>
      </c>
      <c r="E11" s="116"/>
      <c r="F11" s="116">
        <v>262643</v>
      </c>
      <c r="G11" s="116">
        <v>1748</v>
      </c>
      <c r="H11" s="116">
        <v>600</v>
      </c>
      <c r="I11" s="117">
        <v>0.94899999999999995</v>
      </c>
      <c r="J11" s="117">
        <v>1.536</v>
      </c>
      <c r="K11" t="s">
        <v>34</v>
      </c>
      <c r="L11" s="113">
        <v>874.59799999999996</v>
      </c>
      <c r="M11" s="115">
        <v>921.6</v>
      </c>
      <c r="N11" s="112">
        <v>0.25600000000000001</v>
      </c>
      <c r="O11" s="114">
        <v>15.36</v>
      </c>
      <c r="P11" s="111">
        <v>275.5</v>
      </c>
      <c r="Q11" s="111">
        <v>1</v>
      </c>
      <c r="R11" s="111">
        <v>1000</v>
      </c>
      <c r="S11" s="113">
        <v>0.94899999999999995</v>
      </c>
      <c r="T11" s="111">
        <v>51</v>
      </c>
      <c r="U11" s="112">
        <v>5.0999999999999997E-2</v>
      </c>
      <c r="V11" s="111" t="s">
        <v>28</v>
      </c>
      <c r="W11" s="111" t="s">
        <v>28</v>
      </c>
      <c r="X11" s="111" t="s">
        <v>28</v>
      </c>
      <c r="Y11" s="111"/>
      <c r="Z11" s="111"/>
      <c r="AA11" s="111">
        <v>2</v>
      </c>
      <c r="AB11" s="111" t="s">
        <v>567</v>
      </c>
    </row>
    <row r="12" spans="1:28" ht="25.05" customHeight="1" x14ac:dyDescent="0.3">
      <c r="A12" s="110" t="s">
        <v>27</v>
      </c>
      <c r="B12" s="110" t="s">
        <v>27</v>
      </c>
      <c r="C12" s="110" t="s">
        <v>27</v>
      </c>
      <c r="D12" s="110" t="s">
        <v>27</v>
      </c>
      <c r="E12" s="110" t="s">
        <v>27</v>
      </c>
      <c r="F12" s="110" t="s">
        <v>27</v>
      </c>
      <c r="G12" s="110" t="s">
        <v>27</v>
      </c>
      <c r="H12" s="110">
        <f>SUM(H3:H11)</f>
        <v>13000</v>
      </c>
      <c r="I12" s="110" t="s">
        <v>27</v>
      </c>
      <c r="J12" s="110" t="s">
        <v>27</v>
      </c>
      <c r="K12" s="110" t="s">
        <v>27</v>
      </c>
      <c r="L12" s="109" t="s">
        <v>27</v>
      </c>
      <c r="M12" s="109" t="s">
        <v>27</v>
      </c>
      <c r="N12" s="109" t="s">
        <v>27</v>
      </c>
      <c r="O12" s="109" t="s">
        <v>27</v>
      </c>
      <c r="P12" s="109">
        <f>SUM(P3:P11)</f>
        <v>7717</v>
      </c>
      <c r="Q12" s="109" t="s">
        <v>27</v>
      </c>
      <c r="R12" s="109" t="s">
        <v>27</v>
      </c>
      <c r="S12" s="109" t="s">
        <v>27</v>
      </c>
      <c r="T12" s="109" t="s">
        <v>27</v>
      </c>
      <c r="U12" s="109" t="s">
        <v>27</v>
      </c>
      <c r="V12" s="109" t="s">
        <v>27</v>
      </c>
      <c r="W12" s="109" t="s">
        <v>27</v>
      </c>
      <c r="X12" s="109" t="s">
        <v>27</v>
      </c>
      <c r="Y12" s="109" t="s">
        <v>27</v>
      </c>
      <c r="Z12" s="109" t="s">
        <v>27</v>
      </c>
      <c r="AA12" s="109" t="s">
        <v>27</v>
      </c>
      <c r="AB12" s="109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11" t="s">
        <v>739</v>
      </c>
      <c r="B1" s="211" t="s">
        <v>27</v>
      </c>
      <c r="C1" s="211" t="s">
        <v>27</v>
      </c>
      <c r="D1" s="211" t="s">
        <v>27</v>
      </c>
      <c r="E1" s="211" t="s">
        <v>27</v>
      </c>
      <c r="F1" s="211" t="s">
        <v>27</v>
      </c>
      <c r="G1" s="211" t="s">
        <v>27</v>
      </c>
      <c r="H1" s="211" t="s">
        <v>27</v>
      </c>
      <c r="I1" s="211" t="s">
        <v>27</v>
      </c>
      <c r="J1" s="211" t="s">
        <v>27</v>
      </c>
      <c r="K1" s="211" t="s">
        <v>27</v>
      </c>
      <c r="L1" s="211" t="s">
        <v>27</v>
      </c>
      <c r="M1" s="211" t="s">
        <v>27</v>
      </c>
      <c r="N1" s="211" t="s">
        <v>27</v>
      </c>
      <c r="O1" s="211" t="s">
        <v>27</v>
      </c>
      <c r="P1" s="211" t="s">
        <v>27</v>
      </c>
      <c r="Q1" s="211" t="s">
        <v>27</v>
      </c>
      <c r="R1" s="211" t="s">
        <v>27</v>
      </c>
      <c r="S1" s="211" t="s">
        <v>27</v>
      </c>
      <c r="T1" s="211" t="s">
        <v>27</v>
      </c>
      <c r="U1" s="211" t="s">
        <v>27</v>
      </c>
      <c r="V1" s="211" t="s">
        <v>27</v>
      </c>
      <c r="W1" s="211" t="s">
        <v>27</v>
      </c>
      <c r="X1" s="211" t="s">
        <v>27</v>
      </c>
      <c r="Y1" s="211" t="s">
        <v>27</v>
      </c>
      <c r="Z1" s="211" t="s">
        <v>27</v>
      </c>
      <c r="AA1" s="211" t="s">
        <v>27</v>
      </c>
      <c r="AB1" s="211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487</v>
      </c>
      <c r="E3" s="116" t="s">
        <v>27</v>
      </c>
      <c r="F3" s="116">
        <v>262633</v>
      </c>
      <c r="G3" s="116" t="s">
        <v>738</v>
      </c>
      <c r="H3" s="116">
        <v>7200</v>
      </c>
      <c r="I3" s="117">
        <v>0.64600000000000002</v>
      </c>
      <c r="J3" s="117">
        <v>1.843</v>
      </c>
      <c r="K3" s="116" t="s">
        <v>737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736</v>
      </c>
      <c r="AB3" s="111" t="s">
        <v>735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734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733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487</v>
      </c>
      <c r="E5" s="116" t="s">
        <v>27</v>
      </c>
      <c r="F5" s="116">
        <v>262632</v>
      </c>
      <c r="G5" s="116" t="s">
        <v>732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731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730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sqref="A1:AB1"/>
    </sheetView>
  </sheetViews>
  <sheetFormatPr defaultRowHeight="14.4" x14ac:dyDescent="0.3"/>
  <cols>
    <col min="1" max="1" width="4.88671875" style="108" customWidth="1"/>
    <col min="2" max="2" width="17.109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11" t="s">
        <v>758</v>
      </c>
      <c r="B1" s="211" t="s">
        <v>27</v>
      </c>
      <c r="C1" s="211" t="s">
        <v>27</v>
      </c>
      <c r="D1" s="211" t="s">
        <v>27</v>
      </c>
      <c r="E1" s="211" t="s">
        <v>27</v>
      </c>
      <c r="F1" s="211" t="s">
        <v>27</v>
      </c>
      <c r="G1" s="211" t="s">
        <v>27</v>
      </c>
      <c r="H1" s="211" t="s">
        <v>27</v>
      </c>
      <c r="I1" s="211" t="s">
        <v>27</v>
      </c>
      <c r="J1" s="211" t="s">
        <v>27</v>
      </c>
      <c r="K1" s="211" t="s">
        <v>27</v>
      </c>
      <c r="L1" s="211" t="s">
        <v>27</v>
      </c>
      <c r="M1" s="211" t="s">
        <v>27</v>
      </c>
      <c r="N1" s="211" t="s">
        <v>27</v>
      </c>
      <c r="O1" s="211" t="s">
        <v>27</v>
      </c>
      <c r="P1" s="211" t="s">
        <v>27</v>
      </c>
      <c r="Q1" s="211" t="s">
        <v>27</v>
      </c>
      <c r="R1" s="211" t="s">
        <v>27</v>
      </c>
      <c r="S1" s="211" t="s">
        <v>27</v>
      </c>
      <c r="T1" s="211" t="s">
        <v>27</v>
      </c>
      <c r="U1" s="211" t="s">
        <v>27</v>
      </c>
      <c r="V1" s="211" t="s">
        <v>27</v>
      </c>
      <c r="W1" s="211" t="s">
        <v>27</v>
      </c>
      <c r="X1" s="211" t="s">
        <v>27</v>
      </c>
      <c r="Y1" s="211" t="s">
        <v>27</v>
      </c>
      <c r="Z1" s="211" t="s">
        <v>27</v>
      </c>
      <c r="AA1" s="211" t="s">
        <v>27</v>
      </c>
      <c r="AB1" s="21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759</v>
      </c>
      <c r="C3" s="116" t="s">
        <v>26</v>
      </c>
      <c r="D3" s="116" t="s">
        <v>604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729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728</v>
      </c>
    </row>
    <row r="4" spans="1:28" ht="25.05" customHeight="1" x14ac:dyDescent="0.3">
      <c r="A4" s="116">
        <v>2</v>
      </c>
      <c r="B4" s="118" t="s">
        <v>759</v>
      </c>
      <c r="C4" s="116" t="s">
        <v>26</v>
      </c>
      <c r="D4" s="116" t="s">
        <v>604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727</v>
      </c>
    </row>
    <row r="5" spans="1:28" ht="25.05" customHeight="1" x14ac:dyDescent="0.3">
      <c r="A5" s="116">
        <v>3</v>
      </c>
      <c r="B5" s="118" t="s">
        <v>759</v>
      </c>
      <c r="C5" s="116" t="s">
        <v>26</v>
      </c>
      <c r="D5" s="116" t="s">
        <v>604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726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725</v>
      </c>
    </row>
    <row r="6" spans="1:28" ht="25.05" customHeight="1" x14ac:dyDescent="0.3">
      <c r="A6" s="116">
        <v>4</v>
      </c>
      <c r="B6" s="118" t="s">
        <v>759</v>
      </c>
      <c r="C6" s="116" t="s">
        <v>26</v>
      </c>
      <c r="D6" s="116" t="s">
        <v>604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724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723</v>
      </c>
    </row>
    <row r="7" spans="1:28" ht="25.05" customHeight="1" x14ac:dyDescent="0.3">
      <c r="A7" s="116">
        <v>5</v>
      </c>
      <c r="B7" s="118" t="s">
        <v>759</v>
      </c>
      <c r="C7" s="116" t="s">
        <v>36</v>
      </c>
      <c r="D7" s="116" t="s">
        <v>604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722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721</v>
      </c>
    </row>
    <row r="8" spans="1:28" ht="25.05" customHeight="1" x14ac:dyDescent="0.3">
      <c r="A8" s="116">
        <v>6</v>
      </c>
      <c r="B8" s="118" t="s">
        <v>759</v>
      </c>
      <c r="C8" s="116" t="s">
        <v>36</v>
      </c>
      <c r="D8" s="116" t="s">
        <v>604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720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719</v>
      </c>
    </row>
    <row r="9" spans="1:28" ht="25.05" customHeight="1" x14ac:dyDescent="0.3">
      <c r="A9" s="116">
        <v>7</v>
      </c>
      <c r="B9" s="118" t="s">
        <v>759</v>
      </c>
      <c r="C9" s="116" t="s">
        <v>296</v>
      </c>
      <c r="D9" s="116" t="s">
        <v>604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718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717</v>
      </c>
    </row>
    <row r="10" spans="1:28" ht="25.05" customHeight="1" x14ac:dyDescent="0.3">
      <c r="A10" s="116">
        <v>8</v>
      </c>
      <c r="B10" s="118" t="s">
        <v>759</v>
      </c>
      <c r="C10" s="116" t="s">
        <v>296</v>
      </c>
      <c r="D10" s="116" t="s">
        <v>604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716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715</v>
      </c>
    </row>
    <row r="11" spans="1:28" ht="25.05" customHeight="1" x14ac:dyDescent="0.3">
      <c r="A11" s="116">
        <v>9</v>
      </c>
      <c r="B11" s="118" t="s">
        <v>759</v>
      </c>
      <c r="C11" s="116" t="s">
        <v>36</v>
      </c>
      <c r="D11" s="116" t="s">
        <v>604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714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713</v>
      </c>
    </row>
    <row r="12" spans="1:28" ht="25.05" customHeight="1" x14ac:dyDescent="0.3">
      <c r="A12" s="116">
        <v>10</v>
      </c>
      <c r="B12" s="118" t="s">
        <v>759</v>
      </c>
      <c r="C12" s="116" t="s">
        <v>36</v>
      </c>
      <c r="D12" s="116" t="s">
        <v>604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12" t="s">
        <v>702</v>
      </c>
      <c r="B1" s="212" t="s">
        <v>27</v>
      </c>
      <c r="C1" s="212" t="s">
        <v>27</v>
      </c>
      <c r="D1" s="212" t="s">
        <v>27</v>
      </c>
      <c r="E1" s="212" t="s">
        <v>27</v>
      </c>
      <c r="F1" s="212" t="s">
        <v>27</v>
      </c>
      <c r="G1" s="212" t="s">
        <v>27</v>
      </c>
      <c r="H1" s="212" t="s">
        <v>27</v>
      </c>
      <c r="I1" s="212" t="s">
        <v>27</v>
      </c>
      <c r="J1" s="212" t="s">
        <v>27</v>
      </c>
      <c r="K1" s="212" t="s">
        <v>27</v>
      </c>
      <c r="L1" s="212" t="s">
        <v>27</v>
      </c>
      <c r="M1" s="212" t="s">
        <v>27</v>
      </c>
      <c r="N1" s="212" t="s">
        <v>27</v>
      </c>
      <c r="O1" s="212" t="s">
        <v>27</v>
      </c>
      <c r="P1" s="212" t="s">
        <v>27</v>
      </c>
      <c r="Q1" s="212" t="s">
        <v>27</v>
      </c>
      <c r="R1" s="212" t="s">
        <v>27</v>
      </c>
      <c r="S1" s="212" t="s">
        <v>27</v>
      </c>
      <c r="T1" s="212" t="s">
        <v>27</v>
      </c>
      <c r="U1" s="212" t="s">
        <v>27</v>
      </c>
      <c r="V1" s="212" t="s">
        <v>27</v>
      </c>
      <c r="W1" s="212" t="s">
        <v>27</v>
      </c>
      <c r="X1" s="212" t="s">
        <v>27</v>
      </c>
      <c r="Y1" s="212" t="s">
        <v>27</v>
      </c>
      <c r="Z1" s="212" t="s">
        <v>27</v>
      </c>
      <c r="AA1" s="212" t="s">
        <v>27</v>
      </c>
      <c r="AB1" s="212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695</v>
      </c>
      <c r="E3" s="5" t="s">
        <v>27</v>
      </c>
      <c r="F3" s="5">
        <v>262607</v>
      </c>
      <c r="G3" s="5" t="s">
        <v>700</v>
      </c>
      <c r="H3" s="5">
        <v>800</v>
      </c>
      <c r="I3" s="7">
        <v>0.66600000000000004</v>
      </c>
      <c r="J3" s="7">
        <v>1.597</v>
      </c>
      <c r="K3" s="5" t="s">
        <v>701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698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695</v>
      </c>
      <c r="E4" s="5" t="s">
        <v>27</v>
      </c>
      <c r="F4" s="5">
        <v>262608</v>
      </c>
      <c r="G4" s="5" t="s">
        <v>700</v>
      </c>
      <c r="H4" s="5">
        <v>800</v>
      </c>
      <c r="I4" s="7">
        <v>0.56999999999999995</v>
      </c>
      <c r="J4" s="7">
        <v>1.355</v>
      </c>
      <c r="K4" s="5" t="s">
        <v>699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698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695</v>
      </c>
      <c r="E5" s="5" t="s">
        <v>27</v>
      </c>
      <c r="F5" s="5">
        <v>262605</v>
      </c>
      <c r="G5" s="5" t="s">
        <v>697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696</v>
      </c>
    </row>
    <row r="6" spans="1:28" s="103" customFormat="1" ht="25.05" customHeight="1" x14ac:dyDescent="0.3">
      <c r="A6" s="184">
        <v>5</v>
      </c>
      <c r="B6" s="185" t="s">
        <v>448</v>
      </c>
      <c r="C6" s="184" t="s">
        <v>36</v>
      </c>
      <c r="D6" s="184" t="s">
        <v>695</v>
      </c>
      <c r="E6" s="184" t="s">
        <v>27</v>
      </c>
      <c r="F6" s="184">
        <v>262604</v>
      </c>
      <c r="G6" s="184" t="s">
        <v>694</v>
      </c>
      <c r="H6" s="184">
        <v>3000</v>
      </c>
      <c r="I6" s="186">
        <v>0.45600000000000002</v>
      </c>
      <c r="J6" s="186">
        <v>1.5609999999999999</v>
      </c>
      <c r="K6" s="184" t="s">
        <v>693</v>
      </c>
      <c r="L6" s="186">
        <v>2135.4479999999999</v>
      </c>
      <c r="M6" s="187">
        <v>2341.5</v>
      </c>
      <c r="N6" s="188">
        <v>0.32519999999999999</v>
      </c>
      <c r="O6" s="189">
        <v>19.510000000000002</v>
      </c>
      <c r="P6" s="184">
        <v>672.7</v>
      </c>
      <c r="Q6" s="184">
        <v>2</v>
      </c>
      <c r="R6" s="184">
        <v>950</v>
      </c>
      <c r="S6" s="186">
        <v>0.91200000000000003</v>
      </c>
      <c r="T6" s="184">
        <v>38</v>
      </c>
      <c r="U6" s="188">
        <v>0.04</v>
      </c>
      <c r="V6" s="184" t="s">
        <v>28</v>
      </c>
      <c r="W6" s="184" t="s">
        <v>28</v>
      </c>
      <c r="X6" s="184" t="s">
        <v>28</v>
      </c>
      <c r="Y6" s="184" t="s">
        <v>27</v>
      </c>
      <c r="Z6" s="184" t="s">
        <v>27</v>
      </c>
      <c r="AA6" s="184" t="s">
        <v>32</v>
      </c>
      <c r="AB6" s="184" t="s">
        <v>692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13" t="s">
        <v>689</v>
      </c>
      <c r="B1" s="213" t="s">
        <v>27</v>
      </c>
      <c r="C1" s="213" t="s">
        <v>27</v>
      </c>
      <c r="D1" s="213" t="s">
        <v>27</v>
      </c>
      <c r="E1" s="213" t="s">
        <v>27</v>
      </c>
      <c r="F1" s="213" t="s">
        <v>27</v>
      </c>
      <c r="G1" s="213" t="s">
        <v>27</v>
      </c>
      <c r="H1" s="213" t="s">
        <v>27</v>
      </c>
      <c r="I1" s="213" t="s">
        <v>27</v>
      </c>
      <c r="J1" s="213" t="s">
        <v>27</v>
      </c>
      <c r="K1" s="213" t="s">
        <v>27</v>
      </c>
      <c r="L1" s="213" t="s">
        <v>27</v>
      </c>
      <c r="M1" s="213" t="s">
        <v>27</v>
      </c>
      <c r="N1" s="213" t="s">
        <v>27</v>
      </c>
      <c r="O1" s="213" t="s">
        <v>27</v>
      </c>
      <c r="P1" s="213" t="s">
        <v>27</v>
      </c>
      <c r="Q1" s="213" t="s">
        <v>27</v>
      </c>
      <c r="R1" s="213" t="s">
        <v>27</v>
      </c>
      <c r="S1" s="213" t="s">
        <v>27</v>
      </c>
      <c r="T1" s="213" t="s">
        <v>27</v>
      </c>
      <c r="U1" s="213" t="s">
        <v>27</v>
      </c>
      <c r="V1" s="213" t="s">
        <v>27</v>
      </c>
      <c r="W1" s="213" t="s">
        <v>27</v>
      </c>
      <c r="X1" s="213" t="s">
        <v>27</v>
      </c>
      <c r="Y1" s="213" t="s">
        <v>27</v>
      </c>
      <c r="Z1" s="213" t="s">
        <v>27</v>
      </c>
      <c r="AA1" s="213" t="s">
        <v>27</v>
      </c>
      <c r="AB1" s="213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659</v>
      </c>
      <c r="E3" s="5" t="s">
        <v>27</v>
      </c>
      <c r="F3" s="5">
        <v>262601</v>
      </c>
      <c r="G3" s="5" t="s">
        <v>683</v>
      </c>
      <c r="H3" s="5">
        <v>1000</v>
      </c>
      <c r="I3" s="7">
        <v>0.71199999999999997</v>
      </c>
      <c r="J3" s="7">
        <v>2.19</v>
      </c>
      <c r="K3" s="5" t="s">
        <v>688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687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659</v>
      </c>
      <c r="E4" s="5" t="s">
        <v>27</v>
      </c>
      <c r="F4" s="5">
        <v>262600</v>
      </c>
      <c r="G4" s="5" t="s">
        <v>683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686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659</v>
      </c>
      <c r="E5" s="5" t="s">
        <v>27</v>
      </c>
      <c r="F5" s="5">
        <v>262599</v>
      </c>
      <c r="G5" s="5" t="s">
        <v>683</v>
      </c>
      <c r="H5" s="5">
        <v>450</v>
      </c>
      <c r="I5" s="7">
        <v>0.622</v>
      </c>
      <c r="J5" s="7">
        <v>2.2000000000000002</v>
      </c>
      <c r="K5" s="5" t="s">
        <v>685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684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659</v>
      </c>
      <c r="E6" s="5" t="s">
        <v>27</v>
      </c>
      <c r="F6" s="5">
        <v>262598</v>
      </c>
      <c r="G6" s="5" t="s">
        <v>683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682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3" t="s">
        <v>681</v>
      </c>
      <c r="B1" s="213" t="s">
        <v>27</v>
      </c>
      <c r="C1" s="213" t="s">
        <v>27</v>
      </c>
      <c r="D1" s="213" t="s">
        <v>27</v>
      </c>
      <c r="E1" s="213" t="s">
        <v>27</v>
      </c>
      <c r="F1" s="213" t="s">
        <v>27</v>
      </c>
      <c r="G1" s="213" t="s">
        <v>27</v>
      </c>
      <c r="H1" s="213" t="s">
        <v>27</v>
      </c>
      <c r="I1" s="213" t="s">
        <v>27</v>
      </c>
      <c r="J1" s="213" t="s">
        <v>27</v>
      </c>
      <c r="K1" s="213" t="s">
        <v>27</v>
      </c>
      <c r="L1" s="213" t="s">
        <v>27</v>
      </c>
      <c r="M1" s="213" t="s">
        <v>27</v>
      </c>
      <c r="N1" s="213" t="s">
        <v>27</v>
      </c>
      <c r="O1" s="213" t="s">
        <v>27</v>
      </c>
      <c r="P1" s="213" t="s">
        <v>27</v>
      </c>
      <c r="Q1" s="213" t="s">
        <v>27</v>
      </c>
      <c r="R1" s="213" t="s">
        <v>27</v>
      </c>
      <c r="S1" s="213" t="s">
        <v>27</v>
      </c>
      <c r="T1" s="213" t="s">
        <v>27</v>
      </c>
      <c r="U1" s="213" t="s">
        <v>27</v>
      </c>
      <c r="V1" s="213" t="s">
        <v>27</v>
      </c>
      <c r="W1" s="213" t="s">
        <v>27</v>
      </c>
      <c r="X1" s="213" t="s">
        <v>27</v>
      </c>
      <c r="Y1" s="213" t="s">
        <v>27</v>
      </c>
      <c r="Z1" s="213" t="s">
        <v>27</v>
      </c>
      <c r="AA1" s="213" t="s">
        <v>27</v>
      </c>
      <c r="AB1" s="213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659</v>
      </c>
      <c r="E3" s="5" t="s">
        <v>27</v>
      </c>
      <c r="F3" s="5">
        <v>262591</v>
      </c>
      <c r="G3" s="5" t="s">
        <v>663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680</v>
      </c>
    </row>
    <row r="4" spans="1:28" s="198" customFormat="1" ht="25.05" customHeight="1" x14ac:dyDescent="0.3">
      <c r="A4" s="5">
        <v>2</v>
      </c>
      <c r="B4" s="204" t="s">
        <v>66</v>
      </c>
      <c r="C4" s="199" t="s">
        <v>62</v>
      </c>
      <c r="D4" s="199" t="s">
        <v>659</v>
      </c>
      <c r="E4" s="199" t="s">
        <v>27</v>
      </c>
      <c r="F4" s="199">
        <v>262597</v>
      </c>
      <c r="G4" s="199" t="s">
        <v>679</v>
      </c>
      <c r="H4" s="199">
        <v>600</v>
      </c>
      <c r="I4" s="201">
        <v>1.236</v>
      </c>
      <c r="J4" s="201">
        <v>2.5910000000000002</v>
      </c>
      <c r="K4" s="199" t="s">
        <v>513</v>
      </c>
      <c r="L4" s="201">
        <v>1921.4860000000001</v>
      </c>
      <c r="M4" s="203">
        <v>1554.6</v>
      </c>
      <c r="N4" s="200">
        <v>0.43180000000000002</v>
      </c>
      <c r="O4" s="202">
        <v>25.91</v>
      </c>
      <c r="P4" s="199">
        <v>1214.4000000000001</v>
      </c>
      <c r="Q4" s="199">
        <v>1</v>
      </c>
      <c r="R4" s="199">
        <v>1300</v>
      </c>
      <c r="S4" s="201">
        <v>1.236</v>
      </c>
      <c r="T4" s="199">
        <v>64</v>
      </c>
      <c r="U4" s="200">
        <v>4.9200000000000001E-2</v>
      </c>
      <c r="V4" s="199" t="s">
        <v>29</v>
      </c>
      <c r="W4" s="199" t="s">
        <v>40</v>
      </c>
      <c r="X4" s="199" t="s">
        <v>28</v>
      </c>
      <c r="Y4" s="199" t="s">
        <v>28</v>
      </c>
      <c r="Z4" s="199" t="s">
        <v>29</v>
      </c>
      <c r="AA4" s="199" t="s">
        <v>32</v>
      </c>
      <c r="AB4" s="199" t="s">
        <v>512</v>
      </c>
    </row>
    <row r="5" spans="1:28" s="198" customFormat="1" ht="25.05" customHeight="1" x14ac:dyDescent="0.3">
      <c r="A5" s="5">
        <v>3</v>
      </c>
      <c r="B5" s="204" t="s">
        <v>66</v>
      </c>
      <c r="C5" s="199" t="s">
        <v>62</v>
      </c>
      <c r="D5" s="199" t="s">
        <v>659</v>
      </c>
      <c r="E5" s="199" t="s">
        <v>27</v>
      </c>
      <c r="F5" s="199">
        <v>262596</v>
      </c>
      <c r="G5" s="199" t="s">
        <v>679</v>
      </c>
      <c r="H5" s="199">
        <v>2000</v>
      </c>
      <c r="I5" s="201">
        <v>1.196</v>
      </c>
      <c r="J5" s="201">
        <v>1.6910000000000001</v>
      </c>
      <c r="K5" s="199" t="s">
        <v>510</v>
      </c>
      <c r="L5" s="201">
        <v>4044.8719999999998</v>
      </c>
      <c r="M5" s="203">
        <v>3382</v>
      </c>
      <c r="N5" s="200">
        <v>0.93940000000000001</v>
      </c>
      <c r="O5" s="202">
        <v>56.37</v>
      </c>
      <c r="P5" s="199">
        <v>2556.4</v>
      </c>
      <c r="Q5" s="199">
        <v>1</v>
      </c>
      <c r="R5" s="199">
        <v>1250</v>
      </c>
      <c r="S5" s="201">
        <v>1.196</v>
      </c>
      <c r="T5" s="199">
        <v>54</v>
      </c>
      <c r="U5" s="200">
        <v>4.3200000000000002E-2</v>
      </c>
      <c r="V5" s="199" t="s">
        <v>29</v>
      </c>
      <c r="W5" s="199" t="s">
        <v>40</v>
      </c>
      <c r="X5" s="199" t="s">
        <v>28</v>
      </c>
      <c r="Y5" s="199" t="s">
        <v>28</v>
      </c>
      <c r="Z5" s="199" t="s">
        <v>29</v>
      </c>
      <c r="AA5" s="199" t="s">
        <v>72</v>
      </c>
      <c r="AB5" s="199" t="s">
        <v>509</v>
      </c>
    </row>
    <row r="6" spans="1:28" s="198" customFormat="1" ht="25.05" customHeight="1" x14ac:dyDescent="0.3">
      <c r="A6" s="5">
        <v>4</v>
      </c>
      <c r="B6" s="204" t="s">
        <v>66</v>
      </c>
      <c r="C6" s="199" t="s">
        <v>45</v>
      </c>
      <c r="D6" s="199" t="s">
        <v>659</v>
      </c>
      <c r="E6" s="199" t="s">
        <v>27</v>
      </c>
      <c r="F6" s="199">
        <v>262595</v>
      </c>
      <c r="G6" s="199" t="s">
        <v>679</v>
      </c>
      <c r="H6" s="199">
        <v>1400</v>
      </c>
      <c r="I6" s="201">
        <v>1.2050000000000001</v>
      </c>
      <c r="J6" s="201">
        <v>2.5910000000000002</v>
      </c>
      <c r="K6" s="199" t="s">
        <v>53</v>
      </c>
      <c r="L6" s="201">
        <v>4371.0169999999998</v>
      </c>
      <c r="M6" s="203">
        <v>3627.4</v>
      </c>
      <c r="N6" s="200">
        <v>1.0076000000000001</v>
      </c>
      <c r="O6" s="202">
        <v>60.46</v>
      </c>
      <c r="P6" s="199">
        <v>2482.6999999999998</v>
      </c>
      <c r="Q6" s="199">
        <v>1</v>
      </c>
      <c r="R6" s="199">
        <v>1250</v>
      </c>
      <c r="S6" s="201">
        <v>1.2050000000000001</v>
      </c>
      <c r="T6" s="199">
        <v>45</v>
      </c>
      <c r="U6" s="200">
        <v>3.5999999999999997E-2</v>
      </c>
      <c r="V6" s="199" t="s">
        <v>35</v>
      </c>
      <c r="W6" s="199" t="s">
        <v>40</v>
      </c>
      <c r="X6" s="199" t="s">
        <v>35</v>
      </c>
      <c r="Y6" s="199" t="s">
        <v>35</v>
      </c>
      <c r="Z6" s="199" t="s">
        <v>35</v>
      </c>
      <c r="AA6" s="199" t="s">
        <v>55</v>
      </c>
      <c r="AB6" s="199" t="s">
        <v>54</v>
      </c>
    </row>
    <row r="7" spans="1:28" s="12" customFormat="1" ht="25.05" customHeight="1" x14ac:dyDescent="0.3">
      <c r="A7" s="5">
        <v>6</v>
      </c>
      <c r="B7" s="10" t="s">
        <v>66</v>
      </c>
      <c r="C7" s="5" t="s">
        <v>26</v>
      </c>
      <c r="D7" s="5" t="s">
        <v>659</v>
      </c>
      <c r="E7" s="5" t="s">
        <v>27</v>
      </c>
      <c r="F7" s="5">
        <v>262589</v>
      </c>
      <c r="G7" s="5" t="s">
        <v>663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678</v>
      </c>
    </row>
    <row r="8" spans="1:28" s="12" customFormat="1" ht="25.05" customHeight="1" x14ac:dyDescent="0.3">
      <c r="A8" s="5">
        <v>7</v>
      </c>
      <c r="B8" s="10" t="s">
        <v>66</v>
      </c>
      <c r="C8" s="5" t="s">
        <v>26</v>
      </c>
      <c r="D8" s="5" t="s">
        <v>659</v>
      </c>
      <c r="E8" s="5" t="s">
        <v>27</v>
      </c>
      <c r="F8" s="5">
        <v>262590</v>
      </c>
      <c r="G8" s="5" t="s">
        <v>663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677</v>
      </c>
    </row>
    <row r="9" spans="1:28" s="12" customFormat="1" ht="25.05" customHeight="1" x14ac:dyDescent="0.3">
      <c r="A9" s="5">
        <v>8</v>
      </c>
      <c r="B9" s="10" t="s">
        <v>66</v>
      </c>
      <c r="C9" s="5" t="s">
        <v>36</v>
      </c>
      <c r="D9" s="5" t="s">
        <v>659</v>
      </c>
      <c r="E9" s="5" t="s">
        <v>27</v>
      </c>
      <c r="F9" s="5">
        <v>262588</v>
      </c>
      <c r="G9" s="5" t="s">
        <v>663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676</v>
      </c>
    </row>
    <row r="10" spans="1:28" s="12" customFormat="1" ht="25.05" customHeight="1" x14ac:dyDescent="0.3">
      <c r="A10" s="5">
        <v>9</v>
      </c>
      <c r="B10" s="10" t="s">
        <v>66</v>
      </c>
      <c r="C10" s="5" t="s">
        <v>36</v>
      </c>
      <c r="D10" s="5" t="s">
        <v>659</v>
      </c>
      <c r="E10" s="5" t="s">
        <v>27</v>
      </c>
      <c r="F10" s="5">
        <v>262586</v>
      </c>
      <c r="G10" s="5" t="s">
        <v>663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675</v>
      </c>
    </row>
    <row r="11" spans="1:28" s="12" customFormat="1" ht="25.05" customHeight="1" x14ac:dyDescent="0.3">
      <c r="A11" s="5">
        <v>10</v>
      </c>
      <c r="B11" s="10" t="s">
        <v>66</v>
      </c>
      <c r="C11" s="5" t="s">
        <v>36</v>
      </c>
      <c r="D11" s="5" t="s">
        <v>659</v>
      </c>
      <c r="E11" s="5" t="s">
        <v>27</v>
      </c>
      <c r="F11" s="5">
        <v>262587</v>
      </c>
      <c r="G11" s="5" t="s">
        <v>663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674</v>
      </c>
    </row>
    <row r="12" spans="1:28" s="12" customFormat="1" ht="25.05" customHeight="1" x14ac:dyDescent="0.3">
      <c r="A12" s="5">
        <v>11</v>
      </c>
      <c r="B12" s="10" t="s">
        <v>66</v>
      </c>
      <c r="C12" s="5" t="s">
        <v>43</v>
      </c>
      <c r="D12" s="5" t="s">
        <v>659</v>
      </c>
      <c r="E12" s="5" t="s">
        <v>27</v>
      </c>
      <c r="F12" s="5">
        <v>262583</v>
      </c>
      <c r="G12" s="5" t="s">
        <v>663</v>
      </c>
      <c r="H12" s="5">
        <v>450</v>
      </c>
      <c r="I12" s="7">
        <v>0.51400000000000001</v>
      </c>
      <c r="J12" s="7">
        <v>1.169</v>
      </c>
      <c r="K12" s="5" t="s">
        <v>673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672</v>
      </c>
    </row>
    <row r="13" spans="1:28" s="12" customFormat="1" ht="25.05" customHeight="1" x14ac:dyDescent="0.3">
      <c r="A13" s="5">
        <v>12</v>
      </c>
      <c r="B13" s="10" t="s">
        <v>66</v>
      </c>
      <c r="C13" s="5" t="s">
        <v>43</v>
      </c>
      <c r="D13" s="5" t="s">
        <v>659</v>
      </c>
      <c r="E13" s="5" t="s">
        <v>27</v>
      </c>
      <c r="F13" s="5">
        <v>262592</v>
      </c>
      <c r="G13" s="5" t="s">
        <v>663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671</v>
      </c>
    </row>
    <row r="14" spans="1:28" s="12" customFormat="1" ht="25.05" customHeight="1" x14ac:dyDescent="0.3">
      <c r="A14" s="5">
        <v>13</v>
      </c>
      <c r="B14" s="10" t="s">
        <v>66</v>
      </c>
      <c r="C14" s="5" t="s">
        <v>36</v>
      </c>
      <c r="D14" s="5" t="s">
        <v>659</v>
      </c>
      <c r="E14" s="5" t="s">
        <v>27</v>
      </c>
      <c r="F14" s="5">
        <v>262593</v>
      </c>
      <c r="G14" s="5" t="s">
        <v>663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670</v>
      </c>
    </row>
    <row r="15" spans="1:28" s="12" customFormat="1" ht="25.05" customHeight="1" x14ac:dyDescent="0.3">
      <c r="A15" s="5">
        <v>14</v>
      </c>
      <c r="B15" s="10" t="s">
        <v>66</v>
      </c>
      <c r="C15" s="5" t="s">
        <v>43</v>
      </c>
      <c r="D15" s="5" t="s">
        <v>659</v>
      </c>
      <c r="E15" s="5" t="s">
        <v>27</v>
      </c>
      <c r="F15" s="5">
        <v>262584</v>
      </c>
      <c r="G15" s="5" t="s">
        <v>663</v>
      </c>
      <c r="H15" s="5">
        <v>550</v>
      </c>
      <c r="I15" s="7">
        <v>0.44400000000000001</v>
      </c>
      <c r="J15" s="7">
        <v>1.0489999999999999</v>
      </c>
      <c r="K15" s="5" t="s">
        <v>669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668</v>
      </c>
    </row>
    <row r="16" spans="1:28" s="12" customFormat="1" ht="25.05" customHeight="1" x14ac:dyDescent="0.3">
      <c r="A16" s="5">
        <v>15</v>
      </c>
      <c r="B16" s="10" t="s">
        <v>66</v>
      </c>
      <c r="C16" s="5" t="s">
        <v>36</v>
      </c>
      <c r="D16" s="5" t="s">
        <v>659</v>
      </c>
      <c r="E16" s="5" t="s">
        <v>27</v>
      </c>
      <c r="F16" s="5">
        <v>262585</v>
      </c>
      <c r="G16" s="5" t="s">
        <v>663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667</v>
      </c>
    </row>
    <row r="17" spans="1:28" s="12" customFormat="1" ht="25.05" customHeight="1" x14ac:dyDescent="0.3">
      <c r="A17" s="5">
        <v>16</v>
      </c>
      <c r="B17" s="10" t="s">
        <v>66</v>
      </c>
      <c r="C17" s="5" t="s">
        <v>36</v>
      </c>
      <c r="D17" s="5" t="s">
        <v>659</v>
      </c>
      <c r="E17" s="5" t="s">
        <v>27</v>
      </c>
      <c r="F17" s="5">
        <v>262594</v>
      </c>
      <c r="G17" s="5" t="s">
        <v>663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666</v>
      </c>
    </row>
    <row r="18" spans="1:28" s="12" customFormat="1" ht="25.05" customHeight="1" x14ac:dyDescent="0.3">
      <c r="A18" s="5">
        <v>17</v>
      </c>
      <c r="B18" s="10" t="s">
        <v>66</v>
      </c>
      <c r="C18" s="5" t="s">
        <v>50</v>
      </c>
      <c r="D18" s="5" t="s">
        <v>659</v>
      </c>
      <c r="E18" s="5" t="s">
        <v>27</v>
      </c>
      <c r="F18" s="5">
        <v>262581</v>
      </c>
      <c r="G18" s="5" t="s">
        <v>663</v>
      </c>
      <c r="H18" s="5">
        <v>1000</v>
      </c>
      <c r="I18" s="7">
        <v>0.33500000000000002</v>
      </c>
      <c r="J18" s="7">
        <v>0.94899999999999995</v>
      </c>
      <c r="K18" s="5" t="s">
        <v>665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664</v>
      </c>
    </row>
    <row r="19" spans="1:28" s="12" customFormat="1" ht="25.05" customHeight="1" x14ac:dyDescent="0.3">
      <c r="A19" s="5">
        <v>18</v>
      </c>
      <c r="B19" s="10" t="s">
        <v>66</v>
      </c>
      <c r="C19" s="5" t="s">
        <v>36</v>
      </c>
      <c r="D19" s="5" t="s">
        <v>659</v>
      </c>
      <c r="E19" s="5" t="s">
        <v>27</v>
      </c>
      <c r="F19" s="5">
        <v>262582</v>
      </c>
      <c r="G19" s="5" t="s">
        <v>663</v>
      </c>
      <c r="H19" s="5">
        <v>1300</v>
      </c>
      <c r="I19" s="7">
        <v>0.33400000000000002</v>
      </c>
      <c r="J19" s="7">
        <v>0.78900000000000003</v>
      </c>
      <c r="K19" s="5" t="s">
        <v>662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661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sheetPr>
    <pageSetUpPr fitToPage="1"/>
  </sheetPr>
  <dimension ref="A1:AB4"/>
  <sheetViews>
    <sheetView workbookViewId="0">
      <selection sqref="A1:AB5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1" t="s">
        <v>660</v>
      </c>
      <c r="B1" s="211" t="s">
        <v>27</v>
      </c>
      <c r="C1" s="211" t="s">
        <v>27</v>
      </c>
      <c r="D1" s="211" t="s">
        <v>27</v>
      </c>
      <c r="E1" s="211" t="s">
        <v>27</v>
      </c>
      <c r="F1" s="211" t="s">
        <v>27</v>
      </c>
      <c r="G1" s="211" t="s">
        <v>27</v>
      </c>
      <c r="H1" s="211" t="s">
        <v>27</v>
      </c>
      <c r="I1" s="211" t="s">
        <v>27</v>
      </c>
      <c r="J1" s="211" t="s">
        <v>27</v>
      </c>
      <c r="K1" s="211" t="s">
        <v>27</v>
      </c>
      <c r="L1" s="211" t="s">
        <v>27</v>
      </c>
      <c r="M1" s="211" t="s">
        <v>27</v>
      </c>
      <c r="N1" s="211" t="s">
        <v>27</v>
      </c>
      <c r="O1" s="211" t="s">
        <v>27</v>
      </c>
      <c r="P1" s="211" t="s">
        <v>27</v>
      </c>
      <c r="Q1" s="211" t="s">
        <v>27</v>
      </c>
      <c r="R1" s="211" t="s">
        <v>27</v>
      </c>
      <c r="S1" s="211" t="s">
        <v>27</v>
      </c>
      <c r="T1" s="211" t="s">
        <v>27</v>
      </c>
      <c r="U1" s="211" t="s">
        <v>27</v>
      </c>
      <c r="V1" s="211" t="s">
        <v>27</v>
      </c>
      <c r="W1" s="211" t="s">
        <v>27</v>
      </c>
      <c r="X1" s="211" t="s">
        <v>27</v>
      </c>
      <c r="Y1" s="211" t="s">
        <v>27</v>
      </c>
      <c r="Z1" s="211" t="s">
        <v>27</v>
      </c>
      <c r="AA1" s="211" t="s">
        <v>27</v>
      </c>
      <c r="AB1" s="211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659</v>
      </c>
      <c r="E3" s="116" t="s">
        <v>27</v>
      </c>
      <c r="F3" s="116">
        <v>262580</v>
      </c>
      <c r="G3" s="116" t="s">
        <v>658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657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7.332031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11" t="s">
        <v>648</v>
      </c>
      <c r="B1" s="211" t="s">
        <v>27</v>
      </c>
      <c r="C1" s="211" t="s">
        <v>27</v>
      </c>
      <c r="D1" s="211" t="s">
        <v>27</v>
      </c>
      <c r="E1" s="211" t="s">
        <v>27</v>
      </c>
      <c r="F1" s="211" t="s">
        <v>27</v>
      </c>
      <c r="G1" s="211" t="s">
        <v>27</v>
      </c>
      <c r="H1" s="211" t="s">
        <v>27</v>
      </c>
      <c r="I1" s="211" t="s">
        <v>27</v>
      </c>
      <c r="J1" s="211" t="s">
        <v>27</v>
      </c>
      <c r="K1" s="211" t="s">
        <v>27</v>
      </c>
      <c r="L1" s="211" t="s">
        <v>27</v>
      </c>
      <c r="M1" s="211" t="s">
        <v>27</v>
      </c>
      <c r="N1" s="211" t="s">
        <v>27</v>
      </c>
      <c r="O1" s="211" t="s">
        <v>27</v>
      </c>
      <c r="P1" s="211" t="s">
        <v>27</v>
      </c>
      <c r="Q1" s="211" t="s">
        <v>27</v>
      </c>
      <c r="R1" s="211" t="s">
        <v>27</v>
      </c>
      <c r="S1" s="211" t="s">
        <v>27</v>
      </c>
      <c r="T1" s="211" t="s">
        <v>27</v>
      </c>
      <c r="U1" s="211" t="s">
        <v>27</v>
      </c>
      <c r="V1" s="211" t="s">
        <v>27</v>
      </c>
      <c r="W1" s="211" t="s">
        <v>27</v>
      </c>
      <c r="X1" s="211" t="s">
        <v>27</v>
      </c>
      <c r="Y1" s="211" t="s">
        <v>27</v>
      </c>
      <c r="Z1" s="211" t="s">
        <v>27</v>
      </c>
      <c r="AA1" s="211" t="s">
        <v>27</v>
      </c>
      <c r="AB1" s="21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583</v>
      </c>
      <c r="E3" s="161" t="s">
        <v>27</v>
      </c>
      <c r="F3" s="161">
        <v>262575</v>
      </c>
      <c r="G3" s="161" t="s">
        <v>647</v>
      </c>
      <c r="H3" s="161">
        <v>600</v>
      </c>
      <c r="I3" s="163">
        <v>0.54300000000000004</v>
      </c>
      <c r="J3" s="163">
        <v>0.95</v>
      </c>
      <c r="K3" s="161" t="s">
        <v>646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645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0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655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656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649</v>
      </c>
      <c r="D5" s="190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651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652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649</v>
      </c>
      <c r="D6" s="190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650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645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649</v>
      </c>
      <c r="D7" s="190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653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654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0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740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0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691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0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707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0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690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0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705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706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0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708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0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709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710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0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711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712</v>
      </c>
    </row>
    <row r="16" spans="1:28" s="156" customFormat="1" ht="25.05" customHeight="1" x14ac:dyDescent="0.3">
      <c r="A16" s="161">
        <v>14</v>
      </c>
      <c r="B16" s="151" t="s">
        <v>600</v>
      </c>
      <c r="C16" s="150" t="s">
        <v>36</v>
      </c>
      <c r="D16" s="176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709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601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0" t="s">
        <v>644</v>
      </c>
      <c r="B1" s="210" t="s">
        <v>27</v>
      </c>
      <c r="C1" s="210" t="s">
        <v>27</v>
      </c>
      <c r="D1" s="210" t="s">
        <v>27</v>
      </c>
      <c r="E1" s="210" t="s">
        <v>27</v>
      </c>
      <c r="F1" s="210" t="s">
        <v>27</v>
      </c>
      <c r="G1" s="210" t="s">
        <v>27</v>
      </c>
      <c r="H1" s="210" t="s">
        <v>27</v>
      </c>
      <c r="I1" s="210" t="s">
        <v>27</v>
      </c>
      <c r="J1" s="210" t="s">
        <v>27</v>
      </c>
      <c r="K1" s="210" t="s">
        <v>27</v>
      </c>
      <c r="L1" s="210" t="s">
        <v>27</v>
      </c>
      <c r="M1" s="210" t="s">
        <v>27</v>
      </c>
      <c r="N1" s="210" t="s">
        <v>27</v>
      </c>
      <c r="O1" s="210" t="s">
        <v>27</v>
      </c>
      <c r="P1" s="210" t="s">
        <v>27</v>
      </c>
      <c r="Q1" s="210" t="s">
        <v>27</v>
      </c>
      <c r="R1" s="210" t="s">
        <v>27</v>
      </c>
      <c r="S1" s="210" t="s">
        <v>27</v>
      </c>
      <c r="T1" s="210" t="s">
        <v>27</v>
      </c>
      <c r="U1" s="210" t="s">
        <v>27</v>
      </c>
      <c r="V1" s="210" t="s">
        <v>27</v>
      </c>
      <c r="W1" s="210" t="s">
        <v>27</v>
      </c>
      <c r="X1" s="210" t="s">
        <v>27</v>
      </c>
      <c r="Y1" s="210" t="s">
        <v>27</v>
      </c>
      <c r="Z1" s="210" t="s">
        <v>27</v>
      </c>
      <c r="AA1" s="210" t="s">
        <v>27</v>
      </c>
      <c r="AB1" s="210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3" customFormat="1" x14ac:dyDescent="0.3">
      <c r="A3" s="177">
        <v>1</v>
      </c>
      <c r="B3" s="178" t="s">
        <v>63</v>
      </c>
      <c r="C3" s="177" t="s">
        <v>26</v>
      </c>
      <c r="D3" s="177" t="s">
        <v>583</v>
      </c>
      <c r="E3" s="177" t="s">
        <v>27</v>
      </c>
      <c r="F3" s="177">
        <v>262566</v>
      </c>
      <c r="G3" s="177" t="s">
        <v>633</v>
      </c>
      <c r="H3" s="177">
        <v>450</v>
      </c>
      <c r="I3" s="179">
        <v>1.155</v>
      </c>
      <c r="J3" s="179">
        <v>2.13</v>
      </c>
      <c r="K3" s="177" t="s">
        <v>643</v>
      </c>
      <c r="L3" s="179">
        <v>1107.068</v>
      </c>
      <c r="M3" s="180">
        <v>958.5</v>
      </c>
      <c r="N3" s="181">
        <v>0.26619999999999999</v>
      </c>
      <c r="O3" s="182">
        <v>15.97</v>
      </c>
      <c r="P3" s="177">
        <v>656.5</v>
      </c>
      <c r="Q3" s="177">
        <v>1</v>
      </c>
      <c r="R3" s="177">
        <v>1200</v>
      </c>
      <c r="S3" s="179">
        <v>1.155</v>
      </c>
      <c r="T3" s="177">
        <v>45</v>
      </c>
      <c r="U3" s="181">
        <v>3.7499999999999999E-2</v>
      </c>
      <c r="V3" s="177" t="s">
        <v>28</v>
      </c>
      <c r="W3" s="177" t="s">
        <v>29</v>
      </c>
      <c r="X3" s="177" t="s">
        <v>28</v>
      </c>
      <c r="Y3" s="177" t="s">
        <v>28</v>
      </c>
      <c r="Z3" s="177" t="s">
        <v>28</v>
      </c>
      <c r="AA3" s="177" t="s">
        <v>30</v>
      </c>
      <c r="AB3" s="177" t="s">
        <v>642</v>
      </c>
    </row>
    <row r="4" spans="1:28" s="183" customFormat="1" x14ac:dyDescent="0.3">
      <c r="A4" s="177">
        <v>2</v>
      </c>
      <c r="B4" s="178" t="s">
        <v>63</v>
      </c>
      <c r="C4" s="177" t="s">
        <v>26</v>
      </c>
      <c r="D4" s="177" t="s">
        <v>583</v>
      </c>
      <c r="E4" s="177" t="s">
        <v>27</v>
      </c>
      <c r="F4" s="177">
        <v>262571</v>
      </c>
      <c r="G4" s="177" t="s">
        <v>633</v>
      </c>
      <c r="H4" s="177">
        <v>1100</v>
      </c>
      <c r="I4" s="179">
        <v>0.85299999999999998</v>
      </c>
      <c r="J4" s="179">
        <v>2.105</v>
      </c>
      <c r="K4" s="177" t="s">
        <v>245</v>
      </c>
      <c r="L4" s="179">
        <v>1975.1210000000001</v>
      </c>
      <c r="M4" s="180">
        <v>2315.5</v>
      </c>
      <c r="N4" s="181">
        <v>0.64319999999999999</v>
      </c>
      <c r="O4" s="182">
        <v>38.590000000000003</v>
      </c>
      <c r="P4" s="177">
        <v>1171.2</v>
      </c>
      <c r="Q4" s="177">
        <v>1</v>
      </c>
      <c r="R4" s="177">
        <v>900</v>
      </c>
      <c r="S4" s="179">
        <v>0.85299999999999998</v>
      </c>
      <c r="T4" s="177">
        <v>47</v>
      </c>
      <c r="U4" s="181">
        <v>5.2200000000000003E-2</v>
      </c>
      <c r="V4" s="177" t="s">
        <v>28</v>
      </c>
      <c r="W4" s="177" t="s">
        <v>29</v>
      </c>
      <c r="X4" s="177" t="s">
        <v>28</v>
      </c>
      <c r="Y4" s="177" t="s">
        <v>28</v>
      </c>
      <c r="Z4" s="177" t="s">
        <v>28</v>
      </c>
      <c r="AA4" s="177" t="s">
        <v>41</v>
      </c>
      <c r="AB4" s="177" t="s">
        <v>641</v>
      </c>
    </row>
    <row r="5" spans="1:28" s="183" customFormat="1" x14ac:dyDescent="0.3">
      <c r="A5" s="177">
        <v>3</v>
      </c>
      <c r="B5" s="178" t="s">
        <v>63</v>
      </c>
      <c r="C5" s="177" t="s">
        <v>65</v>
      </c>
      <c r="D5" s="177" t="s">
        <v>583</v>
      </c>
      <c r="E5" s="177" t="s">
        <v>27</v>
      </c>
      <c r="F5" s="177">
        <v>262573</v>
      </c>
      <c r="G5" s="177" t="s">
        <v>633</v>
      </c>
      <c r="H5" s="177">
        <v>750</v>
      </c>
      <c r="I5" s="179">
        <v>1.522</v>
      </c>
      <c r="J5" s="179">
        <v>0.80600000000000005</v>
      </c>
      <c r="K5" s="177" t="s">
        <v>34</v>
      </c>
      <c r="L5" s="179">
        <v>920.04899999999998</v>
      </c>
      <c r="M5" s="180">
        <v>604.5</v>
      </c>
      <c r="N5" s="181">
        <v>0.16789999999999999</v>
      </c>
      <c r="O5" s="182">
        <v>10.07</v>
      </c>
      <c r="P5" s="177">
        <v>317.39999999999998</v>
      </c>
      <c r="Q5" s="177">
        <v>1</v>
      </c>
      <c r="R5" s="177">
        <v>1550</v>
      </c>
      <c r="S5" s="179">
        <v>1.522</v>
      </c>
      <c r="T5" s="177">
        <v>28</v>
      </c>
      <c r="U5" s="181">
        <v>1.8100000000000002E-2</v>
      </c>
      <c r="V5" s="177" t="s">
        <v>28</v>
      </c>
      <c r="W5" s="177" t="s">
        <v>28</v>
      </c>
      <c r="X5" s="177" t="s">
        <v>28</v>
      </c>
      <c r="Y5" s="177" t="s">
        <v>27</v>
      </c>
      <c r="Z5" s="177" t="s">
        <v>27</v>
      </c>
      <c r="AA5" s="177" t="s">
        <v>30</v>
      </c>
      <c r="AB5" s="177" t="s">
        <v>640</v>
      </c>
    </row>
    <row r="6" spans="1:28" s="183" customFormat="1" x14ac:dyDescent="0.3">
      <c r="A6" s="177">
        <v>4</v>
      </c>
      <c r="B6" s="178" t="s">
        <v>63</v>
      </c>
      <c r="C6" s="177" t="s">
        <v>65</v>
      </c>
      <c r="D6" s="177" t="s">
        <v>583</v>
      </c>
      <c r="E6" s="177" t="s">
        <v>27</v>
      </c>
      <c r="F6" s="177">
        <v>262567</v>
      </c>
      <c r="G6" s="177" t="s">
        <v>633</v>
      </c>
      <c r="H6" s="177">
        <v>520</v>
      </c>
      <c r="I6" s="179">
        <v>1.2949999999999999</v>
      </c>
      <c r="J6" s="179">
        <v>1.21</v>
      </c>
      <c r="K6" s="177" t="s">
        <v>34</v>
      </c>
      <c r="L6" s="179">
        <v>814.81399999999996</v>
      </c>
      <c r="M6" s="180">
        <v>629.20000000000005</v>
      </c>
      <c r="N6" s="181">
        <v>0.17480000000000001</v>
      </c>
      <c r="O6" s="182">
        <v>10.49</v>
      </c>
      <c r="P6" s="177">
        <v>281.10000000000002</v>
      </c>
      <c r="Q6" s="177">
        <v>1</v>
      </c>
      <c r="R6" s="177">
        <v>1350</v>
      </c>
      <c r="S6" s="179">
        <v>1.2949999999999999</v>
      </c>
      <c r="T6" s="177">
        <v>55</v>
      </c>
      <c r="U6" s="181">
        <v>4.07E-2</v>
      </c>
      <c r="V6" s="177" t="s">
        <v>28</v>
      </c>
      <c r="W6" s="177" t="s">
        <v>28</v>
      </c>
      <c r="X6" s="177" t="s">
        <v>28</v>
      </c>
      <c r="Y6" s="177" t="s">
        <v>27</v>
      </c>
      <c r="Z6" s="177" t="s">
        <v>27</v>
      </c>
      <c r="AA6" s="177" t="s">
        <v>33</v>
      </c>
      <c r="AB6" s="177" t="s">
        <v>639</v>
      </c>
    </row>
    <row r="7" spans="1:28" s="183" customFormat="1" x14ac:dyDescent="0.3">
      <c r="A7" s="177">
        <v>5</v>
      </c>
      <c r="B7" s="178" t="s">
        <v>63</v>
      </c>
      <c r="C7" s="177" t="s">
        <v>65</v>
      </c>
      <c r="D7" s="177" t="s">
        <v>583</v>
      </c>
      <c r="E7" s="177" t="s">
        <v>27</v>
      </c>
      <c r="F7" s="177">
        <v>262572</v>
      </c>
      <c r="G7" s="177" t="s">
        <v>633</v>
      </c>
      <c r="H7" s="177">
        <v>900</v>
      </c>
      <c r="I7" s="179">
        <v>1.01</v>
      </c>
      <c r="J7" s="179">
        <v>1.006</v>
      </c>
      <c r="K7" s="177" t="s">
        <v>34</v>
      </c>
      <c r="L7" s="179">
        <v>914.45399999999995</v>
      </c>
      <c r="M7" s="180">
        <v>905.4</v>
      </c>
      <c r="N7" s="181">
        <v>0.2515</v>
      </c>
      <c r="O7" s="182">
        <v>15.09</v>
      </c>
      <c r="P7" s="177">
        <v>315.5</v>
      </c>
      <c r="Q7" s="177">
        <v>1</v>
      </c>
      <c r="R7" s="177">
        <v>1050</v>
      </c>
      <c r="S7" s="179">
        <v>1.01</v>
      </c>
      <c r="T7" s="177">
        <v>40</v>
      </c>
      <c r="U7" s="181">
        <v>3.8100000000000002E-2</v>
      </c>
      <c r="V7" s="177" t="s">
        <v>28</v>
      </c>
      <c r="W7" s="177" t="s">
        <v>28</v>
      </c>
      <c r="X7" s="177" t="s">
        <v>28</v>
      </c>
      <c r="Y7" s="177" t="s">
        <v>27</v>
      </c>
      <c r="Z7" s="177" t="s">
        <v>27</v>
      </c>
      <c r="AA7" s="177" t="s">
        <v>33</v>
      </c>
      <c r="AB7" s="177" t="s">
        <v>638</v>
      </c>
    </row>
    <row r="8" spans="1:28" s="183" customFormat="1" x14ac:dyDescent="0.3">
      <c r="A8" s="177">
        <v>6</v>
      </c>
      <c r="B8" s="178" t="s">
        <v>63</v>
      </c>
      <c r="C8" s="177" t="s">
        <v>65</v>
      </c>
      <c r="D8" s="177" t="s">
        <v>583</v>
      </c>
      <c r="E8" s="177" t="s">
        <v>27</v>
      </c>
      <c r="F8" s="177">
        <v>262574</v>
      </c>
      <c r="G8" s="177" t="s">
        <v>633</v>
      </c>
      <c r="H8" s="177">
        <v>1500</v>
      </c>
      <c r="I8" s="179">
        <v>0.98799999999999999</v>
      </c>
      <c r="J8" s="179">
        <v>0.72599999999999998</v>
      </c>
      <c r="K8" s="177" t="s">
        <v>34</v>
      </c>
      <c r="L8" s="179">
        <v>1075.932</v>
      </c>
      <c r="M8" s="180">
        <v>1089</v>
      </c>
      <c r="N8" s="181">
        <v>0.30249999999999999</v>
      </c>
      <c r="O8" s="182">
        <v>18.149999999999999</v>
      </c>
      <c r="P8" s="177">
        <v>371.2</v>
      </c>
      <c r="Q8" s="177">
        <v>1</v>
      </c>
      <c r="R8" s="177">
        <v>1050</v>
      </c>
      <c r="S8" s="179">
        <v>0.98799999999999999</v>
      </c>
      <c r="T8" s="177">
        <v>62</v>
      </c>
      <c r="U8" s="181">
        <v>5.8999999999999997E-2</v>
      </c>
      <c r="V8" s="177" t="s">
        <v>28</v>
      </c>
      <c r="W8" s="177" t="s">
        <v>28</v>
      </c>
      <c r="X8" s="177" t="s">
        <v>28</v>
      </c>
      <c r="Y8" s="177" t="s">
        <v>27</v>
      </c>
      <c r="Z8" s="177" t="s">
        <v>27</v>
      </c>
      <c r="AA8" s="177" t="s">
        <v>33</v>
      </c>
      <c r="AB8" s="177" t="s">
        <v>637</v>
      </c>
    </row>
    <row r="9" spans="1:28" s="183" customFormat="1" x14ac:dyDescent="0.3">
      <c r="A9" s="177">
        <v>7</v>
      </c>
      <c r="B9" s="178" t="s">
        <v>63</v>
      </c>
      <c r="C9" s="177" t="s">
        <v>36</v>
      </c>
      <c r="D9" s="177" t="s">
        <v>583</v>
      </c>
      <c r="E9" s="177" t="s">
        <v>27</v>
      </c>
      <c r="F9" s="177">
        <v>262568</v>
      </c>
      <c r="G9" s="177" t="s">
        <v>633</v>
      </c>
      <c r="H9" s="177">
        <v>1100</v>
      </c>
      <c r="I9" s="179">
        <v>1.4410000000000001</v>
      </c>
      <c r="J9" s="179">
        <v>1.85</v>
      </c>
      <c r="K9" s="177" t="s">
        <v>636</v>
      </c>
      <c r="L9" s="179">
        <v>2932.4349999999999</v>
      </c>
      <c r="M9" s="180">
        <v>2035</v>
      </c>
      <c r="N9" s="181">
        <v>0.56530000000000002</v>
      </c>
      <c r="O9" s="182">
        <v>33.92</v>
      </c>
      <c r="P9" s="177">
        <v>1011.7</v>
      </c>
      <c r="Q9" s="177">
        <v>1</v>
      </c>
      <c r="R9" s="177">
        <v>1500</v>
      </c>
      <c r="S9" s="179">
        <v>1.4410000000000001</v>
      </c>
      <c r="T9" s="177">
        <v>59</v>
      </c>
      <c r="U9" s="181">
        <v>3.9300000000000002E-2</v>
      </c>
      <c r="V9" s="177" t="s">
        <v>28</v>
      </c>
      <c r="W9" s="177" t="s">
        <v>28</v>
      </c>
      <c r="X9" s="177" t="s">
        <v>28</v>
      </c>
      <c r="Y9" s="177" t="s">
        <v>27</v>
      </c>
      <c r="Z9" s="177" t="s">
        <v>27</v>
      </c>
      <c r="AA9" s="177" t="s">
        <v>30</v>
      </c>
      <c r="AB9" s="177" t="s">
        <v>635</v>
      </c>
    </row>
    <row r="10" spans="1:28" s="183" customFormat="1" x14ac:dyDescent="0.3">
      <c r="A10" s="177">
        <v>8</v>
      </c>
      <c r="B10" s="178" t="s">
        <v>63</v>
      </c>
      <c r="C10" s="177" t="s">
        <v>36</v>
      </c>
      <c r="D10" s="177" t="s">
        <v>583</v>
      </c>
      <c r="E10" s="177" t="s">
        <v>27</v>
      </c>
      <c r="F10" s="177">
        <v>262570</v>
      </c>
      <c r="G10" s="177" t="s">
        <v>633</v>
      </c>
      <c r="H10" s="177">
        <v>11000</v>
      </c>
      <c r="I10" s="179">
        <v>0.44600000000000001</v>
      </c>
      <c r="J10" s="179">
        <v>1.2290000000000001</v>
      </c>
      <c r="K10" s="177" t="s">
        <v>427</v>
      </c>
      <c r="L10" s="179">
        <v>6029.4740000000002</v>
      </c>
      <c r="M10" s="180">
        <v>6759.5</v>
      </c>
      <c r="N10" s="181">
        <v>0.93879999999999997</v>
      </c>
      <c r="O10" s="182">
        <v>56.33</v>
      </c>
      <c r="P10" s="177">
        <v>2080.1999999999998</v>
      </c>
      <c r="Q10" s="177">
        <v>2</v>
      </c>
      <c r="R10" s="177">
        <v>950</v>
      </c>
      <c r="S10" s="179">
        <v>0.89200000000000002</v>
      </c>
      <c r="T10" s="177">
        <v>58</v>
      </c>
      <c r="U10" s="181">
        <v>6.1100000000000002E-2</v>
      </c>
      <c r="V10" s="177" t="s">
        <v>28</v>
      </c>
      <c r="W10" s="177" t="s">
        <v>28</v>
      </c>
      <c r="X10" s="177" t="s">
        <v>28</v>
      </c>
      <c r="Y10" s="177" t="s">
        <v>27</v>
      </c>
      <c r="Z10" s="177" t="s">
        <v>27</v>
      </c>
      <c r="AA10" s="177" t="s">
        <v>426</v>
      </c>
      <c r="AB10" s="177" t="s">
        <v>634</v>
      </c>
    </row>
    <row r="11" spans="1:28" s="183" customFormat="1" x14ac:dyDescent="0.3">
      <c r="A11" s="177">
        <v>9</v>
      </c>
      <c r="B11" s="178" t="s">
        <v>63</v>
      </c>
      <c r="C11" s="177" t="s">
        <v>36</v>
      </c>
      <c r="D11" s="177" t="s">
        <v>583</v>
      </c>
      <c r="E11" s="177" t="s">
        <v>27</v>
      </c>
      <c r="F11" s="177">
        <v>262569</v>
      </c>
      <c r="G11" s="177" t="s">
        <v>633</v>
      </c>
      <c r="H11" s="177">
        <v>1800</v>
      </c>
      <c r="I11" s="179">
        <v>0.91</v>
      </c>
      <c r="J11" s="179">
        <v>0.65900000000000003</v>
      </c>
      <c r="K11" s="177" t="s">
        <v>34</v>
      </c>
      <c r="L11" s="179">
        <v>1079.442</v>
      </c>
      <c r="M11" s="180">
        <v>1186.2</v>
      </c>
      <c r="N11" s="181">
        <v>0.32950000000000002</v>
      </c>
      <c r="O11" s="182">
        <v>19.77</v>
      </c>
      <c r="P11" s="177">
        <v>372.4</v>
      </c>
      <c r="Q11" s="177">
        <v>1</v>
      </c>
      <c r="R11" s="177">
        <v>950</v>
      </c>
      <c r="S11" s="179">
        <v>0.91</v>
      </c>
      <c r="T11" s="177">
        <v>40</v>
      </c>
      <c r="U11" s="181">
        <v>4.2099999999999999E-2</v>
      </c>
      <c r="V11" s="177" t="s">
        <v>28</v>
      </c>
      <c r="W11" s="177" t="s">
        <v>28</v>
      </c>
      <c r="X11" s="177" t="s">
        <v>28</v>
      </c>
      <c r="Y11" s="177" t="s">
        <v>27</v>
      </c>
      <c r="Z11" s="177" t="s">
        <v>27</v>
      </c>
      <c r="AA11" s="177" t="s">
        <v>33</v>
      </c>
      <c r="AB11" s="177" t="s">
        <v>632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11" t="s">
        <v>631</v>
      </c>
      <c r="B1" s="211" t="s">
        <v>27</v>
      </c>
      <c r="C1" s="211" t="s">
        <v>27</v>
      </c>
      <c r="D1" s="211" t="s">
        <v>27</v>
      </c>
      <c r="E1" s="211" t="s">
        <v>27</v>
      </c>
      <c r="F1" s="211" t="s">
        <v>27</v>
      </c>
      <c r="G1" s="211" t="s">
        <v>27</v>
      </c>
      <c r="H1" s="211" t="s">
        <v>27</v>
      </c>
      <c r="I1" s="211" t="s">
        <v>27</v>
      </c>
      <c r="J1" s="211" t="s">
        <v>27</v>
      </c>
      <c r="K1" s="211" t="s">
        <v>27</v>
      </c>
      <c r="L1" s="211" t="s">
        <v>27</v>
      </c>
      <c r="M1" s="211" t="s">
        <v>27</v>
      </c>
      <c r="N1" s="211" t="s">
        <v>27</v>
      </c>
      <c r="O1" s="211" t="s">
        <v>27</v>
      </c>
      <c r="P1" s="211" t="s">
        <v>27</v>
      </c>
      <c r="Q1" s="211" t="s">
        <v>27</v>
      </c>
      <c r="R1" s="211" t="s">
        <v>27</v>
      </c>
      <c r="S1" s="211" t="s">
        <v>27</v>
      </c>
      <c r="T1" s="211" t="s">
        <v>27</v>
      </c>
      <c r="U1" s="211" t="s">
        <v>27</v>
      </c>
      <c r="V1" s="211" t="s">
        <v>27</v>
      </c>
      <c r="W1" s="211" t="s">
        <v>27</v>
      </c>
      <c r="X1" s="211" t="s">
        <v>27</v>
      </c>
      <c r="Y1" s="211" t="s">
        <v>27</v>
      </c>
      <c r="Z1" s="211" t="s">
        <v>27</v>
      </c>
      <c r="AA1" s="211" t="s">
        <v>27</v>
      </c>
      <c r="AB1" s="21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06" t="s">
        <v>605</v>
      </c>
      <c r="C3" s="150" t="s">
        <v>45</v>
      </c>
      <c r="D3" s="150" t="s">
        <v>604</v>
      </c>
      <c r="E3" s="150" t="s">
        <v>27</v>
      </c>
      <c r="F3" s="150">
        <v>262546</v>
      </c>
      <c r="G3" s="150" t="s">
        <v>603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630</v>
      </c>
    </row>
    <row r="4" spans="1:28" s="156" customFormat="1" ht="25.05" customHeight="1" x14ac:dyDescent="0.3">
      <c r="A4" s="150">
        <v>2</v>
      </c>
      <c r="B4" s="151" t="s">
        <v>605</v>
      </c>
      <c r="C4" s="150" t="s">
        <v>45</v>
      </c>
      <c r="D4" s="150" t="s">
        <v>604</v>
      </c>
      <c r="E4" s="150" t="s">
        <v>27</v>
      </c>
      <c r="F4" s="150">
        <v>262547</v>
      </c>
      <c r="G4" s="150" t="s">
        <v>603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629</v>
      </c>
    </row>
    <row r="5" spans="1:28" s="156" customFormat="1" ht="25.05" customHeight="1" x14ac:dyDescent="0.3">
      <c r="A5" s="150">
        <v>3</v>
      </c>
      <c r="B5" s="151" t="s">
        <v>605</v>
      </c>
      <c r="C5" s="150" t="s">
        <v>36</v>
      </c>
      <c r="D5" s="150" t="s">
        <v>604</v>
      </c>
      <c r="E5" s="150" t="s">
        <v>27</v>
      </c>
      <c r="F5" s="150">
        <v>262560</v>
      </c>
      <c r="G5" s="150" t="s">
        <v>603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628</v>
      </c>
    </row>
    <row r="6" spans="1:28" s="156" customFormat="1" ht="25.05" customHeight="1" x14ac:dyDescent="0.3">
      <c r="A6" s="150">
        <v>4</v>
      </c>
      <c r="B6" s="151" t="s">
        <v>605</v>
      </c>
      <c r="C6" s="150" t="s">
        <v>36</v>
      </c>
      <c r="D6" s="150" t="s">
        <v>604</v>
      </c>
      <c r="E6" s="150" t="s">
        <v>27</v>
      </c>
      <c r="F6" s="150">
        <v>262542</v>
      </c>
      <c r="G6" s="150" t="s">
        <v>603</v>
      </c>
      <c r="H6" s="150">
        <v>1000</v>
      </c>
      <c r="I6" s="152">
        <v>0.70899999999999996</v>
      </c>
      <c r="J6" s="152">
        <v>1.28</v>
      </c>
      <c r="K6" s="150" t="s">
        <v>626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627</v>
      </c>
    </row>
    <row r="7" spans="1:28" s="156" customFormat="1" ht="25.05" customHeight="1" x14ac:dyDescent="0.3">
      <c r="A7" s="150">
        <v>5</v>
      </c>
      <c r="B7" s="151" t="s">
        <v>605</v>
      </c>
      <c r="C7" s="150" t="s">
        <v>36</v>
      </c>
      <c r="D7" s="150" t="s">
        <v>604</v>
      </c>
      <c r="E7" s="150" t="s">
        <v>27</v>
      </c>
      <c r="F7" s="150">
        <v>262543</v>
      </c>
      <c r="G7" s="150" t="s">
        <v>603</v>
      </c>
      <c r="H7" s="150">
        <v>1000</v>
      </c>
      <c r="I7" s="152">
        <v>0.70899999999999996</v>
      </c>
      <c r="J7" s="152">
        <v>1.9</v>
      </c>
      <c r="K7" s="150" t="s">
        <v>626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625</v>
      </c>
    </row>
    <row r="8" spans="1:28" s="156" customFormat="1" ht="25.05" customHeight="1" x14ac:dyDescent="0.3">
      <c r="A8" s="150">
        <v>6</v>
      </c>
      <c r="B8" s="151" t="s">
        <v>605</v>
      </c>
      <c r="C8" s="150" t="s">
        <v>36</v>
      </c>
      <c r="D8" s="150" t="s">
        <v>604</v>
      </c>
      <c r="E8" s="150" t="s">
        <v>27</v>
      </c>
      <c r="F8" s="150">
        <v>262550</v>
      </c>
      <c r="G8" s="150" t="s">
        <v>603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624</v>
      </c>
    </row>
    <row r="9" spans="1:28" s="156" customFormat="1" ht="25.05" customHeight="1" x14ac:dyDescent="0.3">
      <c r="A9" s="150">
        <v>7</v>
      </c>
      <c r="B9" s="151" t="s">
        <v>605</v>
      </c>
      <c r="C9" s="150" t="s">
        <v>36</v>
      </c>
      <c r="D9" s="150" t="s">
        <v>604</v>
      </c>
      <c r="E9" s="150" t="s">
        <v>27</v>
      </c>
      <c r="F9" s="150">
        <v>262555</v>
      </c>
      <c r="G9" s="150" t="s">
        <v>603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623</v>
      </c>
    </row>
    <row r="10" spans="1:28" s="156" customFormat="1" ht="25.05" customHeight="1" x14ac:dyDescent="0.3">
      <c r="A10" s="150">
        <v>8</v>
      </c>
      <c r="B10" s="151" t="s">
        <v>605</v>
      </c>
      <c r="C10" s="150" t="s">
        <v>36</v>
      </c>
      <c r="D10" s="150" t="s">
        <v>604</v>
      </c>
      <c r="E10" s="150" t="s">
        <v>27</v>
      </c>
      <c r="F10" s="150">
        <v>262556</v>
      </c>
      <c r="G10" s="150" t="s">
        <v>603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622</v>
      </c>
    </row>
    <row r="11" spans="1:28" s="156" customFormat="1" ht="25.05" customHeight="1" x14ac:dyDescent="0.3">
      <c r="A11" s="150">
        <v>9</v>
      </c>
      <c r="B11" s="151" t="s">
        <v>605</v>
      </c>
      <c r="C11" s="150" t="s">
        <v>60</v>
      </c>
      <c r="D11" s="150" t="s">
        <v>604</v>
      </c>
      <c r="E11" s="150" t="s">
        <v>27</v>
      </c>
      <c r="F11" s="150">
        <v>262565</v>
      </c>
      <c r="G11" s="150" t="s">
        <v>603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605</v>
      </c>
      <c r="C12" s="150" t="s">
        <v>36</v>
      </c>
      <c r="D12" s="150" t="s">
        <v>604</v>
      </c>
      <c r="E12" s="150" t="s">
        <v>27</v>
      </c>
      <c r="F12" s="150">
        <v>262563</v>
      </c>
      <c r="G12" s="150" t="s">
        <v>603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621</v>
      </c>
    </row>
    <row r="13" spans="1:28" s="156" customFormat="1" ht="25.05" customHeight="1" x14ac:dyDescent="0.3">
      <c r="A13" s="150">
        <v>11</v>
      </c>
      <c r="B13" s="151" t="s">
        <v>605</v>
      </c>
      <c r="C13" s="150" t="s">
        <v>36</v>
      </c>
      <c r="D13" s="150" t="s">
        <v>604</v>
      </c>
      <c r="E13" s="150" t="s">
        <v>27</v>
      </c>
      <c r="F13" s="150">
        <v>262564</v>
      </c>
      <c r="G13" s="150" t="s">
        <v>603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620</v>
      </c>
    </row>
    <row r="14" spans="1:28" s="156" customFormat="1" ht="25.05" customHeight="1" x14ac:dyDescent="0.3">
      <c r="A14" s="150">
        <v>12</v>
      </c>
      <c r="B14" s="151" t="s">
        <v>605</v>
      </c>
      <c r="C14" s="150" t="s">
        <v>36</v>
      </c>
      <c r="D14" s="150" t="s">
        <v>604</v>
      </c>
      <c r="E14" s="150" t="s">
        <v>27</v>
      </c>
      <c r="F14" s="150">
        <v>262544</v>
      </c>
      <c r="G14" s="150" t="s">
        <v>603</v>
      </c>
      <c r="H14" s="150">
        <v>500</v>
      </c>
      <c r="I14" s="152">
        <v>0.6</v>
      </c>
      <c r="J14" s="152">
        <v>1.1399999999999999</v>
      </c>
      <c r="K14" s="150" t="s">
        <v>619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605</v>
      </c>
      <c r="C15" s="150" t="s">
        <v>36</v>
      </c>
      <c r="D15" s="150" t="s">
        <v>604</v>
      </c>
      <c r="E15" s="150" t="s">
        <v>27</v>
      </c>
      <c r="F15" s="150">
        <v>262561</v>
      </c>
      <c r="G15" s="150" t="s">
        <v>603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618</v>
      </c>
    </row>
    <row r="16" spans="1:28" s="156" customFormat="1" ht="25.05" customHeight="1" x14ac:dyDescent="0.3">
      <c r="A16" s="150">
        <v>14</v>
      </c>
      <c r="B16" s="151" t="s">
        <v>605</v>
      </c>
      <c r="C16" s="150" t="s">
        <v>36</v>
      </c>
      <c r="D16" s="150" t="s">
        <v>604</v>
      </c>
      <c r="E16" s="150" t="s">
        <v>27</v>
      </c>
      <c r="F16" s="150">
        <v>262559</v>
      </c>
      <c r="G16" s="150" t="s">
        <v>603</v>
      </c>
      <c r="H16" s="150">
        <v>700</v>
      </c>
      <c r="I16" s="152">
        <v>0.57999999999999996</v>
      </c>
      <c r="J16" s="152">
        <v>0.54</v>
      </c>
      <c r="K16" s="150" t="s">
        <v>617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616</v>
      </c>
    </row>
    <row r="17" spans="1:28" s="156" customFormat="1" ht="25.05" customHeight="1" x14ac:dyDescent="0.3">
      <c r="A17" s="150">
        <v>15</v>
      </c>
      <c r="B17" s="151" t="s">
        <v>605</v>
      </c>
      <c r="C17" s="150" t="s">
        <v>36</v>
      </c>
      <c r="D17" s="150" t="s">
        <v>604</v>
      </c>
      <c r="E17" s="150" t="s">
        <v>27</v>
      </c>
      <c r="F17" s="150">
        <v>262558</v>
      </c>
      <c r="G17" s="150" t="s">
        <v>603</v>
      </c>
      <c r="H17" s="150">
        <v>1000</v>
      </c>
      <c r="I17" s="152">
        <v>0.59</v>
      </c>
      <c r="J17" s="152">
        <v>0.5</v>
      </c>
      <c r="K17" s="150" t="s">
        <v>615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614</v>
      </c>
    </row>
    <row r="18" spans="1:28" s="156" customFormat="1" ht="25.05" customHeight="1" x14ac:dyDescent="0.3">
      <c r="A18" s="150">
        <v>16</v>
      </c>
      <c r="B18" s="151" t="s">
        <v>605</v>
      </c>
      <c r="C18" s="150" t="s">
        <v>43</v>
      </c>
      <c r="D18" s="150" t="s">
        <v>604</v>
      </c>
      <c r="E18" s="150" t="s">
        <v>27</v>
      </c>
      <c r="F18" s="150">
        <v>262548</v>
      </c>
      <c r="G18" s="150" t="s">
        <v>603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605</v>
      </c>
      <c r="C19" s="150" t="s">
        <v>43</v>
      </c>
      <c r="D19" s="150" t="s">
        <v>604</v>
      </c>
      <c r="E19" s="150" t="s">
        <v>27</v>
      </c>
      <c r="F19" s="150">
        <v>262549</v>
      </c>
      <c r="G19" s="150" t="s">
        <v>603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613</v>
      </c>
    </row>
    <row r="20" spans="1:28" s="156" customFormat="1" ht="25.05" customHeight="1" x14ac:dyDescent="0.3">
      <c r="A20" s="150">
        <v>18</v>
      </c>
      <c r="B20" s="151" t="s">
        <v>605</v>
      </c>
      <c r="C20" s="150" t="s">
        <v>36</v>
      </c>
      <c r="D20" s="150" t="s">
        <v>604</v>
      </c>
      <c r="E20" s="150" t="s">
        <v>27</v>
      </c>
      <c r="F20" s="150">
        <v>262562</v>
      </c>
      <c r="G20" s="150" t="s">
        <v>603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612</v>
      </c>
    </row>
    <row r="21" spans="1:28" s="156" customFormat="1" ht="25.05" customHeight="1" x14ac:dyDescent="0.3">
      <c r="A21" s="150">
        <v>19</v>
      </c>
      <c r="B21" s="151" t="s">
        <v>605</v>
      </c>
      <c r="C21" s="150" t="s">
        <v>36</v>
      </c>
      <c r="D21" s="150" t="s">
        <v>604</v>
      </c>
      <c r="E21" s="150" t="s">
        <v>27</v>
      </c>
      <c r="F21" s="150">
        <v>262545</v>
      </c>
      <c r="G21" s="150" t="s">
        <v>603</v>
      </c>
      <c r="H21" s="150">
        <v>2000</v>
      </c>
      <c r="I21" s="152">
        <v>0.92500000000000004</v>
      </c>
      <c r="J21" s="152">
        <v>1.2</v>
      </c>
      <c r="K21" s="150" t="s">
        <v>611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610</v>
      </c>
    </row>
    <row r="22" spans="1:28" s="156" customFormat="1" ht="25.05" customHeight="1" x14ac:dyDescent="0.3">
      <c r="A22" s="150">
        <v>20</v>
      </c>
      <c r="B22" s="151" t="s">
        <v>605</v>
      </c>
      <c r="C22" s="150" t="s">
        <v>43</v>
      </c>
      <c r="D22" s="176">
        <v>46280</v>
      </c>
      <c r="E22" s="150"/>
      <c r="F22" s="150">
        <v>262609</v>
      </c>
      <c r="G22" s="150" t="s">
        <v>703</v>
      </c>
      <c r="H22" s="150">
        <v>1000</v>
      </c>
      <c r="I22" s="152">
        <v>0.28399999999999997</v>
      </c>
      <c r="J22" s="152">
        <v>1.8</v>
      </c>
      <c r="K22" s="20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704</v>
      </c>
    </row>
    <row r="23" spans="1:28" s="156" customFormat="1" ht="25.05" customHeight="1" x14ac:dyDescent="0.3">
      <c r="A23" s="150">
        <v>21</v>
      </c>
      <c r="B23" s="151" t="s">
        <v>605</v>
      </c>
      <c r="C23" s="150" t="s">
        <v>36</v>
      </c>
      <c r="D23" s="150" t="s">
        <v>604</v>
      </c>
      <c r="E23" s="150" t="s">
        <v>27</v>
      </c>
      <c r="F23" s="150">
        <v>262554</v>
      </c>
      <c r="G23" s="150" t="s">
        <v>603</v>
      </c>
      <c r="H23" s="150">
        <v>1500</v>
      </c>
      <c r="I23" s="152">
        <v>0.40400000000000003</v>
      </c>
      <c r="J23" s="152">
        <v>0.84</v>
      </c>
      <c r="K23" s="150" t="s">
        <v>609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608</v>
      </c>
    </row>
    <row r="24" spans="1:28" s="156" customFormat="1" ht="25.05" customHeight="1" x14ac:dyDescent="0.3">
      <c r="A24" s="150">
        <v>22</v>
      </c>
      <c r="B24" s="151" t="s">
        <v>605</v>
      </c>
      <c r="C24" s="150" t="s">
        <v>43</v>
      </c>
      <c r="D24" s="150" t="s">
        <v>604</v>
      </c>
      <c r="E24" s="150" t="s">
        <v>27</v>
      </c>
      <c r="F24" s="150">
        <v>262551</v>
      </c>
      <c r="G24" s="150" t="s">
        <v>603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605</v>
      </c>
      <c r="C25" s="150" t="s">
        <v>36</v>
      </c>
      <c r="D25" s="150" t="s">
        <v>604</v>
      </c>
      <c r="E25" s="150" t="s">
        <v>27</v>
      </c>
      <c r="F25" s="150">
        <v>262552</v>
      </c>
      <c r="G25" s="150" t="s">
        <v>603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605</v>
      </c>
      <c r="C26" s="150" t="s">
        <v>36</v>
      </c>
      <c r="D26" s="150" t="s">
        <v>604</v>
      </c>
      <c r="E26" s="150" t="s">
        <v>27</v>
      </c>
      <c r="F26" s="150">
        <v>262553</v>
      </c>
      <c r="G26" s="150" t="s">
        <v>603</v>
      </c>
      <c r="H26" s="150">
        <v>2000</v>
      </c>
      <c r="I26" s="152">
        <v>0.34399999999999997</v>
      </c>
      <c r="J26" s="152">
        <v>1.26</v>
      </c>
      <c r="K26" s="150" t="s">
        <v>607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606</v>
      </c>
    </row>
    <row r="27" spans="1:28" s="156" customFormat="1" ht="25.05" customHeight="1" x14ac:dyDescent="0.3">
      <c r="A27" s="150">
        <v>25</v>
      </c>
      <c r="B27" s="151" t="s">
        <v>605</v>
      </c>
      <c r="C27" s="150" t="s">
        <v>36</v>
      </c>
      <c r="D27" s="150" t="s">
        <v>604</v>
      </c>
      <c r="E27" s="150" t="s">
        <v>27</v>
      </c>
      <c r="F27" s="150">
        <v>262557</v>
      </c>
      <c r="G27" s="150" t="s">
        <v>603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602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5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11" t="s">
        <v>597</v>
      </c>
      <c r="B1" s="211" t="s">
        <v>27</v>
      </c>
      <c r="C1" s="211" t="s">
        <v>27</v>
      </c>
      <c r="D1" s="211" t="s">
        <v>27</v>
      </c>
      <c r="E1" s="211" t="s">
        <v>27</v>
      </c>
      <c r="F1" s="211" t="s">
        <v>27</v>
      </c>
      <c r="G1" s="211" t="s">
        <v>27</v>
      </c>
      <c r="H1" s="211" t="s">
        <v>27</v>
      </c>
      <c r="I1" s="211" t="s">
        <v>27</v>
      </c>
      <c r="J1" s="211" t="s">
        <v>27</v>
      </c>
      <c r="K1" s="211" t="s">
        <v>27</v>
      </c>
      <c r="L1" s="211" t="s">
        <v>27</v>
      </c>
      <c r="M1" s="211" t="s">
        <v>27</v>
      </c>
      <c r="N1" s="211" t="s">
        <v>27</v>
      </c>
      <c r="O1" s="211" t="s">
        <v>27</v>
      </c>
      <c r="P1" s="211" t="s">
        <v>27</v>
      </c>
      <c r="Q1" s="211" t="s">
        <v>27</v>
      </c>
      <c r="R1" s="211" t="s">
        <v>27</v>
      </c>
      <c r="S1" s="211" t="s">
        <v>27</v>
      </c>
      <c r="T1" s="211" t="s">
        <v>27</v>
      </c>
      <c r="U1" s="211" t="s">
        <v>27</v>
      </c>
      <c r="V1" s="211" t="s">
        <v>27</v>
      </c>
      <c r="W1" s="211" t="s">
        <v>27</v>
      </c>
      <c r="X1" s="211" t="s">
        <v>27</v>
      </c>
      <c r="Y1" s="211" t="s">
        <v>27</v>
      </c>
      <c r="Z1" s="211" t="s">
        <v>27</v>
      </c>
      <c r="AA1" s="211" t="s">
        <v>27</v>
      </c>
      <c r="AB1" s="21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591</v>
      </c>
      <c r="C3" s="161" t="s">
        <v>296</v>
      </c>
      <c r="D3" s="161" t="s">
        <v>583</v>
      </c>
      <c r="E3" s="161" t="s">
        <v>27</v>
      </c>
      <c r="F3" s="161">
        <v>262538</v>
      </c>
      <c r="G3" s="161" t="s">
        <v>590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596</v>
      </c>
    </row>
    <row r="4" spans="1:28" s="167" customFormat="1" ht="25.05" customHeight="1" x14ac:dyDescent="0.3">
      <c r="A4" s="161">
        <v>2</v>
      </c>
      <c r="B4" s="162" t="s">
        <v>591</v>
      </c>
      <c r="C4" s="161" t="s">
        <v>296</v>
      </c>
      <c r="D4" s="161" t="s">
        <v>583</v>
      </c>
      <c r="E4" s="161" t="s">
        <v>27</v>
      </c>
      <c r="F4" s="161">
        <v>262535</v>
      </c>
      <c r="G4" s="161" t="s">
        <v>590</v>
      </c>
      <c r="H4" s="161">
        <v>1000</v>
      </c>
      <c r="I4" s="163">
        <v>0.34799999999999998</v>
      </c>
      <c r="J4" s="163">
        <v>0.88500000000000001</v>
      </c>
      <c r="K4" s="161" t="s">
        <v>595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594</v>
      </c>
    </row>
    <row r="5" spans="1:28" s="167" customFormat="1" ht="25.05" customHeight="1" x14ac:dyDescent="0.3">
      <c r="A5" s="161">
        <v>3</v>
      </c>
      <c r="B5" s="162" t="s">
        <v>591</v>
      </c>
      <c r="C5" s="161" t="s">
        <v>296</v>
      </c>
      <c r="D5" s="161" t="s">
        <v>583</v>
      </c>
      <c r="E5" s="161" t="s">
        <v>27</v>
      </c>
      <c r="F5" s="161">
        <v>262536</v>
      </c>
      <c r="G5" s="161" t="s">
        <v>590</v>
      </c>
      <c r="H5" s="161">
        <v>8000</v>
      </c>
      <c r="I5" s="163">
        <v>0.32700000000000001</v>
      </c>
      <c r="J5" s="163">
        <v>0.88500000000000001</v>
      </c>
      <c r="K5" s="161" t="s">
        <v>593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592</v>
      </c>
    </row>
    <row r="6" spans="1:28" s="167" customFormat="1" ht="25.05" customHeight="1" x14ac:dyDescent="0.3">
      <c r="A6" s="161">
        <v>4</v>
      </c>
      <c r="B6" s="162" t="s">
        <v>591</v>
      </c>
      <c r="C6" s="161" t="s">
        <v>296</v>
      </c>
      <c r="D6" s="161" t="s">
        <v>583</v>
      </c>
      <c r="E6" s="161" t="s">
        <v>27</v>
      </c>
      <c r="F6" s="161">
        <v>262537</v>
      </c>
      <c r="G6" s="161" t="s">
        <v>590</v>
      </c>
      <c r="H6" s="161">
        <v>1000</v>
      </c>
      <c r="I6" s="163">
        <v>0.30299999999999999</v>
      </c>
      <c r="J6" s="163">
        <v>0.94499999999999995</v>
      </c>
      <c r="K6" s="161" t="s">
        <v>589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588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11" t="s">
        <v>587</v>
      </c>
      <c r="B1" s="211" t="s">
        <v>27</v>
      </c>
      <c r="C1" s="211" t="s">
        <v>27</v>
      </c>
      <c r="D1" s="211" t="s">
        <v>27</v>
      </c>
      <c r="E1" s="211" t="s">
        <v>27</v>
      </c>
      <c r="F1" s="211" t="s">
        <v>27</v>
      </c>
      <c r="G1" s="211" t="s">
        <v>27</v>
      </c>
      <c r="H1" s="211" t="s">
        <v>27</v>
      </c>
      <c r="I1" s="211" t="s">
        <v>27</v>
      </c>
      <c r="J1" s="211" t="s">
        <v>27</v>
      </c>
      <c r="K1" s="211" t="s">
        <v>27</v>
      </c>
      <c r="L1" s="211" t="s">
        <v>27</v>
      </c>
      <c r="M1" s="211" t="s">
        <v>27</v>
      </c>
      <c r="N1" s="211" t="s">
        <v>27</v>
      </c>
      <c r="O1" s="211" t="s">
        <v>27</v>
      </c>
      <c r="P1" s="211" t="s">
        <v>27</v>
      </c>
      <c r="Q1" s="211" t="s">
        <v>27</v>
      </c>
      <c r="R1" s="211" t="s">
        <v>27</v>
      </c>
      <c r="S1" s="211" t="s">
        <v>27</v>
      </c>
      <c r="T1" s="211" t="s">
        <v>27</v>
      </c>
      <c r="U1" s="211" t="s">
        <v>27</v>
      </c>
      <c r="V1" s="211" t="s">
        <v>27</v>
      </c>
      <c r="W1" s="211" t="s">
        <v>27</v>
      </c>
      <c r="X1" s="211" t="s">
        <v>27</v>
      </c>
      <c r="Y1" s="211" t="s">
        <v>27</v>
      </c>
      <c r="Z1" s="211" t="s">
        <v>27</v>
      </c>
      <c r="AA1" s="211" t="s">
        <v>27</v>
      </c>
      <c r="AB1" s="21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5" customFormat="1" ht="25.05" customHeight="1" x14ac:dyDescent="0.3">
      <c r="A3" s="169">
        <v>1</v>
      </c>
      <c r="B3" s="170" t="s">
        <v>584</v>
      </c>
      <c r="C3" s="169" t="s">
        <v>36</v>
      </c>
      <c r="D3" s="169" t="s">
        <v>583</v>
      </c>
      <c r="E3" s="169" t="s">
        <v>27</v>
      </c>
      <c r="F3" s="169">
        <v>262522</v>
      </c>
      <c r="G3" s="169" t="s">
        <v>582</v>
      </c>
      <c r="H3" s="169">
        <v>8000</v>
      </c>
      <c r="I3" s="171">
        <v>0.46</v>
      </c>
      <c r="J3" s="171">
        <v>0.92</v>
      </c>
      <c r="K3" s="169" t="s">
        <v>34</v>
      </c>
      <c r="L3" s="171">
        <v>3385.6</v>
      </c>
      <c r="M3" s="172">
        <v>2453.3000000000002</v>
      </c>
      <c r="N3" s="173">
        <v>0.22720000000000001</v>
      </c>
      <c r="O3" s="174">
        <v>13.63</v>
      </c>
      <c r="P3" s="169">
        <v>1168</v>
      </c>
      <c r="Q3" s="169">
        <v>3</v>
      </c>
      <c r="R3" s="169">
        <v>1400</v>
      </c>
      <c r="S3" s="171">
        <v>1.38</v>
      </c>
      <c r="T3" s="169">
        <v>20</v>
      </c>
      <c r="U3" s="173">
        <v>1.43E-2</v>
      </c>
      <c r="V3" s="169" t="s">
        <v>28</v>
      </c>
      <c r="W3" s="169" t="s">
        <v>28</v>
      </c>
      <c r="X3" s="169" t="s">
        <v>28</v>
      </c>
      <c r="Y3" s="169" t="s">
        <v>27</v>
      </c>
      <c r="Z3" s="169" t="s">
        <v>27</v>
      </c>
      <c r="AA3" s="169" t="s">
        <v>49</v>
      </c>
      <c r="AB3" s="169" t="s">
        <v>64</v>
      </c>
    </row>
    <row r="4" spans="1:28" s="175" customFormat="1" ht="25.05" customHeight="1" x14ac:dyDescent="0.3">
      <c r="A4" s="169">
        <v>2</v>
      </c>
      <c r="B4" s="170" t="s">
        <v>584</v>
      </c>
      <c r="C4" s="169" t="s">
        <v>60</v>
      </c>
      <c r="D4" s="169" t="s">
        <v>583</v>
      </c>
      <c r="E4" s="169" t="s">
        <v>27</v>
      </c>
      <c r="F4" s="169">
        <v>262524</v>
      </c>
      <c r="G4" s="169" t="s">
        <v>582</v>
      </c>
      <c r="H4" s="169">
        <v>3000</v>
      </c>
      <c r="I4" s="171">
        <v>0.46</v>
      </c>
      <c r="J4" s="171">
        <v>0.92</v>
      </c>
      <c r="K4" s="169" t="s">
        <v>34</v>
      </c>
      <c r="L4" s="171">
        <v>1269.5999999999999</v>
      </c>
      <c r="M4" s="172">
        <v>920</v>
      </c>
      <c r="N4" s="173">
        <v>8.5199999999999998E-2</v>
      </c>
      <c r="O4" s="174">
        <v>5.1100000000000003</v>
      </c>
      <c r="P4" s="169">
        <v>479.9</v>
      </c>
      <c r="Q4" s="169">
        <v>3</v>
      </c>
      <c r="R4" s="169">
        <v>1400</v>
      </c>
      <c r="S4" s="171">
        <v>1.38</v>
      </c>
      <c r="T4" s="169">
        <v>20</v>
      </c>
      <c r="U4" s="173">
        <v>1.43E-2</v>
      </c>
      <c r="V4" s="169" t="s">
        <v>38</v>
      </c>
      <c r="W4" s="169" t="s">
        <v>29</v>
      </c>
      <c r="X4" s="169" t="s">
        <v>35</v>
      </c>
      <c r="Y4" s="169" t="s">
        <v>27</v>
      </c>
      <c r="Z4" s="169" t="s">
        <v>27</v>
      </c>
      <c r="AA4" s="169" t="s">
        <v>33</v>
      </c>
      <c r="AB4" s="169" t="s">
        <v>64</v>
      </c>
    </row>
    <row r="5" spans="1:28" s="175" customFormat="1" ht="25.05" customHeight="1" x14ac:dyDescent="0.3">
      <c r="A5" s="169">
        <v>3</v>
      </c>
      <c r="B5" s="170" t="s">
        <v>584</v>
      </c>
      <c r="C5" s="169" t="s">
        <v>36</v>
      </c>
      <c r="D5" s="169" t="s">
        <v>583</v>
      </c>
      <c r="E5" s="169" t="s">
        <v>27</v>
      </c>
      <c r="F5" s="169">
        <v>262527</v>
      </c>
      <c r="G5" s="169" t="s">
        <v>582</v>
      </c>
      <c r="H5" s="169">
        <v>1000</v>
      </c>
      <c r="I5" s="171">
        <v>0.41</v>
      </c>
      <c r="J5" s="171">
        <v>0.82</v>
      </c>
      <c r="K5" s="169" t="s">
        <v>34</v>
      </c>
      <c r="L5" s="171">
        <v>336.2</v>
      </c>
      <c r="M5" s="172">
        <v>273.3</v>
      </c>
      <c r="N5" s="173">
        <v>2.53E-2</v>
      </c>
      <c r="O5" s="174">
        <v>1.52</v>
      </c>
      <c r="P5" s="169">
        <v>116</v>
      </c>
      <c r="Q5" s="169">
        <v>3</v>
      </c>
      <c r="R5" s="169">
        <v>1250</v>
      </c>
      <c r="S5" s="171">
        <v>1.23</v>
      </c>
      <c r="T5" s="169">
        <v>20</v>
      </c>
      <c r="U5" s="173">
        <v>1.6E-2</v>
      </c>
      <c r="V5" s="169" t="s">
        <v>28</v>
      </c>
      <c r="W5" s="169" t="s">
        <v>28</v>
      </c>
      <c r="X5" s="169" t="s">
        <v>28</v>
      </c>
      <c r="Y5" s="169" t="s">
        <v>27</v>
      </c>
      <c r="Z5" s="169" t="s">
        <v>27</v>
      </c>
      <c r="AA5" s="169" t="s">
        <v>39</v>
      </c>
      <c r="AB5" s="169" t="s">
        <v>586</v>
      </c>
    </row>
    <row r="6" spans="1:28" s="175" customFormat="1" ht="25.05" customHeight="1" x14ac:dyDescent="0.3">
      <c r="A6" s="169">
        <v>4</v>
      </c>
      <c r="B6" s="170" t="s">
        <v>584</v>
      </c>
      <c r="C6" s="169" t="s">
        <v>60</v>
      </c>
      <c r="D6" s="169" t="s">
        <v>583</v>
      </c>
      <c r="E6" s="169" t="s">
        <v>27</v>
      </c>
      <c r="F6" s="169">
        <v>262528</v>
      </c>
      <c r="G6" s="169" t="s">
        <v>582</v>
      </c>
      <c r="H6" s="169">
        <v>2000</v>
      </c>
      <c r="I6" s="171">
        <v>0.41</v>
      </c>
      <c r="J6" s="171">
        <v>0.82</v>
      </c>
      <c r="K6" s="169" t="s">
        <v>34</v>
      </c>
      <c r="L6" s="171">
        <v>672.4</v>
      </c>
      <c r="M6" s="172">
        <v>546.70000000000005</v>
      </c>
      <c r="N6" s="173">
        <v>5.0599999999999999E-2</v>
      </c>
      <c r="O6" s="174">
        <v>3.04</v>
      </c>
      <c r="P6" s="169">
        <v>254.2</v>
      </c>
      <c r="Q6" s="169">
        <v>3</v>
      </c>
      <c r="R6" s="169">
        <v>1250</v>
      </c>
      <c r="S6" s="171">
        <v>1.23</v>
      </c>
      <c r="T6" s="169">
        <v>20</v>
      </c>
      <c r="U6" s="173">
        <v>1.6E-2</v>
      </c>
      <c r="V6" s="169" t="s">
        <v>38</v>
      </c>
      <c r="W6" s="169" t="s">
        <v>29</v>
      </c>
      <c r="X6" s="169" t="s">
        <v>35</v>
      </c>
      <c r="Y6" s="169" t="s">
        <v>27</v>
      </c>
      <c r="Z6" s="169" t="s">
        <v>27</v>
      </c>
      <c r="AA6" s="169" t="s">
        <v>33</v>
      </c>
      <c r="AB6" s="169" t="s">
        <v>586</v>
      </c>
    </row>
    <row r="7" spans="1:28" s="175" customFormat="1" ht="25.05" customHeight="1" x14ac:dyDescent="0.3">
      <c r="A7" s="169">
        <v>5</v>
      </c>
      <c r="B7" s="170" t="s">
        <v>584</v>
      </c>
      <c r="C7" s="169" t="s">
        <v>36</v>
      </c>
      <c r="D7" s="169" t="s">
        <v>583</v>
      </c>
      <c r="E7" s="169" t="s">
        <v>27</v>
      </c>
      <c r="F7" s="169">
        <v>262523</v>
      </c>
      <c r="G7" s="169" t="s">
        <v>582</v>
      </c>
      <c r="H7" s="169">
        <v>500</v>
      </c>
      <c r="I7" s="171">
        <v>0.56000000000000005</v>
      </c>
      <c r="J7" s="171">
        <v>1.1200000000000001</v>
      </c>
      <c r="K7" s="169" t="s">
        <v>34</v>
      </c>
      <c r="L7" s="171">
        <v>313.60000000000002</v>
      </c>
      <c r="M7" s="172">
        <v>280</v>
      </c>
      <c r="N7" s="173">
        <v>3.8899999999999997E-2</v>
      </c>
      <c r="O7" s="174">
        <v>2.33</v>
      </c>
      <c r="P7" s="169">
        <v>108.2</v>
      </c>
      <c r="Q7" s="169">
        <v>2</v>
      </c>
      <c r="R7" s="169">
        <v>1150</v>
      </c>
      <c r="S7" s="171">
        <v>1.1200000000000001</v>
      </c>
      <c r="T7" s="169">
        <v>30</v>
      </c>
      <c r="U7" s="173">
        <v>2.6100000000000002E-2</v>
      </c>
      <c r="V7" s="169" t="s">
        <v>28</v>
      </c>
      <c r="W7" s="169" t="s">
        <v>28</v>
      </c>
      <c r="X7" s="169" t="s">
        <v>28</v>
      </c>
      <c r="Y7" s="169" t="s">
        <v>27</v>
      </c>
      <c r="Z7" s="169" t="s">
        <v>27</v>
      </c>
      <c r="AA7" s="169" t="s">
        <v>39</v>
      </c>
      <c r="AB7" s="169" t="s">
        <v>585</v>
      </c>
    </row>
    <row r="8" spans="1:28" s="175" customFormat="1" ht="25.05" customHeight="1" x14ac:dyDescent="0.3">
      <c r="A8" s="169">
        <v>6</v>
      </c>
      <c r="B8" s="170" t="s">
        <v>584</v>
      </c>
      <c r="C8" s="169" t="s">
        <v>60</v>
      </c>
      <c r="D8" s="169" t="s">
        <v>583</v>
      </c>
      <c r="E8" s="169" t="s">
        <v>27</v>
      </c>
      <c r="F8" s="169">
        <v>262525</v>
      </c>
      <c r="G8" s="169" t="s">
        <v>582</v>
      </c>
      <c r="H8" s="169">
        <v>1500</v>
      </c>
      <c r="I8" s="171">
        <v>0.56000000000000005</v>
      </c>
      <c r="J8" s="171">
        <v>1.1200000000000001</v>
      </c>
      <c r="K8" s="169" t="s">
        <v>34</v>
      </c>
      <c r="L8" s="171">
        <v>940.8</v>
      </c>
      <c r="M8" s="172">
        <v>840</v>
      </c>
      <c r="N8" s="173">
        <v>0.1167</v>
      </c>
      <c r="O8" s="174">
        <v>7</v>
      </c>
      <c r="P8" s="169">
        <v>355.6</v>
      </c>
      <c r="Q8" s="169">
        <v>2</v>
      </c>
      <c r="R8" s="169">
        <v>1150</v>
      </c>
      <c r="S8" s="171">
        <v>1.1200000000000001</v>
      </c>
      <c r="T8" s="169">
        <v>30</v>
      </c>
      <c r="U8" s="173">
        <v>2.6100000000000002E-2</v>
      </c>
      <c r="V8" s="169" t="s">
        <v>38</v>
      </c>
      <c r="W8" s="169" t="s">
        <v>29</v>
      </c>
      <c r="X8" s="169" t="s">
        <v>35</v>
      </c>
      <c r="Y8" s="169" t="s">
        <v>27</v>
      </c>
      <c r="Z8" s="169" t="s">
        <v>27</v>
      </c>
      <c r="AA8" s="169" t="s">
        <v>33</v>
      </c>
      <c r="AB8" s="169" t="s">
        <v>585</v>
      </c>
    </row>
    <row r="9" spans="1:28" s="175" customFormat="1" ht="25.05" customHeight="1" x14ac:dyDescent="0.3">
      <c r="A9" s="169">
        <v>7</v>
      </c>
      <c r="B9" s="170" t="s">
        <v>584</v>
      </c>
      <c r="C9" s="169" t="s">
        <v>36</v>
      </c>
      <c r="D9" s="169" t="s">
        <v>583</v>
      </c>
      <c r="E9" s="169" t="s">
        <v>27</v>
      </c>
      <c r="F9" s="169">
        <v>262526</v>
      </c>
      <c r="G9" s="169" t="s">
        <v>582</v>
      </c>
      <c r="H9" s="169">
        <v>1500</v>
      </c>
      <c r="I9" s="171">
        <v>0.36</v>
      </c>
      <c r="J9" s="171">
        <v>0.72</v>
      </c>
      <c r="K9" s="169" t="s">
        <v>34</v>
      </c>
      <c r="L9" s="171">
        <v>388.8</v>
      </c>
      <c r="M9" s="172">
        <v>360</v>
      </c>
      <c r="N9" s="173">
        <v>3.3300000000000003E-2</v>
      </c>
      <c r="O9" s="174">
        <v>2</v>
      </c>
      <c r="P9" s="169">
        <v>134.1</v>
      </c>
      <c r="Q9" s="169">
        <v>3</v>
      </c>
      <c r="R9" s="169">
        <v>1100</v>
      </c>
      <c r="S9" s="171">
        <v>1.08</v>
      </c>
      <c r="T9" s="169">
        <v>20</v>
      </c>
      <c r="U9" s="173">
        <v>1.8200000000000001E-2</v>
      </c>
      <c r="V9" s="169" t="s">
        <v>28</v>
      </c>
      <c r="W9" s="169" t="s">
        <v>28</v>
      </c>
      <c r="X9" s="169" t="s">
        <v>28</v>
      </c>
      <c r="Y9" s="169" t="s">
        <v>27</v>
      </c>
      <c r="Z9" s="169" t="s">
        <v>27</v>
      </c>
      <c r="AA9" s="169" t="s">
        <v>39</v>
      </c>
      <c r="AB9" s="169" t="s">
        <v>581</v>
      </c>
    </row>
    <row r="10" spans="1:28" s="175" customFormat="1" ht="25.05" customHeight="1" x14ac:dyDescent="0.3">
      <c r="A10" s="169">
        <v>8</v>
      </c>
      <c r="B10" s="170" t="s">
        <v>584</v>
      </c>
      <c r="C10" s="169" t="s">
        <v>60</v>
      </c>
      <c r="D10" s="169" t="s">
        <v>583</v>
      </c>
      <c r="E10" s="169" t="s">
        <v>27</v>
      </c>
      <c r="F10" s="169">
        <v>262529</v>
      </c>
      <c r="G10" s="169" t="s">
        <v>582</v>
      </c>
      <c r="H10" s="169">
        <v>2500</v>
      </c>
      <c r="I10" s="171">
        <v>0.36</v>
      </c>
      <c r="J10" s="171">
        <v>0.72</v>
      </c>
      <c r="K10" s="169" t="s">
        <v>34</v>
      </c>
      <c r="L10" s="171">
        <v>648</v>
      </c>
      <c r="M10" s="172">
        <v>600</v>
      </c>
      <c r="N10" s="173">
        <v>5.5599999999999997E-2</v>
      </c>
      <c r="O10" s="174">
        <v>3.33</v>
      </c>
      <c r="P10" s="169">
        <v>244.9</v>
      </c>
      <c r="Q10" s="169">
        <v>3</v>
      </c>
      <c r="R10" s="169">
        <v>1100</v>
      </c>
      <c r="S10" s="171">
        <v>1.08</v>
      </c>
      <c r="T10" s="169">
        <v>20</v>
      </c>
      <c r="U10" s="173">
        <v>1.8200000000000001E-2</v>
      </c>
      <c r="V10" s="169" t="s">
        <v>38</v>
      </c>
      <c r="W10" s="169" t="s">
        <v>29</v>
      </c>
      <c r="X10" s="169" t="s">
        <v>35</v>
      </c>
      <c r="Y10" s="169" t="s">
        <v>27</v>
      </c>
      <c r="Z10" s="169" t="s">
        <v>27</v>
      </c>
      <c r="AA10" s="169" t="s">
        <v>39</v>
      </c>
      <c r="AB10" s="169" t="s">
        <v>581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11" t="s">
        <v>580</v>
      </c>
      <c r="B1" s="211" t="s">
        <v>27</v>
      </c>
      <c r="C1" s="211" t="s">
        <v>27</v>
      </c>
      <c r="D1" s="211" t="s">
        <v>27</v>
      </c>
      <c r="E1" s="211" t="s">
        <v>27</v>
      </c>
      <c r="F1" s="211" t="s">
        <v>27</v>
      </c>
      <c r="G1" s="211" t="s">
        <v>27</v>
      </c>
      <c r="H1" s="211" t="s">
        <v>27</v>
      </c>
      <c r="I1" s="211" t="s">
        <v>27</v>
      </c>
      <c r="J1" s="211" t="s">
        <v>27</v>
      </c>
      <c r="K1" s="211" t="s">
        <v>27</v>
      </c>
      <c r="L1" s="211" t="s">
        <v>27</v>
      </c>
      <c r="M1" s="211" t="s">
        <v>27</v>
      </c>
      <c r="N1" s="211" t="s">
        <v>27</v>
      </c>
      <c r="O1" s="211" t="s">
        <v>27</v>
      </c>
      <c r="P1" s="211" t="s">
        <v>27</v>
      </c>
      <c r="Q1" s="211" t="s">
        <v>27</v>
      </c>
      <c r="R1" s="211" t="s">
        <v>27</v>
      </c>
      <c r="S1" s="211" t="s">
        <v>27</v>
      </c>
      <c r="T1" s="211" t="s">
        <v>27</v>
      </c>
      <c r="U1" s="211" t="s">
        <v>27</v>
      </c>
      <c r="V1" s="211" t="s">
        <v>27</v>
      </c>
      <c r="W1" s="211" t="s">
        <v>27</v>
      </c>
      <c r="X1" s="211" t="s">
        <v>27</v>
      </c>
      <c r="Y1" s="211" t="s">
        <v>27</v>
      </c>
      <c r="Z1" s="211" t="s">
        <v>27</v>
      </c>
      <c r="AA1" s="211" t="s">
        <v>27</v>
      </c>
      <c r="AB1" s="21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577</v>
      </c>
      <c r="E3" s="150" t="s">
        <v>27</v>
      </c>
      <c r="F3" s="150">
        <v>262520</v>
      </c>
      <c r="G3" s="150" t="s">
        <v>576</v>
      </c>
      <c r="H3" s="150">
        <v>300</v>
      </c>
      <c r="I3" s="152">
        <v>0.45600000000000002</v>
      </c>
      <c r="J3" s="152">
        <v>1.39</v>
      </c>
      <c r="K3" s="150" t="s">
        <v>579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578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577</v>
      </c>
      <c r="E4" s="150" t="s">
        <v>27</v>
      </c>
      <c r="F4" s="150">
        <v>262521</v>
      </c>
      <c r="G4" s="150" t="s">
        <v>576</v>
      </c>
      <c r="H4" s="150">
        <v>250</v>
      </c>
      <c r="I4" s="152">
        <v>0.439</v>
      </c>
      <c r="J4" s="152">
        <v>1.33</v>
      </c>
      <c r="K4" s="150" t="s">
        <v>575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574</v>
      </c>
    </row>
    <row r="5" spans="1:28" s="156" customFormat="1" ht="25.05" customHeight="1" x14ac:dyDescent="0.3">
      <c r="A5" s="150">
        <v>3</v>
      </c>
      <c r="B5" s="151" t="s">
        <v>600</v>
      </c>
      <c r="C5" s="150" t="s">
        <v>36</v>
      </c>
      <c r="D5" s="176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709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601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12" t="s">
        <v>573</v>
      </c>
      <c r="B1" s="212" t="s">
        <v>27</v>
      </c>
      <c r="C1" s="212" t="s">
        <v>27</v>
      </c>
      <c r="D1" s="212" t="s">
        <v>27</v>
      </c>
      <c r="E1" s="212" t="s">
        <v>27</v>
      </c>
      <c r="F1" s="212" t="s">
        <v>27</v>
      </c>
      <c r="G1" s="212" t="s">
        <v>27</v>
      </c>
      <c r="H1" s="212" t="s">
        <v>27</v>
      </c>
      <c r="I1" s="212" t="s">
        <v>27</v>
      </c>
      <c r="J1" s="212" t="s">
        <v>27</v>
      </c>
      <c r="K1" s="212" t="s">
        <v>27</v>
      </c>
      <c r="L1" s="212" t="s">
        <v>27</v>
      </c>
      <c r="M1" s="212" t="s">
        <v>27</v>
      </c>
      <c r="N1" s="212" t="s">
        <v>27</v>
      </c>
      <c r="O1" s="212" t="s">
        <v>27</v>
      </c>
      <c r="P1" s="212" t="s">
        <v>27</v>
      </c>
      <c r="Q1" s="212" t="s">
        <v>27</v>
      </c>
      <c r="R1" s="212" t="s">
        <v>27</v>
      </c>
      <c r="S1" s="212" t="s">
        <v>27</v>
      </c>
      <c r="T1" s="212" t="s">
        <v>27</v>
      </c>
      <c r="U1" s="212" t="s">
        <v>27</v>
      </c>
      <c r="V1" s="212" t="s">
        <v>27</v>
      </c>
      <c r="W1" s="212" t="s">
        <v>27</v>
      </c>
      <c r="X1" s="212" t="s">
        <v>27</v>
      </c>
      <c r="Y1" s="212" t="s">
        <v>27</v>
      </c>
      <c r="Z1" s="212" t="s">
        <v>27</v>
      </c>
      <c r="AA1" s="212" t="s">
        <v>27</v>
      </c>
      <c r="AB1" s="212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525</v>
      </c>
      <c r="E3" s="5" t="s">
        <v>27</v>
      </c>
      <c r="F3" s="5">
        <v>262513</v>
      </c>
      <c r="G3" s="5" t="s">
        <v>572</v>
      </c>
      <c r="H3" s="5">
        <v>700</v>
      </c>
      <c r="I3" s="7">
        <v>0.64</v>
      </c>
      <c r="J3" s="7">
        <v>1.403</v>
      </c>
      <c r="K3" s="5" t="s">
        <v>571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570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525</v>
      </c>
      <c r="E4" s="5" t="s">
        <v>27</v>
      </c>
      <c r="F4" s="5">
        <v>262514</v>
      </c>
      <c r="G4" s="5" t="s">
        <v>569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525</v>
      </c>
      <c r="E5" s="5" t="s">
        <v>27</v>
      </c>
      <c r="F5" s="5">
        <v>262515</v>
      </c>
      <c r="G5" s="5" t="s">
        <v>569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598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599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525</v>
      </c>
      <c r="E8" s="5" t="s">
        <v>27</v>
      </c>
      <c r="F8" s="5">
        <v>262516</v>
      </c>
      <c r="G8" s="5" t="s">
        <v>562</v>
      </c>
      <c r="H8" s="5">
        <v>200</v>
      </c>
      <c r="I8" s="7">
        <v>0.94899999999999995</v>
      </c>
      <c r="J8" s="7">
        <v>1.536</v>
      </c>
      <c r="K8" s="5" t="s">
        <v>568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567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525</v>
      </c>
      <c r="E9" s="5" t="s">
        <v>27</v>
      </c>
      <c r="F9" s="5">
        <v>262517</v>
      </c>
      <c r="G9" s="5" t="s">
        <v>562</v>
      </c>
      <c r="H9" s="5">
        <v>200</v>
      </c>
      <c r="I9" s="7">
        <v>1.3089999999999999</v>
      </c>
      <c r="J9" s="7">
        <v>1.151</v>
      </c>
      <c r="K9" s="5" t="s">
        <v>566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565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525</v>
      </c>
      <c r="E10" s="5" t="s">
        <v>27</v>
      </c>
      <c r="F10" s="5">
        <v>262518</v>
      </c>
      <c r="G10" s="5" t="s">
        <v>562</v>
      </c>
      <c r="H10" s="5">
        <v>200</v>
      </c>
      <c r="I10" s="7">
        <v>1.2430000000000001</v>
      </c>
      <c r="J10" s="7">
        <v>1.5249999999999999</v>
      </c>
      <c r="K10" s="5" t="s">
        <v>564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563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525</v>
      </c>
      <c r="E11" s="5" t="s">
        <v>27</v>
      </c>
      <c r="F11" s="5">
        <v>262519</v>
      </c>
      <c r="G11" s="5" t="s">
        <v>562</v>
      </c>
      <c r="H11" s="5">
        <v>200</v>
      </c>
      <c r="I11" s="7">
        <v>1.2749999999999999</v>
      </c>
      <c r="J11" s="7">
        <v>1.7569999999999999</v>
      </c>
      <c r="K11" s="5" t="s">
        <v>561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560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14" t="s">
        <v>545</v>
      </c>
      <c r="B1" s="214" t="s">
        <v>27</v>
      </c>
      <c r="C1" s="214" t="s">
        <v>27</v>
      </c>
      <c r="D1" s="214" t="s">
        <v>27</v>
      </c>
      <c r="E1" s="214" t="s">
        <v>27</v>
      </c>
      <c r="F1" s="214" t="s">
        <v>27</v>
      </c>
      <c r="G1" s="214" t="s">
        <v>27</v>
      </c>
      <c r="H1" s="214" t="s">
        <v>27</v>
      </c>
      <c r="I1" s="214" t="s">
        <v>27</v>
      </c>
      <c r="J1" s="214" t="s">
        <v>27</v>
      </c>
      <c r="K1" s="214" t="s">
        <v>27</v>
      </c>
      <c r="L1" s="214" t="s">
        <v>27</v>
      </c>
      <c r="M1" s="214" t="s">
        <v>27</v>
      </c>
      <c r="N1" s="214" t="s">
        <v>27</v>
      </c>
      <c r="O1" s="214" t="s">
        <v>27</v>
      </c>
      <c r="P1" s="214" t="s">
        <v>27</v>
      </c>
      <c r="Q1" s="214" t="s">
        <v>27</v>
      </c>
      <c r="R1" s="214" t="s">
        <v>27</v>
      </c>
      <c r="S1" s="214" t="s">
        <v>27</v>
      </c>
      <c r="T1" s="214" t="s">
        <v>27</v>
      </c>
      <c r="U1" s="214" t="s">
        <v>27</v>
      </c>
      <c r="V1" s="214" t="s">
        <v>27</v>
      </c>
      <c r="W1" s="214" t="s">
        <v>27</v>
      </c>
      <c r="X1" s="214" t="s">
        <v>27</v>
      </c>
      <c r="Y1" s="214" t="s">
        <v>27</v>
      </c>
      <c r="Z1" s="214" t="s">
        <v>27</v>
      </c>
      <c r="AA1" s="214" t="s">
        <v>27</v>
      </c>
      <c r="AB1" s="214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1" customFormat="1" ht="25.05" customHeight="1" x14ac:dyDescent="0.3">
      <c r="A3" s="192">
        <v>1</v>
      </c>
      <c r="B3" s="193" t="s">
        <v>135</v>
      </c>
      <c r="C3" s="192" t="s">
        <v>26</v>
      </c>
      <c r="D3" s="192" t="s">
        <v>534</v>
      </c>
      <c r="E3" s="192" t="s">
        <v>27</v>
      </c>
      <c r="F3" s="192">
        <v>262497</v>
      </c>
      <c r="G3" s="192" t="s">
        <v>533</v>
      </c>
      <c r="H3" s="192">
        <v>225</v>
      </c>
      <c r="I3" s="194">
        <v>1.548</v>
      </c>
      <c r="J3" s="194">
        <v>1.62</v>
      </c>
      <c r="K3" s="192" t="s">
        <v>34</v>
      </c>
      <c r="L3" s="194">
        <v>564.24599999999998</v>
      </c>
      <c r="M3" s="195">
        <v>364.5</v>
      </c>
      <c r="N3" s="196">
        <v>0.1013</v>
      </c>
      <c r="O3" s="197">
        <v>6.08</v>
      </c>
      <c r="P3" s="192">
        <v>334.6</v>
      </c>
      <c r="Q3" s="192">
        <v>1</v>
      </c>
      <c r="R3" s="192">
        <v>1600</v>
      </c>
      <c r="S3" s="194">
        <v>1.548</v>
      </c>
      <c r="T3" s="192">
        <v>52</v>
      </c>
      <c r="U3" s="196">
        <v>3.2500000000000001E-2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33</v>
      </c>
      <c r="AB3" s="192" t="s">
        <v>544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534</v>
      </c>
      <c r="E4" s="150" t="s">
        <v>27</v>
      </c>
      <c r="F4" s="150">
        <v>262501</v>
      </c>
      <c r="G4" s="150" t="s">
        <v>533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1" customFormat="1" ht="25.05" customHeight="1" x14ac:dyDescent="0.3">
      <c r="A5" s="192">
        <v>3</v>
      </c>
      <c r="B5" s="193" t="s">
        <v>135</v>
      </c>
      <c r="C5" s="192" t="s">
        <v>26</v>
      </c>
      <c r="D5" s="192" t="s">
        <v>534</v>
      </c>
      <c r="E5" s="192" t="s">
        <v>27</v>
      </c>
      <c r="F5" s="192">
        <v>262495</v>
      </c>
      <c r="G5" s="192" t="s">
        <v>533</v>
      </c>
      <c r="H5" s="192">
        <v>395</v>
      </c>
      <c r="I5" s="194">
        <v>0.69</v>
      </c>
      <c r="J5" s="194">
        <v>2.0699999999999998</v>
      </c>
      <c r="K5" s="192" t="s">
        <v>34</v>
      </c>
      <c r="L5" s="194">
        <v>564.178</v>
      </c>
      <c r="M5" s="195">
        <v>408.8</v>
      </c>
      <c r="N5" s="196">
        <v>5.6800000000000003E-2</v>
      </c>
      <c r="O5" s="197">
        <v>3.41</v>
      </c>
      <c r="P5" s="192">
        <v>334.6</v>
      </c>
      <c r="Q5" s="192">
        <v>2</v>
      </c>
      <c r="R5" s="192">
        <v>1400</v>
      </c>
      <c r="S5" s="194">
        <v>1.38</v>
      </c>
      <c r="T5" s="192">
        <v>20</v>
      </c>
      <c r="U5" s="196">
        <v>1.43E-2</v>
      </c>
      <c r="V5" s="192" t="s">
        <v>28</v>
      </c>
      <c r="W5" s="192" t="s">
        <v>29</v>
      </c>
      <c r="X5" s="192" t="s">
        <v>28</v>
      </c>
      <c r="Y5" s="192" t="s">
        <v>28</v>
      </c>
      <c r="Z5" s="192" t="s">
        <v>28</v>
      </c>
      <c r="AA5" s="192" t="s">
        <v>30</v>
      </c>
      <c r="AB5" s="192" t="s">
        <v>543</v>
      </c>
    </row>
    <row r="6" spans="1:28" s="191" customFormat="1" ht="25.05" customHeight="1" x14ac:dyDescent="0.3">
      <c r="A6" s="192">
        <v>4</v>
      </c>
      <c r="B6" s="193" t="s">
        <v>135</v>
      </c>
      <c r="C6" s="192" t="s">
        <v>26</v>
      </c>
      <c r="D6" s="192" t="s">
        <v>534</v>
      </c>
      <c r="E6" s="192" t="s">
        <v>27</v>
      </c>
      <c r="F6" s="192">
        <v>262496</v>
      </c>
      <c r="G6" s="192" t="s">
        <v>533</v>
      </c>
      <c r="H6" s="192">
        <v>610</v>
      </c>
      <c r="I6" s="194">
        <v>1.29</v>
      </c>
      <c r="J6" s="194">
        <v>1.59</v>
      </c>
      <c r="K6" s="192" t="s">
        <v>34</v>
      </c>
      <c r="L6" s="194">
        <v>1251.171</v>
      </c>
      <c r="M6" s="195">
        <v>969.9</v>
      </c>
      <c r="N6" s="196">
        <v>0.26939999999999997</v>
      </c>
      <c r="O6" s="197">
        <v>16.170000000000002</v>
      </c>
      <c r="P6" s="192">
        <v>741.9</v>
      </c>
      <c r="Q6" s="192">
        <v>1</v>
      </c>
      <c r="R6" s="192">
        <v>1350</v>
      </c>
      <c r="S6" s="194">
        <v>1.29</v>
      </c>
      <c r="T6" s="192">
        <v>60</v>
      </c>
      <c r="U6" s="196">
        <v>4.4400000000000002E-2</v>
      </c>
      <c r="V6" s="192" t="s">
        <v>28</v>
      </c>
      <c r="W6" s="192" t="s">
        <v>29</v>
      </c>
      <c r="X6" s="192" t="s">
        <v>28</v>
      </c>
      <c r="Y6" s="192" t="s">
        <v>28</v>
      </c>
      <c r="Z6" s="192" t="s">
        <v>28</v>
      </c>
      <c r="AA6" s="192" t="s">
        <v>32</v>
      </c>
      <c r="AB6" s="192" t="s">
        <v>542</v>
      </c>
    </row>
    <row r="7" spans="1:28" s="191" customFormat="1" ht="25.05" customHeight="1" x14ac:dyDescent="0.3">
      <c r="A7" s="192">
        <v>5</v>
      </c>
      <c r="B7" s="193" t="s">
        <v>135</v>
      </c>
      <c r="C7" s="192" t="s">
        <v>26</v>
      </c>
      <c r="D7" s="192" t="s">
        <v>534</v>
      </c>
      <c r="E7" s="192" t="s">
        <v>27</v>
      </c>
      <c r="F7" s="192">
        <v>262494</v>
      </c>
      <c r="G7" s="192" t="s">
        <v>533</v>
      </c>
      <c r="H7" s="192">
        <v>700</v>
      </c>
      <c r="I7" s="194">
        <v>1.0740000000000001</v>
      </c>
      <c r="J7" s="194">
        <v>1.27</v>
      </c>
      <c r="K7" s="192" t="s">
        <v>34</v>
      </c>
      <c r="L7" s="194">
        <v>954.78599999999994</v>
      </c>
      <c r="M7" s="195">
        <v>889</v>
      </c>
      <c r="N7" s="196">
        <v>0.24690000000000001</v>
      </c>
      <c r="O7" s="197">
        <v>14.82</v>
      </c>
      <c r="P7" s="192">
        <v>566.20000000000005</v>
      </c>
      <c r="Q7" s="192">
        <v>1</v>
      </c>
      <c r="R7" s="192">
        <v>1100</v>
      </c>
      <c r="S7" s="194">
        <v>1.0740000000000001</v>
      </c>
      <c r="T7" s="192">
        <v>26</v>
      </c>
      <c r="U7" s="196">
        <v>2.3599999999999999E-2</v>
      </c>
      <c r="V7" s="192" t="s">
        <v>28</v>
      </c>
      <c r="W7" s="192" t="s">
        <v>29</v>
      </c>
      <c r="X7" s="192" t="s">
        <v>28</v>
      </c>
      <c r="Y7" s="192" t="s">
        <v>28</v>
      </c>
      <c r="Z7" s="192" t="s">
        <v>28</v>
      </c>
      <c r="AA7" s="192" t="s">
        <v>32</v>
      </c>
      <c r="AB7" s="192" t="s">
        <v>541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534</v>
      </c>
      <c r="E8" s="150" t="s">
        <v>27</v>
      </c>
      <c r="F8" s="150">
        <v>262502</v>
      </c>
      <c r="G8" s="150" t="s">
        <v>533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540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534</v>
      </c>
      <c r="E9" s="150" t="s">
        <v>27</v>
      </c>
      <c r="F9" s="150">
        <v>262503</v>
      </c>
      <c r="G9" s="150" t="s">
        <v>533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539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534</v>
      </c>
      <c r="E10" s="150" t="s">
        <v>27</v>
      </c>
      <c r="F10" s="150">
        <v>262504</v>
      </c>
      <c r="G10" s="150" t="s">
        <v>533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538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534</v>
      </c>
      <c r="E11" s="150" t="s">
        <v>27</v>
      </c>
      <c r="F11" s="150">
        <v>262505</v>
      </c>
      <c r="G11" s="150" t="s">
        <v>533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537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534</v>
      </c>
      <c r="E12" s="150" t="s">
        <v>27</v>
      </c>
      <c r="F12" s="150">
        <v>262499</v>
      </c>
      <c r="G12" s="150" t="s">
        <v>533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536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534</v>
      </c>
      <c r="E13" s="150" t="s">
        <v>27</v>
      </c>
      <c r="F13" s="150">
        <v>262498</v>
      </c>
      <c r="G13" s="150" t="s">
        <v>533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535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534</v>
      </c>
      <c r="E14" s="150" t="s">
        <v>27</v>
      </c>
      <c r="F14" s="150">
        <v>262500</v>
      </c>
      <c r="G14" s="150" t="s">
        <v>533</v>
      </c>
      <c r="H14" s="150">
        <v>6000</v>
      </c>
      <c r="I14" s="152">
        <v>0.374</v>
      </c>
      <c r="J14" s="152">
        <v>0.44</v>
      </c>
      <c r="K14" s="150" t="s">
        <v>532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531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12" t="s">
        <v>530</v>
      </c>
      <c r="B1" s="212" t="s">
        <v>27</v>
      </c>
      <c r="C1" s="212" t="s">
        <v>27</v>
      </c>
      <c r="D1" s="212" t="s">
        <v>27</v>
      </c>
      <c r="E1" s="212" t="s">
        <v>27</v>
      </c>
      <c r="F1" s="212" t="s">
        <v>27</v>
      </c>
      <c r="G1" s="212" t="s">
        <v>27</v>
      </c>
      <c r="H1" s="212" t="s">
        <v>27</v>
      </c>
      <c r="I1" s="212" t="s">
        <v>27</v>
      </c>
      <c r="J1" s="212" t="s">
        <v>27</v>
      </c>
      <c r="K1" s="212" t="s">
        <v>27</v>
      </c>
      <c r="L1" s="212" t="s">
        <v>27</v>
      </c>
      <c r="M1" s="212" t="s">
        <v>27</v>
      </c>
      <c r="N1" s="212" t="s">
        <v>27</v>
      </c>
      <c r="O1" s="212" t="s">
        <v>27</v>
      </c>
      <c r="P1" s="212" t="s">
        <v>27</v>
      </c>
      <c r="Q1" s="212" t="s">
        <v>27</v>
      </c>
      <c r="R1" s="212" t="s">
        <v>27</v>
      </c>
      <c r="S1" s="212" t="s">
        <v>27</v>
      </c>
      <c r="T1" s="212" t="s">
        <v>27</v>
      </c>
      <c r="U1" s="212" t="s">
        <v>27</v>
      </c>
      <c r="V1" s="212" t="s">
        <v>27</v>
      </c>
      <c r="W1" s="212" t="s">
        <v>27</v>
      </c>
      <c r="X1" s="212" t="s">
        <v>27</v>
      </c>
      <c r="Y1" s="212" t="s">
        <v>27</v>
      </c>
      <c r="Z1" s="212" t="s">
        <v>27</v>
      </c>
      <c r="AA1" s="212" t="s">
        <v>27</v>
      </c>
      <c r="AB1" s="21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527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527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529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528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527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527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sheetPr>
    <pageSetUpPr fitToPage="1"/>
  </sheetPr>
  <dimension ref="A1:AB4"/>
  <sheetViews>
    <sheetView workbookViewId="0">
      <selection activeCell="S17" sqref="S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3" width="7.44140625" style="1" customWidth="1"/>
    <col min="24" max="24" width="7.33203125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12" t="s">
        <v>526</v>
      </c>
      <c r="B1" s="212" t="s">
        <v>27</v>
      </c>
      <c r="C1" s="212" t="s">
        <v>27</v>
      </c>
      <c r="D1" s="212" t="s">
        <v>27</v>
      </c>
      <c r="E1" s="212" t="s">
        <v>27</v>
      </c>
      <c r="F1" s="212" t="s">
        <v>27</v>
      </c>
      <c r="G1" s="212" t="s">
        <v>27</v>
      </c>
      <c r="H1" s="212" t="s">
        <v>27</v>
      </c>
      <c r="I1" s="212" t="s">
        <v>27</v>
      </c>
      <c r="J1" s="212" t="s">
        <v>27</v>
      </c>
      <c r="K1" s="212" t="s">
        <v>27</v>
      </c>
      <c r="L1" s="212" t="s">
        <v>27</v>
      </c>
      <c r="M1" s="212" t="s">
        <v>27</v>
      </c>
      <c r="N1" s="212" t="s">
        <v>27</v>
      </c>
      <c r="O1" s="212" t="s">
        <v>27</v>
      </c>
      <c r="P1" s="212" t="s">
        <v>27</v>
      </c>
      <c r="Q1" s="212" t="s">
        <v>27</v>
      </c>
      <c r="R1" s="212" t="s">
        <v>27</v>
      </c>
      <c r="S1" s="212" t="s">
        <v>27</v>
      </c>
      <c r="T1" s="212" t="s">
        <v>27</v>
      </c>
      <c r="U1" s="212" t="s">
        <v>27</v>
      </c>
      <c r="V1" s="212" t="s">
        <v>27</v>
      </c>
      <c r="W1" s="212" t="s">
        <v>27</v>
      </c>
      <c r="X1" s="212" t="s">
        <v>27</v>
      </c>
      <c r="Y1" s="212" t="s">
        <v>27</v>
      </c>
      <c r="Z1" s="212" t="s">
        <v>27</v>
      </c>
      <c r="AA1" s="212" t="s">
        <v>27</v>
      </c>
      <c r="AB1" s="212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525</v>
      </c>
      <c r="E3" s="5" t="s">
        <v>27</v>
      </c>
      <c r="F3" s="5">
        <v>262487</v>
      </c>
      <c r="G3" s="5" t="s">
        <v>524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523</v>
      </c>
    </row>
    <row r="4" spans="1:28" x14ac:dyDescent="0.3">
      <c r="A4" s="28" t="s">
        <v>27</v>
      </c>
      <c r="B4" s="28" t="s">
        <v>27</v>
      </c>
      <c r="C4" s="28" t="s">
        <v>27</v>
      </c>
      <c r="D4" s="28" t="s">
        <v>27</v>
      </c>
      <c r="E4" s="28" t="s">
        <v>27</v>
      </c>
      <c r="F4" s="28" t="s">
        <v>27</v>
      </c>
      <c r="G4" s="28" t="s">
        <v>27</v>
      </c>
      <c r="H4" s="28">
        <v>8250</v>
      </c>
      <c r="I4" s="28" t="s">
        <v>27</v>
      </c>
      <c r="J4" s="28" t="s">
        <v>27</v>
      </c>
      <c r="K4" s="28" t="s">
        <v>27</v>
      </c>
      <c r="L4" s="27" t="s">
        <v>27</v>
      </c>
      <c r="M4" s="27" t="s">
        <v>27</v>
      </c>
      <c r="N4" s="27" t="s">
        <v>27</v>
      </c>
      <c r="O4" s="27" t="s">
        <v>27</v>
      </c>
      <c r="P4" s="27">
        <v>1408</v>
      </c>
      <c r="Q4" s="27" t="s">
        <v>27</v>
      </c>
      <c r="R4" s="27" t="s">
        <v>27</v>
      </c>
      <c r="S4" s="27" t="s">
        <v>27</v>
      </c>
      <c r="T4" s="27" t="s">
        <v>27</v>
      </c>
      <c r="U4" s="27" t="s">
        <v>27</v>
      </c>
      <c r="V4" s="27" t="s">
        <v>27</v>
      </c>
      <c r="W4" s="27" t="s">
        <v>27</v>
      </c>
      <c r="X4" s="27" t="s">
        <v>27</v>
      </c>
      <c r="Y4" s="27" t="s">
        <v>27</v>
      </c>
      <c r="Z4" s="27" t="s">
        <v>27</v>
      </c>
      <c r="AA4" s="27" t="s">
        <v>27</v>
      </c>
      <c r="AB4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15" t="s">
        <v>514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511</v>
      </c>
      <c r="H3" s="90">
        <v>150</v>
      </c>
      <c r="I3" s="92">
        <v>1.236</v>
      </c>
      <c r="J3" s="92">
        <v>2.5910000000000002</v>
      </c>
      <c r="K3" s="90" t="s">
        <v>513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512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511</v>
      </c>
      <c r="H4" s="90">
        <v>1600</v>
      </c>
      <c r="I4" s="92">
        <v>1.196</v>
      </c>
      <c r="J4" s="92">
        <v>1.6910000000000001</v>
      </c>
      <c r="K4" s="90" t="s">
        <v>510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509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487</v>
      </c>
      <c r="E5" s="90" t="s">
        <v>27</v>
      </c>
      <c r="F5" s="90">
        <v>262481</v>
      </c>
      <c r="G5" s="90" t="s">
        <v>506</v>
      </c>
      <c r="H5" s="90">
        <v>300</v>
      </c>
      <c r="I5" s="92">
        <v>0.75800000000000001</v>
      </c>
      <c r="J5" s="92">
        <v>0.94899999999999995</v>
      </c>
      <c r="K5" s="90" t="s">
        <v>508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507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487</v>
      </c>
      <c r="E6" s="90" t="s">
        <v>27</v>
      </c>
      <c r="F6" s="90">
        <v>262480</v>
      </c>
      <c r="G6" s="90" t="s">
        <v>506</v>
      </c>
      <c r="H6" s="90">
        <v>1000</v>
      </c>
      <c r="I6" s="92">
        <v>0.56100000000000005</v>
      </c>
      <c r="J6" s="92">
        <v>1.3109999999999999</v>
      </c>
      <c r="K6" s="90" t="s">
        <v>505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504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16" t="s">
        <v>503</v>
      </c>
      <c r="B1" s="216" t="s">
        <v>27</v>
      </c>
      <c r="C1" s="216" t="s">
        <v>27</v>
      </c>
      <c r="D1" s="216" t="s">
        <v>27</v>
      </c>
      <c r="E1" s="216" t="s">
        <v>27</v>
      </c>
      <c r="F1" s="216" t="s">
        <v>27</v>
      </c>
      <c r="G1" s="216" t="s">
        <v>27</v>
      </c>
      <c r="H1" s="216" t="s">
        <v>27</v>
      </c>
      <c r="I1" s="216" t="s">
        <v>27</v>
      </c>
      <c r="J1" s="216" t="s">
        <v>27</v>
      </c>
      <c r="K1" s="216" t="s">
        <v>27</v>
      </c>
      <c r="L1" s="216" t="s">
        <v>27</v>
      </c>
      <c r="M1" s="216" t="s">
        <v>27</v>
      </c>
      <c r="N1" s="216" t="s">
        <v>27</v>
      </c>
      <c r="O1" s="216" t="s">
        <v>27</v>
      </c>
      <c r="P1" s="216" t="s">
        <v>27</v>
      </c>
      <c r="Q1" s="216" t="s">
        <v>27</v>
      </c>
      <c r="R1" s="216" t="s">
        <v>27</v>
      </c>
      <c r="S1" s="216" t="s">
        <v>27</v>
      </c>
      <c r="T1" s="216" t="s">
        <v>27</v>
      </c>
      <c r="U1" s="216" t="s">
        <v>27</v>
      </c>
      <c r="V1" s="216" t="s">
        <v>27</v>
      </c>
      <c r="W1" s="216" t="s">
        <v>27</v>
      </c>
      <c r="X1" s="216" t="s">
        <v>27</v>
      </c>
      <c r="Y1" s="216" t="s">
        <v>27</v>
      </c>
      <c r="Z1" s="216" t="s">
        <v>27</v>
      </c>
      <c r="AA1" s="216" t="s">
        <v>27</v>
      </c>
      <c r="AB1" s="216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489</v>
      </c>
      <c r="H3" s="120">
        <v>500</v>
      </c>
      <c r="I3" s="122">
        <v>0.68400000000000005</v>
      </c>
      <c r="J3" s="122">
        <v>3.13</v>
      </c>
      <c r="K3" s="120" t="s">
        <v>502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501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489</v>
      </c>
      <c r="H4" s="120">
        <v>1000</v>
      </c>
      <c r="I4" s="122">
        <v>0.68600000000000005</v>
      </c>
      <c r="J4" s="122">
        <v>2.4700000000000002</v>
      </c>
      <c r="K4" s="120" t="s">
        <v>500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499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489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498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489</v>
      </c>
      <c r="H6" s="47">
        <v>750</v>
      </c>
      <c r="I6" s="49">
        <v>0.56399999999999995</v>
      </c>
      <c r="J6" s="49">
        <v>1.3660000000000001</v>
      </c>
      <c r="K6" s="47" t="s">
        <v>497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496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489</v>
      </c>
      <c r="H7" s="120">
        <v>500</v>
      </c>
      <c r="I7" s="122">
        <v>0.93600000000000005</v>
      </c>
      <c r="J7" s="122">
        <v>3.12</v>
      </c>
      <c r="K7" s="120" t="s">
        <v>495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494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489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493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489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492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489</v>
      </c>
      <c r="H10" s="120">
        <v>1960</v>
      </c>
      <c r="I10" s="122">
        <v>0.51400000000000001</v>
      </c>
      <c r="J10" s="122">
        <v>0.96</v>
      </c>
      <c r="K10" s="120" t="s">
        <v>491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490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489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488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11" t="s">
        <v>522</v>
      </c>
      <c r="B1" s="211" t="s">
        <v>27</v>
      </c>
      <c r="C1" s="211" t="s">
        <v>27</v>
      </c>
      <c r="D1" s="211" t="s">
        <v>27</v>
      </c>
      <c r="E1" s="211" t="s">
        <v>27</v>
      </c>
      <c r="F1" s="211" t="s">
        <v>27</v>
      </c>
      <c r="G1" s="211" t="s">
        <v>27</v>
      </c>
      <c r="H1" s="211" t="s">
        <v>27</v>
      </c>
      <c r="I1" s="211" t="s">
        <v>27</v>
      </c>
      <c r="J1" s="211" t="s">
        <v>27</v>
      </c>
      <c r="K1" s="211" t="s">
        <v>27</v>
      </c>
      <c r="L1" s="211" t="s">
        <v>27</v>
      </c>
      <c r="M1" s="211" t="s">
        <v>27</v>
      </c>
      <c r="N1" s="211" t="s">
        <v>27</v>
      </c>
      <c r="O1" s="211" t="s">
        <v>27</v>
      </c>
      <c r="P1" s="211" t="s">
        <v>27</v>
      </c>
      <c r="Q1" s="211" t="s">
        <v>27</v>
      </c>
      <c r="R1" s="211" t="s">
        <v>27</v>
      </c>
      <c r="S1" s="211" t="s">
        <v>27</v>
      </c>
      <c r="T1" s="211" t="s">
        <v>27</v>
      </c>
      <c r="U1" s="211" t="s">
        <v>27</v>
      </c>
      <c r="V1" s="211" t="s">
        <v>27</v>
      </c>
      <c r="W1" s="211" t="s">
        <v>27</v>
      </c>
      <c r="X1" s="211" t="s">
        <v>27</v>
      </c>
      <c r="Y1" s="211" t="s">
        <v>27</v>
      </c>
      <c r="Z1" s="211" t="s">
        <v>27</v>
      </c>
      <c r="AA1" s="211" t="s">
        <v>27</v>
      </c>
      <c r="AB1" s="21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517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516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521</v>
      </c>
    </row>
    <row r="4" spans="1:28" ht="25.05" customHeight="1" x14ac:dyDescent="0.3">
      <c r="A4" s="116">
        <v>2</v>
      </c>
      <c r="B4" s="118" t="s">
        <v>517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516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520</v>
      </c>
    </row>
    <row r="5" spans="1:28" ht="25.05" customHeight="1" x14ac:dyDescent="0.3">
      <c r="A5" s="116">
        <v>3</v>
      </c>
      <c r="B5" s="118" t="s">
        <v>517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516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519</v>
      </c>
    </row>
    <row r="6" spans="1:28" ht="25.05" customHeight="1" x14ac:dyDescent="0.3">
      <c r="A6" s="116">
        <v>4</v>
      </c>
      <c r="B6" s="118" t="s">
        <v>517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516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518</v>
      </c>
    </row>
    <row r="7" spans="1:28" ht="25.05" customHeight="1" x14ac:dyDescent="0.3">
      <c r="A7" s="116">
        <v>5</v>
      </c>
      <c r="B7" s="118" t="s">
        <v>517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516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515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tabSelected="1"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12" t="s">
        <v>486</v>
      </c>
      <c r="B1" s="212" t="s">
        <v>27</v>
      </c>
      <c r="C1" s="212" t="s">
        <v>27</v>
      </c>
      <c r="D1" s="212" t="s">
        <v>27</v>
      </c>
      <c r="E1" s="212" t="s">
        <v>27</v>
      </c>
      <c r="F1" s="212" t="s">
        <v>27</v>
      </c>
      <c r="G1" s="212" t="s">
        <v>27</v>
      </c>
      <c r="H1" s="212" t="s">
        <v>27</v>
      </c>
      <c r="I1" s="212" t="s">
        <v>27</v>
      </c>
      <c r="J1" s="212" t="s">
        <v>27</v>
      </c>
      <c r="K1" s="212" t="s">
        <v>27</v>
      </c>
      <c r="L1" s="212" t="s">
        <v>27</v>
      </c>
      <c r="M1" s="212" t="s">
        <v>27</v>
      </c>
      <c r="N1" s="212" t="s">
        <v>27</v>
      </c>
      <c r="O1" s="212" t="s">
        <v>27</v>
      </c>
      <c r="P1" s="212" t="s">
        <v>27</v>
      </c>
      <c r="Q1" s="212" t="s">
        <v>27</v>
      </c>
      <c r="R1" s="212" t="s">
        <v>27</v>
      </c>
      <c r="S1" s="212" t="s">
        <v>27</v>
      </c>
      <c r="T1" s="212" t="s">
        <v>27</v>
      </c>
      <c r="U1" s="212" t="s">
        <v>27</v>
      </c>
      <c r="V1" s="212" t="s">
        <v>27</v>
      </c>
      <c r="W1" s="212" t="s">
        <v>27</v>
      </c>
      <c r="X1" s="212" t="s">
        <v>27</v>
      </c>
      <c r="Y1" s="212" t="s">
        <v>27</v>
      </c>
      <c r="Z1" s="212" t="s">
        <v>27</v>
      </c>
      <c r="AA1" s="212" t="s">
        <v>27</v>
      </c>
      <c r="AB1" s="21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546</v>
      </c>
      <c r="L5" s="143">
        <v>706374</v>
      </c>
      <c r="M5" s="144" t="s">
        <v>547</v>
      </c>
      <c r="N5" s="145" t="s">
        <v>548</v>
      </c>
      <c r="O5" s="146" t="s">
        <v>549</v>
      </c>
      <c r="P5" s="147">
        <v>243.7</v>
      </c>
      <c r="Q5" s="147">
        <v>2</v>
      </c>
      <c r="R5" s="147">
        <v>650</v>
      </c>
      <c r="S5" s="143" t="s">
        <v>550</v>
      </c>
      <c r="T5" s="147">
        <v>32</v>
      </c>
      <c r="U5" s="145" t="s">
        <v>551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552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553</v>
      </c>
      <c r="L6" s="143">
        <v>156647</v>
      </c>
      <c r="M6" s="144" t="s">
        <v>554</v>
      </c>
      <c r="N6" s="145" t="s">
        <v>555</v>
      </c>
      <c r="O6" s="146" t="s">
        <v>556</v>
      </c>
      <c r="P6" s="147">
        <v>54</v>
      </c>
      <c r="Q6" s="147">
        <v>2</v>
      </c>
      <c r="R6" s="147">
        <v>650</v>
      </c>
      <c r="S6" s="143" t="s">
        <v>557</v>
      </c>
      <c r="T6" s="147">
        <v>46</v>
      </c>
      <c r="U6" s="145" t="s">
        <v>558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559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2" t="s">
        <v>475</v>
      </c>
      <c r="B1" s="212" t="s">
        <v>27</v>
      </c>
      <c r="C1" s="212" t="s">
        <v>27</v>
      </c>
      <c r="D1" s="212" t="s">
        <v>27</v>
      </c>
      <c r="E1" s="212" t="s">
        <v>27</v>
      </c>
      <c r="F1" s="212" t="s">
        <v>27</v>
      </c>
      <c r="G1" s="212" t="s">
        <v>27</v>
      </c>
      <c r="H1" s="212" t="s">
        <v>27</v>
      </c>
      <c r="I1" s="212" t="s">
        <v>27</v>
      </c>
      <c r="J1" s="212" t="s">
        <v>27</v>
      </c>
      <c r="K1" s="212" t="s">
        <v>27</v>
      </c>
      <c r="L1" s="212" t="s">
        <v>27</v>
      </c>
      <c r="M1" s="212" t="s">
        <v>27</v>
      </c>
      <c r="N1" s="212" t="s">
        <v>27</v>
      </c>
      <c r="O1" s="212" t="s">
        <v>27</v>
      </c>
      <c r="P1" s="212" t="s">
        <v>27</v>
      </c>
      <c r="Q1" s="212" t="s">
        <v>27</v>
      </c>
      <c r="R1" s="212" t="s">
        <v>27</v>
      </c>
      <c r="S1" s="212" t="s">
        <v>27</v>
      </c>
      <c r="T1" s="212" t="s">
        <v>27</v>
      </c>
      <c r="U1" s="212" t="s">
        <v>27</v>
      </c>
      <c r="V1" s="212" t="s">
        <v>27</v>
      </c>
      <c r="W1" s="212" t="s">
        <v>27</v>
      </c>
      <c r="X1" s="212" t="s">
        <v>27</v>
      </c>
      <c r="Y1" s="212" t="s">
        <v>27</v>
      </c>
      <c r="Z1" s="212" t="s">
        <v>27</v>
      </c>
      <c r="AA1" s="212" t="s">
        <v>27</v>
      </c>
      <c r="AB1" s="21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12" t="s">
        <v>454</v>
      </c>
      <c r="B1" s="212" t="s">
        <v>27</v>
      </c>
      <c r="C1" s="212" t="s">
        <v>27</v>
      </c>
      <c r="D1" s="212" t="s">
        <v>27</v>
      </c>
      <c r="E1" s="212" t="s">
        <v>27</v>
      </c>
      <c r="F1" s="212" t="s">
        <v>27</v>
      </c>
      <c r="G1" s="212" t="s">
        <v>27</v>
      </c>
      <c r="H1" s="212" t="s">
        <v>27</v>
      </c>
      <c r="I1" s="212" t="s">
        <v>27</v>
      </c>
      <c r="J1" s="212" t="s">
        <v>27</v>
      </c>
      <c r="K1" s="212" t="s">
        <v>27</v>
      </c>
      <c r="L1" s="212" t="s">
        <v>27</v>
      </c>
      <c r="M1" s="212" t="s">
        <v>27</v>
      </c>
      <c r="N1" s="212" t="s">
        <v>27</v>
      </c>
      <c r="O1" s="212" t="s">
        <v>27</v>
      </c>
      <c r="P1" s="212" t="s">
        <v>27</v>
      </c>
      <c r="Q1" s="212" t="s">
        <v>27</v>
      </c>
      <c r="R1" s="212" t="s">
        <v>27</v>
      </c>
      <c r="S1" s="212" t="s">
        <v>27</v>
      </c>
      <c r="T1" s="212" t="s">
        <v>27</v>
      </c>
      <c r="U1" s="212" t="s">
        <v>27</v>
      </c>
      <c r="V1" s="212" t="s">
        <v>27</v>
      </c>
      <c r="W1" s="212" t="s">
        <v>27</v>
      </c>
      <c r="X1" s="212" t="s">
        <v>27</v>
      </c>
      <c r="Y1" s="212" t="s">
        <v>27</v>
      </c>
      <c r="Z1" s="212" t="s">
        <v>27</v>
      </c>
      <c r="AA1" s="212" t="s">
        <v>27</v>
      </c>
      <c r="AB1" s="21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12" t="s">
        <v>440</v>
      </c>
      <c r="B1" s="212" t="s">
        <v>27</v>
      </c>
      <c r="C1" s="212" t="s">
        <v>27</v>
      </c>
      <c r="D1" s="212" t="s">
        <v>27</v>
      </c>
      <c r="E1" s="212" t="s">
        <v>27</v>
      </c>
      <c r="F1" s="212" t="s">
        <v>27</v>
      </c>
      <c r="G1" s="212" t="s">
        <v>27</v>
      </c>
      <c r="H1" s="212" t="s">
        <v>27</v>
      </c>
      <c r="I1" s="212" t="s">
        <v>27</v>
      </c>
      <c r="J1" s="212" t="s">
        <v>27</v>
      </c>
      <c r="K1" s="212" t="s">
        <v>27</v>
      </c>
      <c r="L1" s="212" t="s">
        <v>27</v>
      </c>
      <c r="M1" s="212" t="s">
        <v>27</v>
      </c>
      <c r="N1" s="212" t="s">
        <v>27</v>
      </c>
      <c r="O1" s="212" t="s">
        <v>27</v>
      </c>
      <c r="P1" s="212" t="s">
        <v>27</v>
      </c>
      <c r="Q1" s="212" t="s">
        <v>27</v>
      </c>
      <c r="R1" s="212" t="s">
        <v>27</v>
      </c>
      <c r="S1" s="212" t="s">
        <v>27</v>
      </c>
      <c r="T1" s="212" t="s">
        <v>27</v>
      </c>
      <c r="U1" s="212" t="s">
        <v>27</v>
      </c>
      <c r="V1" s="212" t="s">
        <v>27</v>
      </c>
      <c r="W1" s="212" t="s">
        <v>27</v>
      </c>
      <c r="X1" s="212" t="s">
        <v>27</v>
      </c>
      <c r="Y1" s="212" t="s">
        <v>27</v>
      </c>
      <c r="Z1" s="212" t="s">
        <v>27</v>
      </c>
      <c r="AA1" s="212" t="s">
        <v>27</v>
      </c>
      <c r="AB1" s="212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12" t="s">
        <v>403</v>
      </c>
      <c r="B1" s="212" t="s">
        <v>27</v>
      </c>
      <c r="C1" s="212" t="s">
        <v>27</v>
      </c>
      <c r="D1" s="212" t="s">
        <v>27</v>
      </c>
      <c r="E1" s="212" t="s">
        <v>27</v>
      </c>
      <c r="F1" s="212" t="s">
        <v>27</v>
      </c>
      <c r="G1" s="212" t="s">
        <v>27</v>
      </c>
      <c r="H1" s="212" t="s">
        <v>27</v>
      </c>
      <c r="I1" s="212" t="s">
        <v>27</v>
      </c>
      <c r="J1" s="212" t="s">
        <v>27</v>
      </c>
      <c r="K1" s="212" t="s">
        <v>27</v>
      </c>
      <c r="L1" s="212" t="s">
        <v>27</v>
      </c>
      <c r="M1" s="212" t="s">
        <v>27</v>
      </c>
      <c r="N1" s="212" t="s">
        <v>27</v>
      </c>
      <c r="O1" s="212" t="s">
        <v>27</v>
      </c>
      <c r="P1" s="212" t="s">
        <v>27</v>
      </c>
      <c r="Q1" s="212" t="s">
        <v>27</v>
      </c>
      <c r="R1" s="212" t="s">
        <v>27</v>
      </c>
      <c r="S1" s="212" t="s">
        <v>27</v>
      </c>
      <c r="T1" s="212" t="s">
        <v>27</v>
      </c>
      <c r="U1" s="212" t="s">
        <v>27</v>
      </c>
      <c r="V1" s="212" t="s">
        <v>27</v>
      </c>
      <c r="W1" s="212" t="s">
        <v>27</v>
      </c>
      <c r="X1" s="212" t="s">
        <v>27</v>
      </c>
      <c r="Y1" s="212" t="s">
        <v>27</v>
      </c>
      <c r="Z1" s="212" t="s">
        <v>27</v>
      </c>
      <c r="AA1" s="212" t="s">
        <v>27</v>
      </c>
      <c r="AB1" s="21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17" t="s">
        <v>380</v>
      </c>
      <c r="B1" s="217" t="s">
        <v>27</v>
      </c>
      <c r="C1" s="217" t="s">
        <v>27</v>
      </c>
      <c r="D1" s="217" t="s">
        <v>27</v>
      </c>
      <c r="E1" s="217" t="s">
        <v>27</v>
      </c>
      <c r="F1" s="217" t="s">
        <v>27</v>
      </c>
      <c r="G1" s="217" t="s">
        <v>27</v>
      </c>
      <c r="H1" s="217" t="s">
        <v>27</v>
      </c>
      <c r="I1" s="217" t="s">
        <v>27</v>
      </c>
      <c r="J1" s="217" t="s">
        <v>27</v>
      </c>
      <c r="K1" s="217" t="s">
        <v>27</v>
      </c>
      <c r="L1" s="217" t="s">
        <v>27</v>
      </c>
      <c r="M1" s="217" t="s">
        <v>27</v>
      </c>
      <c r="N1" s="217" t="s">
        <v>27</v>
      </c>
      <c r="O1" s="217" t="s">
        <v>27</v>
      </c>
      <c r="P1" s="217" t="s">
        <v>27</v>
      </c>
      <c r="Q1" s="217" t="s">
        <v>27</v>
      </c>
      <c r="R1" s="217" t="s">
        <v>27</v>
      </c>
      <c r="S1" s="217" t="s">
        <v>27</v>
      </c>
      <c r="T1" s="217" t="s">
        <v>27</v>
      </c>
      <c r="U1" s="217" t="s">
        <v>27</v>
      </c>
      <c r="V1" s="217" t="s">
        <v>27</v>
      </c>
      <c r="W1" s="217" t="s">
        <v>27</v>
      </c>
      <c r="X1" s="217" t="s">
        <v>27</v>
      </c>
      <c r="Y1" s="217" t="s">
        <v>27</v>
      </c>
      <c r="Z1" s="217" t="s">
        <v>27</v>
      </c>
      <c r="AA1" s="217" t="s">
        <v>27</v>
      </c>
      <c r="AB1" s="217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16" t="s">
        <v>332</v>
      </c>
      <c r="B1" s="216" t="s">
        <v>27</v>
      </c>
      <c r="C1" s="216" t="s">
        <v>27</v>
      </c>
      <c r="D1" s="216" t="s">
        <v>27</v>
      </c>
      <c r="E1" s="216" t="s">
        <v>27</v>
      </c>
      <c r="F1" s="216" t="s">
        <v>27</v>
      </c>
      <c r="G1" s="216" t="s">
        <v>27</v>
      </c>
      <c r="H1" s="216" t="s">
        <v>27</v>
      </c>
      <c r="I1" s="216" t="s">
        <v>27</v>
      </c>
      <c r="J1" s="216" t="s">
        <v>27</v>
      </c>
      <c r="K1" s="216" t="s">
        <v>27</v>
      </c>
      <c r="L1" s="216" t="s">
        <v>27</v>
      </c>
      <c r="M1" s="216" t="s">
        <v>27</v>
      </c>
      <c r="N1" s="216" t="s">
        <v>27</v>
      </c>
      <c r="O1" s="216" t="s">
        <v>27</v>
      </c>
      <c r="P1" s="216" t="s">
        <v>27</v>
      </c>
      <c r="Q1" s="216" t="s">
        <v>27</v>
      </c>
      <c r="R1" s="216" t="s">
        <v>27</v>
      </c>
      <c r="S1" s="216" t="s">
        <v>27</v>
      </c>
      <c r="T1" s="216" t="s">
        <v>27</v>
      </c>
      <c r="U1" s="216" t="s">
        <v>27</v>
      </c>
      <c r="V1" s="216" t="s">
        <v>27</v>
      </c>
      <c r="W1" s="216" t="s">
        <v>27</v>
      </c>
      <c r="X1" s="216" t="s">
        <v>27</v>
      </c>
      <c r="Y1" s="216" t="s">
        <v>27</v>
      </c>
      <c r="Z1" s="216" t="s">
        <v>27</v>
      </c>
      <c r="AA1" s="216" t="s">
        <v>27</v>
      </c>
      <c r="AB1" s="216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2" t="s">
        <v>329</v>
      </c>
      <c r="B1" s="212" t="s">
        <v>27</v>
      </c>
      <c r="C1" s="212" t="s">
        <v>27</v>
      </c>
      <c r="D1" s="212" t="s">
        <v>27</v>
      </c>
      <c r="E1" s="212" t="s">
        <v>27</v>
      </c>
      <c r="F1" s="212" t="s">
        <v>27</v>
      </c>
      <c r="G1" s="212" t="s">
        <v>27</v>
      </c>
      <c r="H1" s="212" t="s">
        <v>27</v>
      </c>
      <c r="I1" s="212" t="s">
        <v>27</v>
      </c>
      <c r="J1" s="212" t="s">
        <v>27</v>
      </c>
      <c r="K1" s="212" t="s">
        <v>27</v>
      </c>
      <c r="L1" s="212" t="s">
        <v>27</v>
      </c>
      <c r="M1" s="212" t="s">
        <v>27</v>
      </c>
      <c r="N1" s="212" t="s">
        <v>27</v>
      </c>
      <c r="O1" s="212" t="s">
        <v>27</v>
      </c>
      <c r="P1" s="212" t="s">
        <v>27</v>
      </c>
      <c r="Q1" s="212" t="s">
        <v>27</v>
      </c>
      <c r="R1" s="212" t="s">
        <v>27</v>
      </c>
      <c r="S1" s="212" t="s">
        <v>27</v>
      </c>
      <c r="T1" s="212" t="s">
        <v>27</v>
      </c>
      <c r="U1" s="212" t="s">
        <v>27</v>
      </c>
      <c r="V1" s="212" t="s">
        <v>27</v>
      </c>
      <c r="W1" s="212" t="s">
        <v>27</v>
      </c>
      <c r="X1" s="212" t="s">
        <v>27</v>
      </c>
      <c r="Y1" s="212" t="s">
        <v>27</v>
      </c>
      <c r="Z1" s="212" t="s">
        <v>27</v>
      </c>
      <c r="AA1" s="212" t="s">
        <v>27</v>
      </c>
      <c r="AB1" s="21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2" t="s">
        <v>324</v>
      </c>
      <c r="B1" s="212" t="s">
        <v>27</v>
      </c>
      <c r="C1" s="212" t="s">
        <v>27</v>
      </c>
      <c r="D1" s="212" t="s">
        <v>27</v>
      </c>
      <c r="E1" s="212" t="s">
        <v>27</v>
      </c>
      <c r="F1" s="212" t="s">
        <v>27</v>
      </c>
      <c r="G1" s="212" t="s">
        <v>27</v>
      </c>
      <c r="H1" s="212" t="s">
        <v>27</v>
      </c>
      <c r="I1" s="212" t="s">
        <v>27</v>
      </c>
      <c r="J1" s="212" t="s">
        <v>27</v>
      </c>
      <c r="K1" s="212" t="s">
        <v>27</v>
      </c>
      <c r="L1" s="212" t="s">
        <v>27</v>
      </c>
      <c r="M1" s="212" t="s">
        <v>27</v>
      </c>
      <c r="N1" s="212" t="s">
        <v>27</v>
      </c>
      <c r="O1" s="212" t="s">
        <v>27</v>
      </c>
      <c r="P1" s="212" t="s">
        <v>27</v>
      </c>
      <c r="Q1" s="212" t="s">
        <v>27</v>
      </c>
      <c r="R1" s="212" t="s">
        <v>27</v>
      </c>
      <c r="S1" s="212" t="s">
        <v>27</v>
      </c>
      <c r="T1" s="212" t="s">
        <v>27</v>
      </c>
      <c r="U1" s="212" t="s">
        <v>27</v>
      </c>
      <c r="V1" s="212" t="s">
        <v>27</v>
      </c>
      <c r="W1" s="212" t="s">
        <v>27</v>
      </c>
      <c r="X1" s="212" t="s">
        <v>27</v>
      </c>
      <c r="Y1" s="212" t="s">
        <v>27</v>
      </c>
      <c r="Z1" s="212" t="s">
        <v>27</v>
      </c>
      <c r="AA1" s="212" t="s">
        <v>27</v>
      </c>
      <c r="AB1" s="21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16" t="s">
        <v>281</v>
      </c>
      <c r="B1" s="216" t="s">
        <v>27</v>
      </c>
      <c r="C1" s="216" t="s">
        <v>27</v>
      </c>
      <c r="D1" s="216" t="s">
        <v>27</v>
      </c>
      <c r="E1" s="216" t="s">
        <v>27</v>
      </c>
      <c r="F1" s="216" t="s">
        <v>27</v>
      </c>
      <c r="G1" s="216" t="s">
        <v>27</v>
      </c>
      <c r="H1" s="216" t="s">
        <v>27</v>
      </c>
      <c r="I1" s="216" t="s">
        <v>27</v>
      </c>
      <c r="J1" s="216" t="s">
        <v>27</v>
      </c>
      <c r="K1" s="216" t="s">
        <v>27</v>
      </c>
      <c r="L1" s="216" t="s">
        <v>27</v>
      </c>
      <c r="M1" s="216" t="s">
        <v>27</v>
      </c>
      <c r="N1" s="216" t="s">
        <v>27</v>
      </c>
      <c r="O1" s="216" t="s">
        <v>27</v>
      </c>
      <c r="P1" s="216" t="s">
        <v>27</v>
      </c>
      <c r="Q1" s="216" t="s">
        <v>27</v>
      </c>
      <c r="R1" s="216" t="s">
        <v>27</v>
      </c>
      <c r="S1" s="216" t="s">
        <v>27</v>
      </c>
      <c r="T1" s="216" t="s">
        <v>27</v>
      </c>
      <c r="U1" s="216" t="s">
        <v>27</v>
      </c>
      <c r="V1" s="216" t="s">
        <v>27</v>
      </c>
      <c r="W1" s="216" t="s">
        <v>27</v>
      </c>
      <c r="X1" s="216" t="s">
        <v>27</v>
      </c>
      <c r="Y1" s="216" t="s">
        <v>27</v>
      </c>
      <c r="Z1" s="216" t="s">
        <v>27</v>
      </c>
      <c r="AA1" s="216" t="s">
        <v>27</v>
      </c>
      <c r="AB1" s="216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12" t="s">
        <v>258</v>
      </c>
      <c r="B1" s="212" t="s">
        <v>27</v>
      </c>
      <c r="C1" s="212" t="s">
        <v>27</v>
      </c>
      <c r="D1" s="212" t="s">
        <v>27</v>
      </c>
      <c r="E1" s="212" t="s">
        <v>27</v>
      </c>
      <c r="F1" s="212" t="s">
        <v>27</v>
      </c>
      <c r="G1" s="212" t="s">
        <v>27</v>
      </c>
      <c r="H1" s="212" t="s">
        <v>27</v>
      </c>
      <c r="I1" s="212" t="s">
        <v>27</v>
      </c>
      <c r="J1" s="212" t="s">
        <v>27</v>
      </c>
      <c r="K1" s="212" t="s">
        <v>27</v>
      </c>
      <c r="L1" s="212" t="s">
        <v>27</v>
      </c>
      <c r="M1" s="212" t="s">
        <v>27</v>
      </c>
      <c r="N1" s="212" t="s">
        <v>27</v>
      </c>
      <c r="O1" s="212" t="s">
        <v>27</v>
      </c>
      <c r="P1" s="212" t="s">
        <v>27</v>
      </c>
      <c r="Q1" s="212" t="s">
        <v>27</v>
      </c>
      <c r="R1" s="212" t="s">
        <v>27</v>
      </c>
      <c r="S1" s="212" t="s">
        <v>27</v>
      </c>
      <c r="T1" s="212" t="s">
        <v>27</v>
      </c>
      <c r="U1" s="212" t="s">
        <v>27</v>
      </c>
      <c r="V1" s="212" t="s">
        <v>27</v>
      </c>
      <c r="W1" s="212" t="s">
        <v>27</v>
      </c>
      <c r="X1" s="212" t="s">
        <v>27</v>
      </c>
      <c r="Y1" s="212" t="s">
        <v>27</v>
      </c>
      <c r="Z1" s="212" t="s">
        <v>27</v>
      </c>
      <c r="AA1" s="212" t="s">
        <v>27</v>
      </c>
      <c r="AB1" s="21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12" t="s">
        <v>240</v>
      </c>
      <c r="B1" s="212" t="s">
        <v>27</v>
      </c>
      <c r="C1" s="212" t="s">
        <v>27</v>
      </c>
      <c r="D1" s="212" t="s">
        <v>27</v>
      </c>
      <c r="E1" s="212" t="s">
        <v>27</v>
      </c>
      <c r="F1" s="212" t="s">
        <v>27</v>
      </c>
      <c r="G1" s="212" t="s">
        <v>27</v>
      </c>
      <c r="H1" s="212" t="s">
        <v>27</v>
      </c>
      <c r="I1" s="212" t="s">
        <v>27</v>
      </c>
      <c r="J1" s="212" t="s">
        <v>27</v>
      </c>
      <c r="K1" s="212" t="s">
        <v>27</v>
      </c>
      <c r="L1" s="212" t="s">
        <v>27</v>
      </c>
      <c r="M1" s="212" t="s">
        <v>27</v>
      </c>
      <c r="N1" s="212" t="s">
        <v>27</v>
      </c>
      <c r="O1" s="212" t="s">
        <v>27</v>
      </c>
      <c r="P1" s="212" t="s">
        <v>27</v>
      </c>
      <c r="Q1" s="212" t="s">
        <v>27</v>
      </c>
      <c r="R1" s="212" t="s">
        <v>27</v>
      </c>
      <c r="S1" s="212" t="s">
        <v>27</v>
      </c>
      <c r="T1" s="212" t="s">
        <v>27</v>
      </c>
      <c r="U1" s="212" t="s">
        <v>27</v>
      </c>
      <c r="V1" s="212" t="s">
        <v>27</v>
      </c>
      <c r="W1" s="212" t="s">
        <v>27</v>
      </c>
      <c r="X1" s="212" t="s">
        <v>27</v>
      </c>
      <c r="Y1" s="212" t="s">
        <v>27</v>
      </c>
      <c r="Z1" s="212" t="s">
        <v>27</v>
      </c>
      <c r="AA1" s="212" t="s">
        <v>27</v>
      </c>
      <c r="AB1" s="21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2" t="s">
        <v>202</v>
      </c>
      <c r="B1" s="212" t="s">
        <v>27</v>
      </c>
      <c r="C1" s="212" t="s">
        <v>27</v>
      </c>
      <c r="D1" s="212" t="s">
        <v>27</v>
      </c>
      <c r="E1" s="212" t="s">
        <v>27</v>
      </c>
      <c r="F1" s="212" t="s">
        <v>27</v>
      </c>
      <c r="G1" s="212" t="s">
        <v>27</v>
      </c>
      <c r="H1" s="212" t="s">
        <v>27</v>
      </c>
      <c r="I1" s="212" t="s">
        <v>27</v>
      </c>
      <c r="J1" s="212" t="s">
        <v>27</v>
      </c>
      <c r="K1" s="212" t="s">
        <v>27</v>
      </c>
      <c r="L1" s="212" t="s">
        <v>27</v>
      </c>
      <c r="M1" s="212" t="s">
        <v>27</v>
      </c>
      <c r="N1" s="212" t="s">
        <v>27</v>
      </c>
      <c r="O1" s="212" t="s">
        <v>27</v>
      </c>
      <c r="P1" s="212" t="s">
        <v>27</v>
      </c>
      <c r="Q1" s="212" t="s">
        <v>27</v>
      </c>
      <c r="R1" s="212" t="s">
        <v>27</v>
      </c>
      <c r="S1" s="212" t="s">
        <v>27</v>
      </c>
      <c r="T1" s="212" t="s">
        <v>27</v>
      </c>
      <c r="U1" s="212" t="s">
        <v>27</v>
      </c>
      <c r="V1" s="212" t="s">
        <v>27</v>
      </c>
      <c r="W1" s="212" t="s">
        <v>27</v>
      </c>
      <c r="X1" s="212" t="s">
        <v>27</v>
      </c>
      <c r="Y1" s="212" t="s">
        <v>27</v>
      </c>
      <c r="Z1" s="212" t="s">
        <v>27</v>
      </c>
      <c r="AA1" s="212" t="s">
        <v>27</v>
      </c>
      <c r="AB1" s="212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4">
        <v>1</v>
      </c>
      <c r="B4" s="185" t="s">
        <v>63</v>
      </c>
      <c r="C4" s="184" t="s">
        <v>26</v>
      </c>
      <c r="D4" s="184" t="s">
        <v>199</v>
      </c>
      <c r="E4" s="184" t="s">
        <v>27</v>
      </c>
      <c r="F4" s="184">
        <v>262278</v>
      </c>
      <c r="G4" s="184" t="s">
        <v>201</v>
      </c>
      <c r="H4" s="184">
        <v>210</v>
      </c>
      <c r="I4" s="186">
        <v>1.389</v>
      </c>
      <c r="J4" s="186">
        <v>1.91</v>
      </c>
      <c r="K4" s="184" t="s">
        <v>34</v>
      </c>
      <c r="L4" s="186">
        <v>557.12800000000004</v>
      </c>
      <c r="M4" s="187">
        <v>401.1</v>
      </c>
      <c r="N4" s="188">
        <v>0.1114</v>
      </c>
      <c r="O4" s="189">
        <v>6.68</v>
      </c>
      <c r="P4" s="184">
        <v>330.4</v>
      </c>
      <c r="Q4" s="184">
        <v>1</v>
      </c>
      <c r="R4" s="184">
        <v>1450</v>
      </c>
      <c r="S4" s="186">
        <v>1.389</v>
      </c>
      <c r="T4" s="184">
        <v>61</v>
      </c>
      <c r="U4" s="188">
        <v>4.2099999999999999E-2</v>
      </c>
      <c r="V4" s="184" t="s">
        <v>28</v>
      </c>
      <c r="W4" s="184" t="s">
        <v>29</v>
      </c>
      <c r="X4" s="184" t="s">
        <v>28</v>
      </c>
      <c r="Y4" s="184" t="s">
        <v>28</v>
      </c>
      <c r="Z4" s="184" t="s">
        <v>28</v>
      </c>
      <c r="AA4" s="184" t="s">
        <v>33</v>
      </c>
      <c r="AB4" s="184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2" t="s">
        <v>192</v>
      </c>
      <c r="B1" s="212" t="s">
        <v>27</v>
      </c>
      <c r="C1" s="212" t="s">
        <v>27</v>
      </c>
      <c r="D1" s="212" t="s">
        <v>27</v>
      </c>
      <c r="E1" s="212" t="s">
        <v>27</v>
      </c>
      <c r="F1" s="212" t="s">
        <v>27</v>
      </c>
      <c r="G1" s="212" t="s">
        <v>27</v>
      </c>
      <c r="H1" s="212" t="s">
        <v>27</v>
      </c>
      <c r="I1" s="212" t="s">
        <v>27</v>
      </c>
      <c r="J1" s="212" t="s">
        <v>27</v>
      </c>
      <c r="K1" s="212" t="s">
        <v>27</v>
      </c>
      <c r="L1" s="212" t="s">
        <v>27</v>
      </c>
      <c r="M1" s="212" t="s">
        <v>27</v>
      </c>
      <c r="N1" s="212" t="s">
        <v>27</v>
      </c>
      <c r="O1" s="212" t="s">
        <v>27</v>
      </c>
      <c r="P1" s="212" t="s">
        <v>27</v>
      </c>
      <c r="Q1" s="212" t="s">
        <v>27</v>
      </c>
      <c r="R1" s="212" t="s">
        <v>27</v>
      </c>
      <c r="S1" s="212" t="s">
        <v>27</v>
      </c>
      <c r="T1" s="212" t="s">
        <v>27</v>
      </c>
      <c r="U1" s="212" t="s">
        <v>27</v>
      </c>
      <c r="V1" s="212" t="s">
        <v>27</v>
      </c>
      <c r="W1" s="212" t="s">
        <v>27</v>
      </c>
      <c r="X1" s="212" t="s">
        <v>27</v>
      </c>
      <c r="Y1" s="212" t="s">
        <v>27</v>
      </c>
      <c r="Z1" s="212" t="s">
        <v>27</v>
      </c>
      <c r="AA1" s="212" t="s">
        <v>27</v>
      </c>
      <c r="AB1" s="21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18" t="s">
        <v>155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12" t="s">
        <v>79</v>
      </c>
      <c r="B1" s="212" t="s">
        <v>27</v>
      </c>
      <c r="C1" s="212" t="s">
        <v>27</v>
      </c>
      <c r="D1" s="212" t="s">
        <v>27</v>
      </c>
      <c r="E1" s="212" t="s">
        <v>27</v>
      </c>
      <c r="F1" s="212" t="s">
        <v>27</v>
      </c>
      <c r="G1" s="212" t="s">
        <v>27</v>
      </c>
      <c r="H1" s="212" t="s">
        <v>27</v>
      </c>
      <c r="I1" s="212" t="s">
        <v>27</v>
      </c>
      <c r="J1" s="212" t="s">
        <v>27</v>
      </c>
      <c r="K1" s="212" t="s">
        <v>27</v>
      </c>
      <c r="L1" s="212" t="s">
        <v>27</v>
      </c>
      <c r="M1" s="212" t="s">
        <v>27</v>
      </c>
      <c r="N1" s="212" t="s">
        <v>27</v>
      </c>
      <c r="O1" s="212" t="s">
        <v>27</v>
      </c>
      <c r="P1" s="212" t="s">
        <v>27</v>
      </c>
      <c r="Q1" s="212" t="s">
        <v>27</v>
      </c>
      <c r="R1" s="212" t="s">
        <v>27</v>
      </c>
      <c r="S1" s="212" t="s">
        <v>27</v>
      </c>
      <c r="T1" s="212" t="s">
        <v>27</v>
      </c>
      <c r="U1" s="212" t="s">
        <v>27</v>
      </c>
      <c r="V1" s="212" t="s">
        <v>27</v>
      </c>
      <c r="W1" s="212" t="s">
        <v>27</v>
      </c>
      <c r="X1" s="212" t="s">
        <v>27</v>
      </c>
      <c r="Y1" s="212" t="s">
        <v>27</v>
      </c>
      <c r="Z1" s="212" t="s">
        <v>27</v>
      </c>
      <c r="AA1" s="212" t="s">
        <v>27</v>
      </c>
      <c r="AB1" s="21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12" t="s">
        <v>134</v>
      </c>
      <c r="B1" s="212" t="s">
        <v>27</v>
      </c>
      <c r="C1" s="212" t="s">
        <v>27</v>
      </c>
      <c r="D1" s="212" t="s">
        <v>27</v>
      </c>
      <c r="E1" s="212" t="s">
        <v>27</v>
      </c>
      <c r="F1" s="212" t="s">
        <v>27</v>
      </c>
      <c r="G1" s="212" t="s">
        <v>27</v>
      </c>
      <c r="H1" s="212" t="s">
        <v>27</v>
      </c>
      <c r="I1" s="212" t="s">
        <v>27</v>
      </c>
      <c r="J1" s="212" t="s">
        <v>27</v>
      </c>
      <c r="K1" s="212" t="s">
        <v>27</v>
      </c>
      <c r="L1" s="212" t="s">
        <v>27</v>
      </c>
      <c r="M1" s="212" t="s">
        <v>27</v>
      </c>
      <c r="N1" s="212" t="s">
        <v>27</v>
      </c>
      <c r="O1" s="212" t="s">
        <v>27</v>
      </c>
      <c r="P1" s="212" t="s">
        <v>27</v>
      </c>
      <c r="Q1" s="212" t="s">
        <v>27</v>
      </c>
      <c r="R1" s="212" t="s">
        <v>27</v>
      </c>
      <c r="S1" s="212" t="s">
        <v>27</v>
      </c>
      <c r="T1" s="212" t="s">
        <v>27</v>
      </c>
      <c r="U1" s="212" t="s">
        <v>27</v>
      </c>
      <c r="V1" s="212" t="s">
        <v>27</v>
      </c>
      <c r="W1" s="212" t="s">
        <v>27</v>
      </c>
      <c r="X1" s="212" t="s">
        <v>27</v>
      </c>
      <c r="Y1" s="212" t="s">
        <v>27</v>
      </c>
      <c r="Z1" s="212" t="s">
        <v>27</v>
      </c>
      <c r="AA1" s="212" t="s">
        <v>27</v>
      </c>
      <c r="AB1" s="21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19" t="s">
        <v>109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44</vt:i4>
      </vt:variant>
    </vt:vector>
  </HeadingPairs>
  <TitlesOfParts>
    <vt:vector size="44" baseType="lpstr">
      <vt:lpstr>PCBOX EMBALAGENS LTDA 1222</vt:lpstr>
      <vt:lpstr>FORBOX 1220</vt:lpstr>
      <vt:lpstr>HARMONY EMBALAGENS 1217</vt:lpstr>
      <vt:lpstr>Z4A EMBALAGENS LTDA 1216</vt:lpstr>
      <vt:lpstr>Tolecaixas 1215</vt:lpstr>
      <vt:lpstr>ABAPEL 1213</vt:lpstr>
      <vt:lpstr>IPE - PCBOX 1212</vt:lpstr>
      <vt:lpstr>Z4A EMBALAGENS LTDA 1210 P</vt:lpstr>
      <vt:lpstr>RM Embalagens 1209 P</vt:lpstr>
      <vt:lpstr>IPE - PC BOX 1203P</vt:lpstr>
      <vt:lpstr>ABAPEL 1201</vt:lpstr>
      <vt:lpstr>HARMONY EMBALAGENS 1200</vt:lpstr>
      <vt:lpstr>HARMONY EMBALAGENS 1199 P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1182P</vt:lpstr>
      <vt:lpstr>HARMONY EMBALAGENS 1180 P</vt:lpstr>
      <vt:lpstr>RM Embalagens 1179 P</vt:lpstr>
      <vt:lpstr>Tolecaixas 1181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2026-09-22T12:11:32Z</cp:lastPrinted>
  <dcterms:created xsi:type="dcterms:W3CDTF">2026-07-02T17:42:15Z</dcterms:created>
  <dcterms:modified xsi:type="dcterms:W3CDTF">2026-09-22T17:40:44Z</dcterms:modified>
</cp:coreProperties>
</file>