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5CF6D90-74BD-43A9-A02F-E51890872692}" xr6:coauthVersionLast="47" xr6:coauthVersionMax="47" xr10:uidLastSave="{00000000-0000-0000-0000-000000000000}"/>
  <bookViews>
    <workbookView xWindow="-38510" yWindow="-10830" windowWidth="38620" windowHeight="21100" firstSheet="5" activeTab="7" xr2:uid="{00000000-000D-0000-FFFF-FFFF00000000}"/>
  </bookViews>
  <sheets>
    <sheet name="Renovapel 1242 P" sheetId="174" r:id="rId1"/>
    <sheet name="Tole. DR EMB. VO CH S. M 1241" sheetId="173" r:id="rId2"/>
    <sheet name="FAVINCO 1239 P" sheetId="172" r:id="rId3"/>
    <sheet name="PCBOX EMBALAGENS LTDA 1233" sheetId="170" r:id="rId4"/>
    <sheet name="RM Embalagens 1232" sheetId="169" r:id="rId5"/>
    <sheet name="HARMONY EMBALAGENS 1231 P" sheetId="168" r:id="rId6"/>
    <sheet name="RM Embalagens P" sheetId="166" r:id="rId7"/>
    <sheet name="PCBOX EMBALAGENS LTDA 1222 P" sheetId="164" r:id="rId8"/>
    <sheet name="FORBOX 1220" sheetId="163" r:id="rId9"/>
    <sheet name="HARMONY EMBALAGENS 1217 P" sheetId="162" r:id="rId10"/>
    <sheet name="Z4A EMBALAGENS LTDA 1216" sheetId="161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<sst xmlns="http://schemas.openxmlformats.org/spreadsheetml/2006/main" count="4505" uniqueCount="480">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</sst>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7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6" fillId="0" borderId="0" xfId="1" applyFont="1"/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0" fillId="5" borderId="0" xfId="0" applyFont="1" applyFill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94" t="s">
        <v>479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dimension ref="A1:AB20"/>
  <sheetViews>
    <sheetView topLeftCell="C1" zoomScale="200" zoomScaleNormal="200" workbookViewId="0">
      <selection activeCell="I43" sqref="I43"/>
    </sheetView>
  </sheetViews>
  <sheetFormatPr defaultRowHeight="14.4" x14ac:dyDescent="0.3"/>
  <cols>
    <col min="1" max="1" width="4.5546875" style="33" customWidth="1"/>
    <col min="2" max="2" width="27.218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7.7773437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5" t="s">
        <v>478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5">
        <v>1</v>
      </c>
      <c r="B3" s="46" t="s">
        <v>107</v>
      </c>
      <c r="C3" s="45" t="s">
        <v>49</v>
      </c>
      <c r="D3" s="45" t="s">
        <v>222</v>
      </c>
      <c r="E3" s="45" t="s">
        <v>27</v>
      </c>
      <c r="F3" s="45">
        <v>262792</v>
      </c>
      <c r="G3" s="45" t="s">
        <v>271</v>
      </c>
      <c r="H3" s="45">
        <v>3052</v>
      </c>
      <c r="I3" s="47">
        <v>0.39</v>
      </c>
      <c r="J3" s="47">
        <v>0.71</v>
      </c>
      <c r="K3" s="45" t="s">
        <v>33</v>
      </c>
      <c r="L3" s="47">
        <v>845.09900000000005</v>
      </c>
      <c r="M3" s="48">
        <v>541.70000000000005</v>
      </c>
      <c r="N3" s="49">
        <v>3.7600000000000001E-2</v>
      </c>
      <c r="O3" s="50">
        <v>2.2599999999999998</v>
      </c>
      <c r="P3" s="45">
        <v>300</v>
      </c>
      <c r="Q3" s="45">
        <v>4</v>
      </c>
      <c r="R3" s="45">
        <v>1600</v>
      </c>
      <c r="S3" s="47">
        <v>1.56</v>
      </c>
      <c r="T3" s="45">
        <v>40</v>
      </c>
      <c r="U3" s="49">
        <v>2.5000000000000001E-2</v>
      </c>
      <c r="V3" s="45" t="s">
        <v>29</v>
      </c>
      <c r="W3" s="45" t="s">
        <v>28</v>
      </c>
      <c r="X3" s="45" t="s">
        <v>29</v>
      </c>
      <c r="Y3" s="45" t="s">
        <v>27</v>
      </c>
      <c r="Z3" s="45" t="s">
        <v>27</v>
      </c>
      <c r="AA3" s="45" t="s">
        <v>38</v>
      </c>
      <c r="AB3" s="45" t="s">
        <v>108</v>
      </c>
    </row>
    <row r="4" spans="1:28" x14ac:dyDescent="0.3">
      <c r="A4" s="45">
        <v>2</v>
      </c>
      <c r="B4" s="46" t="s">
        <v>472</v>
      </c>
      <c r="C4" s="45" t="s">
        <v>35</v>
      </c>
      <c r="D4" s="45" t="s">
        <v>466</v>
      </c>
      <c r="E4" s="45" t="s">
        <v>27</v>
      </c>
      <c r="F4" s="45">
        <v>262800</v>
      </c>
      <c r="G4" s="45" t="s">
        <v>471</v>
      </c>
      <c r="H4" s="45">
        <v>600</v>
      </c>
      <c r="I4" s="47">
        <v>0.495</v>
      </c>
      <c r="J4" s="47">
        <v>0.97</v>
      </c>
      <c r="K4" s="45" t="s">
        <v>33</v>
      </c>
      <c r="L4" s="47">
        <v>288.08999999999997</v>
      </c>
      <c r="M4" s="48">
        <v>194</v>
      </c>
      <c r="N4" s="49">
        <v>1.7999999999999999E-2</v>
      </c>
      <c r="O4" s="50">
        <v>1.08</v>
      </c>
      <c r="P4" s="45">
        <v>90.7</v>
      </c>
      <c r="Q4" s="45">
        <v>3</v>
      </c>
      <c r="R4" s="45">
        <v>1550</v>
      </c>
      <c r="S4" s="47">
        <v>1.4850000000000001</v>
      </c>
      <c r="T4" s="45">
        <v>65</v>
      </c>
      <c r="U4" s="49">
        <v>4.19E-2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477</v>
      </c>
    </row>
    <row r="5" spans="1:28" x14ac:dyDescent="0.3">
      <c r="A5" s="45">
        <v>3</v>
      </c>
      <c r="B5" s="46" t="s">
        <v>107</v>
      </c>
      <c r="C5" s="45" t="s">
        <v>55</v>
      </c>
      <c r="D5" s="45" t="s">
        <v>222</v>
      </c>
      <c r="E5" s="45" t="s">
        <v>27</v>
      </c>
      <c r="F5" s="45">
        <v>262790</v>
      </c>
      <c r="G5" s="45" t="s">
        <v>271</v>
      </c>
      <c r="H5" s="45">
        <v>2740</v>
      </c>
      <c r="I5" s="47">
        <v>0.48</v>
      </c>
      <c r="J5" s="47">
        <v>1.25</v>
      </c>
      <c r="K5" s="45" t="s">
        <v>33</v>
      </c>
      <c r="L5" s="47">
        <v>1644</v>
      </c>
      <c r="M5" s="48">
        <v>1141.7</v>
      </c>
      <c r="N5" s="49">
        <v>0.1057</v>
      </c>
      <c r="O5" s="50">
        <v>6.34</v>
      </c>
      <c r="P5" s="45">
        <v>600.1</v>
      </c>
      <c r="Q5" s="45">
        <v>3</v>
      </c>
      <c r="R5" s="45">
        <v>1500</v>
      </c>
      <c r="S5" s="47">
        <v>1.44</v>
      </c>
      <c r="T5" s="45">
        <v>60</v>
      </c>
      <c r="U5" s="49">
        <v>0.04</v>
      </c>
      <c r="V5" s="45" t="s">
        <v>37</v>
      </c>
      <c r="W5" s="45" t="s">
        <v>29</v>
      </c>
      <c r="X5" s="45" t="s">
        <v>34</v>
      </c>
      <c r="Y5" s="45" t="s">
        <v>27</v>
      </c>
      <c r="Z5" s="45" t="s">
        <v>27</v>
      </c>
      <c r="AA5" s="45" t="s">
        <v>31</v>
      </c>
      <c r="AB5" s="45" t="s">
        <v>239</v>
      </c>
    </row>
    <row r="6" spans="1:28" x14ac:dyDescent="0.3">
      <c r="A6" s="45">
        <v>4</v>
      </c>
      <c r="B6" s="46" t="s">
        <v>467</v>
      </c>
      <c r="C6" s="45" t="s">
        <v>35</v>
      </c>
      <c r="D6" s="45" t="s">
        <v>466</v>
      </c>
      <c r="E6" s="45" t="s">
        <v>27</v>
      </c>
      <c r="F6" s="45">
        <v>262802</v>
      </c>
      <c r="G6" s="45" t="s">
        <v>465</v>
      </c>
      <c r="H6" s="45">
        <v>2000</v>
      </c>
      <c r="I6" s="47">
        <v>0.35</v>
      </c>
      <c r="J6" s="47">
        <v>0.7</v>
      </c>
      <c r="K6" s="45" t="s">
        <v>33</v>
      </c>
      <c r="L6" s="47">
        <v>490</v>
      </c>
      <c r="M6" s="48">
        <v>350</v>
      </c>
      <c r="N6" s="49">
        <v>2.4299999999999999E-2</v>
      </c>
      <c r="O6" s="50">
        <v>1.46</v>
      </c>
      <c r="P6" s="45">
        <v>154.30000000000001</v>
      </c>
      <c r="Q6" s="45">
        <v>4</v>
      </c>
      <c r="R6" s="45">
        <v>1450</v>
      </c>
      <c r="S6" s="47">
        <v>1.4</v>
      </c>
      <c r="T6" s="45">
        <v>50</v>
      </c>
      <c r="U6" s="49">
        <v>3.4500000000000003E-2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476</v>
      </c>
    </row>
    <row r="7" spans="1:28" x14ac:dyDescent="0.3">
      <c r="A7" s="45">
        <v>5</v>
      </c>
      <c r="B7" s="46" t="s">
        <v>463</v>
      </c>
      <c r="C7" s="45" t="s">
        <v>35</v>
      </c>
      <c r="D7" s="45" t="s">
        <v>404</v>
      </c>
      <c r="E7" s="45" t="s">
        <v>27</v>
      </c>
      <c r="F7" s="45">
        <v>262794</v>
      </c>
      <c r="G7" s="45" t="s">
        <v>462</v>
      </c>
      <c r="H7" s="45">
        <v>5000</v>
      </c>
      <c r="I7" s="47">
        <v>0.46</v>
      </c>
      <c r="J7" s="47">
        <v>0.92</v>
      </c>
      <c r="K7" s="45" t="s">
        <v>33</v>
      </c>
      <c r="L7" s="47">
        <v>2116</v>
      </c>
      <c r="M7" s="48">
        <v>1533.3</v>
      </c>
      <c r="N7" s="49">
        <v>0.14199999999999999</v>
      </c>
      <c r="O7" s="50">
        <v>8.52</v>
      </c>
      <c r="P7" s="45">
        <v>666.5</v>
      </c>
      <c r="Q7" s="45">
        <v>3</v>
      </c>
      <c r="R7" s="45">
        <v>1400</v>
      </c>
      <c r="S7" s="47">
        <v>1.38</v>
      </c>
      <c r="T7" s="45">
        <v>20</v>
      </c>
      <c r="U7" s="49">
        <v>1.43E-2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31</v>
      </c>
      <c r="AB7" s="45" t="s">
        <v>475</v>
      </c>
    </row>
    <row r="8" spans="1:28" x14ac:dyDescent="0.3">
      <c r="A8" s="45">
        <v>6</v>
      </c>
      <c r="B8" s="46" t="s">
        <v>467</v>
      </c>
      <c r="C8" s="45" t="s">
        <v>35</v>
      </c>
      <c r="D8" s="45" t="s">
        <v>466</v>
      </c>
      <c r="E8" s="45" t="s">
        <v>27</v>
      </c>
      <c r="F8" s="45">
        <v>262804</v>
      </c>
      <c r="G8" s="45" t="s">
        <v>465</v>
      </c>
      <c r="H8" s="45">
        <v>2000</v>
      </c>
      <c r="I8" s="47">
        <v>0.46</v>
      </c>
      <c r="J8" s="47">
        <v>0.9</v>
      </c>
      <c r="K8" s="45" t="s">
        <v>33</v>
      </c>
      <c r="L8" s="47">
        <v>828</v>
      </c>
      <c r="M8" s="48">
        <v>600</v>
      </c>
      <c r="N8" s="49">
        <v>5.5599999999999997E-2</v>
      </c>
      <c r="O8" s="50">
        <v>3.33</v>
      </c>
      <c r="P8" s="45">
        <v>260.8</v>
      </c>
      <c r="Q8" s="45">
        <v>3</v>
      </c>
      <c r="R8" s="45">
        <v>1400</v>
      </c>
      <c r="S8" s="47">
        <v>1.38</v>
      </c>
      <c r="T8" s="45">
        <v>20</v>
      </c>
      <c r="U8" s="49">
        <v>1.43E-2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32</v>
      </c>
      <c r="AB8" s="45" t="s">
        <v>79</v>
      </c>
    </row>
    <row r="9" spans="1:28" x14ac:dyDescent="0.3">
      <c r="A9" s="45">
        <v>7</v>
      </c>
      <c r="B9" s="46" t="s">
        <v>472</v>
      </c>
      <c r="C9" s="45" t="s">
        <v>35</v>
      </c>
      <c r="D9" s="45" t="s">
        <v>466</v>
      </c>
      <c r="E9" s="45" t="s">
        <v>27</v>
      </c>
      <c r="F9" s="45">
        <v>262799</v>
      </c>
      <c r="G9" s="45" t="s">
        <v>471</v>
      </c>
      <c r="H9" s="45">
        <v>600</v>
      </c>
      <c r="I9" s="47">
        <v>0.44500000000000001</v>
      </c>
      <c r="J9" s="47">
        <v>0.87</v>
      </c>
      <c r="K9" s="45" t="s">
        <v>33</v>
      </c>
      <c r="L9" s="47">
        <v>232.29</v>
      </c>
      <c r="M9" s="48">
        <v>174</v>
      </c>
      <c r="N9" s="49">
        <v>1.61E-2</v>
      </c>
      <c r="O9" s="50">
        <v>0.97</v>
      </c>
      <c r="P9" s="45">
        <v>73.2</v>
      </c>
      <c r="Q9" s="45">
        <v>3</v>
      </c>
      <c r="R9" s="45">
        <v>1400</v>
      </c>
      <c r="S9" s="47">
        <v>1.335</v>
      </c>
      <c r="T9" s="45">
        <v>65</v>
      </c>
      <c r="U9" s="49">
        <v>4.6399999999999997E-2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474</v>
      </c>
    </row>
    <row r="10" spans="1:28" x14ac:dyDescent="0.3">
      <c r="A10" s="45">
        <v>8</v>
      </c>
      <c r="B10" s="46" t="s">
        <v>463</v>
      </c>
      <c r="C10" s="45" t="s">
        <v>35</v>
      </c>
      <c r="D10" s="45" t="s">
        <v>404</v>
      </c>
      <c r="E10" s="45" t="s">
        <v>27</v>
      </c>
      <c r="F10" s="45">
        <v>262795</v>
      </c>
      <c r="G10" s="45" t="s">
        <v>462</v>
      </c>
      <c r="H10" s="45">
        <v>1000</v>
      </c>
      <c r="I10" s="47">
        <v>0.66</v>
      </c>
      <c r="J10" s="47">
        <v>0.82</v>
      </c>
      <c r="K10" s="45" t="s">
        <v>33</v>
      </c>
      <c r="L10" s="47">
        <v>541.20000000000005</v>
      </c>
      <c r="M10" s="48">
        <v>410</v>
      </c>
      <c r="N10" s="49">
        <v>5.6899999999999999E-2</v>
      </c>
      <c r="O10" s="50">
        <v>3.42</v>
      </c>
      <c r="P10" s="45">
        <v>170.5</v>
      </c>
      <c r="Q10" s="45">
        <v>2</v>
      </c>
      <c r="R10" s="45">
        <v>1350</v>
      </c>
      <c r="S10" s="47">
        <v>1.32</v>
      </c>
      <c r="T10" s="45">
        <v>30</v>
      </c>
      <c r="U10" s="49">
        <v>2.2200000000000001E-2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473</v>
      </c>
    </row>
    <row r="11" spans="1:28" x14ac:dyDescent="0.3">
      <c r="A11" s="45">
        <v>9</v>
      </c>
      <c r="B11" s="46" t="s">
        <v>107</v>
      </c>
      <c r="C11" s="45" t="s">
        <v>55</v>
      </c>
      <c r="D11" s="45" t="s">
        <v>222</v>
      </c>
      <c r="E11" s="45" t="s">
        <v>27</v>
      </c>
      <c r="F11" s="45">
        <v>262789</v>
      </c>
      <c r="G11" s="45" t="s">
        <v>271</v>
      </c>
      <c r="H11" s="45">
        <v>1662</v>
      </c>
      <c r="I11" s="47">
        <v>0.43</v>
      </c>
      <c r="J11" s="47">
        <v>1.1499999999999999</v>
      </c>
      <c r="K11" s="45" t="s">
        <v>33</v>
      </c>
      <c r="L11" s="47">
        <v>821.85900000000004</v>
      </c>
      <c r="M11" s="48">
        <v>637.1</v>
      </c>
      <c r="N11" s="49">
        <v>5.8999999999999997E-2</v>
      </c>
      <c r="O11" s="50">
        <v>3.54</v>
      </c>
      <c r="P11" s="45">
        <v>300</v>
      </c>
      <c r="Q11" s="45">
        <v>3</v>
      </c>
      <c r="R11" s="45">
        <v>1350</v>
      </c>
      <c r="S11" s="47">
        <v>1.29</v>
      </c>
      <c r="T11" s="45">
        <v>60</v>
      </c>
      <c r="U11" s="49">
        <v>4.4400000000000002E-2</v>
      </c>
      <c r="V11" s="45" t="s">
        <v>37</v>
      </c>
      <c r="W11" s="45" t="s">
        <v>29</v>
      </c>
      <c r="X11" s="45" t="s">
        <v>34</v>
      </c>
      <c r="Y11" s="45" t="s">
        <v>27</v>
      </c>
      <c r="Z11" s="45" t="s">
        <v>27</v>
      </c>
      <c r="AA11" s="45" t="s">
        <v>32</v>
      </c>
      <c r="AB11" s="45" t="s">
        <v>238</v>
      </c>
    </row>
    <row r="12" spans="1:28" x14ac:dyDescent="0.3">
      <c r="A12" s="45">
        <v>10</v>
      </c>
      <c r="B12" s="46" t="s">
        <v>472</v>
      </c>
      <c r="C12" s="45" t="s">
        <v>35</v>
      </c>
      <c r="D12" s="45" t="s">
        <v>466</v>
      </c>
      <c r="E12" s="45" t="s">
        <v>27</v>
      </c>
      <c r="F12" s="45">
        <v>262798</v>
      </c>
      <c r="G12" s="45" t="s">
        <v>471</v>
      </c>
      <c r="H12" s="45">
        <v>300</v>
      </c>
      <c r="I12" s="47">
        <v>0.42</v>
      </c>
      <c r="J12" s="47">
        <v>0.82</v>
      </c>
      <c r="K12" s="45" t="s">
        <v>33</v>
      </c>
      <c r="L12" s="47">
        <v>103.32</v>
      </c>
      <c r="M12" s="48">
        <v>82</v>
      </c>
      <c r="N12" s="49">
        <v>7.6E-3</v>
      </c>
      <c r="O12" s="50">
        <v>0.46</v>
      </c>
      <c r="P12" s="45">
        <v>32.5</v>
      </c>
      <c r="Q12" s="45">
        <v>3</v>
      </c>
      <c r="R12" s="45">
        <v>1300</v>
      </c>
      <c r="S12" s="47">
        <v>1.26</v>
      </c>
      <c r="T12" s="45">
        <v>40</v>
      </c>
      <c r="U12" s="49">
        <v>3.0800000000000001E-2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470</v>
      </c>
    </row>
    <row r="13" spans="1:28" x14ac:dyDescent="0.3">
      <c r="A13" s="45">
        <v>11</v>
      </c>
      <c r="B13" s="46" t="s">
        <v>467</v>
      </c>
      <c r="C13" s="45" t="s">
        <v>35</v>
      </c>
      <c r="D13" s="45" t="s">
        <v>466</v>
      </c>
      <c r="E13" s="45" t="s">
        <v>27</v>
      </c>
      <c r="F13" s="45">
        <v>262803</v>
      </c>
      <c r="G13" s="45" t="s">
        <v>465</v>
      </c>
      <c r="H13" s="45">
        <v>2000</v>
      </c>
      <c r="I13" s="47">
        <v>0.4</v>
      </c>
      <c r="J13" s="47">
        <v>0.8</v>
      </c>
      <c r="K13" s="45" t="s">
        <v>33</v>
      </c>
      <c r="L13" s="47">
        <v>640</v>
      </c>
      <c r="M13" s="48">
        <v>533.29999999999995</v>
      </c>
      <c r="N13" s="49">
        <v>4.9399999999999999E-2</v>
      </c>
      <c r="O13" s="50">
        <v>2.96</v>
      </c>
      <c r="P13" s="45">
        <v>201.6</v>
      </c>
      <c r="Q13" s="45">
        <v>3</v>
      </c>
      <c r="R13" s="45">
        <v>1250</v>
      </c>
      <c r="S13" s="47">
        <v>1.2</v>
      </c>
      <c r="T13" s="45">
        <v>50</v>
      </c>
      <c r="U13" s="49">
        <v>0.04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469</v>
      </c>
    </row>
    <row r="14" spans="1:28" x14ac:dyDescent="0.3">
      <c r="A14" s="45">
        <v>12</v>
      </c>
      <c r="B14" s="46" t="s">
        <v>463</v>
      </c>
      <c r="C14" s="45" t="s">
        <v>35</v>
      </c>
      <c r="D14" s="45" t="s">
        <v>404</v>
      </c>
      <c r="E14" s="45" t="s">
        <v>27</v>
      </c>
      <c r="F14" s="45">
        <v>262797</v>
      </c>
      <c r="G14" s="45" t="s">
        <v>462</v>
      </c>
      <c r="H14" s="45">
        <v>500</v>
      </c>
      <c r="I14" s="47">
        <v>0.59</v>
      </c>
      <c r="J14" s="47">
        <v>0.88</v>
      </c>
      <c r="K14" s="45" t="s">
        <v>33</v>
      </c>
      <c r="L14" s="47">
        <v>259.60000000000002</v>
      </c>
      <c r="M14" s="48">
        <v>220</v>
      </c>
      <c r="N14" s="49">
        <v>3.0599999999999999E-2</v>
      </c>
      <c r="O14" s="50">
        <v>1.83</v>
      </c>
      <c r="P14" s="45">
        <v>81.8</v>
      </c>
      <c r="Q14" s="45">
        <v>2</v>
      </c>
      <c r="R14" s="45">
        <v>1200</v>
      </c>
      <c r="S14" s="47">
        <v>1.18</v>
      </c>
      <c r="T14" s="45">
        <v>20</v>
      </c>
      <c r="U14" s="49">
        <v>1.67E-2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468</v>
      </c>
    </row>
    <row r="15" spans="1:28" x14ac:dyDescent="0.3">
      <c r="A15" s="45">
        <v>13</v>
      </c>
      <c r="B15" s="46" t="s">
        <v>467</v>
      </c>
      <c r="C15" s="45" t="s">
        <v>35</v>
      </c>
      <c r="D15" s="45" t="s">
        <v>466</v>
      </c>
      <c r="E15" s="45" t="s">
        <v>27</v>
      </c>
      <c r="F15" s="45">
        <v>262801</v>
      </c>
      <c r="G15" s="45" t="s">
        <v>465</v>
      </c>
      <c r="H15" s="45">
        <v>1000</v>
      </c>
      <c r="I15" s="47">
        <v>0.59</v>
      </c>
      <c r="J15" s="47">
        <v>1.5</v>
      </c>
      <c r="K15" s="45" t="s">
        <v>33</v>
      </c>
      <c r="L15" s="47">
        <v>885</v>
      </c>
      <c r="M15" s="48">
        <v>750</v>
      </c>
      <c r="N15" s="49">
        <v>0.1042</v>
      </c>
      <c r="O15" s="50">
        <v>6.25</v>
      </c>
      <c r="P15" s="45">
        <v>278.8</v>
      </c>
      <c r="Q15" s="45">
        <v>2</v>
      </c>
      <c r="R15" s="45">
        <v>1200</v>
      </c>
      <c r="S15" s="47">
        <v>1.18</v>
      </c>
      <c r="T15" s="45">
        <v>20</v>
      </c>
      <c r="U15" s="49">
        <v>1.67E-2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464</v>
      </c>
    </row>
    <row r="16" spans="1:28" x14ac:dyDescent="0.3">
      <c r="A16" s="45">
        <v>14</v>
      </c>
      <c r="B16" s="46" t="s">
        <v>463</v>
      </c>
      <c r="C16" s="45" t="s">
        <v>35</v>
      </c>
      <c r="D16" s="45" t="s">
        <v>404</v>
      </c>
      <c r="E16" s="45" t="s">
        <v>27</v>
      </c>
      <c r="F16" s="45">
        <v>262796</v>
      </c>
      <c r="G16" s="45" t="s">
        <v>462</v>
      </c>
      <c r="H16" s="45">
        <v>1000</v>
      </c>
      <c r="I16" s="47">
        <v>0.56000000000000005</v>
      </c>
      <c r="J16" s="47">
        <v>0.62</v>
      </c>
      <c r="K16" s="45" t="s">
        <v>33</v>
      </c>
      <c r="L16" s="47">
        <v>347.2</v>
      </c>
      <c r="M16" s="48">
        <v>310</v>
      </c>
      <c r="N16" s="49">
        <v>4.3099999999999999E-2</v>
      </c>
      <c r="O16" s="50">
        <v>2.58</v>
      </c>
      <c r="P16" s="45">
        <v>109.4</v>
      </c>
      <c r="Q16" s="45">
        <v>2</v>
      </c>
      <c r="R16" s="45">
        <v>1150</v>
      </c>
      <c r="S16" s="47">
        <v>1.1200000000000001</v>
      </c>
      <c r="T16" s="45">
        <v>30</v>
      </c>
      <c r="U16" s="49">
        <v>2.6100000000000002E-2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461</v>
      </c>
    </row>
    <row r="17" spans="1:28" x14ac:dyDescent="0.3">
      <c r="A17" s="45">
        <v>15</v>
      </c>
      <c r="B17" s="46" t="s">
        <v>107</v>
      </c>
      <c r="C17" s="45" t="s">
        <v>49</v>
      </c>
      <c r="D17" s="45" t="s">
        <v>222</v>
      </c>
      <c r="E17" s="45" t="s">
        <v>27</v>
      </c>
      <c r="F17" s="45">
        <v>262793</v>
      </c>
      <c r="G17" s="45" t="s">
        <v>271</v>
      </c>
      <c r="H17" s="45">
        <v>3317</v>
      </c>
      <c r="I17" s="47">
        <v>0.56000000000000005</v>
      </c>
      <c r="J17" s="47">
        <v>0.91</v>
      </c>
      <c r="K17" s="45" t="s">
        <v>33</v>
      </c>
      <c r="L17" s="47">
        <v>1690.3430000000001</v>
      </c>
      <c r="M17" s="48">
        <v>1509.2</v>
      </c>
      <c r="N17" s="49">
        <v>0.20960000000000001</v>
      </c>
      <c r="O17" s="50">
        <v>12.58</v>
      </c>
      <c r="P17" s="45">
        <v>600.1</v>
      </c>
      <c r="Q17" s="45">
        <v>2</v>
      </c>
      <c r="R17" s="45">
        <v>1150</v>
      </c>
      <c r="S17" s="47">
        <v>1.1200000000000001</v>
      </c>
      <c r="T17" s="45">
        <v>30</v>
      </c>
      <c r="U17" s="49">
        <v>2.6100000000000002E-2</v>
      </c>
      <c r="V17" s="45" t="s">
        <v>29</v>
      </c>
      <c r="W17" s="45" t="s">
        <v>28</v>
      </c>
      <c r="X17" s="45" t="s">
        <v>29</v>
      </c>
      <c r="Y17" s="45" t="s">
        <v>27</v>
      </c>
      <c r="Z17" s="45" t="s">
        <v>27</v>
      </c>
      <c r="AA17" s="45" t="s">
        <v>30</v>
      </c>
      <c r="AB17" s="45" t="s">
        <v>106</v>
      </c>
    </row>
    <row r="18" spans="1:28" x14ac:dyDescent="0.3">
      <c r="A18" s="45">
        <v>16</v>
      </c>
      <c r="B18" s="46" t="s">
        <v>107</v>
      </c>
      <c r="C18" s="45" t="s">
        <v>55</v>
      </c>
      <c r="D18" s="45" t="s">
        <v>222</v>
      </c>
      <c r="E18" s="45" t="s">
        <v>27</v>
      </c>
      <c r="F18" s="45">
        <v>262791</v>
      </c>
      <c r="G18" s="45" t="s">
        <v>271</v>
      </c>
      <c r="H18" s="45">
        <v>1140</v>
      </c>
      <c r="I18" s="47">
        <v>0.53</v>
      </c>
      <c r="J18" s="47">
        <v>1.36</v>
      </c>
      <c r="K18" s="45" t="s">
        <v>33</v>
      </c>
      <c r="L18" s="47">
        <v>821.71199999999999</v>
      </c>
      <c r="M18" s="48">
        <v>775.2</v>
      </c>
      <c r="N18" s="49">
        <v>0.1077</v>
      </c>
      <c r="O18" s="50">
        <v>6.46</v>
      </c>
      <c r="P18" s="45">
        <v>299.89999999999998</v>
      </c>
      <c r="Q18" s="45">
        <v>2</v>
      </c>
      <c r="R18" s="45">
        <v>1100</v>
      </c>
      <c r="S18" s="47">
        <v>1.06</v>
      </c>
      <c r="T18" s="45">
        <v>40</v>
      </c>
      <c r="U18" s="49">
        <v>3.6400000000000002E-2</v>
      </c>
      <c r="V18" s="45" t="s">
        <v>37</v>
      </c>
      <c r="W18" s="45" t="s">
        <v>29</v>
      </c>
      <c r="X18" s="45" t="s">
        <v>34</v>
      </c>
      <c r="Y18" s="45" t="s">
        <v>27</v>
      </c>
      <c r="Z18" s="45" t="s">
        <v>27</v>
      </c>
      <c r="AA18" s="45" t="s">
        <v>32</v>
      </c>
      <c r="AB18" s="45" t="s">
        <v>237</v>
      </c>
    </row>
    <row r="19" spans="1:28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v>27911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v>4220.2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  <row r="20" spans="1:28" x14ac:dyDescent="0.3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93" t="s">
        <v>459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91" t="s">
        <v>396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91" t="s">
        <v>376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364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321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tabSelected="1"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3" t="s">
        <v>296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106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91" t="s">
        <v>278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3" t="s">
        <v>264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91" t="s">
        <v>247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234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7">
        <v>1</v>
      </c>
      <c r="B3" s="98" t="s">
        <v>58</v>
      </c>
      <c r="C3" s="97" t="s">
        <v>26</v>
      </c>
      <c r="D3" s="97" t="s">
        <v>444</v>
      </c>
      <c r="E3" s="97" t="s">
        <v>27</v>
      </c>
      <c r="F3" s="97">
        <v>262778</v>
      </c>
      <c r="G3" s="97" t="s">
        <v>443</v>
      </c>
      <c r="H3" s="97">
        <v>430</v>
      </c>
      <c r="I3" s="99">
        <v>0.752</v>
      </c>
      <c r="J3" s="99">
        <v>1.64</v>
      </c>
      <c r="K3" s="97" t="s">
        <v>451</v>
      </c>
      <c r="L3" s="99">
        <v>530.30999999999995</v>
      </c>
      <c r="M3" s="100">
        <v>352.6</v>
      </c>
      <c r="N3" s="101">
        <v>4.9000000000000002E-2</v>
      </c>
      <c r="O3" s="102">
        <v>2.94</v>
      </c>
      <c r="P3" s="97">
        <v>285.3</v>
      </c>
      <c r="Q3" s="97">
        <v>2</v>
      </c>
      <c r="R3" s="97">
        <v>1550</v>
      </c>
      <c r="S3" s="99">
        <v>1.504</v>
      </c>
      <c r="T3" s="97">
        <v>46</v>
      </c>
      <c r="U3" s="101">
        <v>2.9700000000000001E-2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30</v>
      </c>
      <c r="AB3" s="97" t="s">
        <v>450</v>
      </c>
    </row>
    <row r="4" spans="1:28" s="90" customFormat="1" ht="25.05" customHeight="1" x14ac:dyDescent="0.3">
      <c r="A4" s="97">
        <v>2</v>
      </c>
      <c r="B4" s="98" t="s">
        <v>58</v>
      </c>
      <c r="C4" s="97" t="s">
        <v>26</v>
      </c>
      <c r="D4" s="97" t="s">
        <v>444</v>
      </c>
      <c r="E4" s="97" t="s">
        <v>27</v>
      </c>
      <c r="F4" s="97">
        <v>262777</v>
      </c>
      <c r="G4" s="97" t="s">
        <v>449</v>
      </c>
      <c r="H4" s="97">
        <v>450</v>
      </c>
      <c r="I4" s="99">
        <v>0.73299999999999998</v>
      </c>
      <c r="J4" s="99">
        <v>2.11</v>
      </c>
      <c r="K4" s="97" t="s">
        <v>448</v>
      </c>
      <c r="L4" s="99">
        <v>695.98299999999995</v>
      </c>
      <c r="M4" s="100">
        <v>474.8</v>
      </c>
      <c r="N4" s="101">
        <v>6.59E-2</v>
      </c>
      <c r="O4" s="102">
        <v>3.96</v>
      </c>
      <c r="P4" s="97">
        <v>374.4</v>
      </c>
      <c r="Q4" s="97">
        <v>2</v>
      </c>
      <c r="R4" s="97">
        <v>1500</v>
      </c>
      <c r="S4" s="99">
        <v>1.466</v>
      </c>
      <c r="T4" s="97">
        <v>34</v>
      </c>
      <c r="U4" s="101">
        <v>2.2700000000000001E-2</v>
      </c>
      <c r="V4" s="97" t="s">
        <v>28</v>
      </c>
      <c r="W4" s="97" t="s">
        <v>29</v>
      </c>
      <c r="X4" s="97" t="s">
        <v>28</v>
      </c>
      <c r="Y4" s="97" t="s">
        <v>28</v>
      </c>
      <c r="Z4" s="97" t="s">
        <v>28</v>
      </c>
      <c r="AA4" s="97" t="s">
        <v>30</v>
      </c>
      <c r="AB4" s="97" t="s">
        <v>447</v>
      </c>
    </row>
    <row r="5" spans="1:28" s="90" customFormat="1" ht="25.05" customHeight="1" x14ac:dyDescent="0.3">
      <c r="A5" s="97">
        <v>3</v>
      </c>
      <c r="B5" s="98" t="s">
        <v>58</v>
      </c>
      <c r="C5" s="97" t="s">
        <v>26</v>
      </c>
      <c r="D5" s="97" t="s">
        <v>380</v>
      </c>
      <c r="E5" s="97" t="s">
        <v>27</v>
      </c>
      <c r="F5" s="97">
        <v>262774</v>
      </c>
      <c r="G5" s="97" t="s">
        <v>398</v>
      </c>
      <c r="H5" s="97">
        <v>550</v>
      </c>
      <c r="I5" s="99">
        <v>0.70699999999999996</v>
      </c>
      <c r="J5" s="99">
        <v>1.4990000000000001</v>
      </c>
      <c r="K5" s="97" t="s">
        <v>397</v>
      </c>
      <c r="L5" s="99">
        <v>582.88599999999997</v>
      </c>
      <c r="M5" s="100">
        <v>412.2</v>
      </c>
      <c r="N5" s="101">
        <v>5.7299999999999997E-2</v>
      </c>
      <c r="O5" s="102">
        <v>3.44</v>
      </c>
      <c r="P5" s="97">
        <v>313.60000000000002</v>
      </c>
      <c r="Q5" s="97">
        <v>2</v>
      </c>
      <c r="R5" s="97">
        <v>1450</v>
      </c>
      <c r="S5" s="99">
        <v>1.4139999999999999</v>
      </c>
      <c r="T5" s="97">
        <v>36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30</v>
      </c>
      <c r="AB5" s="97" t="s">
        <v>446</v>
      </c>
    </row>
    <row r="6" spans="1:28" s="90" customFormat="1" ht="25.05" customHeight="1" x14ac:dyDescent="0.3">
      <c r="A6" s="97">
        <v>4</v>
      </c>
      <c r="B6" s="98" t="s">
        <v>58</v>
      </c>
      <c r="C6" s="97" t="s">
        <v>26</v>
      </c>
      <c r="D6" s="97" t="s">
        <v>380</v>
      </c>
      <c r="E6" s="97" t="s">
        <v>27</v>
      </c>
      <c r="F6" s="97">
        <v>262775</v>
      </c>
      <c r="G6" s="97" t="s">
        <v>398</v>
      </c>
      <c r="H6" s="97">
        <v>385</v>
      </c>
      <c r="I6" s="99">
        <v>0.71299999999999997</v>
      </c>
      <c r="J6" s="99">
        <v>2.0990000000000002</v>
      </c>
      <c r="K6" s="97" t="s">
        <v>400</v>
      </c>
      <c r="L6" s="99">
        <v>576.18600000000004</v>
      </c>
      <c r="M6" s="100">
        <v>404.1</v>
      </c>
      <c r="N6" s="101">
        <v>5.6099999999999997E-2</v>
      </c>
      <c r="O6" s="102">
        <v>3.37</v>
      </c>
      <c r="P6" s="97">
        <v>310</v>
      </c>
      <c r="Q6" s="97">
        <v>2</v>
      </c>
      <c r="R6" s="97">
        <v>1450</v>
      </c>
      <c r="S6" s="99">
        <v>1.4259999999999999</v>
      </c>
      <c r="T6" s="97">
        <v>24</v>
      </c>
      <c r="U6" s="101">
        <v>1.66E-2</v>
      </c>
      <c r="V6" s="97" t="s">
        <v>28</v>
      </c>
      <c r="W6" s="97" t="s">
        <v>29</v>
      </c>
      <c r="X6" s="97" t="s">
        <v>28</v>
      </c>
      <c r="Y6" s="97" t="s">
        <v>28</v>
      </c>
      <c r="Z6" s="97" t="s">
        <v>28</v>
      </c>
      <c r="AA6" s="97" t="s">
        <v>32</v>
      </c>
      <c r="AB6" s="97" t="s">
        <v>399</v>
      </c>
    </row>
    <row r="7" spans="1:28" s="90" customFormat="1" ht="25.05" customHeight="1" x14ac:dyDescent="0.3">
      <c r="A7" s="97">
        <v>5</v>
      </c>
      <c r="B7" s="98" t="s">
        <v>58</v>
      </c>
      <c r="C7" s="97" t="s">
        <v>26</v>
      </c>
      <c r="D7" s="97" t="s">
        <v>251</v>
      </c>
      <c r="E7" s="97" t="s">
        <v>27</v>
      </c>
      <c r="F7" s="97">
        <v>262767</v>
      </c>
      <c r="G7" s="97" t="s">
        <v>280</v>
      </c>
      <c r="H7" s="97">
        <v>400</v>
      </c>
      <c r="I7" s="99">
        <v>1.3520000000000001</v>
      </c>
      <c r="J7" s="99">
        <v>2.339</v>
      </c>
      <c r="K7" s="97" t="s">
        <v>279</v>
      </c>
      <c r="L7" s="99">
        <v>1264.931</v>
      </c>
      <c r="M7" s="100">
        <v>935.6</v>
      </c>
      <c r="N7" s="101">
        <v>0.25990000000000002</v>
      </c>
      <c r="O7" s="102">
        <v>15.59</v>
      </c>
      <c r="P7" s="97">
        <v>680.5</v>
      </c>
      <c r="Q7" s="97">
        <v>1</v>
      </c>
      <c r="R7" s="97">
        <v>1400</v>
      </c>
      <c r="S7" s="99">
        <v>1.3520000000000001</v>
      </c>
      <c r="T7" s="97">
        <v>48</v>
      </c>
      <c r="U7" s="101">
        <v>3.4299999999999997E-2</v>
      </c>
      <c r="V7" s="97" t="s">
        <v>28</v>
      </c>
      <c r="W7" s="97" t="s">
        <v>29</v>
      </c>
      <c r="X7" s="97" t="s">
        <v>28</v>
      </c>
      <c r="Y7" s="97" t="s">
        <v>28</v>
      </c>
      <c r="Z7" s="97" t="s">
        <v>28</v>
      </c>
      <c r="AA7" s="97" t="s">
        <v>30</v>
      </c>
      <c r="AB7" s="97" t="s">
        <v>445</v>
      </c>
    </row>
    <row r="8" spans="1:28" s="90" customFormat="1" ht="25.05" customHeight="1" x14ac:dyDescent="0.3">
      <c r="A8" s="97">
        <v>6</v>
      </c>
      <c r="B8" s="98" t="s">
        <v>58</v>
      </c>
      <c r="C8" s="97" t="s">
        <v>26</v>
      </c>
      <c r="D8" s="97" t="s">
        <v>251</v>
      </c>
      <c r="E8" s="97" t="s">
        <v>27</v>
      </c>
      <c r="F8" s="97">
        <v>262770</v>
      </c>
      <c r="G8" s="97" t="s">
        <v>280</v>
      </c>
      <c r="H8" s="97">
        <v>400</v>
      </c>
      <c r="I8" s="99">
        <v>1.3720000000000001</v>
      </c>
      <c r="J8" s="99">
        <v>2.38</v>
      </c>
      <c r="K8" s="97" t="s">
        <v>284</v>
      </c>
      <c r="L8" s="99">
        <v>1306.144</v>
      </c>
      <c r="M8" s="100">
        <v>952</v>
      </c>
      <c r="N8" s="101">
        <v>0.26440000000000002</v>
      </c>
      <c r="O8" s="102">
        <v>15.87</v>
      </c>
      <c r="P8" s="97">
        <v>702.7</v>
      </c>
      <c r="Q8" s="97">
        <v>1</v>
      </c>
      <c r="R8" s="97">
        <v>1400</v>
      </c>
      <c r="S8" s="99">
        <v>1.3720000000000001</v>
      </c>
      <c r="T8" s="97">
        <v>28</v>
      </c>
      <c r="U8" s="101">
        <v>0.02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283</v>
      </c>
    </row>
    <row r="9" spans="1:28" s="90" customFormat="1" ht="25.05" customHeight="1" x14ac:dyDescent="0.3">
      <c r="A9" s="97">
        <v>7</v>
      </c>
      <c r="B9" s="98" t="s">
        <v>58</v>
      </c>
      <c r="C9" s="97" t="s">
        <v>26</v>
      </c>
      <c r="D9" s="97" t="s">
        <v>251</v>
      </c>
      <c r="E9" s="97" t="s">
        <v>27</v>
      </c>
      <c r="F9" s="97">
        <v>262768</v>
      </c>
      <c r="G9" s="97" t="s">
        <v>280</v>
      </c>
      <c r="H9" s="97">
        <v>400</v>
      </c>
      <c r="I9" s="99">
        <v>1.1519999999999999</v>
      </c>
      <c r="J9" s="99">
        <v>2.34</v>
      </c>
      <c r="K9" s="97" t="s">
        <v>282</v>
      </c>
      <c r="L9" s="99">
        <v>1078.2719999999999</v>
      </c>
      <c r="M9" s="100">
        <v>936</v>
      </c>
      <c r="N9" s="101">
        <v>0.26</v>
      </c>
      <c r="O9" s="102">
        <v>15.6</v>
      </c>
      <c r="P9" s="97">
        <v>580.1</v>
      </c>
      <c r="Q9" s="97">
        <v>1</v>
      </c>
      <c r="R9" s="97">
        <v>1200</v>
      </c>
      <c r="S9" s="99">
        <v>1.1519999999999999</v>
      </c>
      <c r="T9" s="97">
        <v>48</v>
      </c>
      <c r="U9" s="101">
        <v>0.04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 t="s">
        <v>30</v>
      </c>
      <c r="AB9" s="97" t="s">
        <v>281</v>
      </c>
    </row>
    <row r="10" spans="1:28" s="90" customFormat="1" ht="25.05" customHeight="1" x14ac:dyDescent="0.3">
      <c r="A10" s="97">
        <v>8</v>
      </c>
      <c r="B10" s="98" t="s">
        <v>58</v>
      </c>
      <c r="C10" s="97" t="s">
        <v>26</v>
      </c>
      <c r="D10" s="97" t="s">
        <v>380</v>
      </c>
      <c r="E10" s="97" t="s">
        <v>27</v>
      </c>
      <c r="F10" s="97">
        <v>262776</v>
      </c>
      <c r="G10" s="97" t="s">
        <v>398</v>
      </c>
      <c r="H10" s="97">
        <v>285</v>
      </c>
      <c r="I10" s="99">
        <v>0.96199999999999997</v>
      </c>
      <c r="J10" s="99">
        <v>2.1179999999999999</v>
      </c>
      <c r="K10" s="97" t="s">
        <v>70</v>
      </c>
      <c r="L10" s="99">
        <v>580.69200000000001</v>
      </c>
      <c r="M10" s="100">
        <v>603.6</v>
      </c>
      <c r="N10" s="101">
        <v>0.16769999999999999</v>
      </c>
      <c r="O10" s="102">
        <v>10.06</v>
      </c>
      <c r="P10" s="97">
        <v>312.39999999999998</v>
      </c>
      <c r="Q10" s="97">
        <v>1</v>
      </c>
      <c r="R10" s="97">
        <v>1000</v>
      </c>
      <c r="S10" s="99">
        <v>0.96199999999999997</v>
      </c>
      <c r="T10" s="97">
        <v>38</v>
      </c>
      <c r="U10" s="101">
        <v>3.7999999999999999E-2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32</v>
      </c>
      <c r="AB10" s="97" t="s">
        <v>401</v>
      </c>
    </row>
    <row r="11" spans="1:28" s="90" customFormat="1" ht="25.05" customHeight="1" x14ac:dyDescent="0.3">
      <c r="A11" s="97">
        <v>9</v>
      </c>
      <c r="B11" s="98" t="s">
        <v>58</v>
      </c>
      <c r="C11" s="97" t="s">
        <v>26</v>
      </c>
      <c r="D11" s="97" t="s">
        <v>444</v>
      </c>
      <c r="E11" s="97" t="s">
        <v>27</v>
      </c>
      <c r="F11" s="97">
        <v>262779</v>
      </c>
      <c r="G11" s="97" t="s">
        <v>443</v>
      </c>
      <c r="H11" s="97">
        <v>450</v>
      </c>
      <c r="I11" s="99">
        <v>0.93400000000000005</v>
      </c>
      <c r="J11" s="99">
        <v>1.3</v>
      </c>
      <c r="K11" s="97" t="s">
        <v>33</v>
      </c>
      <c r="L11" s="99">
        <v>546.39</v>
      </c>
      <c r="M11" s="100">
        <v>585</v>
      </c>
      <c r="N11" s="101">
        <v>0.16250000000000001</v>
      </c>
      <c r="O11" s="102">
        <v>9.75</v>
      </c>
      <c r="P11" s="97">
        <v>294</v>
      </c>
      <c r="Q11" s="97">
        <v>1</v>
      </c>
      <c r="R11" s="97">
        <v>1000</v>
      </c>
      <c r="S11" s="99">
        <v>0.93400000000000005</v>
      </c>
      <c r="T11" s="97">
        <v>66</v>
      </c>
      <c r="U11" s="101">
        <v>6.6000000000000003E-2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 t="s">
        <v>30</v>
      </c>
      <c r="AB11" s="97" t="s">
        <v>442</v>
      </c>
    </row>
    <row r="12" spans="1:28" s="90" customFormat="1" ht="25.05" customHeight="1" x14ac:dyDescent="0.3">
      <c r="A12" s="97">
        <v>10</v>
      </c>
      <c r="B12" s="98" t="s">
        <v>58</v>
      </c>
      <c r="C12" s="97" t="s">
        <v>59</v>
      </c>
      <c r="D12" s="97" t="s">
        <v>441</v>
      </c>
      <c r="E12" s="97" t="s">
        <v>27</v>
      </c>
      <c r="F12" s="97">
        <v>262772</v>
      </c>
      <c r="G12" s="97" t="s">
        <v>440</v>
      </c>
      <c r="H12" s="97">
        <v>9500</v>
      </c>
      <c r="I12" s="99">
        <v>0.32200000000000001</v>
      </c>
      <c r="J12" s="99">
        <v>0.94</v>
      </c>
      <c r="K12" s="97" t="s">
        <v>322</v>
      </c>
      <c r="L12" s="99">
        <v>2875.46</v>
      </c>
      <c r="M12" s="100">
        <v>2232.5</v>
      </c>
      <c r="N12" s="101">
        <v>0.155</v>
      </c>
      <c r="O12" s="102">
        <v>9.3000000000000007</v>
      </c>
      <c r="P12" s="97">
        <v>931.6</v>
      </c>
      <c r="Q12" s="97">
        <v>4</v>
      </c>
      <c r="R12" s="97">
        <v>1350</v>
      </c>
      <c r="S12" s="99">
        <v>1.288</v>
      </c>
      <c r="T12" s="97">
        <v>62</v>
      </c>
      <c r="U12" s="101">
        <v>4.5900000000000003E-2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48</v>
      </c>
      <c r="AB12" s="97" t="s">
        <v>323</v>
      </c>
    </row>
    <row r="13" spans="1:28" s="90" customFormat="1" ht="25.05" customHeight="1" x14ac:dyDescent="0.3">
      <c r="A13" s="97">
        <v>11</v>
      </c>
      <c r="B13" s="98" t="s">
        <v>58</v>
      </c>
      <c r="C13" s="97" t="s">
        <v>59</v>
      </c>
      <c r="D13" s="97" t="s">
        <v>441</v>
      </c>
      <c r="E13" s="97" t="s">
        <v>27</v>
      </c>
      <c r="F13" s="97">
        <v>262773</v>
      </c>
      <c r="G13" s="97" t="s">
        <v>440</v>
      </c>
      <c r="H13" s="97">
        <v>930</v>
      </c>
      <c r="I13" s="99">
        <v>0.59199999999999997</v>
      </c>
      <c r="J13" s="99">
        <v>1.62</v>
      </c>
      <c r="K13" s="97" t="s">
        <v>324</v>
      </c>
      <c r="L13" s="99">
        <v>891.90700000000004</v>
      </c>
      <c r="M13" s="100">
        <v>753.3</v>
      </c>
      <c r="N13" s="101">
        <v>0.1046</v>
      </c>
      <c r="O13" s="102">
        <v>6.28</v>
      </c>
      <c r="P13" s="97">
        <v>289</v>
      </c>
      <c r="Q13" s="97">
        <v>2</v>
      </c>
      <c r="R13" s="97">
        <v>1250</v>
      </c>
      <c r="S13" s="99">
        <v>1.1839999999999999</v>
      </c>
      <c r="T13" s="97">
        <v>66</v>
      </c>
      <c r="U13" s="101">
        <v>5.28E-2</v>
      </c>
      <c r="V13" s="97" t="s">
        <v>28</v>
      </c>
      <c r="W13" s="97" t="s">
        <v>28</v>
      </c>
      <c r="X13" s="97" t="s">
        <v>28</v>
      </c>
      <c r="Y13" s="97" t="s">
        <v>27</v>
      </c>
      <c r="Z13" s="97" t="s">
        <v>27</v>
      </c>
      <c r="AA13" s="97" t="s">
        <v>30</v>
      </c>
      <c r="AB13" s="97" t="s">
        <v>325</v>
      </c>
    </row>
    <row r="14" spans="1:28" s="90" customFormat="1" ht="25.05" customHeight="1" x14ac:dyDescent="0.3">
      <c r="A14" s="97">
        <v>12</v>
      </c>
      <c r="B14" s="98" t="s">
        <v>58</v>
      </c>
      <c r="C14" s="97" t="s">
        <v>59</v>
      </c>
      <c r="D14" s="97" t="s">
        <v>222</v>
      </c>
      <c r="E14" s="97" t="s">
        <v>27</v>
      </c>
      <c r="F14" s="97">
        <v>262765</v>
      </c>
      <c r="G14" s="97" t="s">
        <v>231</v>
      </c>
      <c r="H14" s="97">
        <v>1150</v>
      </c>
      <c r="I14" s="99">
        <v>0.54700000000000004</v>
      </c>
      <c r="J14" s="99">
        <v>1.44</v>
      </c>
      <c r="K14" s="97" t="s">
        <v>233</v>
      </c>
      <c r="L14" s="99">
        <v>905.83199999999999</v>
      </c>
      <c r="M14" s="100">
        <v>828</v>
      </c>
      <c r="N14" s="101">
        <v>0.115</v>
      </c>
      <c r="O14" s="102">
        <v>6.9</v>
      </c>
      <c r="P14" s="97">
        <v>293.5</v>
      </c>
      <c r="Q14" s="97">
        <v>2</v>
      </c>
      <c r="R14" s="97">
        <v>1150</v>
      </c>
      <c r="S14" s="99">
        <v>1.0940000000000001</v>
      </c>
      <c r="T14" s="97">
        <v>56</v>
      </c>
      <c r="U14" s="101">
        <v>4.87E-2</v>
      </c>
      <c r="V14" s="97" t="s">
        <v>28</v>
      </c>
      <c r="W14" s="97" t="s">
        <v>28</v>
      </c>
      <c r="X14" s="97" t="s">
        <v>28</v>
      </c>
      <c r="Y14" s="97" t="s">
        <v>27</v>
      </c>
      <c r="Z14" s="97" t="s">
        <v>27</v>
      </c>
      <c r="AA14" s="97" t="s">
        <v>32</v>
      </c>
      <c r="AB14" s="97" t="s">
        <v>232</v>
      </c>
    </row>
    <row r="15" spans="1:28" s="90" customFormat="1" ht="25.05" customHeight="1" x14ac:dyDescent="0.3">
      <c r="A15" s="97">
        <v>13</v>
      </c>
      <c r="B15" s="98" t="s">
        <v>58</v>
      </c>
      <c r="C15" s="97" t="s">
        <v>35</v>
      </c>
      <c r="D15" s="97" t="s">
        <v>251</v>
      </c>
      <c r="E15" s="97" t="s">
        <v>27</v>
      </c>
      <c r="F15" s="97">
        <v>262769</v>
      </c>
      <c r="G15" s="97" t="s">
        <v>280</v>
      </c>
      <c r="H15" s="97">
        <v>1000</v>
      </c>
      <c r="I15" s="99">
        <v>0.76</v>
      </c>
      <c r="J15" s="99">
        <v>1.0900000000000001</v>
      </c>
      <c r="K15" s="97" t="s">
        <v>33</v>
      </c>
      <c r="L15" s="99">
        <v>828.4</v>
      </c>
      <c r="M15" s="100">
        <v>545</v>
      </c>
      <c r="N15" s="101">
        <v>7.5700000000000003E-2</v>
      </c>
      <c r="O15" s="102">
        <v>4.54</v>
      </c>
      <c r="P15" s="97">
        <v>260.89999999999998</v>
      </c>
      <c r="Q15" s="97">
        <v>2</v>
      </c>
      <c r="R15" s="97">
        <v>1550</v>
      </c>
      <c r="S15" s="99">
        <v>1.52</v>
      </c>
      <c r="T15" s="97">
        <v>30</v>
      </c>
      <c r="U15" s="101">
        <v>1.9400000000000001E-2</v>
      </c>
      <c r="V15" s="97" t="s">
        <v>28</v>
      </c>
      <c r="W15" s="97" t="s">
        <v>28</v>
      </c>
      <c r="X15" s="97" t="s">
        <v>28</v>
      </c>
      <c r="Y15" s="97" t="s">
        <v>27</v>
      </c>
      <c r="Z15" s="97" t="s">
        <v>27</v>
      </c>
      <c r="AA15" s="97" t="s">
        <v>32</v>
      </c>
      <c r="AB15" s="97" t="s">
        <v>285</v>
      </c>
    </row>
    <row r="16" spans="1:28" s="90" customFormat="1" ht="25.05" customHeight="1" x14ac:dyDescent="0.3">
      <c r="A16" s="97">
        <v>14</v>
      </c>
      <c r="B16" s="98" t="s">
        <v>58</v>
      </c>
      <c r="C16" s="97" t="s">
        <v>35</v>
      </c>
      <c r="D16" s="97" t="s">
        <v>272</v>
      </c>
      <c r="E16" s="97" t="s">
        <v>27</v>
      </c>
      <c r="F16" s="97">
        <v>262771</v>
      </c>
      <c r="G16" s="97" t="s">
        <v>286</v>
      </c>
      <c r="H16" s="97">
        <v>1350</v>
      </c>
      <c r="I16" s="99">
        <v>0.59199999999999997</v>
      </c>
      <c r="J16" s="99">
        <v>1.619</v>
      </c>
      <c r="K16" s="97" t="s">
        <v>287</v>
      </c>
      <c r="L16" s="99">
        <v>1293.905</v>
      </c>
      <c r="M16" s="100">
        <v>1092.8</v>
      </c>
      <c r="N16" s="101">
        <v>0.15179999999999999</v>
      </c>
      <c r="O16" s="102">
        <v>9.11</v>
      </c>
      <c r="P16" s="97">
        <v>407.6</v>
      </c>
      <c r="Q16" s="97">
        <v>2</v>
      </c>
      <c r="R16" s="97">
        <v>1250</v>
      </c>
      <c r="S16" s="99">
        <v>1.1839999999999999</v>
      </c>
      <c r="T16" s="97">
        <v>66</v>
      </c>
      <c r="U16" s="101">
        <v>5.28E-2</v>
      </c>
      <c r="V16" s="97" t="s">
        <v>28</v>
      </c>
      <c r="W16" s="97" t="s">
        <v>28</v>
      </c>
      <c r="X16" s="97" t="s">
        <v>28</v>
      </c>
      <c r="Y16" s="97" t="s">
        <v>27</v>
      </c>
      <c r="Z16" s="97" t="s">
        <v>27</v>
      </c>
      <c r="AA16" s="97" t="s">
        <v>31</v>
      </c>
      <c r="AB16" s="97" t="s">
        <v>288</v>
      </c>
    </row>
    <row r="17" spans="1:28" s="90" customFormat="1" x14ac:dyDescent="0.3">
      <c r="A17" s="97">
        <v>15</v>
      </c>
      <c r="B17" s="98" t="s">
        <v>58</v>
      </c>
      <c r="C17" s="97" t="s">
        <v>35</v>
      </c>
      <c r="D17" s="97" t="s">
        <v>222</v>
      </c>
      <c r="E17" s="97" t="s">
        <v>27</v>
      </c>
      <c r="F17" s="97">
        <v>262766</v>
      </c>
      <c r="G17" s="97" t="s">
        <v>231</v>
      </c>
      <c r="H17" s="97">
        <v>1000</v>
      </c>
      <c r="I17" s="99">
        <v>0.58099999999999996</v>
      </c>
      <c r="J17" s="99">
        <v>1.58</v>
      </c>
      <c r="K17" s="97" t="s">
        <v>230</v>
      </c>
      <c r="L17" s="99">
        <v>917.98</v>
      </c>
      <c r="M17" s="100">
        <v>790</v>
      </c>
      <c r="N17" s="101">
        <v>0.10970000000000001</v>
      </c>
      <c r="O17" s="102">
        <v>6.58</v>
      </c>
      <c r="P17" s="97">
        <v>289.2</v>
      </c>
      <c r="Q17" s="97">
        <v>2</v>
      </c>
      <c r="R17" s="97">
        <v>1200</v>
      </c>
      <c r="S17" s="99">
        <v>1.1619999999999999</v>
      </c>
      <c r="T17" s="97">
        <v>38</v>
      </c>
      <c r="U17" s="101">
        <v>3.1699999999999999E-2</v>
      </c>
      <c r="V17" s="97" t="s">
        <v>28</v>
      </c>
      <c r="W17" s="97" t="s">
        <v>28</v>
      </c>
      <c r="X17" s="97" t="s">
        <v>28</v>
      </c>
      <c r="Y17" s="97" t="s">
        <v>27</v>
      </c>
      <c r="Z17" s="97" t="s">
        <v>27</v>
      </c>
      <c r="AA17" s="97" t="s">
        <v>32</v>
      </c>
      <c r="AB17" s="97" t="s">
        <v>229</v>
      </c>
    </row>
    <row r="18" spans="1:28" s="90" customFormat="1" x14ac:dyDescent="0.3">
      <c r="A18" s="103" t="s">
        <v>27</v>
      </c>
      <c r="B18" s="103" t="s">
        <v>27</v>
      </c>
      <c r="C18" s="103" t="s">
        <v>27</v>
      </c>
      <c r="D18" s="103" t="s">
        <v>27</v>
      </c>
      <c r="E18" s="103" t="s">
        <v>27</v>
      </c>
      <c r="F18" s="103" t="s">
        <v>27</v>
      </c>
      <c r="G18" s="103" t="s">
        <v>27</v>
      </c>
      <c r="H18" s="103">
        <f>SUM(H3:H17)</f>
        <v>18680</v>
      </c>
      <c r="I18" s="103" t="s">
        <v>27</v>
      </c>
      <c r="J18" s="103" t="s">
        <v>27</v>
      </c>
      <c r="K18" s="103" t="s">
        <v>27</v>
      </c>
      <c r="L18" s="103" t="s">
        <v>27</v>
      </c>
      <c r="M18" s="103" t="s">
        <v>27</v>
      </c>
      <c r="N18" s="103" t="s">
        <v>27</v>
      </c>
      <c r="O18" s="103" t="s">
        <v>27</v>
      </c>
      <c r="P18" s="103">
        <f>SUM(P3:P17)</f>
        <v>6324.8</v>
      </c>
      <c r="Q18" s="103" t="s">
        <v>27</v>
      </c>
      <c r="R18" s="103" t="s">
        <v>27</v>
      </c>
      <c r="S18" s="103" t="s">
        <v>27</v>
      </c>
      <c r="T18" s="103" t="s">
        <v>27</v>
      </c>
      <c r="U18" s="103" t="s">
        <v>27</v>
      </c>
      <c r="V18" s="103" t="s">
        <v>27</v>
      </c>
      <c r="W18" s="103" t="s">
        <v>27</v>
      </c>
      <c r="X18" s="103" t="s">
        <v>27</v>
      </c>
      <c r="Y18" s="103" t="s">
        <v>27</v>
      </c>
      <c r="Z18" s="103" t="s">
        <v>27</v>
      </c>
      <c r="AA18" s="103" t="s">
        <v>27</v>
      </c>
      <c r="AB18" s="103" t="s">
        <v>27</v>
      </c>
    </row>
    <row r="19" spans="1:28" s="90" customForma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3" t="s">
        <v>235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181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5" t="s">
        <v>105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6" t="s">
        <v>80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Renovapel 1242 P</vt:lpstr>
      <vt:lpstr>Tole. DR EMB. VO CH S. M 1241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2026-09-30T19:25:06Z</cp:lastPrinted>
  <dcterms:created xsi:type="dcterms:W3CDTF">2026-07-02T17:42:15Z</dcterms:created>
  <dcterms:modified xsi:type="dcterms:W3CDTF">2026-09-30T20:58:02Z</dcterms:modified>
</cp:coreProperties>
</file>