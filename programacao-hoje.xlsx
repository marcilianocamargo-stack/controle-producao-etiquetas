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295C00C-F148-4630-AAC3-0B233B3710E2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CARPEL 1307" sheetId="214" r:id="rId1"/>
    <sheet name="RENOVAPEL 1306" sheetId="213" r:id="rId2"/>
    <sheet name="INTERNACIONAL - SEDAMED 1304 P" sheetId="212" r:id="rId3"/>
    <sheet name="RM EMBALAGENS 1303" sheetId="211" r:id="rId4"/>
    <sheet name="IPE EMBALAGENS 1302 P" sheetId="210" r:id="rId5"/>
    <sheet name="HARMONY EMBALAGENS 1301" sheetId="209" r:id="rId6"/>
    <sheet name="RENOVAPEL 1297 P" sheetId="208" r:id="rId7"/>
    <sheet name="FAVINCO EMBALAGENS 1293 P" sheetId="207" r:id="rId8"/>
    <sheet name="IPE - PCBOX 1291 P" sheetId="206" r:id="rId9"/>
    <sheet name="FORBOX 1289" sheetId="205" r:id="rId10"/>
    <sheet name="SÃO MIGUEL 1288 P" sheetId="204" r:id="rId11"/>
    <sheet name="RENOVAPEL 1286 P" sheetId="203" r:id="rId12"/>
    <sheet name="HARMONY EMBALAGENS 1285 P" sheetId="202" r:id="rId13"/>
    <sheet name="DR EMBALAGENS 1282 P" sheetId="201" r:id="rId14"/>
    <sheet name="J FER 1281 P" sheetId="200" r:id="rId15"/>
    <sheet name="VÔ CHICO 1280 P" sheetId="199" r:id="rId16"/>
    <sheet name="PCBOX EMBALAGENS 1278 P" sheetId="198" r:id="rId17"/>
    <sheet name="RM EMBALAGENS 1277 P" sheetId="197" r:id="rId18"/>
    <sheet name="RM Embalagens 1275 P" sheetId="196" r:id="rId19"/>
    <sheet name="FAVINCO EMBALAGENS 1273 P" sheetId="195" r:id="rId20"/>
    <sheet name="ABAPEL 1272 P" sheetId="194" r:id="rId21"/>
    <sheet name="RM Embalagens 1271 P" sheetId="193" r:id="rId22"/>
    <sheet name="IPE -PC BOX 1270 P" sheetId="192" r:id="rId23"/>
    <sheet name="PCBOX  - IPE 1266 P" sheetId="191" r:id="rId24"/>
    <sheet name="Tolecaixas 1264 P" sheetId="190" r:id="rId25"/>
    <sheet name="RM Embalagens 1263 P" sheetId="189" r:id="rId26"/>
    <sheet name="HARMONY EMBALAGENS 1262 P" sheetId="188" r:id="rId27"/>
    <sheet name="HARMONY EMBALAGENS 1260 P" sheetId="187" r:id="rId28"/>
    <sheet name="CARTOMIL EMBALAGENS LTDA 1258 P" sheetId="185" r:id="rId29"/>
    <sheet name="CARPEL 1257 P" sheetId="184" r:id="rId30"/>
    <sheet name="FAVINCO EMBALAGENS 1256 P" sheetId="183" r:id="rId31"/>
    <sheet name="RR STELLA 1253 P" sheetId="181" r:id="rId32"/>
    <sheet name="FAVINCO EMBALAGENS 1252 P" sheetId="180" r:id="rId33"/>
    <sheet name="DR EMBALAGENS 1250 P" sheetId="179" r:id="rId34"/>
    <sheet name="HARMONY EMBALAGENS 1249 P" sheetId="178" r:id="rId35"/>
    <sheet name="FAVINCO 1248 AMOSTRA" sheetId="177" r:id="rId36"/>
    <sheet name="ABAPEL 1246 P" sheetId="176" r:id="rId37"/>
    <sheet name="FAVINCO 1243 P" sheetId="175" r:id="rId38"/>
    <sheet name="Renovapel 1242 P" sheetId="174" r:id="rId39"/>
    <sheet name="Tole. DR EMB. VO CH S. M 1241 P" sheetId="173" r:id="rId40"/>
    <sheet name="FAVINCO 1239 P" sheetId="172" r:id="rId41"/>
    <sheet name="PCBOX EMBALAGENS 1233 P" sheetId="170" r:id="rId42"/>
    <sheet name="RM Embalagens 1232 P" sheetId="169" r:id="rId43"/>
    <sheet name="HARMONY EMBALAGENS 1231 P" sheetId="168" r:id="rId44"/>
    <sheet name="RM Embalagens P" sheetId="166" r:id="rId45"/>
    <sheet name="PCBOX EMBALAGENS LTDA 1222 P" sheetId="164" r:id="rId46"/>
    <sheet name="FORBOX 1220 P" sheetId="163" r:id="rId47"/>
    <sheet name="HARMONY EMBALAGENS 1217 P" sheetId="162" r:id="rId48"/>
    <sheet name="Z4A EMBALAGENS LTDA 1216" sheetId="161" r:id="rId49"/>
    <sheet name="ABAPEL 1213 P" sheetId="159" r:id="rId50"/>
    <sheet name="IPE - PCBOX 1212 P" sheetId="158" r:id="rId51"/>
    <sheet name="Z4A EMBALAGENS LTDA 1210 P" sheetId="157" r:id="rId52"/>
    <sheet name="RM Embalagens 1209 P" sheetId="156" r:id="rId53"/>
    <sheet name="ABAPEL 1201 P" sheetId="153" r:id="rId54"/>
    <sheet name="HARMONY EMBALAGENS 1200 P" sheetId="152" r:id="rId55"/>
    <sheet name="FAVINCO EMBALAGENS 1197 P" sheetId="150" r:id="rId56"/>
    <sheet name="ABAPEL 1196 P" sheetId="149" r:id="rId57"/>
    <sheet name="RM Embalagens 1184 P" sheetId="141" r:id="rId58"/>
    <sheet name="HARMONY EMBALAGENS 1180 P" sheetId="137" r:id="rId59"/>
    <sheet name="Carpel 1158 P" sheetId="119" r:id="rId60"/>
  </sheets>
  <definedNames>
    <definedName name="_xlnm.Print_Area" localSheetId="19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<sst xmlns="http://schemas.openxmlformats.org/spreadsheetml/2006/main" count="11107" uniqueCount="933">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</sst>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40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6" fillId="3" borderId="2" xfId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5" fontId="6" fillId="3" borderId="2" xfId="1" applyNumberFormat="1" applyFill="1" applyBorder="1" applyAlignment="1">
      <alignment horizontal="center" vertical="center"/>
    </xf>
    <xf numFmtId="166" fontId="6" fillId="3" borderId="2" xfId="1" applyNumberFormat="1" applyFill="1" applyBorder="1" applyAlignment="1">
      <alignment horizontal="center" vertical="center"/>
    </xf>
    <xf numFmtId="2" fontId="6" fillId="3" borderId="2" xfId="1" applyNumberForma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dimension ref="A1:AC25"/>
  <sheetViews>
    <sheetView workbookViewId="0">
      <selection activeCell="AI13" sqref="AI13"/>
    </sheetView>
  </sheetViews>
  <sheetFormatPr defaultRowHeight="14.4" x14ac:dyDescent="0.3"/>
  <cols>
    <col min="1" max="1" width="8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77734375" style="228" customWidth="1"/>
    <col min="6" max="6" width="6.21875" style="228" customWidth="1"/>
    <col min="7" max="7" width="7" style="228" customWidth="1"/>
    <col min="8" max="8" width="6.6640625" style="228" customWidth="1"/>
    <col min="9" max="9" width="7.88671875" style="228" customWidth="1"/>
    <col min="10" max="10" width="8" style="228" customWidth="1"/>
    <col min="11" max="11" width="19.6640625" style="228" customWidth="1"/>
    <col min="12" max="12" width="8.441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77734375" style="228" customWidth="1"/>
    <col min="19" max="19" width="6.5546875" style="228" customWidth="1"/>
    <col min="20" max="20" width="7.2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7.5546875" style="228" customWidth="1"/>
    <col min="26" max="27" width="7.77734375" style="228" customWidth="1"/>
    <col min="28" max="28" width="4.109375" style="228" customWidth="1"/>
    <col min="29" max="29" width="11.44140625" style="228" customWidth="1"/>
    <col min="30" max="16384" width="8.88671875" style="228"/>
  </cols>
  <sheetData>
    <row r="1" spans="1:29" ht="18" customHeight="1" x14ac:dyDescent="0.35">
      <c r="A1" s="319" t="s">
        <v>932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55.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600</v>
      </c>
      <c r="C3" s="244" t="s">
        <v>44</v>
      </c>
      <c r="D3" s="244" t="s">
        <v>890</v>
      </c>
      <c r="E3" s="244">
        <v>263101</v>
      </c>
      <c r="F3" s="244">
        <v>1021</v>
      </c>
      <c r="G3" s="244">
        <v>300</v>
      </c>
      <c r="H3" s="246">
        <v>0.75</v>
      </c>
      <c r="I3" s="246">
        <v>0.66</v>
      </c>
      <c r="J3" s="244" t="s">
        <v>27</v>
      </c>
      <c r="K3" s="244" t="s">
        <v>33</v>
      </c>
      <c r="L3" s="244" t="s">
        <v>27</v>
      </c>
      <c r="M3" s="246">
        <v>148.5</v>
      </c>
      <c r="N3" s="247">
        <v>99</v>
      </c>
      <c r="O3" s="248">
        <v>1.38E-2</v>
      </c>
      <c r="P3" s="249">
        <v>0.82</v>
      </c>
      <c r="Q3" s="244">
        <v>84.3</v>
      </c>
      <c r="R3" s="244">
        <v>2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931</v>
      </c>
    </row>
    <row r="4" spans="1:29" s="250" customFormat="1" ht="25.05" customHeight="1" x14ac:dyDescent="0.3">
      <c r="A4" s="244"/>
      <c r="B4" s="245" t="s">
        <v>600</v>
      </c>
      <c r="C4" s="244" t="s">
        <v>44</v>
      </c>
      <c r="D4" s="244" t="s">
        <v>890</v>
      </c>
      <c r="E4" s="244">
        <v>263099</v>
      </c>
      <c r="F4" s="244">
        <v>1021</v>
      </c>
      <c r="G4" s="244">
        <v>300</v>
      </c>
      <c r="H4" s="246">
        <v>0.71</v>
      </c>
      <c r="I4" s="246">
        <v>1.46</v>
      </c>
      <c r="J4" s="244" t="s">
        <v>27</v>
      </c>
      <c r="K4" s="244" t="s">
        <v>33</v>
      </c>
      <c r="L4" s="244" t="s">
        <v>27</v>
      </c>
      <c r="M4" s="246">
        <v>310.98</v>
      </c>
      <c r="N4" s="247">
        <v>219</v>
      </c>
      <c r="O4" s="248">
        <v>3.04E-2</v>
      </c>
      <c r="P4" s="249">
        <v>1.82</v>
      </c>
      <c r="Q4" s="244">
        <v>176.6</v>
      </c>
      <c r="R4" s="244">
        <v>2</v>
      </c>
      <c r="S4" s="244">
        <v>1450</v>
      </c>
      <c r="T4" s="246">
        <v>1.42</v>
      </c>
      <c r="U4" s="244">
        <v>30</v>
      </c>
      <c r="V4" s="248">
        <v>2.07E-2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32</v>
      </c>
      <c r="AC4" s="244" t="s">
        <v>930</v>
      </c>
    </row>
    <row r="5" spans="1:29" s="250" customFormat="1" ht="25.05" customHeight="1" x14ac:dyDescent="0.3">
      <c r="A5" s="244"/>
      <c r="B5" s="245" t="s">
        <v>600</v>
      </c>
      <c r="C5" s="244" t="s">
        <v>44</v>
      </c>
      <c r="D5" s="244" t="s">
        <v>890</v>
      </c>
      <c r="E5" s="244">
        <v>263100</v>
      </c>
      <c r="F5" s="244">
        <v>1021</v>
      </c>
      <c r="G5" s="244">
        <v>300</v>
      </c>
      <c r="H5" s="246">
        <v>0.71</v>
      </c>
      <c r="I5" s="246">
        <v>1.26</v>
      </c>
      <c r="J5" s="244" t="s">
        <v>27</v>
      </c>
      <c r="K5" s="244" t="s">
        <v>33</v>
      </c>
      <c r="L5" s="244" t="s">
        <v>27</v>
      </c>
      <c r="M5" s="246">
        <v>268.38</v>
      </c>
      <c r="N5" s="247">
        <v>189</v>
      </c>
      <c r="O5" s="248">
        <v>2.6200000000000001E-2</v>
      </c>
      <c r="P5" s="249">
        <v>1.57</v>
      </c>
      <c r="Q5" s="244">
        <v>152.4</v>
      </c>
      <c r="R5" s="244">
        <v>2</v>
      </c>
      <c r="S5" s="244">
        <v>1450</v>
      </c>
      <c r="T5" s="246">
        <v>1.42</v>
      </c>
      <c r="U5" s="244">
        <v>30</v>
      </c>
      <c r="V5" s="248">
        <v>2.07E-2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32</v>
      </c>
      <c r="AC5" s="244" t="s">
        <v>929</v>
      </c>
    </row>
    <row r="6" spans="1:29" s="250" customFormat="1" ht="25.05" customHeight="1" x14ac:dyDescent="0.3">
      <c r="A6" s="244"/>
      <c r="B6" s="245" t="s">
        <v>600</v>
      </c>
      <c r="C6" s="244" t="s">
        <v>44</v>
      </c>
      <c r="D6" s="244" t="s">
        <v>890</v>
      </c>
      <c r="E6" s="244">
        <v>263098</v>
      </c>
      <c r="F6" s="244">
        <v>1021</v>
      </c>
      <c r="G6" s="244">
        <v>350</v>
      </c>
      <c r="H6" s="246">
        <v>0.46</v>
      </c>
      <c r="I6" s="246">
        <v>1.5</v>
      </c>
      <c r="J6" s="244" t="s">
        <v>27</v>
      </c>
      <c r="K6" s="244" t="s">
        <v>33</v>
      </c>
      <c r="L6" s="244" t="s">
        <v>27</v>
      </c>
      <c r="M6" s="246">
        <v>241.5</v>
      </c>
      <c r="N6" s="247">
        <v>175</v>
      </c>
      <c r="O6" s="248">
        <v>1.6199999999999999E-2</v>
      </c>
      <c r="P6" s="249">
        <v>0.97</v>
      </c>
      <c r="Q6" s="244">
        <v>137.19999999999999</v>
      </c>
      <c r="R6" s="244">
        <v>3</v>
      </c>
      <c r="S6" s="244">
        <v>1400</v>
      </c>
      <c r="T6" s="246">
        <v>1.38</v>
      </c>
      <c r="U6" s="244">
        <v>20</v>
      </c>
      <c r="V6" s="248">
        <v>1.43E-2</v>
      </c>
      <c r="W6" s="244" t="s">
        <v>34</v>
      </c>
      <c r="X6" s="244" t="s">
        <v>39</v>
      </c>
      <c r="Y6" s="244" t="s">
        <v>34</v>
      </c>
      <c r="Z6" s="244" t="s">
        <v>34</v>
      </c>
      <c r="AA6" s="244" t="s">
        <v>34</v>
      </c>
      <c r="AB6" s="244" t="s">
        <v>38</v>
      </c>
      <c r="AC6" s="244" t="s">
        <v>928</v>
      </c>
    </row>
    <row r="7" spans="1:29" s="250" customFormat="1" ht="25.05" customHeight="1" x14ac:dyDescent="0.3">
      <c r="A7" s="244"/>
      <c r="B7" s="245" t="s">
        <v>600</v>
      </c>
      <c r="C7" s="244" t="s">
        <v>35</v>
      </c>
      <c r="D7" s="244" t="s">
        <v>890</v>
      </c>
      <c r="E7" s="244">
        <v>263094</v>
      </c>
      <c r="F7" s="244">
        <v>1021</v>
      </c>
      <c r="G7" s="244">
        <v>2000</v>
      </c>
      <c r="H7" s="246">
        <v>0.374</v>
      </c>
      <c r="I7" s="246">
        <v>0.84</v>
      </c>
      <c r="J7" s="244" t="s">
        <v>27</v>
      </c>
      <c r="K7" s="244" t="s">
        <v>927</v>
      </c>
      <c r="L7" s="244" t="s">
        <v>27</v>
      </c>
      <c r="M7" s="246">
        <v>628.32000000000005</v>
      </c>
      <c r="N7" s="247">
        <v>420</v>
      </c>
      <c r="O7" s="248">
        <v>2.92E-2</v>
      </c>
      <c r="P7" s="249">
        <v>1.75</v>
      </c>
      <c r="Q7" s="244">
        <v>201.1</v>
      </c>
      <c r="R7" s="244">
        <v>4</v>
      </c>
      <c r="S7" s="244">
        <v>1550</v>
      </c>
      <c r="T7" s="246">
        <v>1.496</v>
      </c>
      <c r="U7" s="244">
        <v>54</v>
      </c>
      <c r="V7" s="248">
        <v>3.4799999999999998E-2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926</v>
      </c>
    </row>
    <row r="8" spans="1:29" s="250" customFormat="1" ht="25.05" customHeight="1" x14ac:dyDescent="0.3">
      <c r="A8" s="244"/>
      <c r="B8" s="245" t="s">
        <v>600</v>
      </c>
      <c r="C8" s="244" t="s">
        <v>35</v>
      </c>
      <c r="D8" s="244" t="s">
        <v>890</v>
      </c>
      <c r="E8" s="244">
        <v>263091</v>
      </c>
      <c r="F8" s="244">
        <v>1021</v>
      </c>
      <c r="G8" s="244">
        <v>500</v>
      </c>
      <c r="H8" s="246">
        <v>0.49399999999999999</v>
      </c>
      <c r="I8" s="246">
        <v>1.56</v>
      </c>
      <c r="J8" s="244" t="s">
        <v>27</v>
      </c>
      <c r="K8" s="244" t="s">
        <v>925</v>
      </c>
      <c r="L8" s="244" t="s">
        <v>27</v>
      </c>
      <c r="M8" s="246">
        <v>385.32</v>
      </c>
      <c r="N8" s="247">
        <v>260</v>
      </c>
      <c r="O8" s="248">
        <v>2.41E-2</v>
      </c>
      <c r="P8" s="249">
        <v>1.44</v>
      </c>
      <c r="Q8" s="244">
        <v>123.3</v>
      </c>
      <c r="R8" s="244">
        <v>3</v>
      </c>
      <c r="S8" s="244">
        <v>1550</v>
      </c>
      <c r="T8" s="246">
        <v>1.482</v>
      </c>
      <c r="U8" s="244">
        <v>68</v>
      </c>
      <c r="V8" s="248">
        <v>4.3900000000000002E-2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924</v>
      </c>
    </row>
    <row r="9" spans="1:29" s="250" customFormat="1" ht="25.05" customHeight="1" x14ac:dyDescent="0.3">
      <c r="A9" s="244"/>
      <c r="B9" s="245" t="s">
        <v>600</v>
      </c>
      <c r="C9" s="244" t="s">
        <v>35</v>
      </c>
      <c r="D9" s="244" t="s">
        <v>890</v>
      </c>
      <c r="E9" s="244">
        <v>263088</v>
      </c>
      <c r="F9" s="244">
        <v>1021</v>
      </c>
      <c r="G9" s="244">
        <v>3000</v>
      </c>
      <c r="H9" s="246">
        <v>0.45</v>
      </c>
      <c r="I9" s="246">
        <v>0.75</v>
      </c>
      <c r="J9" s="244" t="s">
        <v>27</v>
      </c>
      <c r="K9" s="244" t="s">
        <v>33</v>
      </c>
      <c r="L9" s="244" t="s">
        <v>27</v>
      </c>
      <c r="M9" s="246">
        <v>1012.5</v>
      </c>
      <c r="N9" s="247">
        <v>750</v>
      </c>
      <c r="O9" s="248">
        <v>6.9400000000000003E-2</v>
      </c>
      <c r="P9" s="249">
        <v>4.17</v>
      </c>
      <c r="Q9" s="244">
        <v>324</v>
      </c>
      <c r="R9" s="244">
        <v>3</v>
      </c>
      <c r="S9" s="244">
        <v>1400</v>
      </c>
      <c r="T9" s="246">
        <v>1.35</v>
      </c>
      <c r="U9" s="244">
        <v>50</v>
      </c>
      <c r="V9" s="248">
        <v>3.5700000000000003E-2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32</v>
      </c>
      <c r="AC9" s="244" t="s">
        <v>923</v>
      </c>
    </row>
    <row r="10" spans="1:29" s="250" customFormat="1" ht="25.05" customHeight="1" x14ac:dyDescent="0.3">
      <c r="A10" s="244"/>
      <c r="B10" s="245" t="s">
        <v>600</v>
      </c>
      <c r="C10" s="244" t="s">
        <v>35</v>
      </c>
      <c r="D10" s="244" t="s">
        <v>890</v>
      </c>
      <c r="E10" s="244">
        <v>263089</v>
      </c>
      <c r="F10" s="244">
        <v>1021</v>
      </c>
      <c r="G10" s="244">
        <v>2000</v>
      </c>
      <c r="H10" s="246">
        <v>0.45</v>
      </c>
      <c r="I10" s="246">
        <v>0.65</v>
      </c>
      <c r="J10" s="244" t="s">
        <v>27</v>
      </c>
      <c r="K10" s="244" t="s">
        <v>33</v>
      </c>
      <c r="L10" s="244" t="s">
        <v>27</v>
      </c>
      <c r="M10" s="246">
        <v>585</v>
      </c>
      <c r="N10" s="247">
        <v>433.3</v>
      </c>
      <c r="O10" s="248">
        <v>4.0099999999999997E-2</v>
      </c>
      <c r="P10" s="249">
        <v>2.41</v>
      </c>
      <c r="Q10" s="244">
        <v>187.2</v>
      </c>
      <c r="R10" s="244">
        <v>3</v>
      </c>
      <c r="S10" s="244">
        <v>1400</v>
      </c>
      <c r="T10" s="246">
        <v>1.35</v>
      </c>
      <c r="U10" s="244">
        <v>50</v>
      </c>
      <c r="V10" s="248">
        <v>3.5700000000000003E-2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63</v>
      </c>
      <c r="AC10" s="244" t="s">
        <v>922</v>
      </c>
    </row>
    <row r="11" spans="1:29" s="250" customFormat="1" ht="25.05" customHeight="1" x14ac:dyDescent="0.3">
      <c r="A11" s="244"/>
      <c r="B11" s="245" t="s">
        <v>600</v>
      </c>
      <c r="C11" s="244" t="s">
        <v>35</v>
      </c>
      <c r="D11" s="244" t="s">
        <v>890</v>
      </c>
      <c r="E11" s="244">
        <v>263104</v>
      </c>
      <c r="F11" s="244">
        <v>1021</v>
      </c>
      <c r="G11" s="244">
        <v>1000</v>
      </c>
      <c r="H11" s="246">
        <v>0.46</v>
      </c>
      <c r="I11" s="246">
        <v>0.91</v>
      </c>
      <c r="J11" s="244" t="s">
        <v>27</v>
      </c>
      <c r="K11" s="244" t="s">
        <v>33</v>
      </c>
      <c r="L11" s="244" t="s">
        <v>27</v>
      </c>
      <c r="M11" s="246">
        <v>418.6</v>
      </c>
      <c r="N11" s="247">
        <v>303.3</v>
      </c>
      <c r="O11" s="248">
        <v>2.81E-2</v>
      </c>
      <c r="P11" s="249">
        <v>1.69</v>
      </c>
      <c r="Q11" s="244">
        <v>134</v>
      </c>
      <c r="R11" s="244">
        <v>3</v>
      </c>
      <c r="S11" s="244">
        <v>1400</v>
      </c>
      <c r="T11" s="246">
        <v>1.38</v>
      </c>
      <c r="U11" s="244">
        <v>20</v>
      </c>
      <c r="V11" s="248">
        <v>1.43E-2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921</v>
      </c>
    </row>
    <row r="12" spans="1:29" s="250" customFormat="1" ht="25.05" customHeight="1" x14ac:dyDescent="0.3">
      <c r="A12" s="244"/>
      <c r="B12" s="245" t="s">
        <v>600</v>
      </c>
      <c r="C12" s="244" t="s">
        <v>55</v>
      </c>
      <c r="D12" s="244" t="s">
        <v>890</v>
      </c>
      <c r="E12" s="244">
        <v>263105</v>
      </c>
      <c r="F12" s="244">
        <v>1021</v>
      </c>
      <c r="G12" s="244">
        <v>1000</v>
      </c>
      <c r="H12" s="246">
        <v>0.46</v>
      </c>
      <c r="I12" s="246">
        <v>0.91</v>
      </c>
      <c r="J12" s="244" t="s">
        <v>27</v>
      </c>
      <c r="K12" s="244" t="s">
        <v>33</v>
      </c>
      <c r="L12" s="244" t="s">
        <v>27</v>
      </c>
      <c r="M12" s="246">
        <v>418.6</v>
      </c>
      <c r="N12" s="247">
        <v>303.3</v>
      </c>
      <c r="O12" s="248">
        <v>2.81E-2</v>
      </c>
      <c r="P12" s="249">
        <v>1.69</v>
      </c>
      <c r="Q12" s="244">
        <v>152.80000000000001</v>
      </c>
      <c r="R12" s="244">
        <v>3</v>
      </c>
      <c r="S12" s="244">
        <v>1400</v>
      </c>
      <c r="T12" s="246">
        <v>1.38</v>
      </c>
      <c r="U12" s="244">
        <v>20</v>
      </c>
      <c r="V12" s="248">
        <v>1.43E-2</v>
      </c>
      <c r="W12" s="244" t="s">
        <v>37</v>
      </c>
      <c r="X12" s="244" t="s">
        <v>29</v>
      </c>
      <c r="Y12" s="244" t="s">
        <v>34</v>
      </c>
      <c r="Z12" s="244" t="s">
        <v>27</v>
      </c>
      <c r="AA12" s="244" t="s">
        <v>27</v>
      </c>
      <c r="AB12" s="244" t="s">
        <v>38</v>
      </c>
      <c r="AC12" s="244" t="s">
        <v>921</v>
      </c>
    </row>
    <row r="13" spans="1:29" s="250" customFormat="1" ht="25.05" customHeight="1" x14ac:dyDescent="0.3">
      <c r="A13" s="244"/>
      <c r="B13" s="245" t="s">
        <v>600</v>
      </c>
      <c r="C13" s="244" t="s">
        <v>35</v>
      </c>
      <c r="D13" s="244" t="s">
        <v>890</v>
      </c>
      <c r="E13" s="244">
        <v>263097</v>
      </c>
      <c r="F13" s="244">
        <v>1021</v>
      </c>
      <c r="G13" s="244">
        <v>1000</v>
      </c>
      <c r="H13" s="246">
        <v>0.308</v>
      </c>
      <c r="I13" s="246">
        <v>0.91</v>
      </c>
      <c r="J13" s="244" t="s">
        <v>27</v>
      </c>
      <c r="K13" s="244" t="s">
        <v>33</v>
      </c>
      <c r="L13" s="244" t="s">
        <v>27</v>
      </c>
      <c r="M13" s="246">
        <v>280.27999999999997</v>
      </c>
      <c r="N13" s="247">
        <v>227.5</v>
      </c>
      <c r="O13" s="248">
        <v>1.5800000000000002E-2</v>
      </c>
      <c r="P13" s="249">
        <v>0.95</v>
      </c>
      <c r="Q13" s="244">
        <v>89.7</v>
      </c>
      <c r="R13" s="244">
        <v>4</v>
      </c>
      <c r="S13" s="244">
        <v>1300</v>
      </c>
      <c r="T13" s="246">
        <v>1.232</v>
      </c>
      <c r="U13" s="244">
        <v>68</v>
      </c>
      <c r="V13" s="248">
        <v>5.2299999999999999E-2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920</v>
      </c>
    </row>
    <row r="14" spans="1:29" s="250" customFormat="1" ht="25.05" customHeight="1" x14ac:dyDescent="0.3">
      <c r="A14" s="244"/>
      <c r="B14" s="245" t="s">
        <v>600</v>
      </c>
      <c r="C14" s="244" t="s">
        <v>35</v>
      </c>
      <c r="D14" s="244" t="s">
        <v>890</v>
      </c>
      <c r="E14" s="244">
        <v>263095</v>
      </c>
      <c r="F14" s="244">
        <v>1021</v>
      </c>
      <c r="G14" s="244">
        <v>1000</v>
      </c>
      <c r="H14" s="246">
        <v>0.30399999999999999</v>
      </c>
      <c r="I14" s="246">
        <v>0.84</v>
      </c>
      <c r="J14" s="244" t="s">
        <v>27</v>
      </c>
      <c r="K14" s="244" t="s">
        <v>83</v>
      </c>
      <c r="L14" s="244" t="s">
        <v>27</v>
      </c>
      <c r="M14" s="246">
        <v>255.36</v>
      </c>
      <c r="N14" s="247">
        <v>210</v>
      </c>
      <c r="O14" s="248">
        <v>1.46E-2</v>
      </c>
      <c r="P14" s="249">
        <v>0.88</v>
      </c>
      <c r="Q14" s="244">
        <v>81.7</v>
      </c>
      <c r="R14" s="244">
        <v>4</v>
      </c>
      <c r="S14" s="244">
        <v>1250</v>
      </c>
      <c r="T14" s="246">
        <v>1.216</v>
      </c>
      <c r="U14" s="244">
        <v>34</v>
      </c>
      <c r="V14" s="248">
        <v>2.7199999999999998E-2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38</v>
      </c>
      <c r="AC14" s="244" t="s">
        <v>919</v>
      </c>
    </row>
    <row r="15" spans="1:29" s="250" customFormat="1" ht="25.05" customHeight="1" x14ac:dyDescent="0.3">
      <c r="A15" s="244"/>
      <c r="B15" s="245" t="s">
        <v>600</v>
      </c>
      <c r="C15" s="244" t="s">
        <v>35</v>
      </c>
      <c r="D15" s="244" t="s">
        <v>890</v>
      </c>
      <c r="E15" s="244">
        <v>263090</v>
      </c>
      <c r="F15" s="244">
        <v>1021</v>
      </c>
      <c r="G15" s="244">
        <v>4000</v>
      </c>
      <c r="H15" s="246">
        <v>0.40400000000000003</v>
      </c>
      <c r="I15" s="246">
        <v>1.39</v>
      </c>
      <c r="J15" s="244" t="s">
        <v>27</v>
      </c>
      <c r="K15" s="244" t="s">
        <v>78</v>
      </c>
      <c r="L15" s="244" t="s">
        <v>27</v>
      </c>
      <c r="M15" s="246">
        <v>2246.2399999999998</v>
      </c>
      <c r="N15" s="247">
        <v>1853.3</v>
      </c>
      <c r="O15" s="248">
        <v>0.1716</v>
      </c>
      <c r="P15" s="249">
        <v>10.3</v>
      </c>
      <c r="Q15" s="244">
        <v>718.8</v>
      </c>
      <c r="R15" s="244">
        <v>3</v>
      </c>
      <c r="S15" s="244">
        <v>1250</v>
      </c>
      <c r="T15" s="246">
        <v>1.212</v>
      </c>
      <c r="U15" s="244">
        <v>38</v>
      </c>
      <c r="V15" s="248">
        <v>3.04E-2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48</v>
      </c>
      <c r="AC15" s="244" t="s">
        <v>77</v>
      </c>
    </row>
    <row r="16" spans="1:29" s="250" customFormat="1" ht="25.05" customHeight="1" x14ac:dyDescent="0.3">
      <c r="A16" s="244"/>
      <c r="B16" s="245" t="s">
        <v>600</v>
      </c>
      <c r="C16" s="244" t="s">
        <v>35</v>
      </c>
      <c r="D16" s="244" t="s">
        <v>890</v>
      </c>
      <c r="E16" s="244">
        <v>263096</v>
      </c>
      <c r="F16" s="244">
        <v>1021</v>
      </c>
      <c r="G16" s="244">
        <v>1000</v>
      </c>
      <c r="H16" s="246">
        <v>0.61</v>
      </c>
      <c r="I16" s="246">
        <v>0.75</v>
      </c>
      <c r="J16" s="244" t="s">
        <v>27</v>
      </c>
      <c r="K16" s="244" t="s">
        <v>918</v>
      </c>
      <c r="L16" s="244" t="s">
        <v>27</v>
      </c>
      <c r="M16" s="246">
        <v>457.5</v>
      </c>
      <c r="N16" s="247">
        <v>375</v>
      </c>
      <c r="O16" s="248">
        <v>5.21E-2</v>
      </c>
      <c r="P16" s="249">
        <v>3.13</v>
      </c>
      <c r="Q16" s="244">
        <v>146.4</v>
      </c>
      <c r="R16" s="244">
        <v>2</v>
      </c>
      <c r="S16" s="244">
        <v>1250</v>
      </c>
      <c r="T16" s="246">
        <v>1.22</v>
      </c>
      <c r="U16" s="244">
        <v>30</v>
      </c>
      <c r="V16" s="248">
        <v>2.4E-2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38</v>
      </c>
      <c r="AC16" s="244" t="s">
        <v>917</v>
      </c>
    </row>
    <row r="17" spans="1:29" s="250" customFormat="1" ht="25.05" customHeight="1" x14ac:dyDescent="0.3">
      <c r="A17" s="244"/>
      <c r="B17" s="245" t="s">
        <v>600</v>
      </c>
      <c r="C17" s="244" t="s">
        <v>35</v>
      </c>
      <c r="D17" s="244" t="s">
        <v>890</v>
      </c>
      <c r="E17" s="244">
        <v>263093</v>
      </c>
      <c r="F17" s="244">
        <v>1021</v>
      </c>
      <c r="G17" s="244">
        <v>900</v>
      </c>
      <c r="H17" s="246">
        <v>0.6</v>
      </c>
      <c r="I17" s="246">
        <v>1.1599999999999999</v>
      </c>
      <c r="J17" s="244" t="s">
        <v>27</v>
      </c>
      <c r="K17" s="244" t="s">
        <v>916</v>
      </c>
      <c r="L17" s="244" t="s">
        <v>27</v>
      </c>
      <c r="M17" s="246">
        <v>626.4</v>
      </c>
      <c r="N17" s="247">
        <v>522</v>
      </c>
      <c r="O17" s="248">
        <v>7.2499999999999995E-2</v>
      </c>
      <c r="P17" s="249">
        <v>4.3499999999999996</v>
      </c>
      <c r="Q17" s="244">
        <v>200.4</v>
      </c>
      <c r="R17" s="244">
        <v>2</v>
      </c>
      <c r="S17" s="244">
        <v>1250</v>
      </c>
      <c r="T17" s="246">
        <v>1.2</v>
      </c>
      <c r="U17" s="244">
        <v>50</v>
      </c>
      <c r="V17" s="248">
        <v>0.04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38</v>
      </c>
      <c r="AC17" s="244" t="s">
        <v>915</v>
      </c>
    </row>
    <row r="18" spans="1:29" s="250" customFormat="1" ht="25.05" customHeight="1" x14ac:dyDescent="0.3">
      <c r="A18" s="244"/>
      <c r="B18" s="245" t="s">
        <v>600</v>
      </c>
      <c r="C18" s="244" t="s">
        <v>42</v>
      </c>
      <c r="D18" s="244" t="s">
        <v>890</v>
      </c>
      <c r="E18" s="244">
        <v>263106</v>
      </c>
      <c r="F18" s="244">
        <v>1021</v>
      </c>
      <c r="G18" s="244">
        <v>2000</v>
      </c>
      <c r="H18" s="246">
        <v>0.55400000000000005</v>
      </c>
      <c r="I18" s="246">
        <v>2.2040000000000002</v>
      </c>
      <c r="J18" s="244" t="s">
        <v>27</v>
      </c>
      <c r="K18" s="244" t="s">
        <v>62</v>
      </c>
      <c r="L18" s="244" t="s">
        <v>27</v>
      </c>
      <c r="M18" s="246">
        <v>2442.0320000000002</v>
      </c>
      <c r="N18" s="247">
        <v>2204</v>
      </c>
      <c r="O18" s="248">
        <v>0.30609999999999998</v>
      </c>
      <c r="P18" s="249">
        <v>18.37</v>
      </c>
      <c r="Q18" s="244">
        <v>842.5</v>
      </c>
      <c r="R18" s="244">
        <v>2</v>
      </c>
      <c r="S18" s="244">
        <v>1150</v>
      </c>
      <c r="T18" s="246">
        <v>1.1080000000000001</v>
      </c>
      <c r="U18" s="244">
        <v>42</v>
      </c>
      <c r="V18" s="248">
        <v>3.6499999999999998E-2</v>
      </c>
      <c r="W18" s="244" t="s">
        <v>29</v>
      </c>
      <c r="X18" s="244" t="s">
        <v>29</v>
      </c>
      <c r="Y18" s="244" t="s">
        <v>28</v>
      </c>
      <c r="Z18" s="244" t="s">
        <v>27</v>
      </c>
      <c r="AA18" s="244" t="s">
        <v>27</v>
      </c>
      <c r="AB18" s="244" t="s">
        <v>48</v>
      </c>
      <c r="AC18" s="244" t="s">
        <v>61</v>
      </c>
    </row>
    <row r="19" spans="1:29" s="250" customFormat="1" ht="25.05" customHeight="1" x14ac:dyDescent="0.3">
      <c r="A19" s="244"/>
      <c r="B19" s="245" t="s">
        <v>600</v>
      </c>
      <c r="C19" s="244" t="s">
        <v>35</v>
      </c>
      <c r="D19" s="244" t="s">
        <v>890</v>
      </c>
      <c r="E19" s="244">
        <v>263092</v>
      </c>
      <c r="F19" s="244">
        <v>1021</v>
      </c>
      <c r="G19" s="244">
        <v>300</v>
      </c>
      <c r="H19" s="246">
        <v>0.53400000000000003</v>
      </c>
      <c r="I19" s="246">
        <v>1.39</v>
      </c>
      <c r="J19" s="244" t="s">
        <v>27</v>
      </c>
      <c r="K19" s="244" t="s">
        <v>914</v>
      </c>
      <c r="L19" s="244" t="s">
        <v>27</v>
      </c>
      <c r="M19" s="246">
        <v>222.678</v>
      </c>
      <c r="N19" s="247">
        <v>208.5</v>
      </c>
      <c r="O19" s="248">
        <v>2.9000000000000001E-2</v>
      </c>
      <c r="P19" s="249">
        <v>1.74</v>
      </c>
      <c r="Q19" s="244">
        <v>71.3</v>
      </c>
      <c r="R19" s="244">
        <v>2</v>
      </c>
      <c r="S19" s="244">
        <v>1100</v>
      </c>
      <c r="T19" s="246">
        <v>1.0680000000000001</v>
      </c>
      <c r="U19" s="244">
        <v>32</v>
      </c>
      <c r="V19" s="248">
        <v>2.9100000000000001E-2</v>
      </c>
      <c r="W19" s="244" t="s">
        <v>28</v>
      </c>
      <c r="X19" s="244" t="s">
        <v>28</v>
      </c>
      <c r="Y19" s="244" t="s">
        <v>28</v>
      </c>
      <c r="Z19" s="244" t="s">
        <v>27</v>
      </c>
      <c r="AA19" s="244" t="s">
        <v>27</v>
      </c>
      <c r="AB19" s="244" t="s">
        <v>38</v>
      </c>
      <c r="AC19" s="244" t="s">
        <v>913</v>
      </c>
    </row>
    <row r="20" spans="1:29" s="250" customFormat="1" ht="25.05" customHeight="1" x14ac:dyDescent="0.3">
      <c r="A20" s="244"/>
      <c r="B20" s="245" t="s">
        <v>600</v>
      </c>
      <c r="C20" s="244" t="s">
        <v>35</v>
      </c>
      <c r="D20" s="244" t="s">
        <v>890</v>
      </c>
      <c r="E20" s="244">
        <v>263087</v>
      </c>
      <c r="F20" s="244">
        <v>1021</v>
      </c>
      <c r="G20" s="244">
        <v>2000</v>
      </c>
      <c r="H20" s="246">
        <v>0.93</v>
      </c>
      <c r="I20" s="246">
        <v>1.2</v>
      </c>
      <c r="J20" s="244" t="s">
        <v>27</v>
      </c>
      <c r="K20" s="244" t="s">
        <v>912</v>
      </c>
      <c r="L20" s="244" t="s">
        <v>27</v>
      </c>
      <c r="M20" s="246">
        <v>2232</v>
      </c>
      <c r="N20" s="247">
        <v>2400</v>
      </c>
      <c r="O20" s="248">
        <v>0.66669999999999996</v>
      </c>
      <c r="P20" s="249">
        <v>40</v>
      </c>
      <c r="Q20" s="244">
        <v>714.2</v>
      </c>
      <c r="R20" s="244">
        <v>1</v>
      </c>
      <c r="S20" s="244">
        <v>950</v>
      </c>
      <c r="T20" s="246">
        <v>0.93</v>
      </c>
      <c r="U20" s="244">
        <v>20</v>
      </c>
      <c r="V20" s="248">
        <v>2.1100000000000001E-2</v>
      </c>
      <c r="W20" s="244" t="s">
        <v>28</v>
      </c>
      <c r="X20" s="244" t="s">
        <v>28</v>
      </c>
      <c r="Y20" s="244" t="s">
        <v>28</v>
      </c>
      <c r="Z20" s="244" t="s">
        <v>27</v>
      </c>
      <c r="AA20" s="244" t="s">
        <v>27</v>
      </c>
      <c r="AB20" s="244" t="s">
        <v>48</v>
      </c>
      <c r="AC20" s="244" t="s">
        <v>911</v>
      </c>
    </row>
    <row r="21" spans="1:29" s="250" customFormat="1" ht="25.05" customHeight="1" x14ac:dyDescent="0.3">
      <c r="A21" s="244"/>
      <c r="B21" s="245" t="s">
        <v>600</v>
      </c>
      <c r="C21" s="244" t="s">
        <v>35</v>
      </c>
      <c r="D21" s="244" t="s">
        <v>890</v>
      </c>
      <c r="E21" s="244">
        <v>263107</v>
      </c>
      <c r="F21" s="244">
        <v>1021</v>
      </c>
      <c r="G21" s="244">
        <v>1500</v>
      </c>
      <c r="H21" s="246">
        <v>0.44</v>
      </c>
      <c r="I21" s="246">
        <v>0.52800000000000002</v>
      </c>
      <c r="J21" s="244" t="s">
        <v>27</v>
      </c>
      <c r="K21" s="244" t="s">
        <v>910</v>
      </c>
      <c r="L21" s="244" t="s">
        <v>27</v>
      </c>
      <c r="M21" s="246">
        <v>348.48</v>
      </c>
      <c r="N21" s="247">
        <v>396</v>
      </c>
      <c r="O21" s="248">
        <v>5.5E-2</v>
      </c>
      <c r="P21" s="249">
        <v>3.3</v>
      </c>
      <c r="Q21" s="244">
        <v>111.5</v>
      </c>
      <c r="R21" s="244">
        <v>2</v>
      </c>
      <c r="S21" s="244">
        <v>900</v>
      </c>
      <c r="T21" s="246">
        <v>0.88</v>
      </c>
      <c r="U21" s="244">
        <v>20</v>
      </c>
      <c r="V21" s="248">
        <v>2.2200000000000001E-2</v>
      </c>
      <c r="W21" s="244" t="s">
        <v>28</v>
      </c>
      <c r="X21" s="244" t="s">
        <v>28</v>
      </c>
      <c r="Y21" s="244" t="s">
        <v>28</v>
      </c>
      <c r="Z21" s="244" t="s">
        <v>27</v>
      </c>
      <c r="AA21" s="244" t="s">
        <v>27</v>
      </c>
      <c r="AB21" s="244" t="s">
        <v>38</v>
      </c>
      <c r="AC21" s="244" t="s">
        <v>909</v>
      </c>
    </row>
    <row r="22" spans="1:29" s="250" customFormat="1" ht="25.05" customHeight="1" x14ac:dyDescent="0.3">
      <c r="A22" s="244"/>
      <c r="B22" s="245" t="s">
        <v>600</v>
      </c>
      <c r="C22" s="244" t="s">
        <v>42</v>
      </c>
      <c r="D22" s="244" t="s">
        <v>890</v>
      </c>
      <c r="E22" s="244">
        <v>263103</v>
      </c>
      <c r="F22" s="244">
        <v>1021</v>
      </c>
      <c r="G22" s="244">
        <v>1000</v>
      </c>
      <c r="H22" s="246">
        <v>0.56399999999999995</v>
      </c>
      <c r="I22" s="246">
        <v>2.16</v>
      </c>
      <c r="J22" s="244" t="s">
        <v>27</v>
      </c>
      <c r="K22" s="244" t="s">
        <v>908</v>
      </c>
      <c r="L22" s="244" t="s">
        <v>27</v>
      </c>
      <c r="M22" s="246">
        <v>1218.24</v>
      </c>
      <c r="N22" s="247">
        <v>540</v>
      </c>
      <c r="O22" s="248">
        <v>3.7499999999999999E-2</v>
      </c>
      <c r="P22" s="249">
        <v>2.25</v>
      </c>
      <c r="Q22" s="244">
        <v>420.3</v>
      </c>
      <c r="R22" s="244">
        <v>4</v>
      </c>
      <c r="S22" s="244">
        <v>900</v>
      </c>
      <c r="T22" s="246">
        <v>2.2559999999999998</v>
      </c>
      <c r="U22" s="244">
        <v>-1356</v>
      </c>
      <c r="V22" s="248">
        <v>-1.5066999999999999</v>
      </c>
      <c r="W22" s="244" t="s">
        <v>29</v>
      </c>
      <c r="X22" s="244" t="s">
        <v>29</v>
      </c>
      <c r="Y22" s="244" t="s">
        <v>28</v>
      </c>
      <c r="Z22" s="244" t="s">
        <v>27</v>
      </c>
      <c r="AA22" s="244" t="s">
        <v>27</v>
      </c>
      <c r="AB22" s="244" t="s">
        <v>38</v>
      </c>
      <c r="AC22" s="244" t="s">
        <v>907</v>
      </c>
    </row>
    <row r="23" spans="1:29" s="250" customFormat="1" ht="25.05" customHeight="1" x14ac:dyDescent="0.3">
      <c r="A23" s="244"/>
      <c r="B23" s="245" t="s">
        <v>600</v>
      </c>
      <c r="C23" s="244" t="s">
        <v>35</v>
      </c>
      <c r="D23" s="244" t="s">
        <v>890</v>
      </c>
      <c r="E23" s="244">
        <v>263102</v>
      </c>
      <c r="F23" s="244">
        <v>1021</v>
      </c>
      <c r="G23" s="244">
        <v>1000</v>
      </c>
      <c r="H23" s="246">
        <v>0.84</v>
      </c>
      <c r="I23" s="246">
        <v>0.88</v>
      </c>
      <c r="J23" s="244" t="s">
        <v>27</v>
      </c>
      <c r="K23" s="244" t="s">
        <v>33</v>
      </c>
      <c r="L23" s="244" t="s">
        <v>27</v>
      </c>
      <c r="M23" s="246">
        <v>739.2</v>
      </c>
      <c r="N23" s="247">
        <v>880</v>
      </c>
      <c r="O23" s="248">
        <v>0.24440000000000001</v>
      </c>
      <c r="P23" s="249">
        <v>14.67</v>
      </c>
      <c r="Q23" s="244">
        <v>236.5</v>
      </c>
      <c r="R23" s="244">
        <v>1</v>
      </c>
      <c r="S23" s="244">
        <v>900</v>
      </c>
      <c r="T23" s="246">
        <v>0.84</v>
      </c>
      <c r="U23" s="244">
        <v>60</v>
      </c>
      <c r="V23" s="248">
        <v>6.6699999999999995E-2</v>
      </c>
      <c r="W23" s="244" t="s">
        <v>28</v>
      </c>
      <c r="X23" s="244" t="s">
        <v>28</v>
      </c>
      <c r="Y23" s="244" t="s">
        <v>28</v>
      </c>
      <c r="Z23" s="244" t="s">
        <v>27</v>
      </c>
      <c r="AA23" s="244" t="s">
        <v>27</v>
      </c>
      <c r="AB23" s="244" t="s">
        <v>32</v>
      </c>
      <c r="AC23" s="244" t="s">
        <v>906</v>
      </c>
    </row>
    <row r="24" spans="1:29" s="250" customFormat="1" ht="25.05" customHeight="1" x14ac:dyDescent="0.3">
      <c r="A24" s="251" t="s">
        <v>27</v>
      </c>
      <c r="B24" s="251" t="s">
        <v>27</v>
      </c>
      <c r="C24" s="251" t="s">
        <v>27</v>
      </c>
      <c r="D24" s="251" t="s">
        <v>27</v>
      </c>
      <c r="E24" s="251" t="s">
        <v>27</v>
      </c>
      <c r="F24" s="251" t="s">
        <v>27</v>
      </c>
      <c r="G24" s="251">
        <v>26450</v>
      </c>
      <c r="H24" s="251" t="s">
        <v>27</v>
      </c>
      <c r="I24" s="251" t="s">
        <v>27</v>
      </c>
      <c r="J24" s="251" t="s">
        <v>27</v>
      </c>
      <c r="K24" s="251" t="s">
        <v>27</v>
      </c>
      <c r="L24" s="251" t="s">
        <v>27</v>
      </c>
      <c r="M24" s="251" t="s">
        <v>27</v>
      </c>
      <c r="N24" s="251" t="s">
        <v>27</v>
      </c>
      <c r="O24" s="251" t="s">
        <v>27</v>
      </c>
      <c r="P24" s="251" t="s">
        <v>27</v>
      </c>
      <c r="Q24" s="251">
        <v>5306.3</v>
      </c>
      <c r="R24" s="251" t="s">
        <v>27</v>
      </c>
      <c r="S24" s="251" t="s">
        <v>27</v>
      </c>
      <c r="T24" s="251" t="s">
        <v>27</v>
      </c>
      <c r="U24" s="251" t="s">
        <v>27</v>
      </c>
      <c r="V24" s="251" t="s">
        <v>27</v>
      </c>
      <c r="W24" s="251" t="s">
        <v>27</v>
      </c>
      <c r="X24" s="251" t="s">
        <v>27</v>
      </c>
      <c r="Y24" s="251" t="s">
        <v>27</v>
      </c>
      <c r="Z24" s="251" t="s">
        <v>27</v>
      </c>
      <c r="AA24" s="251" t="s">
        <v>27</v>
      </c>
      <c r="AB24" s="251" t="s">
        <v>27</v>
      </c>
      <c r="AC24" s="251" t="s">
        <v>27</v>
      </c>
    </row>
    <row r="25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6.109375" style="228" customWidth="1"/>
    <col min="4" max="4" width="11.77734375" style="228" hidden="1" customWidth="1"/>
    <col min="5" max="5" width="7.5546875" style="228" customWidth="1"/>
    <col min="6" max="6" width="4.33203125" style="228" customWidth="1"/>
    <col min="7" max="7" width="5.88671875" style="228" customWidth="1"/>
    <col min="8" max="8" width="7" style="228" customWidth="1"/>
    <col min="9" max="9" width="7.21875" style="228" customWidth="1"/>
    <col min="10" max="10" width="7.8867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4.21875" style="228" customWidth="1"/>
    <col min="19" max="19" width="6.21875" style="228" customWidth="1"/>
    <col min="20" max="20" width="5.777343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88671875" style="228" customWidth="1"/>
    <col min="25" max="25" width="8.44140625" style="228" customWidth="1"/>
    <col min="26" max="26" width="9.6640625" style="228" customWidth="1"/>
    <col min="27" max="27" width="9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19" t="s">
        <v>905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890</v>
      </c>
      <c r="E3" s="244">
        <v>263083</v>
      </c>
      <c r="F3" s="244" t="s">
        <v>898</v>
      </c>
      <c r="G3" s="244">
        <v>200</v>
      </c>
      <c r="H3" s="246">
        <v>0.502</v>
      </c>
      <c r="I3" s="246">
        <v>1.2350000000000001</v>
      </c>
      <c r="J3" s="244" t="s">
        <v>27</v>
      </c>
      <c r="K3" s="244" t="s">
        <v>904</v>
      </c>
      <c r="L3" s="244" t="s">
        <v>27</v>
      </c>
      <c r="M3" s="246">
        <v>123.994</v>
      </c>
      <c r="N3" s="247">
        <v>82.3</v>
      </c>
      <c r="O3" s="248">
        <v>7.6E-3</v>
      </c>
      <c r="P3" s="249">
        <v>0.46</v>
      </c>
      <c r="Q3" s="244">
        <v>58.3</v>
      </c>
      <c r="R3" s="244">
        <v>3</v>
      </c>
      <c r="S3" s="244">
        <v>1550</v>
      </c>
      <c r="T3" s="246">
        <v>1.506</v>
      </c>
      <c r="U3" s="244">
        <v>44</v>
      </c>
      <c r="V3" s="248">
        <v>2.8400000000000002E-2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38</v>
      </c>
      <c r="AC3" s="244" t="s">
        <v>903</v>
      </c>
    </row>
    <row r="4" spans="1:29" s="250" customFormat="1" ht="25.05" customHeight="1" x14ac:dyDescent="0.3">
      <c r="A4" s="244"/>
      <c r="B4" s="245" t="s">
        <v>781</v>
      </c>
      <c r="C4" s="244" t="s">
        <v>437</v>
      </c>
      <c r="D4" s="244" t="s">
        <v>890</v>
      </c>
      <c r="E4" s="244">
        <v>263086</v>
      </c>
      <c r="F4" s="244" t="s">
        <v>898</v>
      </c>
      <c r="G4" s="244">
        <v>200</v>
      </c>
      <c r="H4" s="246">
        <v>0.69199999999999995</v>
      </c>
      <c r="I4" s="246">
        <v>1.835</v>
      </c>
      <c r="J4" s="244" t="s">
        <v>27</v>
      </c>
      <c r="K4" s="244" t="s">
        <v>902</v>
      </c>
      <c r="L4" s="244" t="s">
        <v>27</v>
      </c>
      <c r="M4" s="246">
        <v>253.964</v>
      </c>
      <c r="N4" s="247">
        <v>183.5</v>
      </c>
      <c r="O4" s="248">
        <v>2.5499999999999998E-2</v>
      </c>
      <c r="P4" s="249">
        <v>1.53</v>
      </c>
      <c r="Q4" s="244">
        <v>119.4</v>
      </c>
      <c r="R4" s="244">
        <v>2</v>
      </c>
      <c r="S4" s="244">
        <v>1450</v>
      </c>
      <c r="T4" s="246">
        <v>1.3839999999999999</v>
      </c>
      <c r="U4" s="244">
        <v>66</v>
      </c>
      <c r="V4" s="248">
        <v>4.5499999999999999E-2</v>
      </c>
      <c r="W4" s="244" t="s">
        <v>435</v>
      </c>
      <c r="X4" s="244" t="s">
        <v>41</v>
      </c>
      <c r="Y4" s="244" t="s">
        <v>435</v>
      </c>
      <c r="Z4" s="244" t="s">
        <v>27</v>
      </c>
      <c r="AA4" s="244" t="s">
        <v>27</v>
      </c>
      <c r="AB4" s="244" t="s">
        <v>38</v>
      </c>
      <c r="AC4" s="244" t="s">
        <v>901</v>
      </c>
    </row>
    <row r="5" spans="1:29" s="250" customFormat="1" ht="25.05" customHeight="1" x14ac:dyDescent="0.3">
      <c r="A5" s="244"/>
      <c r="B5" s="245" t="s">
        <v>781</v>
      </c>
      <c r="C5" s="244" t="s">
        <v>437</v>
      </c>
      <c r="D5" s="244" t="s">
        <v>890</v>
      </c>
      <c r="E5" s="244">
        <v>263085</v>
      </c>
      <c r="F5" s="244" t="s">
        <v>898</v>
      </c>
      <c r="G5" s="244">
        <v>200</v>
      </c>
      <c r="H5" s="246">
        <v>0.30199999999999999</v>
      </c>
      <c r="I5" s="246">
        <v>0.73499999999999999</v>
      </c>
      <c r="J5" s="244" t="s">
        <v>27</v>
      </c>
      <c r="K5" s="244" t="s">
        <v>900</v>
      </c>
      <c r="L5" s="244" t="s">
        <v>27</v>
      </c>
      <c r="M5" s="246">
        <v>44.393999999999998</v>
      </c>
      <c r="N5" s="247">
        <v>36.799999999999997</v>
      </c>
      <c r="O5" s="248">
        <v>2.5999999999999999E-3</v>
      </c>
      <c r="P5" s="249">
        <v>0.15</v>
      </c>
      <c r="Q5" s="244">
        <v>20.9</v>
      </c>
      <c r="R5" s="244">
        <v>4</v>
      </c>
      <c r="S5" s="244">
        <v>1250</v>
      </c>
      <c r="T5" s="246">
        <v>1.208</v>
      </c>
      <c r="U5" s="244">
        <v>42</v>
      </c>
      <c r="V5" s="248">
        <v>3.3599999999999998E-2</v>
      </c>
      <c r="W5" s="244" t="s">
        <v>435</v>
      </c>
      <c r="X5" s="244" t="s">
        <v>41</v>
      </c>
      <c r="Y5" s="244" t="s">
        <v>435</v>
      </c>
      <c r="Z5" s="244" t="s">
        <v>27</v>
      </c>
      <c r="AA5" s="244" t="s">
        <v>27</v>
      </c>
      <c r="AB5" s="244" t="s">
        <v>38</v>
      </c>
      <c r="AC5" s="244" t="s">
        <v>899</v>
      </c>
    </row>
    <row r="6" spans="1:29" s="250" customFormat="1" ht="25.05" customHeight="1" x14ac:dyDescent="0.3">
      <c r="A6" s="244"/>
      <c r="B6" s="245" t="s">
        <v>781</v>
      </c>
      <c r="C6" s="244" t="s">
        <v>437</v>
      </c>
      <c r="D6" s="244" t="s">
        <v>890</v>
      </c>
      <c r="E6" s="244">
        <v>263084</v>
      </c>
      <c r="F6" s="244" t="s">
        <v>898</v>
      </c>
      <c r="G6" s="244">
        <v>200</v>
      </c>
      <c r="H6" s="246">
        <v>0.85199999999999998</v>
      </c>
      <c r="I6" s="246">
        <v>1.5349999999999999</v>
      </c>
      <c r="J6" s="244" t="s">
        <v>27</v>
      </c>
      <c r="K6" s="244" t="s">
        <v>897</v>
      </c>
      <c r="L6" s="244" t="s">
        <v>27</v>
      </c>
      <c r="M6" s="246">
        <v>261.56400000000002</v>
      </c>
      <c r="N6" s="247">
        <v>307</v>
      </c>
      <c r="O6" s="248">
        <v>8.5300000000000001E-2</v>
      </c>
      <c r="P6" s="249">
        <v>5.12</v>
      </c>
      <c r="Q6" s="244">
        <v>122.9</v>
      </c>
      <c r="R6" s="244">
        <v>1</v>
      </c>
      <c r="S6" s="244">
        <v>900</v>
      </c>
      <c r="T6" s="246">
        <v>0.85199999999999998</v>
      </c>
      <c r="U6" s="244">
        <v>48</v>
      </c>
      <c r="V6" s="248">
        <v>5.33E-2</v>
      </c>
      <c r="W6" s="244" t="s">
        <v>435</v>
      </c>
      <c r="X6" s="244" t="s">
        <v>41</v>
      </c>
      <c r="Y6" s="244" t="s">
        <v>435</v>
      </c>
      <c r="Z6" s="244" t="s">
        <v>27</v>
      </c>
      <c r="AA6" s="244" t="s">
        <v>27</v>
      </c>
      <c r="AB6" s="244" t="s">
        <v>38</v>
      </c>
      <c r="AC6" s="244" t="s">
        <v>896</v>
      </c>
    </row>
    <row r="7" spans="1:29" s="250" customFormat="1" ht="25.05" customHeight="1" x14ac:dyDescent="0.3">
      <c r="A7" s="251" t="s">
        <v>27</v>
      </c>
      <c r="B7" s="251" t="s">
        <v>27</v>
      </c>
      <c r="C7" s="251" t="s">
        <v>27</v>
      </c>
      <c r="D7" s="251" t="s">
        <v>27</v>
      </c>
      <c r="E7" s="251" t="s">
        <v>27</v>
      </c>
      <c r="F7" s="251" t="s">
        <v>27</v>
      </c>
      <c r="G7" s="251">
        <v>800</v>
      </c>
      <c r="H7" s="251" t="s">
        <v>27</v>
      </c>
      <c r="I7" s="251" t="s">
        <v>27</v>
      </c>
      <c r="J7" s="251" t="s">
        <v>27</v>
      </c>
      <c r="K7" s="251" t="s">
        <v>27</v>
      </c>
      <c r="L7" s="251" t="s">
        <v>27</v>
      </c>
      <c r="M7" s="251" t="s">
        <v>27</v>
      </c>
      <c r="N7" s="251" t="s">
        <v>27</v>
      </c>
      <c r="O7" s="251" t="s">
        <v>27</v>
      </c>
      <c r="P7" s="251" t="s">
        <v>27</v>
      </c>
      <c r="Q7" s="251">
        <v>321.39999999999998</v>
      </c>
      <c r="R7" s="251" t="s">
        <v>27</v>
      </c>
      <c r="S7" s="251" t="s">
        <v>27</v>
      </c>
      <c r="T7" s="251" t="s">
        <v>27</v>
      </c>
      <c r="U7" s="251" t="s">
        <v>27</v>
      </c>
      <c r="V7" s="251" t="s">
        <v>27</v>
      </c>
      <c r="W7" s="251" t="s">
        <v>27</v>
      </c>
      <c r="X7" s="251" t="s">
        <v>27</v>
      </c>
      <c r="Y7" s="251" t="s">
        <v>27</v>
      </c>
      <c r="Z7" s="251" t="s">
        <v>27</v>
      </c>
      <c r="AA7" s="251" t="s">
        <v>27</v>
      </c>
      <c r="AB7" s="251" t="s">
        <v>27</v>
      </c>
      <c r="AC7" s="251" t="s">
        <v>27</v>
      </c>
    </row>
    <row r="8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tabSelected="1" workbookViewId="0">
      <selection activeCell="E16" sqref="E16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20" t="s">
        <v>895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/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/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/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/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7"/>
  <sheetViews>
    <sheetView zoomScale="190" zoomScaleNormal="190" workbookViewId="0">
      <selection activeCell="I16" sqref="I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332" t="s">
        <v>0</v>
      </c>
      <c r="B2" s="332" t="s">
        <v>36</v>
      </c>
      <c r="C2" s="332" t="s">
        <v>1</v>
      </c>
      <c r="D2" s="332" t="s">
        <v>2</v>
      </c>
      <c r="E2" s="332" t="s">
        <v>53</v>
      </c>
      <c r="F2" s="332" t="s">
        <v>4</v>
      </c>
      <c r="G2" s="332" t="s">
        <v>5</v>
      </c>
      <c r="H2" s="332" t="s">
        <v>6</v>
      </c>
      <c r="I2" s="332" t="s">
        <v>7</v>
      </c>
      <c r="J2" s="332" t="s">
        <v>27</v>
      </c>
      <c r="K2" s="332" t="s">
        <v>8</v>
      </c>
      <c r="L2" s="332" t="s">
        <v>27</v>
      </c>
      <c r="M2" s="332" t="s">
        <v>9</v>
      </c>
      <c r="N2" s="332" t="s">
        <v>10</v>
      </c>
      <c r="O2" s="332" t="s">
        <v>11</v>
      </c>
      <c r="P2" s="332" t="s">
        <v>12</v>
      </c>
      <c r="Q2" s="332" t="s">
        <v>13</v>
      </c>
      <c r="R2" s="332" t="s">
        <v>14</v>
      </c>
      <c r="S2" s="332" t="s">
        <v>15</v>
      </c>
      <c r="T2" s="332" t="s">
        <v>16</v>
      </c>
      <c r="U2" s="332" t="s">
        <v>17</v>
      </c>
      <c r="V2" s="332" t="s">
        <v>18</v>
      </c>
      <c r="W2" s="332" t="s">
        <v>19</v>
      </c>
      <c r="X2" s="332" t="s">
        <v>20</v>
      </c>
      <c r="Y2" s="332" t="s">
        <v>21</v>
      </c>
      <c r="Z2" s="332" t="s">
        <v>22</v>
      </c>
      <c r="AA2" s="332" t="s">
        <v>23</v>
      </c>
      <c r="AB2" s="332" t="s">
        <v>24</v>
      </c>
      <c r="AC2" s="332" t="s">
        <v>25</v>
      </c>
    </row>
    <row r="3" spans="1:29" s="12" customFormat="1" ht="25.05" customHeight="1" x14ac:dyDescent="0.3">
      <c r="A3" s="333"/>
      <c r="B3" s="334" t="s">
        <v>807</v>
      </c>
      <c r="C3" s="333" t="s">
        <v>44</v>
      </c>
      <c r="D3" s="333" t="s">
        <v>673</v>
      </c>
      <c r="E3" s="333">
        <v>263059</v>
      </c>
      <c r="F3" s="333" t="s">
        <v>865</v>
      </c>
      <c r="G3" s="333">
        <v>1200</v>
      </c>
      <c r="H3" s="335">
        <v>0.50800000000000001</v>
      </c>
      <c r="I3" s="335">
        <v>1.7030000000000001</v>
      </c>
      <c r="J3" s="333" t="s">
        <v>27</v>
      </c>
      <c r="K3" s="333" t="s">
        <v>33</v>
      </c>
      <c r="L3" s="333" t="s">
        <v>27</v>
      </c>
      <c r="M3" s="335">
        <v>1038.1489999999999</v>
      </c>
      <c r="N3" s="336">
        <v>681.2</v>
      </c>
      <c r="O3" s="337">
        <v>6.3100000000000003E-2</v>
      </c>
      <c r="P3" s="338">
        <v>3.78</v>
      </c>
      <c r="Q3" s="333">
        <v>589.70000000000005</v>
      </c>
      <c r="R3" s="333">
        <v>3</v>
      </c>
      <c r="S3" s="333">
        <v>1550</v>
      </c>
      <c r="T3" s="335">
        <v>1.524</v>
      </c>
      <c r="U3" s="333">
        <v>26</v>
      </c>
      <c r="V3" s="337">
        <v>1.6799999999999999E-2</v>
      </c>
      <c r="W3" s="333" t="s">
        <v>34</v>
      </c>
      <c r="X3" s="333" t="s">
        <v>39</v>
      </c>
      <c r="Y3" s="333" t="s">
        <v>34</v>
      </c>
      <c r="Z3" s="333" t="s">
        <v>34</v>
      </c>
      <c r="AA3" s="333" t="s">
        <v>34</v>
      </c>
      <c r="AB3" s="333" t="s">
        <v>31</v>
      </c>
      <c r="AC3" s="333" t="s">
        <v>867</v>
      </c>
    </row>
    <row r="4" spans="1:29" s="12" customFormat="1" ht="25.05" customHeight="1" x14ac:dyDescent="0.3">
      <c r="A4" s="262"/>
      <c r="B4" s="263" t="s">
        <v>737</v>
      </c>
      <c r="C4" s="263" t="s">
        <v>44</v>
      </c>
      <c r="D4" s="263" t="s">
        <v>890</v>
      </c>
      <c r="E4" s="262">
        <v>263082</v>
      </c>
      <c r="F4" s="263" t="s">
        <v>271</v>
      </c>
      <c r="G4" s="262">
        <v>175</v>
      </c>
      <c r="H4" s="264">
        <v>1.494</v>
      </c>
      <c r="I4" s="264">
        <v>2.5630000000000002</v>
      </c>
      <c r="J4" s="262"/>
      <c r="K4" s="263" t="s">
        <v>33</v>
      </c>
      <c r="L4" s="262"/>
      <c r="M4" s="264">
        <v>670.096</v>
      </c>
      <c r="N4" s="265">
        <v>448.5</v>
      </c>
      <c r="O4" s="266">
        <v>0.1246</v>
      </c>
      <c r="P4" s="267">
        <v>7.48</v>
      </c>
      <c r="Q4" s="262">
        <v>380.6</v>
      </c>
      <c r="R4" s="262">
        <v>1</v>
      </c>
      <c r="S4" s="262">
        <v>1550</v>
      </c>
      <c r="T4" s="264">
        <v>1.494</v>
      </c>
      <c r="U4" s="262">
        <v>56</v>
      </c>
      <c r="V4" s="266">
        <v>3.61E-2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38</v>
      </c>
      <c r="AC4" s="263" t="s">
        <v>265</v>
      </c>
    </row>
    <row r="5" spans="1:29" s="12" customFormat="1" ht="25.05" customHeight="1" x14ac:dyDescent="0.3">
      <c r="A5" s="333"/>
      <c r="B5" s="334" t="s">
        <v>807</v>
      </c>
      <c r="C5" s="333" t="s">
        <v>44</v>
      </c>
      <c r="D5" s="333" t="s">
        <v>673</v>
      </c>
      <c r="E5" s="333">
        <v>263057</v>
      </c>
      <c r="F5" s="333" t="s">
        <v>865</v>
      </c>
      <c r="G5" s="333">
        <v>1200</v>
      </c>
      <c r="H5" s="335">
        <v>0.42799999999999999</v>
      </c>
      <c r="I5" s="335">
        <v>0.76300000000000001</v>
      </c>
      <c r="J5" s="333" t="s">
        <v>27</v>
      </c>
      <c r="K5" s="333" t="s">
        <v>33</v>
      </c>
      <c r="L5" s="333" t="s">
        <v>27</v>
      </c>
      <c r="M5" s="335">
        <v>391.87700000000001</v>
      </c>
      <c r="N5" s="336">
        <v>305.2</v>
      </c>
      <c r="O5" s="337">
        <v>2.8299999999999999E-2</v>
      </c>
      <c r="P5" s="338">
        <v>1.7</v>
      </c>
      <c r="Q5" s="333">
        <v>222.6</v>
      </c>
      <c r="R5" s="333">
        <v>3</v>
      </c>
      <c r="S5" s="333">
        <v>1350</v>
      </c>
      <c r="T5" s="335">
        <v>1.284</v>
      </c>
      <c r="U5" s="333">
        <v>66</v>
      </c>
      <c r="V5" s="337">
        <v>4.8899999999999999E-2</v>
      </c>
      <c r="W5" s="333" t="s">
        <v>34</v>
      </c>
      <c r="X5" s="333" t="s">
        <v>39</v>
      </c>
      <c r="Y5" s="333" t="s">
        <v>34</v>
      </c>
      <c r="Z5" s="333" t="s">
        <v>34</v>
      </c>
      <c r="AA5" s="333" t="s">
        <v>34</v>
      </c>
      <c r="AB5" s="333" t="s">
        <v>32</v>
      </c>
      <c r="AC5" s="333" t="s">
        <v>866</v>
      </c>
    </row>
    <row r="6" spans="1:29" s="12" customFormat="1" ht="25.05" customHeight="1" x14ac:dyDescent="0.3">
      <c r="A6" s="333"/>
      <c r="B6" s="334" t="s">
        <v>807</v>
      </c>
      <c r="C6" s="333" t="s">
        <v>44</v>
      </c>
      <c r="D6" s="333" t="s">
        <v>673</v>
      </c>
      <c r="E6" s="333">
        <v>263058</v>
      </c>
      <c r="F6" s="333" t="s">
        <v>865</v>
      </c>
      <c r="G6" s="333">
        <v>1200</v>
      </c>
      <c r="H6" s="335">
        <v>0.56799999999999995</v>
      </c>
      <c r="I6" s="335">
        <v>1.8129999999999999</v>
      </c>
      <c r="J6" s="333" t="s">
        <v>27</v>
      </c>
      <c r="K6" s="333" t="s">
        <v>33</v>
      </c>
      <c r="L6" s="333" t="s">
        <v>27</v>
      </c>
      <c r="M6" s="335">
        <v>1235.741</v>
      </c>
      <c r="N6" s="336">
        <v>1087.8</v>
      </c>
      <c r="O6" s="337">
        <v>0.15110000000000001</v>
      </c>
      <c r="P6" s="338">
        <v>9.06</v>
      </c>
      <c r="Q6" s="333">
        <v>701.9</v>
      </c>
      <c r="R6" s="333">
        <v>2</v>
      </c>
      <c r="S6" s="333">
        <v>1200</v>
      </c>
      <c r="T6" s="335">
        <v>1.1359999999999999</v>
      </c>
      <c r="U6" s="333">
        <v>64</v>
      </c>
      <c r="V6" s="337">
        <v>5.33E-2</v>
      </c>
      <c r="W6" s="333" t="s">
        <v>34</v>
      </c>
      <c r="X6" s="333" t="s">
        <v>39</v>
      </c>
      <c r="Y6" s="333" t="s">
        <v>34</v>
      </c>
      <c r="Z6" s="333" t="s">
        <v>34</v>
      </c>
      <c r="AA6" s="333" t="s">
        <v>34</v>
      </c>
      <c r="AB6" s="333" t="s">
        <v>31</v>
      </c>
      <c r="AC6" s="333" t="s">
        <v>864</v>
      </c>
    </row>
    <row r="7" spans="1:29" s="12" customFormat="1" ht="25.05" customHeight="1" x14ac:dyDescent="0.3">
      <c r="A7" s="339" t="s">
        <v>27</v>
      </c>
      <c r="B7" s="339" t="s">
        <v>27</v>
      </c>
      <c r="C7" s="339" t="s">
        <v>27</v>
      </c>
      <c r="D7" s="339" t="s">
        <v>27</v>
      </c>
      <c r="E7" s="339" t="s">
        <v>27</v>
      </c>
      <c r="F7" s="339" t="s">
        <v>27</v>
      </c>
      <c r="G7" s="339">
        <v>3600</v>
      </c>
      <c r="H7" s="339" t="s">
        <v>27</v>
      </c>
      <c r="I7" s="339" t="s">
        <v>27</v>
      </c>
      <c r="J7" s="339" t="s">
        <v>27</v>
      </c>
      <c r="K7" s="339" t="s">
        <v>27</v>
      </c>
      <c r="L7" s="339" t="s">
        <v>27</v>
      </c>
      <c r="M7" s="339" t="s">
        <v>27</v>
      </c>
      <c r="N7" s="339" t="s">
        <v>27</v>
      </c>
      <c r="O7" s="339" t="s">
        <v>27</v>
      </c>
      <c r="P7" s="339" t="s">
        <v>27</v>
      </c>
      <c r="Q7" s="339">
        <v>1514.2</v>
      </c>
      <c r="R7" s="339" t="s">
        <v>27</v>
      </c>
      <c r="S7" s="339" t="s">
        <v>27</v>
      </c>
      <c r="T7" s="339" t="s">
        <v>27</v>
      </c>
      <c r="U7" s="339" t="s">
        <v>27</v>
      </c>
      <c r="V7" s="339" t="s">
        <v>27</v>
      </c>
      <c r="W7" s="339" t="s">
        <v>27</v>
      </c>
      <c r="X7" s="339" t="s">
        <v>27</v>
      </c>
      <c r="Y7" s="339" t="s">
        <v>27</v>
      </c>
      <c r="Z7" s="339" t="s">
        <v>27</v>
      </c>
      <c r="AA7" s="339" t="s">
        <v>27</v>
      </c>
      <c r="AB7" s="339" t="s">
        <v>27</v>
      </c>
      <c r="AC7" s="33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60</vt:i4>
      </vt:variant>
      <vt:variant>
        <vt:lpstr>Intervalos Nomeados</vt:lpstr>
      </vt:variant>
      <vt:variant>
        <vt:i4>1</vt:i4>
      </vt:variant>
    </vt:vector>
  </HeadingPairs>
  <TitlesOfParts>
    <vt:vector size="61" baseType="lpstr">
      <vt:lpstr>CARPEL 1307</vt:lpstr>
      <vt:lpstr>RENOVAPEL 1306</vt:lpstr>
      <vt:lpstr>INTERNACIONAL - SEDAMED 1304 P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2026-10-21T14:08:26Z</cp:lastPrinted>
  <dcterms:created xsi:type="dcterms:W3CDTF">2026-07-02T17:42:15Z</dcterms:created>
  <dcterms:modified xsi:type="dcterms:W3CDTF">2026-10-21T14:08:42Z</dcterms:modified>
</cp:coreProperties>
</file>