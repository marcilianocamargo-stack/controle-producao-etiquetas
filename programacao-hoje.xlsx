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E44792B-65CC-4E8F-9308-92AA020DBB58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VÔ CHICO 1280" sheetId="199" r:id="rId1"/>
    <sheet name="PCBOX EMBALAGENS 1278" sheetId="198" r:id="rId2"/>
    <sheet name="RM EMBALAGENS 1277" sheetId="197" r:id="rId3"/>
    <sheet name="RM Embalagens 1275 P" sheetId="196" r:id="rId4"/>
    <sheet name="FAVINCO EMBALAGENS 1273" sheetId="195" r:id="rId5"/>
    <sheet name="ABAPEL 1272 P" sheetId="194" r:id="rId6"/>
    <sheet name="RM Embalagens 1271 P" sheetId="193" r:id="rId7"/>
    <sheet name="IPE -PC BOX 1270 P" sheetId="192" r:id="rId8"/>
    <sheet name="PCBOX  - IPE 1266 P" sheetId="191" r:id="rId9"/>
    <sheet name="Tolecaixas 1264 P" sheetId="190" r:id="rId10"/>
    <sheet name="RM Embalagens 1263 P" sheetId="189" r:id="rId11"/>
    <sheet name="HARMONY EMBALAGENS 1262 P" sheetId="188" r:id="rId12"/>
    <sheet name="HARMONY EMBALAGENS 1260 P" sheetId="187" r:id="rId13"/>
    <sheet name="CARTOMIL EMBALAGENS LTDA 1258 P" sheetId="185" r:id="rId14"/>
    <sheet name="CARPEL 1257 P" sheetId="184" r:id="rId15"/>
    <sheet name="FAVINCO EMBALAGENS 1256 P" sheetId="183" r:id="rId16"/>
    <sheet name="RR STELLA 1253 P" sheetId="181" r:id="rId17"/>
    <sheet name="FAVINCO EMBALAGENS 1252 P" sheetId="180" r:id="rId18"/>
    <sheet name="DR EMBALAGENS 1250 P" sheetId="179" r:id="rId19"/>
    <sheet name="HARMONY EMBALAGENS 1249 P" sheetId="178" r:id="rId20"/>
    <sheet name="FAVINCO 1248 AMOSTRA" sheetId="177" r:id="rId21"/>
    <sheet name="ABAPEL 1246 P" sheetId="176" r:id="rId22"/>
    <sheet name="FAVINCO 1243 P" sheetId="175" r:id="rId23"/>
    <sheet name="Renovapel 1242 P" sheetId="174" r:id="rId24"/>
    <sheet name="Tole. DR EMB. VO CH S. M 1241 P" sheetId="173" r:id="rId25"/>
    <sheet name="FAVINCO 1239 P" sheetId="172" r:id="rId26"/>
    <sheet name="PCBOX EMBALAGENS 1233 P" sheetId="170" r:id="rId27"/>
    <sheet name="RM Embalagens 1232 P" sheetId="169" r:id="rId28"/>
    <sheet name="HARMONY EMBALAGENS 1231 P" sheetId="168" r:id="rId29"/>
    <sheet name="RM Embalagens P" sheetId="166" r:id="rId30"/>
    <sheet name="PCBOX EMBALAGENS LTDA 1222 P" sheetId="164" r:id="rId31"/>
    <sheet name="FORBOX 1220 P" sheetId="163" r:id="rId32"/>
    <sheet name="HARMONY EMBALAGENS 1217 P" sheetId="162" r:id="rId33"/>
    <sheet name="Z4A EMBALAGENS LTDA 1216" sheetId="161" r:id="rId34"/>
    <sheet name="ABAPEL 1213 P" sheetId="159" r:id="rId35"/>
    <sheet name="IPE - PCBOX 1212 P" sheetId="158" r:id="rId36"/>
    <sheet name="Z4A EMBALAGENS LTDA 1210 P" sheetId="157" r:id="rId37"/>
    <sheet name="RM Embalagens 1209 P" sheetId="156" r:id="rId38"/>
    <sheet name="ABAPEL 1201 P" sheetId="153" r:id="rId39"/>
    <sheet name="HARMONY EMBALAGENS 1200 P" sheetId="152" r:id="rId40"/>
    <sheet name="FAVINCO EMBALAGENS 1197 P" sheetId="150" r:id="rId41"/>
    <sheet name="ABAPEL 1196 P" sheetId="149" r:id="rId42"/>
    <sheet name="RM Embalagens 1184 P" sheetId="141" r:id="rId43"/>
    <sheet name="HARMONY EMBALAGENS 1180 P" sheetId="137" r:id="rId44"/>
    <sheet name="Carpel 1158 P" sheetId="119" r:id="rId4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195" l="1"/>
  <c r="Q7" i="192" l="1"/>
  <c r="G7" i="192"/>
  <c r="G9" i="190"/>
  <c r="Q9" i="190"/>
  <c r="G17" i="191"/>
  <c r="Q17" i="191"/>
  <c r="P9" i="175"/>
  <c r="H9" i="175"/>
  <c r="Q9" i="180"/>
  <c r="G9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<sst xmlns="http://schemas.openxmlformats.org/spreadsheetml/2006/main" count="8410" uniqueCount="772">
  <si>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</si>
  <si>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</si>
  <si>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</si>
  <si>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</si>
  <si>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</si>
  <si>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</si>
  <si>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</si>
  <si>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</si>
  <si>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</si>
  <si>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</si>
  <si>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</si>
  <si>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</si>
  <si>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</si>
  <si>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</si>
  <si>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</si>
  <si>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</si>
  <si>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</si>
  <si>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</si>
  <si>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</si>
  <si>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</si>
  <si>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</si>
  <si>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</si>
  <si>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</si>
  <si>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</si>
  <si>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</si>
  <si>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</si>
  <si>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</si>
  <si>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</si>
  <si>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</si>
  <si>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</si>
  <si>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</si>
  <si>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</si>
  <si>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</si>
  <si>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</si>
  <si>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</si>
  <si>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</si>
  <si>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</si>
  <si>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</si>
  <si>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</si>
  <si>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</si>
  <si>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</si>
  <si>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</si>
  <si>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</si>
  <si>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</si>
  <si>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</si>
  <si>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</si>
  <si>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</si>
  <si>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</si>
  <si>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</si>
  <si>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</si>
  <si>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</si>
  <si>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</si>
  <si>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</si>
  <si>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</si>
  <si>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</si>
  <si>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</si>
  <si>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</si>
  <si>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</si>
  <si>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</si>
  <si>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</si>
  <si>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</si>
  <si>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</si>
  <si>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</si>
  <si>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</si>
  <si>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</si>
  <si>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</si>
  <si>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</si>
  <si>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</si>
  <si>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</si>
  <si>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</si>
  <si>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</si>
  <si>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</si>
  <si>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</si>
  <si>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</si>
  <si>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</si>
  <si>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</si>
  <si>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</si>
  <si>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</si>
  <si>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</si>
  <si>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</si>
  <si>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</si>
  <si>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</si>
  <si>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</si>
  <si>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</si>
  <si>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</si>
  <si>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</si>
  <si>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</si>
  <si>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</si>
  <si>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</si>
  <si>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</si>
  <si>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</si>
  <si>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</si>
  <si>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</si>
  <si>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</si>
  <si>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</si>
  <si>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</si>
  <si>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</si>
  <si>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</si>
  <si>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</si>
  <si>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</si>
  <si>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</si>
  <si>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</si>
  <si>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</si>
  <si>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</si>
  <si>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</si>
  <si>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</si>
  <si>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</si>
  <si>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</si>
  <si>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</si>
  <si>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</si>
  <si>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</si>
  <si>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</si>
  <si>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</si>
  <si>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</si>
  <si>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</si>
  <si>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</si>
  <si>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</si>
  <si>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</si>
  <si>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</si>
  <si>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</si>
  <si>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</si>
  <si>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</si>
  <si>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</si>
  <si>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</si>
  <si>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</si>
  <si>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</si>
  <si>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</si>
  <si>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</si>
  <si>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</si>
  <si>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</si>
  <si>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</si>
  <si>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</si>
  <si>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</si>
  <si>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</si>
  <si>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</si>
  <si>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</si>
  <si>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</si>
  <si>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</si>
  <si>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</si>
  <si>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</si>
  <si>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</si>
  <si>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</si>
  <si>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</si>
  <si>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</si>
  <si>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</si>
  <si>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</si>
  <si>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</si>
  <si>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</si>
  <si>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</si>
  <si>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</si>
  <si>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</si>
  <si>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</si>
  <si>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</si>
  <si>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</si>
  <si>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</si>
  <si>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</si>
  <si>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</si>
  <si>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</si>
  <si>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</si>
  <si>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</si>
  <si>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</si>
  <si>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</si>
  <si>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</si>
  <si>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</si>
  <si>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</si>
  <si>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</si>
  <si>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</si>
  <si>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</si>
  <si>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</si>
  <si>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</si>
  <si>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</si>
  <si>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</si>
  <si>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</si>
  <si>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</si>
  <si>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</si>
  <si>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</si>
  <si>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</si>
  <si>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</si>
  <si>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</si>
  <si>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</si>
  <si>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</si>
  <si>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</si>
  <si>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</si>
  <si>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</si>
  <si>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</si>
  <si>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</si>
  <si>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</si>
  <si>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</si>
  <si>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</si>
  <si>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</si>
  <si>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</si>
  <si>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</si>
  <si>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</si>
  <si>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</si>
  <si>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</si>
  <si>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</si>
  <si>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</si>
  <si>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</si>
  <si>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</si>
  <si>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</si>
  <si>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</si>
  <si>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</si>
  <si>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</si>
  <si>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</si>
  <si>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</si>
  <si>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</si>
  <si>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</si>
  <si>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</si>
  <si>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</si>
  <si>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</si>
  <si>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</si>
  <si>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</si>
  <si>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</si>
  <si>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</si>
  <si>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</si>
  <si>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</si>
  <si>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</si>
  <si>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</si>
  <si>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</si>
  <si>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</si>
  <si>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</si>
  <si>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</si>
  <si>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</si>
  <si>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</si>
  <si>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</si>
  <si>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</si>
  <si>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</si>
  <si>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</si>
  <si>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</si>
  <si>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</si>
  <si>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</si>
  <si>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</si>
  <si>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</si>
  <si>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</si>
  <si>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</si>
  <si>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</si>
  <si>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</si>
  <si>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</si>
  <si>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</si>
  <si>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</si>
  <si>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</si>
  <si>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</si>
  <si>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</si>
  <si>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</si>
  <si>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</si>
  <si>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</si>
  <si>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</si>
  <si>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</si>
  <si>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</si>
  <si>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</si>
  <si>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</si>
  <si>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</si>
  <si>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</si>
  <si>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</si>
  <si>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</si>
  <si>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</si>
  <si>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</si>
  <si>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</si>
  <si>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</si>
  <si>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</si>
  <si>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</si>
  <si>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</si>
  <si>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</si>
  <si>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</si>
  <si>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</si>
  <si>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</si>
  <si>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</si>
  <si>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</si>
  <si>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</si>
  <si>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</si>
  <si>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</si>
  <si>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</si>
  <si>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</si>
  <si>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</si>
  <si>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</si>
  <si>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</si>
  <si>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</si>
  <si>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</si>
  <si>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</si>
  <si>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</si>
  <si>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</si>
  <si>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</si>
  <si>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</si>
  <si>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</si>
  <si>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</si>
  <si>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</si>
  <si>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</si>
  <si>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</si>
  <si>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</si>
  <si>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</si>
  <si>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</si>
  <si>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</si>
  <si>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</si>
  <si>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</si>
  <si>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</si>
  <si>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</si>
  <si>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</si>
  <si>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</si>
  <si>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</si>
  <si>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</si>
  <si>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</si>
  <si>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</si>
  <si>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</si>
  <si>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</si>
  <si>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</si>
  <si>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</si>
  <si>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</si>
  <si>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</si>
  <si>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</si>
  <si>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</si>
  <si>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</si>
  <si>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</si>
  <si>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</si>
  <si>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</si>
  <si>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</si>
  <si>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</si>
  <si>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</si>
  <si>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</si>
  <si>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</si>
  <si>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</si>
  <si>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</si>
  <si>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</si>
  <si>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</si>
  <si>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</si>
  <si>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</si>
  <si>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</si>
  <si>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</si>
  <si>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</si>
  <si>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</si>
  <si>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</si>
  <si>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</si>
  <si>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</si>
  <si>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</si>
  <si>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</si>
  <si>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</si>
  <si>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</si>
  <si>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</si>
  <si>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</si>
  <si>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</si>
  <si>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</si>
  <si>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</si>
  <si>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</si>
  <si>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</si>
  <si>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</si>
  <si>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</si>
  <si>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</si>
  <si>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</si>
  <si>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</si>
  <si>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</si>
  <si>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</si>
  <si>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</si>
  <si>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</si>
  <si>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</si>
  <si>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</si>
  <si>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</si>
  <si>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</si>
  <si>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</si>
  <si>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</si>
  <si>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</si>
  <si>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</si>
  <si>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</si>
  <si>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</si>
  <si>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</si>
  <si>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</si>
  <si>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</si>
  <si>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</si>
  <si>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</si>
  <si>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</si>
  <si>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</si>
  <si>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</si>
  <si>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</si>
  <si>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</si>
  <si>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</si>
  <si>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</si>
  <si>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</si>
  <si>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</si>
  <si>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</si>
  <si>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</si>
  <si>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</si>
  <si>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</si>
  <si>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</si>
  <si>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</si>
  <si>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</si>
  <si>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</si>
  <si>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</si>
  <si>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</si>
  <si>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</si>
  <si>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</si>
  <si>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</si>
  <si>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</si>
  <si>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</si>
  <si>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</si>
  <si>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</si>
  <si>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</si>
  <si>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</si>
  <si>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</si>
  <si>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</si>
  <si>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</si>
  <si>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</si>
  <si>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</si>
  <si>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</si>
  <si>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</si>
  <si>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</si>
  <si>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</si>
  <si>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</si>
  <si>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</si>
  <si>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</si>
  <si>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</si>
  <si>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</si>
  <si>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</si>
  <si>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</si>
  <si>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</si>
  <si>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</si>
  <si>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</si>
  <si>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</si>
  <si>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</si>
  <si>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</si>
  <si>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</si>
  <si>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</si>
  <si>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</si>
  <si>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</si>
  <si>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</si>
  <si>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</si>
  <si>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</si>
  <si>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</si>
  <si>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</si>
  <si>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</si>
  <si>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</si>
  <si>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</si>
  <si>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</si>
  <si>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</si>
  <si>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</si>
  <si>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</si>
  <si>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</si>
  <si>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</si>
  <si>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</si>
  <si>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</si>
  <si>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</si>
  <si>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</si>
  <si>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</si>
  <si>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</si>
  <si>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</si>
  <si>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</si>
  <si>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</si>
  <si>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</si>
  <si>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</si>
  <si>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</si>
  <si>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</si>
  <si>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</si>
  <si>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</si>
  <si>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</si>
  <si>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</si>
  <si>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</si>
  <si>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</si>
  <si>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</si>
  <si>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</si>
  <si>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</si>
  <si>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</si>
  <si>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</si>
  <si>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</si>
  <si>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</si>
  <si>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</si>
  <si>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</si>
  <si>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</si>
  <si>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</si>
  <si>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</si>
  <si>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</si>
  <si>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</si>
  <si>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</si>
  <si>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</si>
  <si>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</si>
  <si>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</si>
  <si>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</si>
  <si>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</si>
  <si>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</si>
  <si>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</si>
  <si>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</si>
  <si>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</si>
  <si>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</si>
  <si>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</si>
  <si>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</si>
  <si>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</si>
  <si>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</si>
  <si>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</si>
  <si>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</si>
  <si>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</si>
  <si>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</si>
  <si>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</si>
  <si>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</si>
  <si>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</si>
  <si>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</si>
  <si>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</si>
  <si>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</si>
  <si>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</si>
  <si>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</si>
  <si>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</si>
  <si>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</si>
  <si>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</si>
  <si>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</si>
  <si>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</si>
  <si>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</si>
  <si>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</si>
  <si>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</si>
  <si>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</si>
  <si>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</si>
  <si>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</si>
  <si>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</si>
  <si>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</si>
  <si>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</si>
  <si>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</si>
  <si>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</si>
  <si>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</si>
  <si>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</si>
  <si>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</si>
  <si>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</si>
  <si>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</si>
  <si>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</si>
  <si>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</si>
  <si>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</si>
  <si>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</si>
  <si>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</si>
  <si>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</si>
  <si>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</si>
  <si>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</si>
  <si>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</si>
  <si>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</si>
  <si>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</si>
  <si>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</si>
  <si>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</si>
  <si>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</si>
  <si>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</si>
  <si>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</si>
  <si>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</si>
  <si>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</si>
  <si>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</si>
  <si>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</si>
  <si>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</si>
  <si>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</si>
  <si>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</si>
  <si>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</si>
  <si>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</si>
  <si>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</si>
  <si>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</si>
  <si>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</si>
  <si>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</si>
  <si>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</si>
  <si>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</si>
  <si>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</si>
  <si>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</si>
  <si>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</si>
  <si>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</si>
  <si>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</si>
  <si>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</si>
  <si>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</si>
  <si>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</si>
  <si>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</si>
  <si>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</si>
  <si>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</si>
  <si>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</si>
  <si>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</si>
  <si>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</si>
  <si>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</si>
  <si>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</si>
  <si>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</si>
  <si>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</si>
  <si>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</si>
  <si>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</si>
  <si>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</si>
  <si>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</si>
  <si>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</si>
  <si>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</si>
  <si>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</si>
  <si>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</si>
  <si>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</si>
  <si>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</si>
  <si>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</si>
  <si>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</si>
  <si>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</si>
  <si>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</si>
  <si>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</si>
  <si>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</si>
  <si>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</si>
  <si>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</si>
  <si>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</si>
  <si>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</si>
  <si>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</si>
  <si>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</si>
  <si>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</si>
  <si>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</si>
  <si>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</si>
  <si>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</si>
  <si>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</si>
  <si>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</si>
  <si>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</si>
  <si>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</si>
  <si>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</si>
  <si>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</si>
  <si>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</si>
  <si>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</si>
  <si>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</si>
  <si>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</si>
  <si>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</si>
  <si>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</si>
  <si>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</si>
  <si>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</si>
  <si>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</si>
  <si>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</si>
  <si>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</si>
  <si>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</si>
  <si>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</si>
  <si>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</si>
  <si>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</si>
  <si>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</si>
  <si>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</si>
  <si>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</si>
  <si>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</si>
  <si>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</si>
  <si>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</si>
  <si>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</si>
  <si>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</si>
  <si>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</si>
  <si>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</si>
  <si>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</si>
  <si>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</si>
  <si>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</si>
  <si>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</si>
  <si>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</si>
  <si>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</si>
  <si>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</si>
  <si>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</si>
  <si>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</si>
  <si>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</si>
  <si>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</si>
  <si>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</si>
  <si>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</si>
  <si>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</si>
  <si>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</si>
  <si>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</si>
  <si>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</si>
  <si>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</si>
  <si>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</si>
  <si>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</si>
  <si>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</si>
  <si>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</si>
  <si>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</si>
  <si>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</si>
  <si>
    <t>1044x1692</t>
  </si>
  <si>
    <t>78x100x78</t>
  </si>
  <si>
    <t>P55B</t>
  </si>
  <si>
    <t>132x197x132</t>
  </si>
  <si>
    <t>976x2080</t>
  </si>
  <si>
    <t>73x810x73</t>
  </si>
  <si>
    <t>1200x1250</t>
  </si>
  <si>
    <t>P80D</t>
  </si>
  <si>
    <t>1176x1890</t>
  </si>
  <si>
    <t>168x820x168</t>
  </si>
  <si>
    <t>1360x2142</t>
  </si>
  <si>
    <t>1380x1426</t>
  </si>
  <si>
    <t>1436x2050</t>
  </si>
  <si>
    <t>173x1070x173</t>
  </si>
  <si>
    <t>PROGRAMAÇÃO ONDULADEIRA - RM Embalagens  —  OF: 001263</t>
  </si>
  <si>
    <t>07/10/2026</t>
  </si>
  <si>
    <t>1140x1730</t>
  </si>
  <si>
    <t>910x2030</t>
  </si>
  <si>
    <t>PROGRAMAÇÃO ONDULADEIRA - Tolecaixas Indústria e Comércio Ltda  —  OF: 001264</t>
  </si>
  <si>
    <t>086</t>
  </si>
  <si>
    <t>183x215x183</t>
  </si>
  <si>
    <t>1182x1926</t>
  </si>
  <si>
    <t>446x2340</t>
  </si>
  <si>
    <t>80x88x90x88x80</t>
  </si>
  <si>
    <t>1774</t>
  </si>
  <si>
    <t>24/09/2026</t>
  </si>
  <si>
    <t>903x1555</t>
  </si>
  <si>
    <t>1807</t>
  </si>
  <si>
    <t>956x1849</t>
  </si>
  <si>
    <t>1800</t>
  </si>
  <si>
    <t>1160x1832</t>
  </si>
  <si>
    <t>1292x1501</t>
  </si>
  <si>
    <t>349x574x349</t>
  </si>
  <si>
    <t>1762</t>
  </si>
  <si>
    <t>680x2070</t>
  </si>
  <si>
    <t>1781</t>
  </si>
  <si>
    <t>680x1885</t>
  </si>
  <si>
    <t>680x1715</t>
  </si>
  <si>
    <t>680x1405</t>
  </si>
  <si>
    <t>1320x2073</t>
  </si>
  <si>
    <t>1809</t>
  </si>
  <si>
    <t>1324x2146</t>
  </si>
  <si>
    <t>1806</t>
  </si>
  <si>
    <t>1379x2215</t>
  </si>
  <si>
    <t>253x853x253</t>
  </si>
  <si>
    <t>1799</t>
  </si>
  <si>
    <t>1158x1617</t>
  </si>
  <si>
    <t>334x470x334</t>
  </si>
  <si>
    <t>1736</t>
  </si>
  <si>
    <t>15/09/2026</t>
  </si>
  <si>
    <t>PROGRAMAÇÃO ONDULADEIRA - PCBOX EMBALAGENS LTDA - IPE EMBALAGENS LTDA  —  OF: 001266</t>
  </si>
  <si>
    <t>980x1880</t>
  </si>
  <si>
    <t>08/10/2026</t>
  </si>
  <si>
    <t>084</t>
  </si>
  <si>
    <t>PROGRAMAÇÃO ONDULADEIRA - Tolecaixas Indústria e Comércio Ltda</t>
  </si>
  <si>
    <t>1154x1682</t>
  </si>
  <si>
    <t>163x241x163</t>
  </si>
  <si>
    <t>087</t>
  </si>
  <si>
    <t>FAVINCO.</t>
  </si>
  <si>
    <t>1100x2603</t>
  </si>
  <si>
    <t>1814</t>
  </si>
  <si>
    <t>207</t>
  </si>
  <si>
    <t>09/10/2026</t>
  </si>
  <si>
    <t>PROGRAMAÇÃO ONDULADEIRA - RM Embalagens  —  OF: 001271</t>
  </si>
  <si>
    <t>957x1540</t>
  </si>
  <si>
    <t>186x565x186</t>
  </si>
  <si>
    <t>8317</t>
  </si>
  <si>
    <t>615x1855</t>
  </si>
  <si>
    <t>195x205x195</t>
  </si>
  <si>
    <t>713x1800</t>
  </si>
  <si>
    <t>189x315x189</t>
  </si>
  <si>
    <t>PROGRAMAÇÃO ONDULADEIRA - ABAPEL COMERCIO DE EMBALAGENS LTDA  —  OF: 001272</t>
  </si>
  <si>
    <t>1150x1340</t>
  </si>
  <si>
    <t>95x140x95</t>
  </si>
  <si>
    <t>088</t>
  </si>
  <si>
    <t>PROGRAMAÇÃO ONDULADEIRA - FAVINCO EMBALAGENS —  OF: 001273</t>
  </si>
  <si>
    <t>1816</t>
  </si>
  <si>
    <t>770x2120</t>
  </si>
  <si>
    <t>1818</t>
  </si>
  <si>
    <t>1132x1260</t>
  </si>
  <si>
    <t>212x154x214x154x212</t>
  </si>
  <si>
    <t>966x2120</t>
  </si>
  <si>
    <t>1082x2020</t>
  </si>
  <si>
    <t>08/09/2026</t>
  </si>
  <si>
    <t>1158x1340</t>
  </si>
  <si>
    <t>137x295x137</t>
  </si>
  <si>
    <t>1308x2340</t>
  </si>
  <si>
    <t>730x1380</t>
  </si>
  <si>
    <t>1008x1260</t>
  </si>
  <si>
    <t>147x200x147</t>
  </si>
  <si>
    <t>1160x1460</t>
  </si>
  <si>
    <t>PROGRAMAÇÃO ONDULADEIRA - RM Embalagens ( Daiane Marques Canossa ME )  —  OF: 001275</t>
  </si>
  <si>
    <t>PROGRAMAÇÃO ONDULADEIRA - IPE -PC BOX  —  OF: 001270</t>
  </si>
  <si>
    <t>13/10/2026</t>
  </si>
  <si>
    <t>089</t>
  </si>
  <si>
    <t>902x1780</t>
  </si>
  <si>
    <t>15</t>
  </si>
  <si>
    <t>RM EMBALAGENS</t>
  </si>
  <si>
    <t>1000x1560</t>
  </si>
  <si>
    <t>1020x2020</t>
  </si>
  <si>
    <t>1029x1860</t>
  </si>
  <si>
    <t>585x2240</t>
  </si>
  <si>
    <t>200x165x200</t>
  </si>
  <si>
    <t>Padrão 1010x1010</t>
  </si>
  <si>
    <t>830x1350</t>
  </si>
  <si>
    <t>130x145x130</t>
  </si>
  <si>
    <t>730x1820</t>
  </si>
  <si>
    <t>980x1500</t>
  </si>
  <si>
    <t>1520x2590</t>
  </si>
  <si>
    <t>1140x1568</t>
  </si>
  <si>
    <t>77x620x77</t>
  </si>
  <si>
    <t>672x2360</t>
  </si>
  <si>
    <t>113x100x226x100x113</t>
  </si>
  <si>
    <t>PROGRAMAÇÃO ONDULADEIRA - RM EMBALAGENS  —  OF: 001277</t>
  </si>
  <si>
    <t>1825</t>
  </si>
  <si>
    <t>14/10/2026</t>
  </si>
  <si>
    <t>PCBOX EMBALAGENS</t>
  </si>
  <si>
    <t>PROGRAMAÇÃO ONDULADEIRA - PCBOX EMBALAGENS  —  OF: 001278</t>
  </si>
  <si>
    <t>090</t>
  </si>
  <si>
    <t>97x165x97</t>
  </si>
  <si>
    <t>1097x1864</t>
  </si>
  <si>
    <t>1115x1679</t>
  </si>
  <si>
    <t>551014</t>
  </si>
  <si>
    <t>950x1850</t>
  </si>
  <si>
    <t>950x1840</t>
  </si>
  <si>
    <t>PROGRAMAÇÃO ONDULADEIRA - VÔ CHICO  —  OF: 001280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</si>
</sst>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3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0F1E2E"/>
      <name val="Calibri"/>
      <family val="2"/>
    </font>
    <font>
      <b/>
      <sz val="11"/>
      <color rgb="FFFF0000"/>
      <name val="Calibri"/>
      <family val="2"/>
    </font>
    <font>
      <sz val="8"/>
      <name val="Calibri"/>
      <family val="2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3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6">
    <xf numFmtId="0" fontId="0" fillId="0" borderId="0"/>
    <xf numFmtId="0" fontId="4" fillId="0" borderId="0"/>
    <xf numFmtId="0" fontId="6" fillId="0" borderId="0"/>
    <xf numFmtId="0" fontId="16" fillId="0" borderId="0"/>
    <xf numFmtId="0" fontId="27" fillId="0" borderId="0"/>
    <xf numFmtId="0" fontId="28" fillId="0" borderId="0"/>
  </cellStyleXfs>
  <cellXfs count="28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0" fontId="11" fillId="2" borderId="1" xfId="2" applyFont="1" applyFill="1" applyBorder="1" applyAlignment="1">
      <alignment horizontal="right"/>
    </xf>
    <xf numFmtId="0" fontId="11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1" fillId="3" borderId="1" xfId="2" applyFont="1" applyFill="1" applyBorder="1" applyAlignment="1">
      <alignment horizontal="left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5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2" fillId="4" borderId="1" xfId="1" applyFont="1" applyFill="1" applyBorder="1" applyAlignment="1">
      <alignment horizontal="center" vertical="center" wrapText="1"/>
    </xf>
    <xf numFmtId="0" fontId="16" fillId="0" borderId="0" xfId="3"/>
    <xf numFmtId="0" fontId="17" fillId="2" borderId="1" xfId="3" applyFont="1" applyFill="1" applyBorder="1" applyAlignment="1">
      <alignment horizontal="right"/>
    </xf>
    <xf numFmtId="0" fontId="17" fillId="2" borderId="1" xfId="3" applyFont="1" applyFill="1" applyBorder="1" applyAlignment="1">
      <alignment horizontal="left"/>
    </xf>
    <xf numFmtId="0" fontId="16" fillId="3" borderId="1" xfId="3" applyFill="1" applyBorder="1" applyAlignment="1">
      <alignment horizontal="right"/>
    </xf>
    <xf numFmtId="166" fontId="16" fillId="3" borderId="1" xfId="3" applyNumberFormat="1" applyFill="1" applyBorder="1" applyAlignment="1">
      <alignment horizontal="right"/>
    </xf>
    <xf numFmtId="164" fontId="16" fillId="3" borderId="1" xfId="3" applyNumberFormat="1" applyFill="1" applyBorder="1" applyAlignment="1">
      <alignment horizontal="right"/>
    </xf>
    <xf numFmtId="2" fontId="16" fillId="3" borderId="1" xfId="3" applyNumberFormat="1" applyFill="1" applyBorder="1" applyAlignment="1">
      <alignment horizontal="right"/>
    </xf>
    <xf numFmtId="165" fontId="16" fillId="3" borderId="1" xfId="3" applyNumberFormat="1" applyFill="1" applyBorder="1" applyAlignment="1">
      <alignment horizontal="right"/>
    </xf>
    <xf numFmtId="0" fontId="16" fillId="3" borderId="1" xfId="3" applyFill="1" applyBorder="1" applyAlignment="1">
      <alignment horizontal="left"/>
    </xf>
    <xf numFmtId="164" fontId="16" fillId="3" borderId="1" xfId="3" applyNumberFormat="1" applyFill="1" applyBorder="1" applyAlignment="1">
      <alignment horizontal="left"/>
    </xf>
    <xf numFmtId="0" fontId="17" fillId="3" borderId="1" xfId="3" applyFont="1" applyFill="1" applyBorder="1" applyAlignment="1">
      <alignment horizontal="left"/>
    </xf>
    <xf numFmtId="0" fontId="18" fillId="4" borderId="1" xfId="3" applyFont="1" applyFill="1" applyBorder="1" applyAlignment="1">
      <alignment horizontal="center" vertical="center" wrapText="1"/>
    </xf>
    <xf numFmtId="0" fontId="16" fillId="3" borderId="1" xfId="3" applyFill="1" applyBorder="1" applyAlignment="1">
      <alignment horizontal="center" vertical="center"/>
    </xf>
    <xf numFmtId="0" fontId="17" fillId="3" borderId="1" xfId="3" applyFont="1" applyFill="1" applyBorder="1" applyAlignment="1">
      <alignment horizontal="center" vertical="center"/>
    </xf>
    <xf numFmtId="164" fontId="16" fillId="3" borderId="1" xfId="3" applyNumberFormat="1" applyFill="1" applyBorder="1" applyAlignment="1">
      <alignment horizontal="center" vertical="center"/>
    </xf>
    <xf numFmtId="165" fontId="16" fillId="3" borderId="1" xfId="3" applyNumberFormat="1" applyFill="1" applyBorder="1" applyAlignment="1">
      <alignment horizontal="center" vertical="center"/>
    </xf>
    <xf numFmtId="166" fontId="16" fillId="3" borderId="1" xfId="3" applyNumberFormat="1" applyFill="1" applyBorder="1" applyAlignment="1">
      <alignment horizontal="center" vertical="center"/>
    </xf>
    <xf numFmtId="2" fontId="16" fillId="3" borderId="1" xfId="3" applyNumberFormat="1" applyFill="1" applyBorder="1" applyAlignment="1">
      <alignment horizontal="center" vertical="center"/>
    </xf>
    <xf numFmtId="0" fontId="16" fillId="0" borderId="0" xfId="3" applyAlignment="1">
      <alignment horizontal="center" vertical="center"/>
    </xf>
    <xf numFmtId="0" fontId="17" fillId="2" borderId="1" xfId="3" applyFont="1" applyFill="1" applyBorder="1" applyAlignment="1">
      <alignment horizontal="center" vertical="center"/>
    </xf>
    <xf numFmtId="0" fontId="16" fillId="3" borderId="1" xfId="3" applyFill="1" applyBorder="1" applyAlignment="1">
      <alignment horizontal="center"/>
    </xf>
    <xf numFmtId="0" fontId="17" fillId="3" borderId="1" xfId="3" applyFont="1" applyFill="1" applyBorder="1" applyAlignment="1">
      <alignment horizontal="center"/>
    </xf>
    <xf numFmtId="164" fontId="16" fillId="3" borderId="1" xfId="3" applyNumberFormat="1" applyFill="1" applyBorder="1" applyAlignment="1">
      <alignment horizontal="center"/>
    </xf>
    <xf numFmtId="165" fontId="16" fillId="3" borderId="1" xfId="3" applyNumberFormat="1" applyFill="1" applyBorder="1" applyAlignment="1">
      <alignment horizontal="center"/>
    </xf>
    <xf numFmtId="166" fontId="16" fillId="3" borderId="1" xfId="3" applyNumberFormat="1" applyFill="1" applyBorder="1" applyAlignment="1">
      <alignment horizontal="center"/>
    </xf>
    <xf numFmtId="2" fontId="16" fillId="3" borderId="1" xfId="3" applyNumberFormat="1" applyFill="1" applyBorder="1" applyAlignment="1">
      <alignment horizontal="center"/>
    </xf>
    <xf numFmtId="0" fontId="16" fillId="0" borderId="0" xfId="3" applyAlignment="1">
      <alignment horizontal="center"/>
    </xf>
    <xf numFmtId="0" fontId="17" fillId="2" borderId="1" xfId="3" applyFont="1" applyFill="1" applyBorder="1" applyAlignment="1">
      <alignment horizontal="center"/>
    </xf>
    <xf numFmtId="14" fontId="16" fillId="3" borderId="1" xfId="3" applyNumberFormat="1" applyFill="1" applyBorder="1" applyAlignment="1">
      <alignment horizontal="center" vertical="center"/>
    </xf>
    <xf numFmtId="0" fontId="16" fillId="6" borderId="1" xfId="3" applyFill="1" applyBorder="1" applyAlignment="1">
      <alignment horizontal="center"/>
    </xf>
    <xf numFmtId="0" fontId="17" fillId="6" borderId="1" xfId="3" applyFont="1" applyFill="1" applyBorder="1" applyAlignment="1">
      <alignment horizontal="center"/>
    </xf>
    <xf numFmtId="164" fontId="16" fillId="6" borderId="1" xfId="3" applyNumberFormat="1" applyFill="1" applyBorder="1" applyAlignment="1">
      <alignment horizontal="center"/>
    </xf>
    <xf numFmtId="165" fontId="16" fillId="6" borderId="1" xfId="3" applyNumberFormat="1" applyFill="1" applyBorder="1" applyAlignment="1">
      <alignment horizontal="center"/>
    </xf>
    <xf numFmtId="166" fontId="16" fillId="6" borderId="1" xfId="3" applyNumberFormat="1" applyFill="1" applyBorder="1" applyAlignment="1">
      <alignment horizontal="center"/>
    </xf>
    <xf numFmtId="2" fontId="16" fillId="6" borderId="1" xfId="3" applyNumberFormat="1" applyFill="1" applyBorder="1" applyAlignment="1">
      <alignment horizontal="center"/>
    </xf>
    <xf numFmtId="0" fontId="16" fillId="6" borderId="0" xfId="3" applyFill="1" applyAlignment="1">
      <alignment horizontal="center"/>
    </xf>
    <xf numFmtId="14" fontId="16" fillId="3" borderId="1" xfId="3" applyNumberFormat="1" applyFill="1" applyBorder="1" applyAlignment="1">
      <alignment horizontal="center"/>
    </xf>
    <xf numFmtId="0" fontId="16" fillId="5" borderId="0" xfId="3" applyFill="1" applyAlignment="1">
      <alignment horizontal="center"/>
    </xf>
    <xf numFmtId="0" fontId="16" fillId="5" borderId="1" xfId="3" applyFill="1" applyBorder="1" applyAlignment="1">
      <alignment horizontal="center" vertical="center"/>
    </xf>
    <xf numFmtId="0" fontId="17" fillId="5" borderId="1" xfId="3" applyFont="1" applyFill="1" applyBorder="1" applyAlignment="1">
      <alignment horizontal="center" vertical="center"/>
    </xf>
    <xf numFmtId="164" fontId="16" fillId="5" borderId="1" xfId="3" applyNumberFormat="1" applyFill="1" applyBorder="1" applyAlignment="1">
      <alignment horizontal="center" vertical="center"/>
    </xf>
    <xf numFmtId="165" fontId="16" fillId="5" borderId="1" xfId="3" applyNumberFormat="1" applyFill="1" applyBorder="1" applyAlignment="1">
      <alignment horizontal="center" vertical="center"/>
    </xf>
    <xf numFmtId="166" fontId="16" fillId="5" borderId="1" xfId="3" applyNumberFormat="1" applyFill="1" applyBorder="1" applyAlignment="1">
      <alignment horizontal="center" vertical="center"/>
    </xf>
    <xf numFmtId="2" fontId="16" fillId="5" borderId="1" xfId="3" applyNumberFormat="1" applyFill="1" applyBorder="1" applyAlignment="1">
      <alignment horizontal="center" vertical="center"/>
    </xf>
    <xf numFmtId="0" fontId="14" fillId="0" borderId="0" xfId="1" applyFont="1" applyAlignment="1">
      <alignment horizontal="center" vertical="center"/>
    </xf>
    <xf numFmtId="0" fontId="14" fillId="3" borderId="1" xfId="1" applyFont="1" applyFill="1" applyBorder="1" applyAlignment="1">
      <alignment horizontal="center" vertical="center"/>
    </xf>
    <xf numFmtId="166" fontId="14" fillId="3" borderId="1" xfId="1" applyNumberFormat="1" applyFont="1" applyFill="1" applyBorder="1" applyAlignment="1">
      <alignment horizontal="center" vertical="center"/>
    </xf>
    <xf numFmtId="164" fontId="14" fillId="3" borderId="1" xfId="1" applyNumberFormat="1" applyFont="1" applyFill="1" applyBorder="1" applyAlignment="1">
      <alignment horizontal="center" vertical="center"/>
    </xf>
    <xf numFmtId="2" fontId="14" fillId="3" borderId="1" xfId="1" applyNumberFormat="1" applyFont="1" applyFill="1" applyBorder="1" applyAlignment="1">
      <alignment horizontal="center" vertical="center"/>
    </xf>
    <xf numFmtId="165" fontId="14" fillId="3" borderId="1" xfId="1" applyNumberFormat="1" applyFont="1" applyFill="1" applyBorder="1" applyAlignment="1">
      <alignment horizontal="center" vertical="center"/>
    </xf>
    <xf numFmtId="0" fontId="20" fillId="3" borderId="1" xfId="1" applyFont="1" applyFill="1" applyBorder="1" applyAlignment="1">
      <alignment horizontal="center" vertical="center"/>
    </xf>
    <xf numFmtId="14" fontId="16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14" fontId="16" fillId="6" borderId="1" xfId="3" applyNumberFormat="1" applyFill="1" applyBorder="1" applyAlignment="1">
      <alignment horizontal="center"/>
    </xf>
    <xf numFmtId="0" fontId="14" fillId="3" borderId="1" xfId="3" applyFont="1" applyFill="1" applyBorder="1" applyAlignment="1">
      <alignment horizontal="center" vertical="center"/>
    </xf>
    <xf numFmtId="0" fontId="0" fillId="0" borderId="0" xfId="0"/>
    <xf numFmtId="0" fontId="16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164" fontId="16" fillId="3" borderId="1" xfId="0" applyNumberFormat="1" applyFont="1" applyFill="1" applyBorder="1" applyAlignment="1">
      <alignment horizontal="center" vertical="center"/>
    </xf>
    <xf numFmtId="165" fontId="16" fillId="3" borderId="1" xfId="0" applyNumberFormat="1" applyFont="1" applyFill="1" applyBorder="1" applyAlignment="1">
      <alignment horizontal="center" vertical="center"/>
    </xf>
    <xf numFmtId="166" fontId="16" fillId="3" borderId="1" xfId="0" applyNumberFormat="1" applyFont="1" applyFill="1" applyBorder="1" applyAlignment="1">
      <alignment horizontal="center" vertical="center"/>
    </xf>
    <xf numFmtId="2" fontId="16" fillId="3" borderId="1" xfId="0" applyNumberFormat="1" applyFont="1" applyFill="1" applyBorder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6" fillId="0" borderId="1" xfId="3" applyFill="1" applyBorder="1" applyAlignment="1">
      <alignment horizontal="center" vertical="center"/>
    </xf>
    <xf numFmtId="0" fontId="17" fillId="0" borderId="1" xfId="3" applyFont="1" applyFill="1" applyBorder="1" applyAlignment="1">
      <alignment horizontal="center" vertical="center"/>
    </xf>
    <xf numFmtId="164" fontId="16" fillId="0" borderId="1" xfId="3" applyNumberFormat="1" applyFill="1" applyBorder="1" applyAlignment="1">
      <alignment horizontal="center" vertical="center"/>
    </xf>
    <xf numFmtId="165" fontId="16" fillId="0" borderId="1" xfId="3" applyNumberFormat="1" applyFill="1" applyBorder="1" applyAlignment="1">
      <alignment horizontal="center" vertical="center"/>
    </xf>
    <xf numFmtId="166" fontId="16" fillId="0" borderId="1" xfId="3" applyNumberFormat="1" applyFill="1" applyBorder="1" applyAlignment="1">
      <alignment horizontal="center" vertical="center"/>
    </xf>
    <xf numFmtId="2" fontId="16" fillId="0" borderId="1" xfId="3" applyNumberFormat="1" applyFill="1" applyBorder="1" applyAlignment="1">
      <alignment horizontal="center" vertical="center"/>
    </xf>
    <xf numFmtId="0" fontId="16" fillId="0" borderId="0" xfId="3" applyFill="1"/>
    <xf numFmtId="14" fontId="16" fillId="0" borderId="1" xfId="3" applyNumberFormat="1" applyFill="1" applyBorder="1" applyAlignment="1">
      <alignment horizontal="center" vertical="center"/>
    </xf>
    <xf numFmtId="0" fontId="23" fillId="4" borderId="1" xfId="3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14" fontId="24" fillId="0" borderId="0" xfId="0" applyNumberFormat="1" applyFont="1" applyAlignment="1">
      <alignment horizontal="center" vertical="center"/>
    </xf>
    <xf numFmtId="0" fontId="25" fillId="3" borderId="1" xfId="3" applyFont="1" applyFill="1" applyBorder="1" applyAlignment="1">
      <alignment horizontal="center" vertical="center"/>
    </xf>
    <xf numFmtId="0" fontId="26" fillId="3" borderId="1" xfId="3" applyFont="1" applyFill="1" applyBorder="1" applyAlignment="1">
      <alignment horizontal="center" vertical="center"/>
    </xf>
    <xf numFmtId="164" fontId="26" fillId="3" borderId="1" xfId="3" applyNumberFormat="1" applyFont="1" applyFill="1" applyBorder="1" applyAlignment="1">
      <alignment horizontal="center" vertical="center"/>
    </xf>
    <xf numFmtId="165" fontId="26" fillId="3" borderId="1" xfId="3" applyNumberFormat="1" applyFont="1" applyFill="1" applyBorder="1" applyAlignment="1">
      <alignment horizontal="center" vertical="center"/>
    </xf>
    <xf numFmtId="166" fontId="26" fillId="3" borderId="1" xfId="3" applyNumberFormat="1" applyFont="1" applyFill="1" applyBorder="1" applyAlignment="1">
      <alignment horizontal="center" vertical="center"/>
    </xf>
    <xf numFmtId="2" fontId="26" fillId="3" borderId="1" xfId="3" applyNumberFormat="1" applyFont="1" applyFill="1" applyBorder="1" applyAlignment="1">
      <alignment horizontal="center" vertical="center"/>
    </xf>
    <xf numFmtId="14" fontId="26" fillId="3" borderId="1" xfId="3" applyNumberFormat="1" applyFont="1" applyFill="1" applyBorder="1" applyAlignment="1">
      <alignment horizontal="center" vertical="center"/>
    </xf>
    <xf numFmtId="0" fontId="25" fillId="2" borderId="1" xfId="3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4" fillId="0" borderId="0" xfId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20" fillId="3" borderId="1" xfId="3" applyFont="1" applyFill="1" applyBorder="1" applyAlignment="1">
      <alignment horizontal="center" vertical="center"/>
    </xf>
    <xf numFmtId="164" fontId="14" fillId="3" borderId="1" xfId="3" applyNumberFormat="1" applyFont="1" applyFill="1" applyBorder="1" applyAlignment="1">
      <alignment horizontal="center" vertical="center"/>
    </xf>
    <xf numFmtId="165" fontId="14" fillId="3" borderId="1" xfId="3" applyNumberFormat="1" applyFont="1" applyFill="1" applyBorder="1" applyAlignment="1">
      <alignment horizontal="center" vertical="center"/>
    </xf>
    <xf numFmtId="166" fontId="14" fillId="3" borderId="1" xfId="3" applyNumberFormat="1" applyFont="1" applyFill="1" applyBorder="1" applyAlignment="1">
      <alignment horizontal="center" vertical="center"/>
    </xf>
    <xf numFmtId="2" fontId="14" fillId="3" borderId="1" xfId="3" applyNumberFormat="1" applyFont="1" applyFill="1" applyBorder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16" fillId="7" borderId="1" xfId="3" applyFill="1" applyBorder="1" applyAlignment="1">
      <alignment horizontal="center" vertical="center"/>
    </xf>
    <xf numFmtId="0" fontId="17" fillId="7" borderId="1" xfId="3" applyFont="1" applyFill="1" applyBorder="1" applyAlignment="1">
      <alignment horizontal="center" vertical="center"/>
    </xf>
    <xf numFmtId="164" fontId="16" fillId="7" borderId="1" xfId="3" applyNumberFormat="1" applyFill="1" applyBorder="1" applyAlignment="1">
      <alignment horizontal="center" vertical="center"/>
    </xf>
    <xf numFmtId="165" fontId="16" fillId="7" borderId="1" xfId="3" applyNumberFormat="1" applyFill="1" applyBorder="1" applyAlignment="1">
      <alignment horizontal="center" vertical="center"/>
    </xf>
    <xf numFmtId="166" fontId="16" fillId="7" borderId="1" xfId="3" applyNumberFormat="1" applyFill="1" applyBorder="1" applyAlignment="1">
      <alignment horizontal="center" vertical="center"/>
    </xf>
    <xf numFmtId="2" fontId="16" fillId="7" borderId="1" xfId="3" applyNumberFormat="1" applyFill="1" applyBorder="1" applyAlignment="1">
      <alignment horizontal="center" vertical="center"/>
    </xf>
    <xf numFmtId="0" fontId="16" fillId="7" borderId="0" xfId="3" applyFill="1"/>
    <xf numFmtId="164" fontId="24" fillId="0" borderId="0" xfId="0" applyNumberFormat="1" applyFont="1" applyAlignment="1">
      <alignment horizontal="center" vertical="center"/>
    </xf>
    <xf numFmtId="0" fontId="14" fillId="0" borderId="0" xfId="3" applyFont="1"/>
    <xf numFmtId="0" fontId="5" fillId="2" borderId="1" xfId="3" applyFont="1" applyFill="1" applyBorder="1" applyAlignment="1">
      <alignment horizontal="right"/>
    </xf>
    <xf numFmtId="0" fontId="5" fillId="2" borderId="1" xfId="3" applyFont="1" applyFill="1" applyBorder="1" applyAlignment="1">
      <alignment horizontal="left"/>
    </xf>
    <xf numFmtId="0" fontId="4" fillId="3" borderId="1" xfId="3" applyFont="1" applyFill="1" applyBorder="1" applyAlignment="1">
      <alignment horizontal="right"/>
    </xf>
    <xf numFmtId="166" fontId="4" fillId="3" borderId="1" xfId="3" applyNumberFormat="1" applyFont="1" applyFill="1" applyBorder="1" applyAlignment="1">
      <alignment horizontal="right"/>
    </xf>
    <xf numFmtId="164" fontId="4" fillId="3" borderId="1" xfId="3" applyNumberFormat="1" applyFont="1" applyFill="1" applyBorder="1" applyAlignment="1">
      <alignment horizontal="right"/>
    </xf>
    <xf numFmtId="2" fontId="4" fillId="3" borderId="1" xfId="3" applyNumberFormat="1" applyFont="1" applyFill="1" applyBorder="1" applyAlignment="1">
      <alignment horizontal="right"/>
    </xf>
    <xf numFmtId="165" fontId="4" fillId="3" borderId="1" xfId="3" applyNumberFormat="1" applyFont="1" applyFill="1" applyBorder="1" applyAlignment="1">
      <alignment horizontal="right"/>
    </xf>
    <xf numFmtId="0" fontId="4" fillId="3" borderId="1" xfId="3" applyFont="1" applyFill="1" applyBorder="1" applyAlignment="1">
      <alignment horizontal="left"/>
    </xf>
    <xf numFmtId="164" fontId="4" fillId="3" borderId="1" xfId="3" applyNumberFormat="1" applyFont="1" applyFill="1" applyBorder="1" applyAlignment="1">
      <alignment horizontal="left"/>
    </xf>
    <xf numFmtId="0" fontId="5" fillId="3" borderId="1" xfId="3" applyFont="1" applyFill="1" applyBorder="1" applyAlignment="1">
      <alignment horizontal="left"/>
    </xf>
    <xf numFmtId="0" fontId="3" fillId="4" borderId="1" xfId="3" applyFont="1" applyFill="1" applyBorder="1" applyAlignment="1">
      <alignment horizontal="center" vertical="center" wrapText="1"/>
    </xf>
    <xf numFmtId="0" fontId="16" fillId="6" borderId="1" xfId="3" applyFill="1" applyBorder="1" applyAlignment="1">
      <alignment horizontal="center" vertical="center"/>
    </xf>
    <xf numFmtId="0" fontId="17" fillId="6" borderId="1" xfId="3" applyFont="1" applyFill="1" applyBorder="1" applyAlignment="1">
      <alignment horizontal="center" vertical="center"/>
    </xf>
    <xf numFmtId="164" fontId="16" fillId="6" borderId="1" xfId="3" applyNumberFormat="1" applyFill="1" applyBorder="1" applyAlignment="1">
      <alignment horizontal="center" vertical="center"/>
    </xf>
    <xf numFmtId="165" fontId="16" fillId="6" borderId="1" xfId="3" applyNumberFormat="1" applyFill="1" applyBorder="1" applyAlignment="1">
      <alignment horizontal="center" vertical="center"/>
    </xf>
    <xf numFmtId="166" fontId="16" fillId="6" borderId="1" xfId="3" applyNumberFormat="1" applyFill="1" applyBorder="1" applyAlignment="1">
      <alignment horizontal="center" vertical="center"/>
    </xf>
    <xf numFmtId="2" fontId="16" fillId="6" borderId="1" xfId="3" applyNumberFormat="1" applyFill="1" applyBorder="1" applyAlignment="1">
      <alignment horizontal="center" vertical="center"/>
    </xf>
    <xf numFmtId="1" fontId="4" fillId="0" borderId="0" xfId="1" applyNumberFormat="1"/>
    <xf numFmtId="1" fontId="3" fillId="4" borderId="1" xfId="1" applyNumberFormat="1" applyFont="1" applyFill="1" applyBorder="1" applyAlignment="1">
      <alignment horizontal="center" vertical="center" wrapText="1"/>
    </xf>
    <xf numFmtId="0" fontId="16" fillId="6" borderId="0" xfId="3" applyFill="1" applyAlignment="1">
      <alignment horizontal="center" vertical="center"/>
    </xf>
    <xf numFmtId="0" fontId="18" fillId="4" borderId="3" xfId="3" applyFont="1" applyFill="1" applyBorder="1" applyAlignment="1">
      <alignment horizontal="center" vertical="center" wrapText="1"/>
    </xf>
    <xf numFmtId="0" fontId="17" fillId="2" borderId="4" xfId="3" applyFont="1" applyFill="1" applyBorder="1" applyAlignment="1">
      <alignment horizontal="center" vertical="center"/>
    </xf>
    <xf numFmtId="0" fontId="16" fillId="6" borderId="2" xfId="3" applyFill="1" applyBorder="1" applyAlignment="1">
      <alignment horizontal="center" vertical="center"/>
    </xf>
    <xf numFmtId="0" fontId="17" fillId="6" borderId="2" xfId="3" applyFont="1" applyFill="1" applyBorder="1" applyAlignment="1">
      <alignment horizontal="center" vertical="center"/>
    </xf>
    <xf numFmtId="164" fontId="16" fillId="6" borderId="2" xfId="3" applyNumberFormat="1" applyFill="1" applyBorder="1" applyAlignment="1">
      <alignment horizontal="center" vertical="center"/>
    </xf>
    <xf numFmtId="165" fontId="16" fillId="6" borderId="2" xfId="3" applyNumberFormat="1" applyFill="1" applyBorder="1" applyAlignment="1">
      <alignment horizontal="center" vertical="center"/>
    </xf>
    <xf numFmtId="166" fontId="16" fillId="6" borderId="2" xfId="3" applyNumberFormat="1" applyFill="1" applyBorder="1" applyAlignment="1">
      <alignment horizontal="center" vertical="center"/>
    </xf>
    <xf numFmtId="2" fontId="16" fillId="6" borderId="2" xfId="3" applyNumberFormat="1" applyFill="1" applyBorder="1" applyAlignment="1">
      <alignment horizontal="center" vertical="center"/>
    </xf>
    <xf numFmtId="0" fontId="27" fillId="6" borderId="2" xfId="4" applyFill="1" applyBorder="1" applyAlignment="1">
      <alignment horizontal="center" vertical="center"/>
    </xf>
    <xf numFmtId="0" fontId="4" fillId="6" borderId="2" xfId="1" applyFill="1" applyBorder="1" applyAlignment="1">
      <alignment horizontal="center" vertical="center"/>
    </xf>
    <xf numFmtId="0" fontId="5" fillId="6" borderId="2" xfId="1" applyFont="1" applyFill="1" applyBorder="1" applyAlignment="1">
      <alignment horizontal="center" vertical="center"/>
    </xf>
    <xf numFmtId="164" fontId="4" fillId="6" borderId="2" xfId="1" applyNumberFormat="1" applyFill="1" applyBorder="1" applyAlignment="1">
      <alignment horizontal="center" vertical="center"/>
    </xf>
    <xf numFmtId="165" fontId="4" fillId="6" borderId="2" xfId="1" applyNumberFormat="1" applyFill="1" applyBorder="1" applyAlignment="1">
      <alignment horizontal="center" vertical="center"/>
    </xf>
    <xf numFmtId="166" fontId="4" fillId="6" borderId="2" xfId="1" applyNumberFormat="1" applyFill="1" applyBorder="1" applyAlignment="1">
      <alignment horizontal="center" vertical="center"/>
    </xf>
    <xf numFmtId="2" fontId="4" fillId="6" borderId="2" xfId="1" applyNumberForma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165" fontId="16" fillId="5" borderId="1" xfId="0" applyNumberFormat="1" applyFont="1" applyFill="1" applyBorder="1" applyAlignment="1">
      <alignment horizontal="center" vertical="center"/>
    </xf>
    <xf numFmtId="166" fontId="16" fillId="5" borderId="1" xfId="0" applyNumberFormat="1" applyFont="1" applyFill="1" applyBorder="1" applyAlignment="1">
      <alignment horizontal="center" vertical="center"/>
    </xf>
    <xf numFmtId="2" fontId="16" fillId="5" borderId="1" xfId="0" applyNumberFormat="1" applyFont="1" applyFill="1" applyBorder="1" applyAlignment="1">
      <alignment horizontal="center" vertic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4" fillId="0" borderId="0" xfId="1" applyAlignment="1">
      <alignment wrapText="1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" fontId="4" fillId="6" borderId="1" xfId="1" applyNumberForma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7" fillId="6" borderId="1" xfId="0" applyFont="1" applyFill="1" applyBorder="1" applyAlignment="1">
      <alignment horizontal="center" vertical="center"/>
    </xf>
    <xf numFmtId="164" fontId="16" fillId="6" borderId="1" xfId="0" applyNumberFormat="1" applyFont="1" applyFill="1" applyBorder="1" applyAlignment="1">
      <alignment horizontal="center" vertical="center"/>
    </xf>
    <xf numFmtId="165" fontId="16" fillId="6" borderId="1" xfId="0" applyNumberFormat="1" applyFont="1" applyFill="1" applyBorder="1" applyAlignment="1">
      <alignment horizontal="center" vertical="center"/>
    </xf>
    <xf numFmtId="166" fontId="16" fillId="6" borderId="1" xfId="0" applyNumberFormat="1" applyFont="1" applyFill="1" applyBorder="1" applyAlignment="1">
      <alignment horizontal="center" vertical="center"/>
    </xf>
    <xf numFmtId="2" fontId="16" fillId="6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" fontId="5" fillId="2" borderId="1" xfId="1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/>
    </xf>
    <xf numFmtId="0" fontId="17" fillId="3" borderId="1" xfId="0" applyFont="1" applyFill="1" applyBorder="1" applyAlignment="1">
      <alignment horizontal="center"/>
    </xf>
    <xf numFmtId="164" fontId="16" fillId="3" borderId="1" xfId="0" applyNumberFormat="1" applyFont="1" applyFill="1" applyBorder="1" applyAlignment="1">
      <alignment horizontal="center"/>
    </xf>
    <xf numFmtId="165" fontId="16" fillId="3" borderId="1" xfId="0" applyNumberFormat="1" applyFont="1" applyFill="1" applyBorder="1" applyAlignment="1">
      <alignment horizontal="center"/>
    </xf>
    <xf numFmtId="166" fontId="16" fillId="3" borderId="1" xfId="0" applyNumberFormat="1" applyFont="1" applyFill="1" applyBorder="1" applyAlignment="1">
      <alignment horizontal="center"/>
    </xf>
    <xf numFmtId="2" fontId="16" fillId="3" borderId="1" xfId="0" applyNumberFormat="1" applyFont="1" applyFill="1" applyBorder="1" applyAlignment="1">
      <alignment horizontal="center"/>
    </xf>
    <xf numFmtId="0" fontId="3" fillId="4" borderId="1" xfId="1" applyFont="1" applyFill="1" applyBorder="1" applyAlignment="1">
      <alignment horizontal="center" wrapText="1"/>
    </xf>
    <xf numFmtId="0" fontId="4" fillId="3" borderId="1" xfId="1" applyFill="1" applyBorder="1" applyAlignment="1">
      <alignment horizontal="center"/>
    </xf>
    <xf numFmtId="0" fontId="5" fillId="3" borderId="1" xfId="1" applyFont="1" applyFill="1" applyBorder="1" applyAlignment="1">
      <alignment horizontal="center"/>
    </xf>
    <xf numFmtId="164" fontId="4" fillId="3" borderId="1" xfId="1" applyNumberFormat="1" applyFill="1" applyBorder="1" applyAlignment="1">
      <alignment horizontal="center"/>
    </xf>
    <xf numFmtId="165" fontId="4" fillId="3" borderId="1" xfId="1" applyNumberFormat="1" applyFill="1" applyBorder="1" applyAlignment="1">
      <alignment horizontal="center"/>
    </xf>
    <xf numFmtId="166" fontId="4" fillId="3" borderId="1" xfId="1" applyNumberFormat="1" applyFill="1" applyBorder="1" applyAlignment="1">
      <alignment horizontal="center"/>
    </xf>
    <xf numFmtId="2" fontId="4" fillId="3" borderId="1" xfId="1" applyNumberFormat="1" applyFill="1" applyBorder="1" applyAlignment="1">
      <alignment horizontal="center"/>
    </xf>
    <xf numFmtId="0" fontId="5" fillId="3" borderId="1" xfId="3" applyFont="1" applyFill="1" applyBorder="1" applyAlignment="1">
      <alignment horizontal="center"/>
    </xf>
    <xf numFmtId="0" fontId="4" fillId="3" borderId="1" xfId="3" applyFont="1" applyFill="1" applyBorder="1" applyAlignment="1">
      <alignment horizontal="center"/>
    </xf>
    <xf numFmtId="164" fontId="4" fillId="3" borderId="1" xfId="3" applyNumberFormat="1" applyFont="1" applyFill="1" applyBorder="1" applyAlignment="1">
      <alignment horizontal="center"/>
    </xf>
    <xf numFmtId="165" fontId="4" fillId="3" borderId="1" xfId="3" applyNumberFormat="1" applyFont="1" applyFill="1" applyBorder="1" applyAlignment="1">
      <alignment horizontal="center"/>
    </xf>
    <xf numFmtId="166" fontId="4" fillId="3" borderId="1" xfId="3" applyNumberFormat="1" applyFont="1" applyFill="1" applyBorder="1" applyAlignment="1">
      <alignment horizontal="center"/>
    </xf>
    <xf numFmtId="2" fontId="4" fillId="3" borderId="1" xfId="3" applyNumberFormat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/>
    </xf>
    <xf numFmtId="0" fontId="0" fillId="0" borderId="0" xfId="0" applyFont="1" applyAlignment="1">
      <alignment vertical="center" wrapText="1"/>
    </xf>
    <xf numFmtId="49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164" fontId="2" fillId="0" borderId="0" xfId="0" applyNumberFormat="1" applyFont="1" applyAlignment="1">
      <alignment vertical="center" wrapText="1"/>
    </xf>
    <xf numFmtId="165" fontId="2" fillId="0" borderId="0" xfId="0" applyNumberFormat="1" applyFont="1" applyAlignment="1">
      <alignment vertical="center" wrapText="1"/>
    </xf>
    <xf numFmtId="166" fontId="2" fillId="0" borderId="0" xfId="0" applyNumberFormat="1" applyFont="1" applyAlignment="1">
      <alignment vertical="center" wrapText="1"/>
    </xf>
    <xf numFmtId="2" fontId="2" fillId="0" borderId="0" xfId="0" applyNumberFormat="1" applyFont="1" applyAlignment="1">
      <alignment vertical="center" wrapText="1"/>
    </xf>
    <xf numFmtId="0" fontId="28" fillId="0" borderId="0" xfId="5"/>
    <xf numFmtId="0" fontId="29" fillId="2" borderId="1" xfId="5" applyFont="1" applyFill="1" applyBorder="1" applyAlignment="1">
      <alignment horizontal="right"/>
    </xf>
    <xf numFmtId="0" fontId="29" fillId="2" borderId="1" xfId="5" applyFont="1" applyFill="1" applyBorder="1" applyAlignment="1">
      <alignment horizontal="left"/>
    </xf>
    <xf numFmtId="0" fontId="30" fillId="4" borderId="1" xfId="5" applyFont="1" applyFill="1" applyBorder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4" fillId="3" borderId="1" xfId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left"/>
    </xf>
    <xf numFmtId="164" fontId="4" fillId="3" borderId="1" xfId="1" applyNumberFormat="1" applyFont="1" applyFill="1" applyBorder="1" applyAlignment="1">
      <alignment horizontal="right"/>
    </xf>
    <xf numFmtId="165" fontId="4" fillId="3" borderId="1" xfId="1" applyNumberFormat="1" applyFont="1" applyFill="1" applyBorder="1" applyAlignment="1">
      <alignment horizontal="right"/>
    </xf>
    <xf numFmtId="166" fontId="4" fillId="3" borderId="1" xfId="1" applyNumberFormat="1" applyFont="1" applyFill="1" applyBorder="1" applyAlignment="1">
      <alignment horizontal="right"/>
    </xf>
    <xf numFmtId="2" fontId="4" fillId="3" borderId="1" xfId="1" applyNumberFormat="1" applyFont="1" applyFill="1" applyBorder="1" applyAlignment="1">
      <alignment horizontal="right"/>
    </xf>
    <xf numFmtId="0" fontId="4" fillId="3" borderId="1" xfId="1" applyFont="1" applyFill="1" applyBorder="1" applyAlignment="1">
      <alignment horizontal="right"/>
    </xf>
    <xf numFmtId="0" fontId="4" fillId="0" borderId="0" xfId="1" applyFont="1"/>
    <xf numFmtId="0" fontId="8" fillId="0" borderId="0" xfId="1" applyFont="1"/>
    <xf numFmtId="0" fontId="31" fillId="0" borderId="0" xfId="5" applyFont="1"/>
    <xf numFmtId="0" fontId="8" fillId="0" borderId="0" xfId="1" applyFont="1" applyAlignment="1">
      <alignment horizontal="center" vertical="center"/>
    </xf>
    <xf numFmtId="0" fontId="8" fillId="0" borderId="0" xfId="3" applyFont="1"/>
    <xf numFmtId="0" fontId="19" fillId="0" borderId="0" xfId="3" applyFont="1"/>
    <xf numFmtId="0" fontId="8" fillId="0" borderId="0" xfId="1" applyFont="1" applyAlignment="1">
      <alignment horizontal="center"/>
    </xf>
    <xf numFmtId="0" fontId="22" fillId="0" borderId="0" xfId="3" applyFont="1"/>
    <xf numFmtId="0" fontId="8" fillId="0" borderId="0" xfId="3" applyFont="1" applyAlignment="1">
      <alignment horizontal="center" vertical="center"/>
    </xf>
    <xf numFmtId="0" fontId="13" fillId="0" borderId="0" xfId="1" applyFont="1"/>
    <xf numFmtId="0" fontId="8" fillId="0" borderId="0" xfId="2" applyFont="1"/>
    <xf numFmtId="0" fontId="28" fillId="3" borderId="1" xfId="5" applyFill="1" applyBorder="1" applyAlignment="1">
      <alignment horizontal="center" vertical="center"/>
    </xf>
    <xf numFmtId="0" fontId="29" fillId="3" borderId="1" xfId="5" applyFont="1" applyFill="1" applyBorder="1" applyAlignment="1">
      <alignment horizontal="center" vertical="center"/>
    </xf>
    <xf numFmtId="164" fontId="28" fillId="3" borderId="1" xfId="5" applyNumberFormat="1" applyFill="1" applyBorder="1" applyAlignment="1">
      <alignment horizontal="center" vertical="center"/>
    </xf>
    <xf numFmtId="165" fontId="28" fillId="3" borderId="1" xfId="5" applyNumberFormat="1" applyFill="1" applyBorder="1" applyAlignment="1">
      <alignment horizontal="center" vertical="center"/>
    </xf>
    <xf numFmtId="166" fontId="28" fillId="3" borderId="1" xfId="5" applyNumberFormat="1" applyFill="1" applyBorder="1" applyAlignment="1">
      <alignment horizontal="center" vertical="center"/>
    </xf>
    <xf numFmtId="2" fontId="28" fillId="3" borderId="1" xfId="5" applyNumberFormat="1" applyFill="1" applyBorder="1" applyAlignment="1">
      <alignment horizontal="center" vertical="center"/>
    </xf>
    <xf numFmtId="0" fontId="28" fillId="0" borderId="0" xfId="5" applyAlignment="1">
      <alignment horizontal="center" vertical="center"/>
    </xf>
    <xf numFmtId="0" fontId="32" fillId="0" borderId="0" xfId="5" applyFont="1"/>
    <xf numFmtId="0" fontId="29" fillId="2" borderId="1" xfId="5" applyFont="1" applyFill="1" applyBorder="1" applyAlignment="1">
      <alignment horizontal="center" vertical="center"/>
    </xf>
    <xf numFmtId="0" fontId="19" fillId="0" borderId="0" xfId="1" applyFont="1"/>
    <xf numFmtId="0" fontId="0" fillId="0" borderId="0" xfId="0" applyFont="1" applyAlignment="1">
      <alignment horizontal="center" wrapText="1"/>
    </xf>
    <xf numFmtId="49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164" fontId="1" fillId="0" borderId="0" xfId="0" applyNumberFormat="1" applyFont="1" applyAlignment="1">
      <alignment horizontal="center" wrapText="1"/>
    </xf>
    <xf numFmtId="165" fontId="1" fillId="0" borderId="0" xfId="0" applyNumberFormat="1" applyFont="1" applyAlignment="1">
      <alignment horizontal="center" wrapText="1"/>
    </xf>
    <xf numFmtId="166" fontId="1" fillId="0" borderId="0" xfId="0" applyNumberFormat="1" applyFont="1" applyAlignment="1">
      <alignment horizontal="center" wrapText="1"/>
    </xf>
    <xf numFmtId="2" fontId="1" fillId="0" borderId="0" xfId="0" applyNumberFormat="1" applyFont="1" applyAlignment="1">
      <alignment horizontal="center" wrapText="1"/>
    </xf>
    <xf numFmtId="49" fontId="0" fillId="0" borderId="0" xfId="0" applyNumberFormat="1" applyFont="1" applyAlignment="1">
      <alignment horizontal="center" wrapText="1"/>
    </xf>
  </cellXfs>
  <cellStyles count="6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5" xfId="4" xr:uid="{76F4BEFF-C688-4D35-9AA7-FE078B85BB07}"/>
    <cellStyle name="Normal 6" xfId="5" xr:uid="{31F266F8-D672-4957-8B65-75367377C392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D3CCD-3F37-471E-81D5-E2828E46FF81}">
  <dimension ref="A1:AC7"/>
  <sheetViews>
    <sheetView tabSelected="1" workbookViewId="0">
      <selection activeCell="H35" sqref="H35"/>
    </sheetView>
  </sheetViews>
  <sheetFormatPr defaultRowHeight="14.4" x14ac:dyDescent="0.3"/>
  <cols>
    <col min="1" max="1" width="9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.21875" style="1" customWidth="1"/>
    <col min="6" max="6" width="7.21875" style="1" customWidth="1"/>
    <col min="7" max="7" width="5.44140625" style="1" customWidth="1"/>
    <col min="8" max="9" width="6.6640625" style="1" customWidth="1"/>
    <col min="10" max="10" width="8.88671875" style="1" customWidth="1"/>
    <col min="11" max="11" width="10.55468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6.33203125" style="1" customWidth="1"/>
    <col min="18" max="18" width="3.44140625" style="1" customWidth="1"/>
    <col min="19" max="19" width="6.5546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33203125" style="1" customWidth="1"/>
    <col min="25" max="25" width="7.44140625" style="1" customWidth="1"/>
    <col min="26" max="26" width="8.88671875" style="1" customWidth="1"/>
    <col min="27" max="27" width="8.6640625" style="1" customWidth="1"/>
    <col min="28" max="28" width="3.88671875" style="1" customWidth="1"/>
    <col min="29" max="29" width="10.77734375" style="1" customWidth="1"/>
    <col min="30" max="16384" width="8.88671875" style="1"/>
  </cols>
  <sheetData>
    <row r="1" spans="1:29" ht="18" customHeight="1" x14ac:dyDescent="0.35">
      <c r="A1" s="279" t="s">
        <v>771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  <c r="AC1" s="279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/>
      <c r="B3" s="128" t="s">
        <v>471</v>
      </c>
      <c r="C3" s="126" t="s">
        <v>581</v>
      </c>
      <c r="D3" s="126" t="s">
        <v>761</v>
      </c>
      <c r="E3" s="126">
        <v>262977</v>
      </c>
      <c r="F3" s="126" t="s">
        <v>768</v>
      </c>
      <c r="G3" s="126">
        <v>600</v>
      </c>
      <c r="H3" s="127">
        <v>0.46500000000000002</v>
      </c>
      <c r="I3" s="127">
        <v>0.91</v>
      </c>
      <c r="J3" s="126" t="s">
        <v>27</v>
      </c>
      <c r="K3" s="126" t="s">
        <v>33</v>
      </c>
      <c r="L3" s="126" t="s">
        <v>27</v>
      </c>
      <c r="M3" s="123">
        <v>253.89</v>
      </c>
      <c r="N3" s="125">
        <v>182</v>
      </c>
      <c r="O3" s="122">
        <v>1.6899999999999998E-2</v>
      </c>
      <c r="P3" s="124">
        <v>1.01</v>
      </c>
      <c r="Q3" s="121">
        <v>98.5</v>
      </c>
      <c r="R3" s="121">
        <v>3</v>
      </c>
      <c r="S3" s="121">
        <v>1450</v>
      </c>
      <c r="T3" s="123">
        <v>1.395</v>
      </c>
      <c r="U3" s="121">
        <v>55</v>
      </c>
      <c r="V3" s="122">
        <v>3.7900000000000003E-2</v>
      </c>
      <c r="W3" s="121" t="s">
        <v>37</v>
      </c>
      <c r="X3" s="121" t="s">
        <v>29</v>
      </c>
      <c r="Y3" s="121" t="s">
        <v>29</v>
      </c>
      <c r="Z3" s="121" t="s">
        <v>27</v>
      </c>
      <c r="AA3" s="121" t="s">
        <v>27</v>
      </c>
      <c r="AB3" s="121" t="s">
        <v>38</v>
      </c>
      <c r="AC3" s="121" t="s">
        <v>770</v>
      </c>
    </row>
    <row r="4" spans="1:29" x14ac:dyDescent="0.3">
      <c r="A4" s="126"/>
      <c r="B4" s="128" t="s">
        <v>471</v>
      </c>
      <c r="C4" s="126" t="s">
        <v>55</v>
      </c>
      <c r="D4" s="126" t="s">
        <v>761</v>
      </c>
      <c r="E4" s="126">
        <v>262975</v>
      </c>
      <c r="F4" s="126" t="s">
        <v>768</v>
      </c>
      <c r="G4" s="126">
        <v>500</v>
      </c>
      <c r="H4" s="127">
        <v>0.44500000000000001</v>
      </c>
      <c r="I4" s="127">
        <v>0.87</v>
      </c>
      <c r="J4" s="126" t="s">
        <v>27</v>
      </c>
      <c r="K4" s="126" t="s">
        <v>33</v>
      </c>
      <c r="L4" s="126" t="s">
        <v>27</v>
      </c>
      <c r="M4" s="123">
        <v>193.57499999999999</v>
      </c>
      <c r="N4" s="125">
        <v>145</v>
      </c>
      <c r="O4" s="122">
        <v>1.34E-2</v>
      </c>
      <c r="P4" s="124">
        <v>0.81</v>
      </c>
      <c r="Q4" s="121">
        <v>70.7</v>
      </c>
      <c r="R4" s="121">
        <v>3</v>
      </c>
      <c r="S4" s="121">
        <v>1400</v>
      </c>
      <c r="T4" s="123">
        <v>1.335</v>
      </c>
      <c r="U4" s="121">
        <v>65</v>
      </c>
      <c r="V4" s="122">
        <v>4.6399999999999997E-2</v>
      </c>
      <c r="W4" s="121" t="s">
        <v>37</v>
      </c>
      <c r="X4" s="121" t="s">
        <v>29</v>
      </c>
      <c r="Y4" s="121" t="s">
        <v>34</v>
      </c>
      <c r="Z4" s="121" t="s">
        <v>27</v>
      </c>
      <c r="AA4" s="121" t="s">
        <v>27</v>
      </c>
      <c r="AB4" s="121" t="s">
        <v>38</v>
      </c>
      <c r="AC4" s="121" t="s">
        <v>473</v>
      </c>
    </row>
    <row r="5" spans="1:29" x14ac:dyDescent="0.3">
      <c r="A5" s="126"/>
      <c r="B5" s="128" t="s">
        <v>471</v>
      </c>
      <c r="C5" s="126" t="s">
        <v>55</v>
      </c>
      <c r="D5" s="126" t="s">
        <v>761</v>
      </c>
      <c r="E5" s="126">
        <v>262976</v>
      </c>
      <c r="F5" s="126" t="s">
        <v>768</v>
      </c>
      <c r="G5" s="126">
        <v>500</v>
      </c>
      <c r="H5" s="127">
        <v>0.31</v>
      </c>
      <c r="I5" s="127">
        <v>0.61</v>
      </c>
      <c r="J5" s="126" t="s">
        <v>27</v>
      </c>
      <c r="K5" s="126" t="s">
        <v>33</v>
      </c>
      <c r="L5" s="126" t="s">
        <v>27</v>
      </c>
      <c r="M5" s="123">
        <v>94.55</v>
      </c>
      <c r="N5" s="125">
        <v>76.3</v>
      </c>
      <c r="O5" s="122">
        <v>5.3E-3</v>
      </c>
      <c r="P5" s="124">
        <v>0.32</v>
      </c>
      <c r="Q5" s="121">
        <v>34.5</v>
      </c>
      <c r="R5" s="121">
        <v>4</v>
      </c>
      <c r="S5" s="121">
        <v>1300</v>
      </c>
      <c r="T5" s="123">
        <v>1.24</v>
      </c>
      <c r="U5" s="121">
        <v>60</v>
      </c>
      <c r="V5" s="122">
        <v>4.6199999999999998E-2</v>
      </c>
      <c r="W5" s="121" t="s">
        <v>37</v>
      </c>
      <c r="X5" s="121" t="s">
        <v>29</v>
      </c>
      <c r="Y5" s="121" t="s">
        <v>34</v>
      </c>
      <c r="Z5" s="121" t="s">
        <v>27</v>
      </c>
      <c r="AA5" s="121" t="s">
        <v>27</v>
      </c>
      <c r="AB5" s="121" t="s">
        <v>38</v>
      </c>
      <c r="AC5" s="121" t="s">
        <v>769</v>
      </c>
    </row>
    <row r="6" spans="1:29" x14ac:dyDescent="0.3">
      <c r="A6" s="126"/>
      <c r="B6" s="128" t="s">
        <v>471</v>
      </c>
      <c r="C6" s="126" t="s">
        <v>581</v>
      </c>
      <c r="D6" s="126" t="s">
        <v>761</v>
      </c>
      <c r="E6" s="126">
        <v>262978</v>
      </c>
      <c r="F6" s="126" t="s">
        <v>768</v>
      </c>
      <c r="G6" s="126">
        <v>600</v>
      </c>
      <c r="H6" s="127">
        <v>0.55300000000000005</v>
      </c>
      <c r="I6" s="127">
        <v>1.095</v>
      </c>
      <c r="J6" s="126" t="s">
        <v>27</v>
      </c>
      <c r="K6" s="126" t="s">
        <v>33</v>
      </c>
      <c r="L6" s="126" t="s">
        <v>27</v>
      </c>
      <c r="M6" s="123">
        <v>363.32100000000003</v>
      </c>
      <c r="N6" s="125">
        <v>328.5</v>
      </c>
      <c r="O6" s="122">
        <v>4.5600000000000002E-2</v>
      </c>
      <c r="P6" s="124">
        <v>2.74</v>
      </c>
      <c r="Q6" s="121">
        <v>141</v>
      </c>
      <c r="R6" s="121">
        <v>2</v>
      </c>
      <c r="S6" s="121">
        <v>1150</v>
      </c>
      <c r="T6" s="123">
        <v>1.1060000000000001</v>
      </c>
      <c r="U6" s="121">
        <v>44</v>
      </c>
      <c r="V6" s="122">
        <v>3.8300000000000001E-2</v>
      </c>
      <c r="W6" s="121" t="s">
        <v>37</v>
      </c>
      <c r="X6" s="121" t="s">
        <v>29</v>
      </c>
      <c r="Y6" s="121" t="s">
        <v>29</v>
      </c>
      <c r="Z6" s="121" t="s">
        <v>27</v>
      </c>
      <c r="AA6" s="121" t="s">
        <v>27</v>
      </c>
      <c r="AB6" s="121" t="s">
        <v>38</v>
      </c>
      <c r="AC6" s="121" t="s">
        <v>767</v>
      </c>
    </row>
    <row r="7" spans="1:29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2200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344.6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ACB4-6A18-4568-80FD-7F4979C867A9}">
  <dimension ref="A1:AC7"/>
  <sheetViews>
    <sheetView workbookViewId="0">
      <selection activeCell="H13" sqref="H13"/>
    </sheetView>
  </sheetViews>
  <sheetFormatPr defaultRowHeight="14.4" x14ac:dyDescent="0.3"/>
  <cols>
    <col min="1" max="1" width="4.5546875" style="1" customWidth="1"/>
    <col min="2" max="2" width="20.77734375" style="1" hidden="1" customWidth="1"/>
    <col min="3" max="3" width="6.88671875" style="1" customWidth="1"/>
    <col min="4" max="4" width="11.77734375" style="1" hidden="1" customWidth="1"/>
    <col min="5" max="5" width="7.44140625" style="1" customWidth="1"/>
    <col min="6" max="6" width="6.44140625" style="1" customWidth="1"/>
    <col min="7" max="7" width="6.5546875" style="1" customWidth="1"/>
    <col min="8" max="8" width="6.6640625" style="1" customWidth="1"/>
    <col min="9" max="9" width="7.33203125" style="1" customWidth="1"/>
    <col min="10" max="10" width="8.44140625" style="1" customWidth="1"/>
    <col min="11" max="11" width="10.88671875" style="1" customWidth="1"/>
    <col min="12" max="12" width="8.8867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8.77734375" style="1" customWidth="1"/>
    <col min="18" max="18" width="3.88671875" style="1" customWidth="1"/>
    <col min="19" max="19" width="6.77734375" style="1" customWidth="1"/>
    <col min="20" max="20" width="6.21875" style="1" customWidth="1"/>
    <col min="21" max="21" width="11.77734375" style="1" hidden="1" customWidth="1"/>
    <col min="22" max="22" width="8.77734375" style="1" hidden="1" customWidth="1"/>
    <col min="23" max="25" width="7.6640625" style="1" customWidth="1"/>
    <col min="26" max="26" width="8.44140625" style="1" customWidth="1"/>
    <col min="27" max="27" width="8.109375" style="1" customWidth="1"/>
    <col min="28" max="28" width="3.5546875" style="1" customWidth="1"/>
    <col min="29" max="29" width="8.77734375" style="1" customWidth="1"/>
    <col min="30" max="16384" width="8.88671875" style="1"/>
  </cols>
  <sheetData>
    <row r="1" spans="1:29" ht="18" customHeight="1" x14ac:dyDescent="0.35">
      <c r="A1" s="279" t="s">
        <v>763</v>
      </c>
      <c r="B1" s="279" t="s">
        <v>27</v>
      </c>
      <c r="C1" s="279" t="s">
        <v>27</v>
      </c>
      <c r="D1" s="279" t="s">
        <v>27</v>
      </c>
      <c r="E1" s="279" t="s">
        <v>27</v>
      </c>
      <c r="F1" s="279" t="s">
        <v>27</v>
      </c>
      <c r="G1" s="279" t="s">
        <v>27</v>
      </c>
      <c r="H1" s="279" t="s">
        <v>27</v>
      </c>
      <c r="I1" s="279" t="s">
        <v>27</v>
      </c>
      <c r="J1" s="279" t="s">
        <v>27</v>
      </c>
      <c r="K1" s="279" t="s">
        <v>27</v>
      </c>
      <c r="L1" s="279" t="s">
        <v>27</v>
      </c>
      <c r="M1" s="279" t="s">
        <v>27</v>
      </c>
      <c r="N1" s="279" t="s">
        <v>27</v>
      </c>
      <c r="O1" s="279" t="s">
        <v>27</v>
      </c>
      <c r="P1" s="279" t="s">
        <v>27</v>
      </c>
      <c r="Q1" s="279" t="s">
        <v>27</v>
      </c>
      <c r="R1" s="279" t="s">
        <v>27</v>
      </c>
      <c r="S1" s="279" t="s">
        <v>27</v>
      </c>
      <c r="T1" s="279" t="s">
        <v>27</v>
      </c>
      <c r="U1" s="279" t="s">
        <v>27</v>
      </c>
      <c r="V1" s="279" t="s">
        <v>27</v>
      </c>
      <c r="W1" s="279" t="s">
        <v>27</v>
      </c>
      <c r="X1" s="279" t="s">
        <v>27</v>
      </c>
      <c r="Y1" s="279" t="s">
        <v>27</v>
      </c>
      <c r="Z1" s="279" t="s">
        <v>27</v>
      </c>
      <c r="AA1" s="279" t="s">
        <v>27</v>
      </c>
      <c r="AB1" s="279" t="s">
        <v>27</v>
      </c>
      <c r="AC1" s="279" t="s">
        <v>27</v>
      </c>
    </row>
    <row r="2" spans="1:29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762</v>
      </c>
      <c r="C3" s="126" t="s">
        <v>35</v>
      </c>
      <c r="D3" s="126" t="s">
        <v>761</v>
      </c>
      <c r="E3" s="126">
        <v>262970</v>
      </c>
      <c r="F3" s="126" t="s">
        <v>760</v>
      </c>
      <c r="G3" s="126">
        <v>600</v>
      </c>
      <c r="H3" s="127">
        <v>0.66</v>
      </c>
      <c r="I3" s="127">
        <v>1.385</v>
      </c>
      <c r="J3" s="126" t="s">
        <v>27</v>
      </c>
      <c r="K3" s="126" t="s">
        <v>33</v>
      </c>
      <c r="L3" s="126" t="s">
        <v>27</v>
      </c>
      <c r="M3" s="123">
        <v>548.46</v>
      </c>
      <c r="N3" s="125">
        <v>415.5</v>
      </c>
      <c r="O3" s="122">
        <v>5.7700000000000001E-2</v>
      </c>
      <c r="P3" s="124">
        <v>3.46</v>
      </c>
      <c r="Q3" s="121">
        <v>172.8</v>
      </c>
      <c r="R3" s="121">
        <v>2</v>
      </c>
      <c r="S3" s="121">
        <v>1350</v>
      </c>
      <c r="T3" s="123">
        <v>1.32</v>
      </c>
      <c r="U3" s="121">
        <v>30</v>
      </c>
      <c r="V3" s="122">
        <v>2.2200000000000001E-2</v>
      </c>
      <c r="W3" s="121" t="s">
        <v>28</v>
      </c>
      <c r="X3" s="121" t="s">
        <v>28</v>
      </c>
      <c r="Y3" s="121" t="s">
        <v>28</v>
      </c>
      <c r="Z3" s="121" t="s">
        <v>27</v>
      </c>
      <c r="AA3" s="121" t="s">
        <v>27</v>
      </c>
      <c r="AB3" s="121" t="s">
        <v>30</v>
      </c>
      <c r="AC3" s="121" t="s">
        <v>757</v>
      </c>
    </row>
    <row r="4" spans="1:29" x14ac:dyDescent="0.3">
      <c r="A4" s="126">
        <v>2</v>
      </c>
      <c r="B4" s="128" t="s">
        <v>762</v>
      </c>
      <c r="C4" s="126" t="s">
        <v>35</v>
      </c>
      <c r="D4" s="126" t="s">
        <v>761</v>
      </c>
      <c r="E4" s="126">
        <v>262971</v>
      </c>
      <c r="F4" s="126" t="s">
        <v>760</v>
      </c>
      <c r="G4" s="126">
        <v>500</v>
      </c>
      <c r="H4" s="127">
        <v>0.66</v>
      </c>
      <c r="I4" s="127">
        <v>1.6950000000000001</v>
      </c>
      <c r="J4" s="126" t="s">
        <v>27</v>
      </c>
      <c r="K4" s="126" t="s">
        <v>33</v>
      </c>
      <c r="L4" s="126" t="s">
        <v>27</v>
      </c>
      <c r="M4" s="123">
        <v>559.35</v>
      </c>
      <c r="N4" s="125">
        <v>423.8</v>
      </c>
      <c r="O4" s="122">
        <v>5.8900000000000001E-2</v>
      </c>
      <c r="P4" s="124">
        <v>3.53</v>
      </c>
      <c r="Q4" s="121">
        <v>176.2</v>
      </c>
      <c r="R4" s="121">
        <v>2</v>
      </c>
      <c r="S4" s="121">
        <v>1350</v>
      </c>
      <c r="T4" s="123">
        <v>1.32</v>
      </c>
      <c r="U4" s="121">
        <v>30</v>
      </c>
      <c r="V4" s="122">
        <v>2.2200000000000001E-2</v>
      </c>
      <c r="W4" s="121" t="s">
        <v>28</v>
      </c>
      <c r="X4" s="121" t="s">
        <v>28</v>
      </c>
      <c r="Y4" s="121" t="s">
        <v>28</v>
      </c>
      <c r="Z4" s="121" t="s">
        <v>27</v>
      </c>
      <c r="AA4" s="121" t="s">
        <v>27</v>
      </c>
      <c r="AB4" s="121" t="s">
        <v>32</v>
      </c>
      <c r="AC4" s="121" t="s">
        <v>683</v>
      </c>
    </row>
    <row r="5" spans="1:29" x14ac:dyDescent="0.3">
      <c r="A5" s="126">
        <v>3</v>
      </c>
      <c r="B5" s="128" t="s">
        <v>762</v>
      </c>
      <c r="C5" s="126" t="s">
        <v>35</v>
      </c>
      <c r="D5" s="126" t="s">
        <v>761</v>
      </c>
      <c r="E5" s="126">
        <v>262972</v>
      </c>
      <c r="F5" s="126" t="s">
        <v>760</v>
      </c>
      <c r="G5" s="126">
        <v>1000</v>
      </c>
      <c r="H5" s="127">
        <v>0.66</v>
      </c>
      <c r="I5" s="127">
        <v>1.865</v>
      </c>
      <c r="J5" s="126" t="s">
        <v>27</v>
      </c>
      <c r="K5" s="126" t="s">
        <v>33</v>
      </c>
      <c r="L5" s="126" t="s">
        <v>27</v>
      </c>
      <c r="M5" s="123">
        <v>1230.9000000000001</v>
      </c>
      <c r="N5" s="125">
        <v>932.5</v>
      </c>
      <c r="O5" s="122">
        <v>0.1295</v>
      </c>
      <c r="P5" s="124">
        <v>7.77</v>
      </c>
      <c r="Q5" s="121">
        <v>387.7</v>
      </c>
      <c r="R5" s="121">
        <v>2</v>
      </c>
      <c r="S5" s="121">
        <v>1350</v>
      </c>
      <c r="T5" s="123">
        <v>1.32</v>
      </c>
      <c r="U5" s="121">
        <v>30</v>
      </c>
      <c r="V5" s="122">
        <v>2.2200000000000001E-2</v>
      </c>
      <c r="W5" s="121" t="s">
        <v>28</v>
      </c>
      <c r="X5" s="121" t="s">
        <v>28</v>
      </c>
      <c r="Y5" s="121" t="s">
        <v>28</v>
      </c>
      <c r="Z5" s="121" t="s">
        <v>27</v>
      </c>
      <c r="AA5" s="121" t="s">
        <v>27</v>
      </c>
      <c r="AB5" s="121" t="s">
        <v>30</v>
      </c>
      <c r="AC5" s="121" t="s">
        <v>682</v>
      </c>
    </row>
    <row r="6" spans="1:29" x14ac:dyDescent="0.3">
      <c r="A6" s="126">
        <v>4</v>
      </c>
      <c r="B6" s="128" t="s">
        <v>762</v>
      </c>
      <c r="C6" s="126" t="s">
        <v>35</v>
      </c>
      <c r="D6" s="126" t="s">
        <v>761</v>
      </c>
      <c r="E6" s="126">
        <v>262973</v>
      </c>
      <c r="F6" s="126" t="s">
        <v>760</v>
      </c>
      <c r="G6" s="126">
        <v>800</v>
      </c>
      <c r="H6" s="127">
        <v>0.66</v>
      </c>
      <c r="I6" s="127">
        <v>2.0499999999999998</v>
      </c>
      <c r="J6" s="126" t="s">
        <v>27</v>
      </c>
      <c r="K6" s="126" t="s">
        <v>33</v>
      </c>
      <c r="L6" s="126" t="s">
        <v>27</v>
      </c>
      <c r="M6" s="123">
        <v>1082.4000000000001</v>
      </c>
      <c r="N6" s="125">
        <v>820</v>
      </c>
      <c r="O6" s="122">
        <v>0.1139</v>
      </c>
      <c r="P6" s="124">
        <v>6.83</v>
      </c>
      <c r="Q6" s="121">
        <v>341</v>
      </c>
      <c r="R6" s="121">
        <v>2</v>
      </c>
      <c r="S6" s="121">
        <v>1350</v>
      </c>
      <c r="T6" s="123">
        <v>1.32</v>
      </c>
      <c r="U6" s="121">
        <v>30</v>
      </c>
      <c r="V6" s="122">
        <v>2.2200000000000001E-2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32</v>
      </c>
      <c r="AC6" s="121" t="s">
        <v>680</v>
      </c>
    </row>
    <row r="7" spans="1:29" x14ac:dyDescent="0.3">
      <c r="A7" s="120" t="s">
        <v>27</v>
      </c>
      <c r="B7" s="120" t="s">
        <v>27</v>
      </c>
      <c r="C7" s="120" t="s">
        <v>27</v>
      </c>
      <c r="D7" s="120" t="s">
        <v>27</v>
      </c>
      <c r="E7" s="120" t="s">
        <v>27</v>
      </c>
      <c r="F7" s="120" t="s">
        <v>27</v>
      </c>
      <c r="G7" s="120">
        <v>2900</v>
      </c>
      <c r="H7" s="120" t="s">
        <v>27</v>
      </c>
      <c r="I7" s="120" t="s">
        <v>27</v>
      </c>
      <c r="J7" s="120" t="s">
        <v>27</v>
      </c>
      <c r="K7" s="120" t="s">
        <v>27</v>
      </c>
      <c r="L7" s="120" t="s">
        <v>27</v>
      </c>
      <c r="M7" s="119" t="s">
        <v>27</v>
      </c>
      <c r="N7" s="119" t="s">
        <v>27</v>
      </c>
      <c r="O7" s="119" t="s">
        <v>27</v>
      </c>
      <c r="P7" s="119" t="s">
        <v>27</v>
      </c>
      <c r="Q7" s="119">
        <v>1077.5999999999999</v>
      </c>
      <c r="R7" s="119" t="s">
        <v>27</v>
      </c>
      <c r="S7" s="119" t="s">
        <v>27</v>
      </c>
      <c r="T7" s="119" t="s">
        <v>27</v>
      </c>
      <c r="U7" s="119" t="s">
        <v>27</v>
      </c>
      <c r="V7" s="119" t="s">
        <v>27</v>
      </c>
      <c r="W7" s="119" t="s">
        <v>27</v>
      </c>
      <c r="X7" s="119" t="s">
        <v>27</v>
      </c>
      <c r="Y7" s="119" t="s">
        <v>27</v>
      </c>
      <c r="Z7" s="119" t="s">
        <v>27</v>
      </c>
      <c r="AA7" s="119" t="s">
        <v>27</v>
      </c>
      <c r="AB7" s="119" t="s">
        <v>27</v>
      </c>
      <c r="AC7" s="119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102CDE-B9EA-488A-8AF7-1946DDF41AC7}">
  <dimension ref="A1:AC19"/>
  <sheetViews>
    <sheetView workbookViewId="0">
      <selection activeCell="E23" sqref="E23"/>
    </sheetView>
  </sheetViews>
  <sheetFormatPr defaultRowHeight="14.4" x14ac:dyDescent="0.3"/>
  <cols>
    <col min="1" max="1" width="4.5546875" style="242" customWidth="1"/>
    <col min="2" max="2" width="20.77734375" style="242" hidden="1" customWidth="1"/>
    <col min="3" max="3" width="5.5546875" style="242" customWidth="1"/>
    <col min="4" max="4" width="11.77734375" style="242" hidden="1" customWidth="1"/>
    <col min="5" max="5" width="8.77734375" style="242" customWidth="1"/>
    <col min="6" max="6" width="5.21875" style="242" customWidth="1"/>
    <col min="7" max="7" width="6.88671875" style="242" customWidth="1"/>
    <col min="8" max="8" width="6.21875" style="242" customWidth="1"/>
    <col min="9" max="9" width="6.5546875" style="242" customWidth="1"/>
    <col min="10" max="10" width="8.109375" style="242" customWidth="1"/>
    <col min="11" max="11" width="20" style="242" customWidth="1"/>
    <col min="12" max="12" width="8.66406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7.109375" style="242" customWidth="1"/>
    <col min="18" max="18" width="4.77734375" style="242" customWidth="1"/>
    <col min="19" max="19" width="5.5546875" style="242" customWidth="1"/>
    <col min="20" max="20" width="5.88671875" style="242" customWidth="1"/>
    <col min="21" max="21" width="11.77734375" style="242" hidden="1" customWidth="1"/>
    <col min="22" max="22" width="8.77734375" style="242" hidden="1" customWidth="1"/>
    <col min="23" max="23" width="8.21875" style="242" customWidth="1"/>
    <col min="24" max="24" width="7" style="242" customWidth="1"/>
    <col min="25" max="26" width="7.5546875" style="242" customWidth="1"/>
    <col min="27" max="27" width="7.6640625" style="242" customWidth="1"/>
    <col min="28" max="28" width="3.77734375" style="242" customWidth="1"/>
    <col min="29" max="29" width="16.77734375" style="242" customWidth="1"/>
    <col min="30" max="16384" width="8.88671875" style="242"/>
  </cols>
  <sheetData>
    <row r="1" spans="1:29" ht="21.6" customHeight="1" x14ac:dyDescent="0.35">
      <c r="A1" s="261" t="s">
        <v>759</v>
      </c>
      <c r="B1" s="261" t="s">
        <v>27</v>
      </c>
      <c r="C1" s="261" t="s">
        <v>27</v>
      </c>
      <c r="D1" s="261" t="s">
        <v>27</v>
      </c>
      <c r="E1" s="261" t="s">
        <v>27</v>
      </c>
      <c r="F1" s="261" t="s">
        <v>27</v>
      </c>
      <c r="G1" s="261" t="s">
        <v>27</v>
      </c>
      <c r="H1" s="261" t="s">
        <v>27</v>
      </c>
      <c r="I1" s="261" t="s">
        <v>27</v>
      </c>
      <c r="J1" s="261" t="s">
        <v>27</v>
      </c>
      <c r="K1" s="261" t="s">
        <v>27</v>
      </c>
      <c r="L1" s="261" t="s">
        <v>27</v>
      </c>
      <c r="M1" s="261" t="s">
        <v>27</v>
      </c>
      <c r="N1" s="261" t="s">
        <v>27</v>
      </c>
      <c r="O1" s="261" t="s">
        <v>27</v>
      </c>
      <c r="P1" s="261" t="s">
        <v>27</v>
      </c>
      <c r="Q1" s="261" t="s">
        <v>27</v>
      </c>
      <c r="R1" s="261" t="s">
        <v>27</v>
      </c>
      <c r="S1" s="261" t="s">
        <v>27</v>
      </c>
      <c r="T1" s="261" t="s">
        <v>27</v>
      </c>
      <c r="U1" s="261" t="s">
        <v>27</v>
      </c>
      <c r="V1" s="261" t="s">
        <v>27</v>
      </c>
      <c r="W1" s="261" t="s">
        <v>27</v>
      </c>
      <c r="X1" s="261" t="s">
        <v>27</v>
      </c>
      <c r="Y1" s="261" t="s">
        <v>27</v>
      </c>
      <c r="Z1" s="261" t="s">
        <v>27</v>
      </c>
      <c r="AA1" s="261" t="s">
        <v>27</v>
      </c>
      <c r="AB1" s="261" t="s">
        <v>27</v>
      </c>
      <c r="AC1" s="261" t="s">
        <v>27</v>
      </c>
    </row>
    <row r="2" spans="1:29" ht="45.6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76" customFormat="1" ht="25.05" customHeight="1" x14ac:dyDescent="0.3">
      <c r="A3" s="270"/>
      <c r="B3" s="271" t="s">
        <v>743</v>
      </c>
      <c r="C3" s="270" t="s">
        <v>26</v>
      </c>
      <c r="D3" s="270" t="s">
        <v>708</v>
      </c>
      <c r="E3" s="270">
        <v>262968</v>
      </c>
      <c r="F3" s="270" t="s">
        <v>742</v>
      </c>
      <c r="G3" s="270">
        <v>400</v>
      </c>
      <c r="H3" s="272">
        <v>0.78100000000000003</v>
      </c>
      <c r="I3" s="272">
        <v>1.83</v>
      </c>
      <c r="J3" s="270" t="s">
        <v>27</v>
      </c>
      <c r="K3" s="270" t="s">
        <v>320</v>
      </c>
      <c r="L3" s="270" t="s">
        <v>27</v>
      </c>
      <c r="M3" s="272">
        <v>571.69200000000001</v>
      </c>
      <c r="N3" s="273">
        <v>366</v>
      </c>
      <c r="O3" s="274">
        <v>5.0799999999999998E-2</v>
      </c>
      <c r="P3" s="275">
        <v>3.05</v>
      </c>
      <c r="Q3" s="270">
        <v>307.60000000000002</v>
      </c>
      <c r="R3" s="270">
        <v>2</v>
      </c>
      <c r="S3" s="270">
        <v>1600</v>
      </c>
      <c r="T3" s="272">
        <v>1.5620000000000001</v>
      </c>
      <c r="U3" s="270">
        <v>38</v>
      </c>
      <c r="V3" s="274">
        <v>2.3800000000000002E-2</v>
      </c>
      <c r="W3" s="270" t="s">
        <v>28</v>
      </c>
      <c r="X3" s="270" t="s">
        <v>29</v>
      </c>
      <c r="Y3" s="270" t="s">
        <v>28</v>
      </c>
      <c r="Z3" s="270" t="s">
        <v>28</v>
      </c>
      <c r="AA3" s="270" t="s">
        <v>28</v>
      </c>
      <c r="AB3" s="270" t="s">
        <v>30</v>
      </c>
      <c r="AC3" s="270" t="s">
        <v>319</v>
      </c>
    </row>
    <row r="4" spans="1:29" s="276" customFormat="1" ht="25.05" customHeight="1" x14ac:dyDescent="0.3">
      <c r="A4" s="270"/>
      <c r="B4" s="271" t="s">
        <v>743</v>
      </c>
      <c r="C4" s="270" t="s">
        <v>26</v>
      </c>
      <c r="D4" s="270" t="s">
        <v>708</v>
      </c>
      <c r="E4" s="270">
        <v>262969</v>
      </c>
      <c r="F4" s="270" t="s">
        <v>742</v>
      </c>
      <c r="G4" s="270">
        <v>500</v>
      </c>
      <c r="H4" s="272">
        <v>0.65200000000000002</v>
      </c>
      <c r="I4" s="272">
        <v>2.34</v>
      </c>
      <c r="J4" s="270" t="s">
        <v>27</v>
      </c>
      <c r="K4" s="270" t="s">
        <v>758</v>
      </c>
      <c r="L4" s="270" t="s">
        <v>27</v>
      </c>
      <c r="M4" s="272">
        <v>762.84</v>
      </c>
      <c r="N4" s="273">
        <v>585</v>
      </c>
      <c r="O4" s="274">
        <v>8.1299999999999997E-2</v>
      </c>
      <c r="P4" s="275">
        <v>4.88</v>
      </c>
      <c r="Q4" s="270">
        <v>410.4</v>
      </c>
      <c r="R4" s="270">
        <v>2</v>
      </c>
      <c r="S4" s="270">
        <v>1350</v>
      </c>
      <c r="T4" s="272">
        <v>1.304</v>
      </c>
      <c r="U4" s="270">
        <v>46</v>
      </c>
      <c r="V4" s="274">
        <v>3.4099999999999998E-2</v>
      </c>
      <c r="W4" s="270" t="s">
        <v>28</v>
      </c>
      <c r="X4" s="270" t="s">
        <v>29</v>
      </c>
      <c r="Y4" s="270" t="s">
        <v>28</v>
      </c>
      <c r="Z4" s="270" t="s">
        <v>28</v>
      </c>
      <c r="AA4" s="270" t="s">
        <v>28</v>
      </c>
      <c r="AB4" s="270" t="s">
        <v>30</v>
      </c>
      <c r="AC4" s="270" t="s">
        <v>757</v>
      </c>
    </row>
    <row r="5" spans="1:29" s="276" customFormat="1" ht="25.05" customHeight="1" x14ac:dyDescent="0.3">
      <c r="A5" s="270"/>
      <c r="B5" s="271" t="s">
        <v>743</v>
      </c>
      <c r="C5" s="270" t="s">
        <v>35</v>
      </c>
      <c r="D5" s="270" t="s">
        <v>708</v>
      </c>
      <c r="E5" s="270">
        <v>262966</v>
      </c>
      <c r="F5" s="270" t="s">
        <v>742</v>
      </c>
      <c r="G5" s="270">
        <v>1100</v>
      </c>
      <c r="H5" s="272">
        <v>0.77400000000000002</v>
      </c>
      <c r="I5" s="272">
        <v>1.1200000000000001</v>
      </c>
      <c r="J5" s="270" t="s">
        <v>27</v>
      </c>
      <c r="K5" s="270" t="s">
        <v>756</v>
      </c>
      <c r="L5" s="270" t="s">
        <v>27</v>
      </c>
      <c r="M5" s="272">
        <v>953.56799999999998</v>
      </c>
      <c r="N5" s="273">
        <v>616</v>
      </c>
      <c r="O5" s="274">
        <v>8.5599999999999996E-2</v>
      </c>
      <c r="P5" s="275">
        <v>5.13</v>
      </c>
      <c r="Q5" s="270">
        <v>300.39999999999998</v>
      </c>
      <c r="R5" s="270">
        <v>2</v>
      </c>
      <c r="S5" s="270">
        <v>1600</v>
      </c>
      <c r="T5" s="272">
        <v>1.548</v>
      </c>
      <c r="U5" s="270">
        <v>52</v>
      </c>
      <c r="V5" s="274">
        <v>3.2500000000000001E-2</v>
      </c>
      <c r="W5" s="270" t="s">
        <v>28</v>
      </c>
      <c r="X5" s="270" t="s">
        <v>28</v>
      </c>
      <c r="Y5" s="270" t="s">
        <v>28</v>
      </c>
      <c r="Z5" s="270" t="s">
        <v>27</v>
      </c>
      <c r="AA5" s="270" t="s">
        <v>27</v>
      </c>
      <c r="AB5" s="270" t="s">
        <v>32</v>
      </c>
      <c r="AC5" s="270" t="s">
        <v>755</v>
      </c>
    </row>
    <row r="6" spans="1:29" s="276" customFormat="1" ht="25.05" customHeight="1" x14ac:dyDescent="0.3">
      <c r="A6" s="270"/>
      <c r="B6" s="271" t="s">
        <v>743</v>
      </c>
      <c r="C6" s="270" t="s">
        <v>35</v>
      </c>
      <c r="D6" s="270" t="s">
        <v>708</v>
      </c>
      <c r="E6" s="270">
        <v>262956</v>
      </c>
      <c r="F6" s="270" t="s">
        <v>742</v>
      </c>
      <c r="G6" s="270">
        <v>250</v>
      </c>
      <c r="H6" s="272">
        <v>1.5</v>
      </c>
      <c r="I6" s="272">
        <v>2.57</v>
      </c>
      <c r="J6" s="270" t="s">
        <v>27</v>
      </c>
      <c r="K6" s="270" t="s">
        <v>33</v>
      </c>
      <c r="L6" s="270" t="s">
        <v>27</v>
      </c>
      <c r="M6" s="272">
        <v>963.75</v>
      </c>
      <c r="N6" s="273">
        <v>642.5</v>
      </c>
      <c r="O6" s="274">
        <v>0.17849999999999999</v>
      </c>
      <c r="P6" s="275">
        <v>10.71</v>
      </c>
      <c r="Q6" s="270">
        <v>303.60000000000002</v>
      </c>
      <c r="R6" s="270">
        <v>1</v>
      </c>
      <c r="S6" s="270">
        <v>1550</v>
      </c>
      <c r="T6" s="272">
        <v>1.5</v>
      </c>
      <c r="U6" s="270">
        <v>50</v>
      </c>
      <c r="V6" s="274">
        <v>3.2300000000000002E-2</v>
      </c>
      <c r="W6" s="270" t="s">
        <v>28</v>
      </c>
      <c r="X6" s="270" t="s">
        <v>28</v>
      </c>
      <c r="Y6" s="270" t="s">
        <v>28</v>
      </c>
      <c r="Z6" s="270" t="s">
        <v>27</v>
      </c>
      <c r="AA6" s="270" t="s">
        <v>27</v>
      </c>
      <c r="AB6" s="270" t="s">
        <v>38</v>
      </c>
      <c r="AC6" s="270" t="s">
        <v>754</v>
      </c>
    </row>
    <row r="7" spans="1:29" s="276" customFormat="1" ht="25.05" customHeight="1" x14ac:dyDescent="0.3">
      <c r="A7" s="270"/>
      <c r="B7" s="271" t="s">
        <v>743</v>
      </c>
      <c r="C7" s="270" t="s">
        <v>35</v>
      </c>
      <c r="D7" s="270" t="s">
        <v>708</v>
      </c>
      <c r="E7" s="270">
        <v>262954</v>
      </c>
      <c r="F7" s="270" t="s">
        <v>742</v>
      </c>
      <c r="G7" s="270">
        <v>3000</v>
      </c>
      <c r="H7" s="272">
        <v>0.48</v>
      </c>
      <c r="I7" s="272">
        <v>0.74</v>
      </c>
      <c r="J7" s="270" t="s">
        <v>27</v>
      </c>
      <c r="K7" s="270" t="s">
        <v>33</v>
      </c>
      <c r="L7" s="270" t="s">
        <v>27</v>
      </c>
      <c r="M7" s="272">
        <v>1065.5999999999999</v>
      </c>
      <c r="N7" s="273">
        <v>740</v>
      </c>
      <c r="O7" s="274">
        <v>6.8500000000000005E-2</v>
      </c>
      <c r="P7" s="275">
        <v>4.1100000000000003</v>
      </c>
      <c r="Q7" s="270">
        <v>335.7</v>
      </c>
      <c r="R7" s="270">
        <v>3</v>
      </c>
      <c r="S7" s="270">
        <v>1500</v>
      </c>
      <c r="T7" s="272">
        <v>1.44</v>
      </c>
      <c r="U7" s="270">
        <v>60</v>
      </c>
      <c r="V7" s="274">
        <v>0.04</v>
      </c>
      <c r="W7" s="270" t="s">
        <v>28</v>
      </c>
      <c r="X7" s="270" t="s">
        <v>28</v>
      </c>
      <c r="Y7" s="270" t="s">
        <v>28</v>
      </c>
      <c r="Z7" s="270" t="s">
        <v>27</v>
      </c>
      <c r="AA7" s="270" t="s">
        <v>27</v>
      </c>
      <c r="AB7" s="270" t="s">
        <v>32</v>
      </c>
      <c r="AC7" s="270" t="s">
        <v>753</v>
      </c>
    </row>
    <row r="8" spans="1:29" s="276" customFormat="1" ht="25.05" customHeight="1" x14ac:dyDescent="0.3">
      <c r="A8" s="270"/>
      <c r="B8" s="271" t="s">
        <v>743</v>
      </c>
      <c r="C8" s="270" t="s">
        <v>81</v>
      </c>
      <c r="D8" s="270" t="s">
        <v>708</v>
      </c>
      <c r="E8" s="270">
        <v>262955</v>
      </c>
      <c r="F8" s="270" t="s">
        <v>742</v>
      </c>
      <c r="G8" s="270">
        <v>2500</v>
      </c>
      <c r="H8" s="272">
        <v>0.71</v>
      </c>
      <c r="I8" s="272">
        <v>0.6</v>
      </c>
      <c r="J8" s="270" t="s">
        <v>27</v>
      </c>
      <c r="K8" s="270" t="s">
        <v>33</v>
      </c>
      <c r="L8" s="270" t="s">
        <v>27</v>
      </c>
      <c r="M8" s="272">
        <v>1065</v>
      </c>
      <c r="N8" s="273">
        <v>750</v>
      </c>
      <c r="O8" s="274">
        <v>0.1042</v>
      </c>
      <c r="P8" s="275">
        <v>6.25</v>
      </c>
      <c r="Q8" s="270">
        <v>388.7</v>
      </c>
      <c r="R8" s="270">
        <v>2</v>
      </c>
      <c r="S8" s="270">
        <v>1450</v>
      </c>
      <c r="T8" s="272">
        <v>1.42</v>
      </c>
      <c r="U8" s="270">
        <v>30</v>
      </c>
      <c r="V8" s="274">
        <v>2.07E-2</v>
      </c>
      <c r="W8" s="270" t="s">
        <v>41</v>
      </c>
      <c r="X8" s="270" t="s">
        <v>29</v>
      </c>
      <c r="Y8" s="270" t="s">
        <v>28</v>
      </c>
      <c r="Z8" s="270" t="s">
        <v>27</v>
      </c>
      <c r="AA8" s="270" t="s">
        <v>27</v>
      </c>
      <c r="AB8" s="270" t="s">
        <v>30</v>
      </c>
      <c r="AC8" s="270" t="s">
        <v>752</v>
      </c>
    </row>
    <row r="9" spans="1:29" s="276" customFormat="1" ht="25.05" customHeight="1" x14ac:dyDescent="0.3">
      <c r="A9" s="270"/>
      <c r="B9" s="271" t="s">
        <v>743</v>
      </c>
      <c r="C9" s="270" t="s">
        <v>35</v>
      </c>
      <c r="D9" s="270" t="s">
        <v>708</v>
      </c>
      <c r="E9" s="270">
        <v>262967</v>
      </c>
      <c r="F9" s="270" t="s">
        <v>742</v>
      </c>
      <c r="G9" s="270">
        <v>3000</v>
      </c>
      <c r="H9" s="272">
        <v>0.63400000000000001</v>
      </c>
      <c r="I9" s="272">
        <v>1.6</v>
      </c>
      <c r="J9" s="270" t="s">
        <v>27</v>
      </c>
      <c r="K9" s="270" t="s">
        <v>310</v>
      </c>
      <c r="L9" s="270" t="s">
        <v>27</v>
      </c>
      <c r="M9" s="272">
        <v>3043.2</v>
      </c>
      <c r="N9" s="273">
        <v>2400</v>
      </c>
      <c r="O9" s="274">
        <v>0.33329999999999999</v>
      </c>
      <c r="P9" s="275">
        <v>20</v>
      </c>
      <c r="Q9" s="270">
        <v>958.6</v>
      </c>
      <c r="R9" s="270">
        <v>2</v>
      </c>
      <c r="S9" s="270">
        <v>1300</v>
      </c>
      <c r="T9" s="272">
        <v>1.268</v>
      </c>
      <c r="U9" s="270">
        <v>32</v>
      </c>
      <c r="V9" s="274">
        <v>2.46E-2</v>
      </c>
      <c r="W9" s="270" t="s">
        <v>28</v>
      </c>
      <c r="X9" s="270" t="s">
        <v>28</v>
      </c>
      <c r="Y9" s="270" t="s">
        <v>28</v>
      </c>
      <c r="Z9" s="270" t="s">
        <v>27</v>
      </c>
      <c r="AA9" s="270" t="s">
        <v>27</v>
      </c>
      <c r="AB9" s="270" t="s">
        <v>52</v>
      </c>
      <c r="AC9" s="270" t="s">
        <v>309</v>
      </c>
    </row>
    <row r="10" spans="1:29" s="276" customFormat="1" ht="25.05" customHeight="1" x14ac:dyDescent="0.3">
      <c r="A10" s="270"/>
      <c r="B10" s="271" t="s">
        <v>743</v>
      </c>
      <c r="C10" s="270" t="s">
        <v>35</v>
      </c>
      <c r="D10" s="270" t="s">
        <v>708</v>
      </c>
      <c r="E10" s="270">
        <v>262959</v>
      </c>
      <c r="F10" s="270" t="s">
        <v>742</v>
      </c>
      <c r="G10" s="270">
        <v>5000</v>
      </c>
      <c r="H10" s="272">
        <v>0.30399999999999999</v>
      </c>
      <c r="I10" s="272">
        <v>0.98</v>
      </c>
      <c r="J10" s="270" t="s">
        <v>27</v>
      </c>
      <c r="K10" s="270" t="s">
        <v>83</v>
      </c>
      <c r="L10" s="270" t="s">
        <v>27</v>
      </c>
      <c r="M10" s="272">
        <v>1489.6</v>
      </c>
      <c r="N10" s="273">
        <v>1225</v>
      </c>
      <c r="O10" s="274">
        <v>8.5099999999999995E-2</v>
      </c>
      <c r="P10" s="275">
        <v>5.0999999999999996</v>
      </c>
      <c r="Q10" s="270">
        <v>469.2</v>
      </c>
      <c r="R10" s="270">
        <v>4</v>
      </c>
      <c r="S10" s="270">
        <v>1250</v>
      </c>
      <c r="T10" s="272">
        <v>1.216</v>
      </c>
      <c r="U10" s="270">
        <v>34</v>
      </c>
      <c r="V10" s="274">
        <v>2.7199999999999998E-2</v>
      </c>
      <c r="W10" s="270" t="s">
        <v>28</v>
      </c>
      <c r="X10" s="270" t="s">
        <v>28</v>
      </c>
      <c r="Y10" s="270" t="s">
        <v>28</v>
      </c>
      <c r="Z10" s="270" t="s">
        <v>27</v>
      </c>
      <c r="AA10" s="270" t="s">
        <v>27</v>
      </c>
      <c r="AB10" s="270" t="s">
        <v>30</v>
      </c>
      <c r="AC10" s="270" t="s">
        <v>82</v>
      </c>
    </row>
    <row r="11" spans="1:29" s="276" customFormat="1" ht="25.05" customHeight="1" x14ac:dyDescent="0.3">
      <c r="A11" s="270"/>
      <c r="B11" s="271" t="s">
        <v>743</v>
      </c>
      <c r="C11" s="270" t="s">
        <v>35</v>
      </c>
      <c r="D11" s="270" t="s">
        <v>708</v>
      </c>
      <c r="E11" s="270">
        <v>262960</v>
      </c>
      <c r="F11" s="270" t="s">
        <v>742</v>
      </c>
      <c r="G11" s="270">
        <v>2000</v>
      </c>
      <c r="H11" s="272">
        <v>0.40500000000000003</v>
      </c>
      <c r="I11" s="272">
        <v>1.33</v>
      </c>
      <c r="J11" s="270" t="s">
        <v>27</v>
      </c>
      <c r="K11" s="270" t="s">
        <v>751</v>
      </c>
      <c r="L11" s="270" t="s">
        <v>27</v>
      </c>
      <c r="M11" s="272">
        <v>1077.3</v>
      </c>
      <c r="N11" s="273">
        <v>886.7</v>
      </c>
      <c r="O11" s="274">
        <v>8.2100000000000006E-2</v>
      </c>
      <c r="P11" s="275">
        <v>4.93</v>
      </c>
      <c r="Q11" s="270">
        <v>339.3</v>
      </c>
      <c r="R11" s="270">
        <v>3</v>
      </c>
      <c r="S11" s="270">
        <v>1250</v>
      </c>
      <c r="T11" s="272">
        <v>1.2150000000000001</v>
      </c>
      <c r="U11" s="270">
        <v>35</v>
      </c>
      <c r="V11" s="274">
        <v>2.8000000000000001E-2</v>
      </c>
      <c r="W11" s="270" t="s">
        <v>28</v>
      </c>
      <c r="X11" s="270" t="s">
        <v>28</v>
      </c>
      <c r="Y11" s="270" t="s">
        <v>28</v>
      </c>
      <c r="Z11" s="270" t="s">
        <v>27</v>
      </c>
      <c r="AA11" s="270" t="s">
        <v>27</v>
      </c>
      <c r="AB11" s="270" t="s">
        <v>30</v>
      </c>
      <c r="AC11" s="270" t="s">
        <v>750</v>
      </c>
    </row>
    <row r="12" spans="1:29" s="276" customFormat="1" ht="25.05" customHeight="1" x14ac:dyDescent="0.3">
      <c r="A12" s="270"/>
      <c r="B12" s="271" t="s">
        <v>743</v>
      </c>
      <c r="C12" s="270" t="s">
        <v>35</v>
      </c>
      <c r="D12" s="270" t="s">
        <v>708</v>
      </c>
      <c r="E12" s="270">
        <v>262962</v>
      </c>
      <c r="F12" s="270" t="s">
        <v>742</v>
      </c>
      <c r="G12" s="270">
        <v>3600</v>
      </c>
      <c r="H12" s="272">
        <v>0.3</v>
      </c>
      <c r="I12" s="272">
        <v>0.9</v>
      </c>
      <c r="J12" s="270" t="s">
        <v>27</v>
      </c>
      <c r="K12" s="270" t="s">
        <v>33</v>
      </c>
      <c r="L12" s="270" t="s">
        <v>27</v>
      </c>
      <c r="M12" s="272">
        <v>972</v>
      </c>
      <c r="N12" s="273">
        <v>810</v>
      </c>
      <c r="O12" s="274">
        <v>5.6300000000000003E-2</v>
      </c>
      <c r="P12" s="275">
        <v>3.38</v>
      </c>
      <c r="Q12" s="270">
        <v>306.2</v>
      </c>
      <c r="R12" s="270">
        <v>4</v>
      </c>
      <c r="S12" s="270">
        <v>1250</v>
      </c>
      <c r="T12" s="272">
        <v>1.2</v>
      </c>
      <c r="U12" s="270">
        <v>50</v>
      </c>
      <c r="V12" s="274">
        <v>0.04</v>
      </c>
      <c r="W12" s="270" t="s">
        <v>28</v>
      </c>
      <c r="X12" s="270" t="s">
        <v>28</v>
      </c>
      <c r="Y12" s="270" t="s">
        <v>28</v>
      </c>
      <c r="Z12" s="270" t="s">
        <v>27</v>
      </c>
      <c r="AA12" s="270" t="s">
        <v>27</v>
      </c>
      <c r="AB12" s="270" t="s">
        <v>32</v>
      </c>
      <c r="AC12" s="270" t="s">
        <v>113</v>
      </c>
    </row>
    <row r="13" spans="1:29" s="276" customFormat="1" ht="25.05" customHeight="1" x14ac:dyDescent="0.3">
      <c r="A13" s="270"/>
      <c r="B13" s="271" t="s">
        <v>743</v>
      </c>
      <c r="C13" s="270" t="s">
        <v>35</v>
      </c>
      <c r="D13" s="270" t="s">
        <v>708</v>
      </c>
      <c r="E13" s="270">
        <v>262964</v>
      </c>
      <c r="F13" s="270" t="s">
        <v>742</v>
      </c>
      <c r="G13" s="270">
        <v>700</v>
      </c>
      <c r="H13" s="272">
        <v>1.1599999999999999</v>
      </c>
      <c r="I13" s="272">
        <v>1.19</v>
      </c>
      <c r="J13" s="270" t="s">
        <v>27</v>
      </c>
      <c r="K13" s="270" t="s">
        <v>33</v>
      </c>
      <c r="L13" s="270" t="s">
        <v>27</v>
      </c>
      <c r="M13" s="272">
        <v>966.28</v>
      </c>
      <c r="N13" s="273">
        <v>833</v>
      </c>
      <c r="O13" s="274">
        <v>0.23139999999999999</v>
      </c>
      <c r="P13" s="275">
        <v>13.88</v>
      </c>
      <c r="Q13" s="270">
        <v>304.39999999999998</v>
      </c>
      <c r="R13" s="270">
        <v>1</v>
      </c>
      <c r="S13" s="270">
        <v>1200</v>
      </c>
      <c r="T13" s="272">
        <v>1.1599999999999999</v>
      </c>
      <c r="U13" s="270">
        <v>40</v>
      </c>
      <c r="V13" s="274">
        <v>3.3300000000000003E-2</v>
      </c>
      <c r="W13" s="270" t="s">
        <v>28</v>
      </c>
      <c r="X13" s="270" t="s">
        <v>28</v>
      </c>
      <c r="Y13" s="270" t="s">
        <v>28</v>
      </c>
      <c r="Z13" s="270" t="s">
        <v>27</v>
      </c>
      <c r="AA13" s="270" t="s">
        <v>27</v>
      </c>
      <c r="AB13" s="270" t="s">
        <v>32</v>
      </c>
      <c r="AC13" s="270" t="s">
        <v>749</v>
      </c>
    </row>
    <row r="14" spans="1:29" s="276" customFormat="1" ht="25.05" customHeight="1" x14ac:dyDescent="0.3">
      <c r="A14" s="270"/>
      <c r="B14" s="271" t="s">
        <v>743</v>
      </c>
      <c r="C14" s="270" t="s">
        <v>35</v>
      </c>
      <c r="D14" s="270" t="s">
        <v>708</v>
      </c>
      <c r="E14" s="270">
        <v>262958</v>
      </c>
      <c r="F14" s="270" t="s">
        <v>742</v>
      </c>
      <c r="G14" s="270">
        <v>1000</v>
      </c>
      <c r="H14" s="272">
        <v>0.56499999999999995</v>
      </c>
      <c r="I14" s="272">
        <v>2.2200000000000002</v>
      </c>
      <c r="J14" s="270" t="s">
        <v>27</v>
      </c>
      <c r="K14" s="270" t="s">
        <v>748</v>
      </c>
      <c r="L14" s="270" t="s">
        <v>27</v>
      </c>
      <c r="M14" s="272">
        <v>1254.3</v>
      </c>
      <c r="N14" s="273">
        <v>1110</v>
      </c>
      <c r="O14" s="274">
        <v>0.1542</v>
      </c>
      <c r="P14" s="275">
        <v>9.25</v>
      </c>
      <c r="Q14" s="270">
        <v>395.1</v>
      </c>
      <c r="R14" s="270">
        <v>2</v>
      </c>
      <c r="S14" s="270">
        <v>1150</v>
      </c>
      <c r="T14" s="272">
        <v>1.1299999999999999</v>
      </c>
      <c r="U14" s="270">
        <v>20</v>
      </c>
      <c r="V14" s="274">
        <v>1.7399999999999999E-2</v>
      </c>
      <c r="W14" s="270" t="s">
        <v>28</v>
      </c>
      <c r="X14" s="270" t="s">
        <v>28</v>
      </c>
      <c r="Y14" s="270" t="s">
        <v>28</v>
      </c>
      <c r="Z14" s="270" t="s">
        <v>27</v>
      </c>
      <c r="AA14" s="270" t="s">
        <v>27</v>
      </c>
      <c r="AB14" s="270" t="s">
        <v>30</v>
      </c>
      <c r="AC14" s="270" t="s">
        <v>747</v>
      </c>
    </row>
    <row r="15" spans="1:29" s="276" customFormat="1" ht="25.05" customHeight="1" x14ac:dyDescent="0.3">
      <c r="A15" s="270"/>
      <c r="B15" s="271" t="s">
        <v>743</v>
      </c>
      <c r="C15" s="270" t="s">
        <v>35</v>
      </c>
      <c r="D15" s="270" t="s">
        <v>708</v>
      </c>
      <c r="E15" s="270">
        <v>262957</v>
      </c>
      <c r="F15" s="270" t="s">
        <v>742</v>
      </c>
      <c r="G15" s="270">
        <v>1050</v>
      </c>
      <c r="H15" s="272">
        <v>1.0089999999999999</v>
      </c>
      <c r="I15" s="272">
        <v>0.92</v>
      </c>
      <c r="J15" s="270" t="s">
        <v>27</v>
      </c>
      <c r="K15" s="270" t="s">
        <v>33</v>
      </c>
      <c r="L15" s="270" t="s">
        <v>27</v>
      </c>
      <c r="M15" s="272">
        <v>974.69399999999996</v>
      </c>
      <c r="N15" s="273">
        <v>966</v>
      </c>
      <c r="O15" s="274">
        <v>0.26829999999999998</v>
      </c>
      <c r="P15" s="275">
        <v>16.100000000000001</v>
      </c>
      <c r="Q15" s="270">
        <v>307</v>
      </c>
      <c r="R15" s="270">
        <v>1</v>
      </c>
      <c r="S15" s="270">
        <v>1050</v>
      </c>
      <c r="T15" s="272">
        <v>1.0089999999999999</v>
      </c>
      <c r="U15" s="270">
        <v>41</v>
      </c>
      <c r="V15" s="274">
        <v>3.9E-2</v>
      </c>
      <c r="W15" s="270" t="s">
        <v>28</v>
      </c>
      <c r="X15" s="270" t="s">
        <v>28</v>
      </c>
      <c r="Y15" s="270" t="s">
        <v>28</v>
      </c>
      <c r="Z15" s="270" t="s">
        <v>27</v>
      </c>
      <c r="AA15" s="270" t="s">
        <v>27</v>
      </c>
      <c r="AB15" s="270" t="s">
        <v>32</v>
      </c>
      <c r="AC15" s="270" t="s">
        <v>746</v>
      </c>
    </row>
    <row r="16" spans="1:29" s="276" customFormat="1" ht="25.05" customHeight="1" x14ac:dyDescent="0.3">
      <c r="A16" s="270"/>
      <c r="B16" s="271" t="s">
        <v>743</v>
      </c>
      <c r="C16" s="270" t="s">
        <v>35</v>
      </c>
      <c r="D16" s="270" t="s">
        <v>708</v>
      </c>
      <c r="E16" s="270">
        <v>262961</v>
      </c>
      <c r="F16" s="270" t="s">
        <v>742</v>
      </c>
      <c r="G16" s="270">
        <v>1000</v>
      </c>
      <c r="H16" s="272">
        <v>1</v>
      </c>
      <c r="I16" s="272">
        <v>1</v>
      </c>
      <c r="J16" s="270" t="s">
        <v>27</v>
      </c>
      <c r="K16" s="270" t="s">
        <v>33</v>
      </c>
      <c r="L16" s="270" t="s">
        <v>27</v>
      </c>
      <c r="M16" s="272">
        <v>1000</v>
      </c>
      <c r="N16" s="273">
        <v>1000</v>
      </c>
      <c r="O16" s="274">
        <v>0.27779999999999999</v>
      </c>
      <c r="P16" s="275">
        <v>16.670000000000002</v>
      </c>
      <c r="Q16" s="270">
        <v>315</v>
      </c>
      <c r="R16" s="270">
        <v>1</v>
      </c>
      <c r="S16" s="270">
        <v>1050</v>
      </c>
      <c r="T16" s="272">
        <v>1</v>
      </c>
      <c r="U16" s="270">
        <v>50</v>
      </c>
      <c r="V16" s="274">
        <v>4.7600000000000003E-2</v>
      </c>
      <c r="W16" s="270" t="s">
        <v>28</v>
      </c>
      <c r="X16" s="270" t="s">
        <v>28</v>
      </c>
      <c r="Y16" s="270" t="s">
        <v>28</v>
      </c>
      <c r="Z16" s="270" t="s">
        <v>27</v>
      </c>
      <c r="AA16" s="270" t="s">
        <v>27</v>
      </c>
      <c r="AB16" s="270" t="s">
        <v>32</v>
      </c>
      <c r="AC16" s="270" t="s">
        <v>745</v>
      </c>
    </row>
    <row r="17" spans="1:29" s="276" customFormat="1" ht="25.05" customHeight="1" x14ac:dyDescent="0.3">
      <c r="A17" s="270"/>
      <c r="B17" s="271" t="s">
        <v>743</v>
      </c>
      <c r="C17" s="270" t="s">
        <v>35</v>
      </c>
      <c r="D17" s="270" t="s">
        <v>708</v>
      </c>
      <c r="E17" s="270">
        <v>262963</v>
      </c>
      <c r="F17" s="270" t="s">
        <v>742</v>
      </c>
      <c r="G17" s="270">
        <v>1500</v>
      </c>
      <c r="H17" s="272">
        <v>0.98</v>
      </c>
      <c r="I17" s="272">
        <v>0.77</v>
      </c>
      <c r="J17" s="270" t="s">
        <v>27</v>
      </c>
      <c r="K17" s="270" t="s">
        <v>33</v>
      </c>
      <c r="L17" s="270" t="s">
        <v>27</v>
      </c>
      <c r="M17" s="272">
        <v>1131.9000000000001</v>
      </c>
      <c r="N17" s="273">
        <v>1155</v>
      </c>
      <c r="O17" s="274">
        <v>0.32079999999999997</v>
      </c>
      <c r="P17" s="275">
        <v>19.25</v>
      </c>
      <c r="Q17" s="270">
        <v>356.5</v>
      </c>
      <c r="R17" s="270">
        <v>1</v>
      </c>
      <c r="S17" s="270">
        <v>1000</v>
      </c>
      <c r="T17" s="272">
        <v>0.98</v>
      </c>
      <c r="U17" s="270">
        <v>20</v>
      </c>
      <c r="V17" s="274">
        <v>0.02</v>
      </c>
      <c r="W17" s="270" t="s">
        <v>28</v>
      </c>
      <c r="X17" s="270" t="s">
        <v>28</v>
      </c>
      <c r="Y17" s="270" t="s">
        <v>28</v>
      </c>
      <c r="Z17" s="270" t="s">
        <v>27</v>
      </c>
      <c r="AA17" s="270" t="s">
        <v>27</v>
      </c>
      <c r="AB17" s="270" t="s">
        <v>32</v>
      </c>
      <c r="AC17" s="270" t="s">
        <v>744</v>
      </c>
    </row>
    <row r="18" spans="1:29" s="276" customFormat="1" ht="25.05" customHeight="1" x14ac:dyDescent="0.3">
      <c r="A18" s="270"/>
      <c r="B18" s="271" t="s">
        <v>743</v>
      </c>
      <c r="C18" s="270" t="s">
        <v>35</v>
      </c>
      <c r="D18" s="270" t="s">
        <v>708</v>
      </c>
      <c r="E18" s="270">
        <v>262965</v>
      </c>
      <c r="F18" s="270" t="s">
        <v>742</v>
      </c>
      <c r="G18" s="270">
        <v>640</v>
      </c>
      <c r="H18" s="272">
        <v>0.88200000000000001</v>
      </c>
      <c r="I18" s="272">
        <v>1.76</v>
      </c>
      <c r="J18" s="270" t="s">
        <v>27</v>
      </c>
      <c r="K18" s="270" t="s">
        <v>33</v>
      </c>
      <c r="L18" s="270" t="s">
        <v>27</v>
      </c>
      <c r="M18" s="272">
        <v>993.48500000000001</v>
      </c>
      <c r="N18" s="273">
        <v>1126.4000000000001</v>
      </c>
      <c r="O18" s="274">
        <v>0.31290000000000001</v>
      </c>
      <c r="P18" s="275">
        <v>18.77</v>
      </c>
      <c r="Q18" s="270">
        <v>312.89999999999998</v>
      </c>
      <c r="R18" s="270">
        <v>1</v>
      </c>
      <c r="S18" s="270">
        <v>950</v>
      </c>
      <c r="T18" s="272">
        <v>0.88200000000000001</v>
      </c>
      <c r="U18" s="270">
        <v>68</v>
      </c>
      <c r="V18" s="274">
        <v>7.1599999999999997E-2</v>
      </c>
      <c r="W18" s="270" t="s">
        <v>28</v>
      </c>
      <c r="X18" s="270" t="s">
        <v>28</v>
      </c>
      <c r="Y18" s="270" t="s">
        <v>28</v>
      </c>
      <c r="Z18" s="270" t="s">
        <v>27</v>
      </c>
      <c r="AA18" s="270" t="s">
        <v>27</v>
      </c>
      <c r="AB18" s="270" t="s">
        <v>32</v>
      </c>
      <c r="AC18" s="270" t="s">
        <v>741</v>
      </c>
    </row>
    <row r="19" spans="1:29" s="276" customFormat="1" ht="25.05" customHeight="1" x14ac:dyDescent="0.3">
      <c r="A19" s="278" t="s">
        <v>27</v>
      </c>
      <c r="B19" s="278" t="s">
        <v>27</v>
      </c>
      <c r="C19" s="278" t="s">
        <v>27</v>
      </c>
      <c r="D19" s="278" t="s">
        <v>27</v>
      </c>
      <c r="E19" s="278" t="s">
        <v>27</v>
      </c>
      <c r="F19" s="278" t="s">
        <v>27</v>
      </c>
      <c r="G19" s="278">
        <v>27240</v>
      </c>
      <c r="H19" s="278" t="s">
        <v>27</v>
      </c>
      <c r="I19" s="278" t="s">
        <v>27</v>
      </c>
      <c r="J19" s="278" t="s">
        <v>27</v>
      </c>
      <c r="K19" s="278" t="s">
        <v>27</v>
      </c>
      <c r="L19" s="278" t="s">
        <v>27</v>
      </c>
      <c r="M19" s="278" t="s">
        <v>27</v>
      </c>
      <c r="N19" s="278" t="s">
        <v>27</v>
      </c>
      <c r="O19" s="278" t="s">
        <v>27</v>
      </c>
      <c r="P19" s="278" t="s">
        <v>27</v>
      </c>
      <c r="Q19" s="278">
        <v>6110.7</v>
      </c>
      <c r="R19" s="278" t="s">
        <v>27</v>
      </c>
      <c r="S19" s="278" t="s">
        <v>27</v>
      </c>
      <c r="T19" s="278" t="s">
        <v>27</v>
      </c>
      <c r="U19" s="278" t="s">
        <v>27</v>
      </c>
      <c r="V19" s="278" t="s">
        <v>27</v>
      </c>
      <c r="W19" s="278" t="s">
        <v>27</v>
      </c>
      <c r="X19" s="278" t="s">
        <v>27</v>
      </c>
      <c r="Y19" s="278" t="s">
        <v>27</v>
      </c>
      <c r="Z19" s="278" t="s">
        <v>27</v>
      </c>
      <c r="AA19" s="278" t="s">
        <v>27</v>
      </c>
      <c r="AB19" s="278" t="s">
        <v>27</v>
      </c>
      <c r="AC19" s="278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5EE4D-B02B-4C62-A2EC-AAFEBC4E0B64}">
  <sheetPr>
    <pageSetUpPr fitToPage="1"/>
  </sheetPr>
  <dimension ref="A1:AC10"/>
  <sheetViews>
    <sheetView workbookViewId="0">
      <selection activeCell="W24" sqref="W24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7.6640625" style="1" customWidth="1"/>
    <col min="6" max="6" width="3.5546875" style="1" customWidth="1"/>
    <col min="7" max="7" width="6.33203125" style="1" customWidth="1"/>
    <col min="8" max="8" width="6" style="1" customWidth="1"/>
    <col min="9" max="9" width="6.21875" style="1" customWidth="1"/>
    <col min="10" max="10" width="8.77734375" style="1" customWidth="1"/>
    <col min="11" max="11" width="12.77734375" style="1" customWidth="1"/>
    <col min="12" max="12" width="7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" style="1" customWidth="1"/>
    <col min="18" max="18" width="4.5546875" style="1" customWidth="1"/>
    <col min="19" max="19" width="6.664062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77734375" style="1" customWidth="1"/>
    <col min="24" max="24" width="7.44140625" style="1" customWidth="1"/>
    <col min="25" max="25" width="7.5546875" style="1" customWidth="1"/>
    <col min="26" max="26" width="8.109375" style="1" customWidth="1"/>
    <col min="27" max="27" width="7.88671875" style="1" customWidth="1"/>
    <col min="28" max="28" width="4" style="1" customWidth="1"/>
    <col min="29" max="29" width="10.33203125" style="1" customWidth="1"/>
    <col min="30" max="16384" width="8.88671875" style="1"/>
  </cols>
  <sheetData>
    <row r="1" spans="1:29" ht="18" customHeight="1" x14ac:dyDescent="0.35">
      <c r="A1" s="260" t="s">
        <v>737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40.799999999999997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126">
        <v>1</v>
      </c>
      <c r="B3" s="128" t="s">
        <v>366</v>
      </c>
      <c r="C3" s="126" t="s">
        <v>26</v>
      </c>
      <c r="D3" s="126" t="s">
        <v>729</v>
      </c>
      <c r="E3" s="126">
        <v>262946</v>
      </c>
      <c r="F3" s="126" t="s">
        <v>63</v>
      </c>
      <c r="G3" s="126">
        <v>700</v>
      </c>
      <c r="H3" s="127">
        <v>0.56999999999999995</v>
      </c>
      <c r="I3" s="127">
        <v>1.44</v>
      </c>
      <c r="J3" s="126" t="s">
        <v>27</v>
      </c>
      <c r="K3" s="126" t="s">
        <v>33</v>
      </c>
      <c r="L3" s="126" t="s">
        <v>27</v>
      </c>
      <c r="M3" s="123">
        <v>574.55999999999995</v>
      </c>
      <c r="N3" s="125">
        <v>504</v>
      </c>
      <c r="O3" s="122">
        <v>7.0000000000000007E-2</v>
      </c>
      <c r="P3" s="124">
        <v>4.2</v>
      </c>
      <c r="Q3" s="121">
        <v>309.10000000000002</v>
      </c>
      <c r="R3" s="121">
        <v>2</v>
      </c>
      <c r="S3" s="121">
        <v>1200</v>
      </c>
      <c r="T3" s="123">
        <v>1.1399999999999999</v>
      </c>
      <c r="U3" s="121">
        <v>60</v>
      </c>
      <c r="V3" s="122">
        <v>0.05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32</v>
      </c>
      <c r="AC3" s="121" t="s">
        <v>736</v>
      </c>
    </row>
    <row r="4" spans="1:29" x14ac:dyDescent="0.3">
      <c r="A4" s="126">
        <v>2</v>
      </c>
      <c r="B4" s="128" t="s">
        <v>366</v>
      </c>
      <c r="C4" s="126" t="s">
        <v>81</v>
      </c>
      <c r="D4" s="126" t="s">
        <v>729</v>
      </c>
      <c r="E4" s="126">
        <v>262949</v>
      </c>
      <c r="F4" s="126" t="s">
        <v>63</v>
      </c>
      <c r="G4" s="126">
        <v>2200</v>
      </c>
      <c r="H4" s="127">
        <v>0.49399999999999999</v>
      </c>
      <c r="I4" s="127">
        <v>1.24</v>
      </c>
      <c r="J4" s="126" t="s">
        <v>27</v>
      </c>
      <c r="K4" s="126" t="s">
        <v>735</v>
      </c>
      <c r="L4" s="126" t="s">
        <v>27</v>
      </c>
      <c r="M4" s="123">
        <v>1347.6320000000001</v>
      </c>
      <c r="N4" s="125">
        <v>909.3</v>
      </c>
      <c r="O4" s="122">
        <v>8.4199999999999997E-2</v>
      </c>
      <c r="P4" s="124">
        <v>5.05</v>
      </c>
      <c r="Q4" s="121">
        <v>491.9</v>
      </c>
      <c r="R4" s="121">
        <v>3</v>
      </c>
      <c r="S4" s="121">
        <v>1550</v>
      </c>
      <c r="T4" s="123">
        <v>1.482</v>
      </c>
      <c r="U4" s="121">
        <v>68</v>
      </c>
      <c r="V4" s="122">
        <v>4.3900000000000002E-2</v>
      </c>
      <c r="W4" s="121" t="s">
        <v>41</v>
      </c>
      <c r="X4" s="121" t="s">
        <v>29</v>
      </c>
      <c r="Y4" s="121" t="s">
        <v>28</v>
      </c>
      <c r="Z4" s="121" t="s">
        <v>27</v>
      </c>
      <c r="AA4" s="121" t="s">
        <v>27</v>
      </c>
      <c r="AB4" s="121" t="s">
        <v>30</v>
      </c>
      <c r="AC4" s="121" t="s">
        <v>734</v>
      </c>
    </row>
    <row r="5" spans="1:29" s="259" customFormat="1" x14ac:dyDescent="0.3">
      <c r="A5" s="252">
        <v>3</v>
      </c>
      <c r="B5" s="128" t="s">
        <v>366</v>
      </c>
      <c r="C5" s="252" t="s">
        <v>35</v>
      </c>
      <c r="D5" s="252" t="s">
        <v>729</v>
      </c>
      <c r="E5" s="252">
        <v>262947</v>
      </c>
      <c r="F5" s="252" t="s">
        <v>63</v>
      </c>
      <c r="G5" s="252">
        <v>6000</v>
      </c>
      <c r="H5" s="253">
        <v>0.374</v>
      </c>
      <c r="I5" s="253">
        <v>0.88</v>
      </c>
      <c r="J5" s="252" t="s">
        <v>27</v>
      </c>
      <c r="K5" s="252" t="s">
        <v>110</v>
      </c>
      <c r="L5" s="252" t="s">
        <v>27</v>
      </c>
      <c r="M5" s="254">
        <v>987.36</v>
      </c>
      <c r="N5" s="255">
        <v>660</v>
      </c>
      <c r="O5" s="256">
        <v>4.58E-2</v>
      </c>
      <c r="P5" s="257">
        <v>2.75</v>
      </c>
      <c r="Q5" s="258">
        <v>311</v>
      </c>
      <c r="R5" s="258">
        <v>4</v>
      </c>
      <c r="S5" s="258">
        <v>1550</v>
      </c>
      <c r="T5" s="254">
        <v>1.496</v>
      </c>
      <c r="U5" s="258">
        <v>54</v>
      </c>
      <c r="V5" s="256">
        <v>3.4799999999999998E-2</v>
      </c>
      <c r="W5" s="258" t="s">
        <v>28</v>
      </c>
      <c r="X5" s="258" t="s">
        <v>28</v>
      </c>
      <c r="Y5" s="258" t="s">
        <v>28</v>
      </c>
      <c r="Z5" s="258" t="s">
        <v>27</v>
      </c>
      <c r="AA5" s="258" t="s">
        <v>27</v>
      </c>
      <c r="AB5" s="258" t="s">
        <v>32</v>
      </c>
      <c r="AC5" s="258" t="s">
        <v>109</v>
      </c>
    </row>
    <row r="6" spans="1:29" x14ac:dyDescent="0.3">
      <c r="A6" s="126">
        <v>4</v>
      </c>
      <c r="B6" s="128" t="s">
        <v>366</v>
      </c>
      <c r="C6" s="126" t="s">
        <v>35</v>
      </c>
      <c r="D6" s="126" t="s">
        <v>729</v>
      </c>
      <c r="E6" s="126">
        <v>262948</v>
      </c>
      <c r="F6" s="126" t="s">
        <v>63</v>
      </c>
      <c r="G6" s="126">
        <v>1100</v>
      </c>
      <c r="H6" s="127">
        <v>0.71</v>
      </c>
      <c r="I6" s="127">
        <v>1.36</v>
      </c>
      <c r="J6" s="126" t="s">
        <v>27</v>
      </c>
      <c r="K6" s="126" t="s">
        <v>201</v>
      </c>
      <c r="L6" s="126" t="s">
        <v>27</v>
      </c>
      <c r="M6" s="123">
        <v>1062.1600000000001</v>
      </c>
      <c r="N6" s="125">
        <v>748</v>
      </c>
      <c r="O6" s="122">
        <v>0.10390000000000001</v>
      </c>
      <c r="P6" s="124">
        <v>6.23</v>
      </c>
      <c r="Q6" s="121">
        <v>334.6</v>
      </c>
      <c r="R6" s="121">
        <v>2</v>
      </c>
      <c r="S6" s="121">
        <v>1450</v>
      </c>
      <c r="T6" s="123">
        <v>1.42</v>
      </c>
      <c r="U6" s="121">
        <v>30</v>
      </c>
      <c r="V6" s="122">
        <v>2.07E-2</v>
      </c>
      <c r="W6" s="121" t="s">
        <v>28</v>
      </c>
      <c r="X6" s="121" t="s">
        <v>28</v>
      </c>
      <c r="Y6" s="121" t="s">
        <v>28</v>
      </c>
      <c r="Z6" s="121" t="s">
        <v>27</v>
      </c>
      <c r="AA6" s="121" t="s">
        <v>27</v>
      </c>
      <c r="AB6" s="121" t="s">
        <v>30</v>
      </c>
      <c r="AC6" s="121" t="s">
        <v>733</v>
      </c>
    </row>
    <row r="7" spans="1:29" x14ac:dyDescent="0.3">
      <c r="A7" s="126">
        <v>5</v>
      </c>
      <c r="B7" s="128" t="s">
        <v>366</v>
      </c>
      <c r="C7" s="126" t="s">
        <v>35</v>
      </c>
      <c r="D7" s="126" t="s">
        <v>729</v>
      </c>
      <c r="E7" s="126">
        <v>262950</v>
      </c>
      <c r="F7" s="126" t="s">
        <v>63</v>
      </c>
      <c r="G7" s="126">
        <v>330</v>
      </c>
      <c r="H7" s="127">
        <v>1.288</v>
      </c>
      <c r="I7" s="127">
        <v>2.3199999999999998</v>
      </c>
      <c r="J7" s="126" t="s">
        <v>27</v>
      </c>
      <c r="K7" s="126" t="s">
        <v>33</v>
      </c>
      <c r="L7" s="126" t="s">
        <v>27</v>
      </c>
      <c r="M7" s="123">
        <v>986.09299999999996</v>
      </c>
      <c r="N7" s="125">
        <v>765.6</v>
      </c>
      <c r="O7" s="122">
        <v>0.2127</v>
      </c>
      <c r="P7" s="124">
        <v>12.76</v>
      </c>
      <c r="Q7" s="121">
        <v>310.60000000000002</v>
      </c>
      <c r="R7" s="121">
        <v>1</v>
      </c>
      <c r="S7" s="121">
        <v>1350</v>
      </c>
      <c r="T7" s="123">
        <v>1.288</v>
      </c>
      <c r="U7" s="121">
        <v>62</v>
      </c>
      <c r="V7" s="122">
        <v>4.5900000000000003E-2</v>
      </c>
      <c r="W7" s="121" t="s">
        <v>28</v>
      </c>
      <c r="X7" s="121" t="s">
        <v>28</v>
      </c>
      <c r="Y7" s="121" t="s">
        <v>28</v>
      </c>
      <c r="Z7" s="121" t="s">
        <v>27</v>
      </c>
      <c r="AA7" s="121" t="s">
        <v>27</v>
      </c>
      <c r="AB7" s="121" t="s">
        <v>38</v>
      </c>
      <c r="AC7" s="121" t="s">
        <v>732</v>
      </c>
    </row>
    <row r="8" spans="1:29" x14ac:dyDescent="0.3">
      <c r="A8" s="126">
        <v>6</v>
      </c>
      <c r="B8" s="128" t="s">
        <v>366</v>
      </c>
      <c r="C8" s="126" t="s">
        <v>35</v>
      </c>
      <c r="D8" s="126" t="s">
        <v>729</v>
      </c>
      <c r="E8" s="126">
        <v>262951</v>
      </c>
      <c r="F8" s="126" t="s">
        <v>63</v>
      </c>
      <c r="G8" s="126">
        <v>5000</v>
      </c>
      <c r="H8" s="127">
        <v>0.56899999999999995</v>
      </c>
      <c r="I8" s="127">
        <v>1.32</v>
      </c>
      <c r="J8" s="126" t="s">
        <v>27</v>
      </c>
      <c r="K8" s="126" t="s">
        <v>731</v>
      </c>
      <c r="L8" s="126" t="s">
        <v>27</v>
      </c>
      <c r="M8" s="123">
        <v>3755.4</v>
      </c>
      <c r="N8" s="125">
        <v>3300</v>
      </c>
      <c r="O8" s="122">
        <v>0.45829999999999999</v>
      </c>
      <c r="P8" s="124">
        <v>27.5</v>
      </c>
      <c r="Q8" s="121">
        <v>1183</v>
      </c>
      <c r="R8" s="121">
        <v>2</v>
      </c>
      <c r="S8" s="121">
        <v>1200</v>
      </c>
      <c r="T8" s="123">
        <v>1.1379999999999999</v>
      </c>
      <c r="U8" s="121">
        <v>62</v>
      </c>
      <c r="V8" s="122">
        <v>5.1700000000000003E-2</v>
      </c>
      <c r="W8" s="121" t="s">
        <v>28</v>
      </c>
      <c r="X8" s="121" t="s">
        <v>28</v>
      </c>
      <c r="Y8" s="121" t="s">
        <v>28</v>
      </c>
      <c r="Z8" s="121" t="s">
        <v>27</v>
      </c>
      <c r="AA8" s="121" t="s">
        <v>27</v>
      </c>
      <c r="AB8" s="121" t="s">
        <v>54</v>
      </c>
      <c r="AC8" s="121" t="s">
        <v>730</v>
      </c>
    </row>
    <row r="9" spans="1:29" x14ac:dyDescent="0.3">
      <c r="A9" s="126">
        <v>7</v>
      </c>
      <c r="B9" s="128" t="s">
        <v>366</v>
      </c>
      <c r="C9" s="126" t="s">
        <v>35</v>
      </c>
      <c r="D9" s="126" t="s">
        <v>729</v>
      </c>
      <c r="E9" s="126">
        <v>262952</v>
      </c>
      <c r="F9" s="126" t="s">
        <v>63</v>
      </c>
      <c r="G9" s="126">
        <v>900</v>
      </c>
      <c r="H9" s="127">
        <v>1.0620000000000001</v>
      </c>
      <c r="I9" s="127">
        <v>1</v>
      </c>
      <c r="J9" s="126" t="s">
        <v>27</v>
      </c>
      <c r="K9" s="126" t="s">
        <v>33</v>
      </c>
      <c r="L9" s="126" t="s">
        <v>27</v>
      </c>
      <c r="M9" s="123">
        <v>955.8</v>
      </c>
      <c r="N9" s="125">
        <v>900</v>
      </c>
      <c r="O9" s="122">
        <v>0.25</v>
      </c>
      <c r="P9" s="124">
        <v>15</v>
      </c>
      <c r="Q9" s="121">
        <v>301.10000000000002</v>
      </c>
      <c r="R9" s="121">
        <v>1</v>
      </c>
      <c r="S9" s="121">
        <v>1100</v>
      </c>
      <c r="T9" s="123">
        <v>1.0620000000000001</v>
      </c>
      <c r="U9" s="121">
        <v>38</v>
      </c>
      <c r="V9" s="122">
        <v>3.4500000000000003E-2</v>
      </c>
      <c r="W9" s="121" t="s">
        <v>28</v>
      </c>
      <c r="X9" s="121" t="s">
        <v>28</v>
      </c>
      <c r="Y9" s="121" t="s">
        <v>28</v>
      </c>
      <c r="Z9" s="121" t="s">
        <v>27</v>
      </c>
      <c r="AA9" s="121" t="s">
        <v>27</v>
      </c>
      <c r="AB9" s="121" t="s">
        <v>32</v>
      </c>
      <c r="AC9" s="121" t="s">
        <v>728</v>
      </c>
    </row>
    <row r="10" spans="1:29" x14ac:dyDescent="0.3">
      <c r="A10" s="120" t="s">
        <v>27</v>
      </c>
      <c r="B10" s="120" t="s">
        <v>27</v>
      </c>
      <c r="C10" s="120" t="s">
        <v>27</v>
      </c>
      <c r="D10" s="120" t="s">
        <v>27</v>
      </c>
      <c r="E10" s="120" t="s">
        <v>27</v>
      </c>
      <c r="F10" s="120" t="s">
        <v>27</v>
      </c>
      <c r="G10" s="120">
        <v>16230</v>
      </c>
      <c r="H10" s="120" t="s">
        <v>27</v>
      </c>
      <c r="I10" s="120" t="s">
        <v>27</v>
      </c>
      <c r="J10" s="120" t="s">
        <v>27</v>
      </c>
      <c r="K10" s="120" t="s">
        <v>27</v>
      </c>
      <c r="L10" s="120" t="s">
        <v>27</v>
      </c>
      <c r="M10" s="119" t="s">
        <v>27</v>
      </c>
      <c r="N10" s="119" t="s">
        <v>27</v>
      </c>
      <c r="O10" s="119" t="s">
        <v>27</v>
      </c>
      <c r="P10" s="119" t="s">
        <v>27</v>
      </c>
      <c r="Q10" s="119">
        <v>3241.2</v>
      </c>
      <c r="R10" s="119" t="s">
        <v>27</v>
      </c>
      <c r="S10" s="119" t="s">
        <v>27</v>
      </c>
      <c r="T10" s="119" t="s">
        <v>27</v>
      </c>
      <c r="U10" s="119" t="s">
        <v>27</v>
      </c>
      <c r="V10" s="119" t="s">
        <v>27</v>
      </c>
      <c r="W10" s="119" t="s">
        <v>27</v>
      </c>
      <c r="X10" s="119" t="s">
        <v>27</v>
      </c>
      <c r="Y10" s="119" t="s">
        <v>27</v>
      </c>
      <c r="Z10" s="119" t="s">
        <v>27</v>
      </c>
      <c r="AA10" s="119" t="s">
        <v>27</v>
      </c>
      <c r="AB10" s="119" t="s">
        <v>27</v>
      </c>
      <c r="AC10" s="119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92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19C09-8994-4E5A-822E-8DCB75890AFE}">
  <dimension ref="A1:AC6"/>
  <sheetViews>
    <sheetView workbookViewId="0">
      <selection activeCell="R28" sqref="R28"/>
    </sheetView>
  </sheetViews>
  <sheetFormatPr defaultRowHeight="14.4" x14ac:dyDescent="0.3"/>
  <cols>
    <col min="1" max="1" width="8.44140625" style="242" customWidth="1"/>
    <col min="2" max="2" width="20.77734375" style="242" hidden="1" customWidth="1"/>
    <col min="3" max="3" width="7" style="242" customWidth="1"/>
    <col min="4" max="4" width="11.77734375" style="242" hidden="1" customWidth="1"/>
    <col min="5" max="5" width="8" style="242" customWidth="1"/>
    <col min="6" max="6" width="5.5546875" style="242" customWidth="1"/>
    <col min="7" max="7" width="6.77734375" style="242" customWidth="1"/>
    <col min="8" max="8" width="7.44140625" style="242" customWidth="1"/>
    <col min="9" max="9" width="8.44140625" style="242" customWidth="1"/>
    <col min="10" max="10" width="9.77734375" style="242" customWidth="1"/>
    <col min="11" max="11" width="12.33203125" style="242" customWidth="1"/>
    <col min="12" max="12" width="10.33203125" style="242" customWidth="1"/>
    <col min="13" max="13" width="9.77734375" style="242" hidden="1" customWidth="1"/>
    <col min="14" max="14" width="8.77734375" style="242" hidden="1" customWidth="1"/>
    <col min="15" max="16" width="9.77734375" style="242" hidden="1" customWidth="1"/>
    <col min="17" max="17" width="6.77734375" style="242" customWidth="1"/>
    <col min="18" max="18" width="4.109375" style="242" customWidth="1"/>
    <col min="19" max="19" width="6.5546875" style="242" customWidth="1"/>
    <col min="20" max="20" width="8.6640625" style="242" customWidth="1"/>
    <col min="21" max="21" width="11.77734375" style="242" hidden="1" customWidth="1"/>
    <col min="22" max="22" width="8.77734375" style="242" hidden="1" customWidth="1"/>
    <col min="23" max="23" width="9" style="242" customWidth="1"/>
    <col min="24" max="24" width="9.33203125" style="242" customWidth="1"/>
    <col min="25" max="25" width="8.6640625" style="242" customWidth="1"/>
    <col min="26" max="26" width="7.6640625" style="242" customWidth="1"/>
    <col min="27" max="27" width="8.21875" style="242" customWidth="1"/>
    <col min="28" max="28" width="5" style="242" customWidth="1"/>
    <col min="29" max="29" width="10.88671875" style="242" customWidth="1"/>
    <col min="30" max="16384" width="8.88671875" style="242"/>
  </cols>
  <sheetData>
    <row r="1" spans="1:29" ht="18" customHeight="1" x14ac:dyDescent="0.35">
      <c r="A1" s="277" t="s">
        <v>721</v>
      </c>
      <c r="B1" s="277" t="s">
        <v>27</v>
      </c>
      <c r="C1" s="277" t="s">
        <v>27</v>
      </c>
      <c r="D1" s="277" t="s">
        <v>27</v>
      </c>
      <c r="E1" s="277" t="s">
        <v>27</v>
      </c>
      <c r="F1" s="277" t="s">
        <v>27</v>
      </c>
      <c r="G1" s="277" t="s">
        <v>27</v>
      </c>
      <c r="H1" s="277" t="s">
        <v>27</v>
      </c>
      <c r="I1" s="277" t="s">
        <v>27</v>
      </c>
      <c r="J1" s="277" t="s">
        <v>27</v>
      </c>
      <c r="K1" s="277" t="s">
        <v>27</v>
      </c>
      <c r="L1" s="277" t="s">
        <v>27</v>
      </c>
      <c r="M1" s="277" t="s">
        <v>27</v>
      </c>
      <c r="N1" s="277" t="s">
        <v>27</v>
      </c>
      <c r="O1" s="277" t="s">
        <v>27</v>
      </c>
      <c r="P1" s="277" t="s">
        <v>27</v>
      </c>
      <c r="Q1" s="277" t="s">
        <v>27</v>
      </c>
      <c r="R1" s="277" t="s">
        <v>27</v>
      </c>
      <c r="S1" s="277" t="s">
        <v>27</v>
      </c>
      <c r="T1" s="277" t="s">
        <v>27</v>
      </c>
      <c r="U1" s="277" t="s">
        <v>27</v>
      </c>
      <c r="V1" s="277" t="s">
        <v>27</v>
      </c>
      <c r="W1" s="277" t="s">
        <v>27</v>
      </c>
      <c r="X1" s="277" t="s">
        <v>27</v>
      </c>
      <c r="Y1" s="277" t="s">
        <v>27</v>
      </c>
      <c r="Z1" s="277" t="s">
        <v>27</v>
      </c>
      <c r="AA1" s="277" t="s">
        <v>27</v>
      </c>
      <c r="AB1" s="277" t="s">
        <v>27</v>
      </c>
      <c r="AC1" s="277" t="s">
        <v>27</v>
      </c>
    </row>
    <row r="2" spans="1:29" ht="48" customHeight="1" x14ac:dyDescent="0.3">
      <c r="A2" s="245" t="s">
        <v>0</v>
      </c>
      <c r="B2" s="245" t="s">
        <v>36</v>
      </c>
      <c r="C2" s="245" t="s">
        <v>1</v>
      </c>
      <c r="D2" s="245" t="s">
        <v>2</v>
      </c>
      <c r="E2" s="245" t="s">
        <v>53</v>
      </c>
      <c r="F2" s="245" t="s">
        <v>4</v>
      </c>
      <c r="G2" s="245" t="s">
        <v>5</v>
      </c>
      <c r="H2" s="245" t="s">
        <v>6</v>
      </c>
      <c r="I2" s="245" t="s">
        <v>7</v>
      </c>
      <c r="J2" s="245" t="s">
        <v>27</v>
      </c>
      <c r="K2" s="245" t="s">
        <v>8</v>
      </c>
      <c r="L2" s="245" t="s">
        <v>27</v>
      </c>
      <c r="M2" s="245" t="s">
        <v>9</v>
      </c>
      <c r="N2" s="245" t="s">
        <v>10</v>
      </c>
      <c r="O2" s="245" t="s">
        <v>11</v>
      </c>
      <c r="P2" s="245" t="s">
        <v>12</v>
      </c>
      <c r="Q2" s="245" t="s">
        <v>13</v>
      </c>
      <c r="R2" s="245" t="s">
        <v>14</v>
      </c>
      <c r="S2" s="245" t="s">
        <v>15</v>
      </c>
      <c r="T2" s="245" t="s">
        <v>16</v>
      </c>
      <c r="U2" s="245" t="s">
        <v>17</v>
      </c>
      <c r="V2" s="245" t="s">
        <v>18</v>
      </c>
      <c r="W2" s="245" t="s">
        <v>19</v>
      </c>
      <c r="X2" s="245" t="s">
        <v>20</v>
      </c>
      <c r="Y2" s="245" t="s">
        <v>21</v>
      </c>
      <c r="Z2" s="245" t="s">
        <v>22</v>
      </c>
      <c r="AA2" s="245" t="s">
        <v>23</v>
      </c>
      <c r="AB2" s="245" t="s">
        <v>24</v>
      </c>
      <c r="AC2" s="245" t="s">
        <v>25</v>
      </c>
    </row>
    <row r="3" spans="1:29" s="276" customFormat="1" x14ac:dyDescent="0.3">
      <c r="A3" s="270"/>
      <c r="B3" s="271" t="s">
        <v>93</v>
      </c>
      <c r="C3" s="270" t="s">
        <v>44</v>
      </c>
      <c r="D3" s="270" t="s">
        <v>708</v>
      </c>
      <c r="E3" s="270">
        <v>262942</v>
      </c>
      <c r="F3" s="270" t="s">
        <v>720</v>
      </c>
      <c r="G3" s="270">
        <v>2200</v>
      </c>
      <c r="H3" s="272">
        <v>0.33</v>
      </c>
      <c r="I3" s="272">
        <v>1.1299999999999999</v>
      </c>
      <c r="J3" s="270" t="s">
        <v>27</v>
      </c>
      <c r="K3" s="270" t="s">
        <v>719</v>
      </c>
      <c r="L3" s="270" t="s">
        <v>27</v>
      </c>
      <c r="M3" s="272">
        <v>820.38</v>
      </c>
      <c r="N3" s="273">
        <v>621.5</v>
      </c>
      <c r="O3" s="274">
        <v>4.3200000000000002E-2</v>
      </c>
      <c r="P3" s="275">
        <v>2.59</v>
      </c>
      <c r="Q3" s="270">
        <v>466</v>
      </c>
      <c r="R3" s="270">
        <v>4</v>
      </c>
      <c r="S3" s="270">
        <v>1350</v>
      </c>
      <c r="T3" s="272">
        <v>1.32</v>
      </c>
      <c r="U3" s="270">
        <v>30</v>
      </c>
      <c r="V3" s="274">
        <v>2.2200000000000001E-2</v>
      </c>
      <c r="W3" s="270" t="s">
        <v>34</v>
      </c>
      <c r="X3" s="270" t="s">
        <v>39</v>
      </c>
      <c r="Y3" s="270" t="s">
        <v>34</v>
      </c>
      <c r="Z3" s="270" t="s">
        <v>34</v>
      </c>
      <c r="AA3" s="270" t="s">
        <v>34</v>
      </c>
      <c r="AB3" s="270" t="s">
        <v>30</v>
      </c>
      <c r="AC3" s="270" t="s">
        <v>718</v>
      </c>
    </row>
    <row r="4" spans="1:29" s="276" customFormat="1" x14ac:dyDescent="0.3">
      <c r="A4" s="247"/>
      <c r="B4" s="246" t="s">
        <v>93</v>
      </c>
      <c r="C4" s="246" t="s">
        <v>35</v>
      </c>
      <c r="D4" s="246" t="s">
        <v>739</v>
      </c>
      <c r="E4" s="247">
        <v>262953</v>
      </c>
      <c r="F4" s="246" t="s">
        <v>740</v>
      </c>
      <c r="G4" s="247">
        <v>11500</v>
      </c>
      <c r="H4" s="248">
        <v>0.27900000000000003</v>
      </c>
      <c r="I4" s="248">
        <v>1.002</v>
      </c>
      <c r="J4" s="247"/>
      <c r="K4" s="246" t="s">
        <v>188</v>
      </c>
      <c r="L4" s="247"/>
      <c r="M4" s="248">
        <v>3214.9169999999999</v>
      </c>
      <c r="N4" s="249">
        <v>2880.8</v>
      </c>
      <c r="O4" s="250">
        <v>0.2001</v>
      </c>
      <c r="P4" s="251">
        <v>12</v>
      </c>
      <c r="Q4" s="247">
        <v>1012.7</v>
      </c>
      <c r="R4" s="247">
        <v>4</v>
      </c>
      <c r="S4" s="247">
        <v>1150</v>
      </c>
      <c r="T4" s="248">
        <v>1.1160000000000001</v>
      </c>
      <c r="U4" s="247">
        <v>34</v>
      </c>
      <c r="V4" s="250">
        <v>2.9600000000000001E-2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31</v>
      </c>
      <c r="AC4" s="246" t="s">
        <v>189</v>
      </c>
    </row>
    <row r="5" spans="1:29" s="276" customFormat="1" x14ac:dyDescent="0.3">
      <c r="A5" s="280"/>
      <c r="B5" s="281" t="s">
        <v>93</v>
      </c>
      <c r="C5" s="281" t="s">
        <v>35</v>
      </c>
      <c r="D5" s="281" t="s">
        <v>761</v>
      </c>
      <c r="E5" s="282">
        <v>262974</v>
      </c>
      <c r="F5" s="281" t="s">
        <v>764</v>
      </c>
      <c r="G5" s="282">
        <v>4000</v>
      </c>
      <c r="H5" s="283">
        <v>0.35899999999999999</v>
      </c>
      <c r="I5" s="283">
        <v>0.92200000000000004</v>
      </c>
      <c r="J5" s="280"/>
      <c r="K5" s="281" t="s">
        <v>765</v>
      </c>
      <c r="L5" s="280"/>
      <c r="M5" s="283">
        <v>1323.992</v>
      </c>
      <c r="N5" s="284">
        <v>922</v>
      </c>
      <c r="O5" s="285">
        <v>6.4000000000000001E-2</v>
      </c>
      <c r="P5" s="286">
        <v>3.84</v>
      </c>
      <c r="Q5" s="282">
        <v>417.1</v>
      </c>
      <c r="R5" s="282">
        <v>4</v>
      </c>
      <c r="S5" s="282">
        <v>1500</v>
      </c>
      <c r="T5" s="283">
        <v>1.4359999999999999</v>
      </c>
      <c r="U5" s="282">
        <v>64</v>
      </c>
      <c r="V5" s="285">
        <v>4.2700000000000002E-2</v>
      </c>
      <c r="W5" s="281" t="s">
        <v>28</v>
      </c>
      <c r="X5" s="281" t="s">
        <v>28</v>
      </c>
      <c r="Y5" s="281" t="s">
        <v>28</v>
      </c>
      <c r="Z5" s="287"/>
      <c r="AA5" s="287"/>
      <c r="AB5" s="281" t="s">
        <v>32</v>
      </c>
      <c r="AC5" s="281" t="s">
        <v>766</v>
      </c>
    </row>
    <row r="6" spans="1:29" x14ac:dyDescent="0.3">
      <c r="A6" s="244" t="s">
        <v>27</v>
      </c>
      <c r="B6" s="244" t="s">
        <v>27</v>
      </c>
      <c r="C6" s="244" t="s">
        <v>27</v>
      </c>
      <c r="D6" s="244" t="s">
        <v>27</v>
      </c>
      <c r="E6" s="244" t="s">
        <v>27</v>
      </c>
      <c r="F6" s="244" t="s">
        <v>27</v>
      </c>
      <c r="G6" s="244">
        <f>SUM(G3:G5)</f>
        <v>17700</v>
      </c>
      <c r="H6" s="244" t="s">
        <v>27</v>
      </c>
      <c r="I6" s="244" t="s">
        <v>27</v>
      </c>
      <c r="J6" s="244" t="s">
        <v>27</v>
      </c>
      <c r="K6" s="244" t="s">
        <v>27</v>
      </c>
      <c r="L6" s="244" t="s">
        <v>27</v>
      </c>
      <c r="M6" s="243" t="s">
        <v>27</v>
      </c>
      <c r="N6" s="243" t="s">
        <v>27</v>
      </c>
      <c r="O6" s="243" t="s">
        <v>27</v>
      </c>
      <c r="P6" s="243" t="s">
        <v>27</v>
      </c>
      <c r="Q6" s="243">
        <v>466</v>
      </c>
      <c r="R6" s="243" t="s">
        <v>27</v>
      </c>
      <c r="S6" s="243" t="s">
        <v>27</v>
      </c>
      <c r="T6" s="243" t="s">
        <v>27</v>
      </c>
      <c r="U6" s="243" t="s">
        <v>27</v>
      </c>
      <c r="V6" s="243" t="s">
        <v>27</v>
      </c>
      <c r="W6" s="243" t="s">
        <v>27</v>
      </c>
      <c r="X6" s="243" t="s">
        <v>27</v>
      </c>
      <c r="Y6" s="243" t="s">
        <v>27</v>
      </c>
      <c r="Z6" s="243" t="s">
        <v>27</v>
      </c>
      <c r="AA6" s="243" t="s">
        <v>27</v>
      </c>
      <c r="AB6" s="243" t="s">
        <v>27</v>
      </c>
      <c r="AC6" s="243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B5526-BA07-4621-B623-BF30B567FD17}">
  <sheetPr>
    <pageSetUpPr fitToPage="1"/>
  </sheetPr>
  <dimension ref="A1:AC9"/>
  <sheetViews>
    <sheetView workbookViewId="0">
      <selection activeCell="K8" sqref="K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6640625" style="1" customWidth="1"/>
    <col min="8" max="8" width="6.6640625" style="1" customWidth="1"/>
    <col min="9" max="9" width="7.33203125" style="1" customWidth="1"/>
    <col min="10" max="10" width="9.21875" style="1" customWidth="1"/>
    <col min="11" max="11" width="13.5546875" style="1" customWidth="1"/>
    <col min="12" max="12" width="10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3.5546875" style="1" customWidth="1"/>
    <col min="19" max="19" width="7.109375" style="1" customWidth="1"/>
    <col min="20" max="20" width="6.5546875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4" width="7.77734375" style="1" customWidth="1"/>
    <col min="25" max="25" width="7" style="1" customWidth="1"/>
    <col min="26" max="26" width="8" style="1" customWidth="1"/>
    <col min="27" max="27" width="7" style="1" customWidth="1"/>
    <col min="28" max="28" width="4.5546875" style="1" customWidth="1"/>
    <col min="29" max="29" width="9.77734375" style="1" customWidth="1"/>
    <col min="30" max="16384" width="8.88671875" style="1"/>
  </cols>
  <sheetData>
    <row r="1" spans="1:29" ht="18" customHeight="1" x14ac:dyDescent="0.35">
      <c r="A1" s="260" t="s">
        <v>717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ht="25.05" customHeight="1" x14ac:dyDescent="0.3">
      <c r="A3" s="126">
        <v>1</v>
      </c>
      <c r="B3" s="128" t="s">
        <v>58</v>
      </c>
      <c r="C3" s="126" t="s">
        <v>26</v>
      </c>
      <c r="D3" s="126" t="s">
        <v>698</v>
      </c>
      <c r="E3" s="126">
        <v>262941</v>
      </c>
      <c r="F3" s="126" t="s">
        <v>712</v>
      </c>
      <c r="G3" s="126">
        <v>550</v>
      </c>
      <c r="H3" s="127">
        <v>0.69299999999999995</v>
      </c>
      <c r="I3" s="127">
        <v>1.78</v>
      </c>
      <c r="J3" s="126" t="s">
        <v>27</v>
      </c>
      <c r="K3" s="126" t="s">
        <v>716</v>
      </c>
      <c r="L3" s="126" t="s">
        <v>27</v>
      </c>
      <c r="M3" s="123">
        <v>678.447</v>
      </c>
      <c r="N3" s="125">
        <v>489.5</v>
      </c>
      <c r="O3" s="122">
        <v>6.8000000000000005E-2</v>
      </c>
      <c r="P3" s="124">
        <v>4.08</v>
      </c>
      <c r="Q3" s="121">
        <v>365</v>
      </c>
      <c r="R3" s="121">
        <v>2</v>
      </c>
      <c r="S3" s="121">
        <v>1450</v>
      </c>
      <c r="T3" s="123">
        <v>1.3859999999999999</v>
      </c>
      <c r="U3" s="121">
        <v>64</v>
      </c>
      <c r="V3" s="122">
        <v>4.41E-2</v>
      </c>
      <c r="W3" s="121" t="s">
        <v>28</v>
      </c>
      <c r="X3" s="121" t="s">
        <v>29</v>
      </c>
      <c r="Y3" s="121" t="s">
        <v>28</v>
      </c>
      <c r="Z3" s="121" t="s">
        <v>28</v>
      </c>
      <c r="AA3" s="121" t="s">
        <v>28</v>
      </c>
      <c r="AB3" s="121" t="s">
        <v>30</v>
      </c>
      <c r="AC3" s="121" t="s">
        <v>715</v>
      </c>
    </row>
    <row r="4" spans="1:29" ht="25.05" customHeight="1" x14ac:dyDescent="0.3">
      <c r="A4" s="126">
        <v>2</v>
      </c>
      <c r="B4" s="128" t="s">
        <v>58</v>
      </c>
      <c r="C4" s="126" t="s">
        <v>26</v>
      </c>
      <c r="D4" s="126" t="s">
        <v>698</v>
      </c>
      <c r="E4" s="126">
        <v>262939</v>
      </c>
      <c r="F4" s="126" t="s">
        <v>712</v>
      </c>
      <c r="G4" s="126">
        <v>600</v>
      </c>
      <c r="H4" s="127">
        <v>0.59499999999999997</v>
      </c>
      <c r="I4" s="127">
        <v>1.835</v>
      </c>
      <c r="J4" s="126" t="s">
        <v>27</v>
      </c>
      <c r="K4" s="126" t="s">
        <v>714</v>
      </c>
      <c r="L4" s="126" t="s">
        <v>27</v>
      </c>
      <c r="M4" s="123">
        <v>655.09500000000003</v>
      </c>
      <c r="N4" s="125">
        <v>550.5</v>
      </c>
      <c r="O4" s="122">
        <v>7.6499999999999999E-2</v>
      </c>
      <c r="P4" s="124">
        <v>4.59</v>
      </c>
      <c r="Q4" s="121">
        <v>352.4</v>
      </c>
      <c r="R4" s="121">
        <v>2</v>
      </c>
      <c r="S4" s="121">
        <v>1250</v>
      </c>
      <c r="T4" s="123">
        <v>1.19</v>
      </c>
      <c r="U4" s="121">
        <v>60</v>
      </c>
      <c r="V4" s="122">
        <v>4.8000000000000001E-2</v>
      </c>
      <c r="W4" s="121" t="s">
        <v>28</v>
      </c>
      <c r="X4" s="121" t="s">
        <v>29</v>
      </c>
      <c r="Y4" s="121" t="s">
        <v>28</v>
      </c>
      <c r="Z4" s="121" t="s">
        <v>28</v>
      </c>
      <c r="AA4" s="121" t="s">
        <v>28</v>
      </c>
      <c r="AB4" s="121" t="s">
        <v>31</v>
      </c>
      <c r="AC4" s="121" t="s">
        <v>713</v>
      </c>
    </row>
    <row r="5" spans="1:29" ht="25.05" customHeight="1" x14ac:dyDescent="0.3">
      <c r="A5" s="126">
        <v>3</v>
      </c>
      <c r="B5" s="128" t="s">
        <v>58</v>
      </c>
      <c r="C5" s="126" t="s">
        <v>26</v>
      </c>
      <c r="D5" s="126" t="s">
        <v>698</v>
      </c>
      <c r="E5" s="126">
        <v>262940</v>
      </c>
      <c r="F5" s="126" t="s">
        <v>712</v>
      </c>
      <c r="G5" s="126">
        <v>550</v>
      </c>
      <c r="H5" s="127">
        <v>0.93700000000000006</v>
      </c>
      <c r="I5" s="127">
        <v>1.52</v>
      </c>
      <c r="J5" s="126" t="s">
        <v>27</v>
      </c>
      <c r="K5" s="126" t="s">
        <v>711</v>
      </c>
      <c r="L5" s="126" t="s">
        <v>27</v>
      </c>
      <c r="M5" s="123">
        <v>783.33199999999999</v>
      </c>
      <c r="N5" s="125">
        <v>836</v>
      </c>
      <c r="O5" s="122">
        <v>0.23219999999999999</v>
      </c>
      <c r="P5" s="124">
        <v>13.93</v>
      </c>
      <c r="Q5" s="121">
        <v>421.4</v>
      </c>
      <c r="R5" s="121">
        <v>1</v>
      </c>
      <c r="S5" s="121">
        <v>1000</v>
      </c>
      <c r="T5" s="123">
        <v>0.93700000000000006</v>
      </c>
      <c r="U5" s="121">
        <v>63</v>
      </c>
      <c r="V5" s="122">
        <v>6.3E-2</v>
      </c>
      <c r="W5" s="121" t="s">
        <v>28</v>
      </c>
      <c r="X5" s="121" t="s">
        <v>29</v>
      </c>
      <c r="Y5" s="121" t="s">
        <v>28</v>
      </c>
      <c r="Z5" s="121" t="s">
        <v>28</v>
      </c>
      <c r="AA5" s="121" t="s">
        <v>28</v>
      </c>
      <c r="AB5" s="121" t="s">
        <v>30</v>
      </c>
      <c r="AC5" s="121" t="s">
        <v>710</v>
      </c>
    </row>
    <row r="6" spans="1:29" ht="25.05" customHeight="1" x14ac:dyDescent="0.3">
      <c r="A6" s="120" t="s">
        <v>27</v>
      </c>
      <c r="B6" s="120" t="s">
        <v>27</v>
      </c>
      <c r="C6" s="120" t="s">
        <v>27</v>
      </c>
      <c r="D6" s="120" t="s">
        <v>27</v>
      </c>
      <c r="E6" s="120" t="s">
        <v>27</v>
      </c>
      <c r="F6" s="120" t="s">
        <v>27</v>
      </c>
      <c r="G6" s="120">
        <v>1700</v>
      </c>
      <c r="H6" s="120" t="s">
        <v>27</v>
      </c>
      <c r="I6" s="120" t="s">
        <v>27</v>
      </c>
      <c r="J6" s="120" t="s">
        <v>27</v>
      </c>
      <c r="K6" s="120" t="s">
        <v>27</v>
      </c>
      <c r="L6" s="120" t="s">
        <v>27</v>
      </c>
      <c r="M6" s="119" t="s">
        <v>27</v>
      </c>
      <c r="N6" s="119" t="s">
        <v>27</v>
      </c>
      <c r="O6" s="119" t="s">
        <v>27</v>
      </c>
      <c r="P6" s="119" t="s">
        <v>27</v>
      </c>
      <c r="Q6" s="119">
        <v>1138.9000000000001</v>
      </c>
      <c r="R6" s="119" t="s">
        <v>27</v>
      </c>
      <c r="S6" s="119" t="s">
        <v>27</v>
      </c>
      <c r="T6" s="119" t="s">
        <v>27</v>
      </c>
      <c r="U6" s="119" t="s">
        <v>27</v>
      </c>
      <c r="V6" s="119" t="s">
        <v>27</v>
      </c>
      <c r="W6" s="119" t="s">
        <v>27</v>
      </c>
      <c r="X6" s="119" t="s">
        <v>27</v>
      </c>
      <c r="Y6" s="119" t="s">
        <v>27</v>
      </c>
      <c r="Z6" s="119" t="s">
        <v>27</v>
      </c>
      <c r="AA6" s="119" t="s">
        <v>27</v>
      </c>
      <c r="AB6" s="119" t="s">
        <v>27</v>
      </c>
      <c r="AC6" s="119" t="s">
        <v>27</v>
      </c>
    </row>
    <row r="9" spans="1:29" ht="13.8" customHeight="1" x14ac:dyDescent="0.3">
      <c r="A9" s="235"/>
      <c r="B9" s="236"/>
      <c r="C9" s="236"/>
      <c r="D9" s="236"/>
      <c r="E9" s="237"/>
      <c r="F9" s="236"/>
      <c r="G9" s="237"/>
      <c r="H9" s="238"/>
      <c r="I9" s="238"/>
      <c r="J9" s="235"/>
      <c r="K9" s="236"/>
      <c r="L9" s="235"/>
      <c r="M9" s="238"/>
      <c r="N9" s="239"/>
      <c r="O9" s="240"/>
      <c r="P9" s="241"/>
      <c r="Q9" s="237"/>
      <c r="R9" s="237"/>
      <c r="S9" s="237"/>
      <c r="T9" s="238"/>
      <c r="U9" s="237"/>
      <c r="V9" s="240"/>
      <c r="W9" s="236"/>
      <c r="X9" s="236"/>
      <c r="Y9" s="236"/>
      <c r="Z9" s="236"/>
      <c r="AA9" s="236"/>
      <c r="AB9" s="236"/>
      <c r="AC9" s="236"/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296E1-CB58-43A4-9767-09443EB849D3}">
  <dimension ref="A1:AC8"/>
  <sheetViews>
    <sheetView workbookViewId="0">
      <selection activeCell="W45" sqref="W4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7.5546875" style="1" customWidth="1"/>
    <col min="6" max="6" width="5" style="1" customWidth="1"/>
    <col min="7" max="7" width="6.5546875" style="1" customWidth="1"/>
    <col min="8" max="8" width="9.77734375" style="1" customWidth="1"/>
    <col min="9" max="9" width="8.44140625" style="1" customWidth="1"/>
    <col min="10" max="10" width="8.5546875" style="1" customWidth="1"/>
    <col min="11" max="11" width="12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88671875" style="1" customWidth="1"/>
    <col min="18" max="18" width="4" style="1" customWidth="1"/>
    <col min="19" max="19" width="6" style="1" customWidth="1"/>
    <col min="20" max="20" width="6.8867187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8.21875" style="1" customWidth="1"/>
    <col min="25" max="25" width="7.5546875" style="1" customWidth="1"/>
    <col min="26" max="26" width="7.6640625" style="1" customWidth="1"/>
    <col min="27" max="27" width="8" style="1" customWidth="1"/>
    <col min="28" max="28" width="4.88671875" style="1" customWidth="1"/>
    <col min="29" max="29" width="11.6640625" style="1" customWidth="1"/>
    <col min="30" max="16384" width="8.88671875" style="1"/>
  </cols>
  <sheetData>
    <row r="1" spans="1:29" ht="18" customHeight="1" x14ac:dyDescent="0.3">
      <c r="A1" s="262" t="s">
        <v>709</v>
      </c>
      <c r="B1" s="262" t="s">
        <v>27</v>
      </c>
      <c r="C1" s="262" t="s">
        <v>27</v>
      </c>
      <c r="D1" s="262" t="s">
        <v>27</v>
      </c>
      <c r="E1" s="262" t="s">
        <v>27</v>
      </c>
      <c r="F1" s="262" t="s">
        <v>27</v>
      </c>
      <c r="G1" s="262" t="s">
        <v>27</v>
      </c>
      <c r="H1" s="262" t="s">
        <v>27</v>
      </c>
      <c r="I1" s="262" t="s">
        <v>27</v>
      </c>
      <c r="J1" s="262" t="s">
        <v>27</v>
      </c>
      <c r="K1" s="262" t="s">
        <v>27</v>
      </c>
      <c r="L1" s="262" t="s">
        <v>27</v>
      </c>
      <c r="M1" s="262" t="s">
        <v>27</v>
      </c>
      <c r="N1" s="262" t="s">
        <v>27</v>
      </c>
      <c r="O1" s="262" t="s">
        <v>27</v>
      </c>
      <c r="P1" s="262" t="s">
        <v>27</v>
      </c>
      <c r="Q1" s="262" t="s">
        <v>27</v>
      </c>
      <c r="R1" s="262" t="s">
        <v>27</v>
      </c>
      <c r="S1" s="262" t="s">
        <v>27</v>
      </c>
      <c r="T1" s="262" t="s">
        <v>27</v>
      </c>
      <c r="U1" s="262" t="s">
        <v>27</v>
      </c>
      <c r="V1" s="262" t="s">
        <v>27</v>
      </c>
      <c r="W1" s="262" t="s">
        <v>27</v>
      </c>
      <c r="X1" s="262" t="s">
        <v>27</v>
      </c>
      <c r="Y1" s="262" t="s">
        <v>27</v>
      </c>
      <c r="Z1" s="262" t="s">
        <v>27</v>
      </c>
      <c r="AA1" s="262" t="s">
        <v>27</v>
      </c>
      <c r="AB1" s="262" t="s">
        <v>27</v>
      </c>
      <c r="AC1" s="262" t="s">
        <v>27</v>
      </c>
    </row>
    <row r="2" spans="1:29" ht="39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x14ac:dyDescent="0.3">
      <c r="A3" s="5">
        <v>1</v>
      </c>
      <c r="B3" s="10" t="s">
        <v>236</v>
      </c>
      <c r="C3" s="5" t="s">
        <v>26</v>
      </c>
      <c r="D3" s="5" t="s">
        <v>708</v>
      </c>
      <c r="E3" s="5">
        <v>262938</v>
      </c>
      <c r="F3" s="5" t="s">
        <v>707</v>
      </c>
      <c r="G3" s="5">
        <v>360</v>
      </c>
      <c r="H3" s="7">
        <v>0.76600000000000001</v>
      </c>
      <c r="I3" s="7">
        <v>1.43</v>
      </c>
      <c r="J3" s="5" t="s">
        <v>27</v>
      </c>
      <c r="K3" s="5" t="s">
        <v>33</v>
      </c>
      <c r="L3" s="5" t="s">
        <v>27</v>
      </c>
      <c r="M3" s="7">
        <v>394.33699999999999</v>
      </c>
      <c r="N3" s="9">
        <v>257.39999999999998</v>
      </c>
      <c r="O3" s="6">
        <v>3.5700000000000003E-2</v>
      </c>
      <c r="P3" s="8">
        <v>2.15</v>
      </c>
      <c r="Q3" s="5">
        <v>212.2</v>
      </c>
      <c r="R3" s="5">
        <v>2</v>
      </c>
      <c r="S3" s="5">
        <v>1600</v>
      </c>
      <c r="T3" s="7">
        <v>1.532</v>
      </c>
      <c r="U3" s="5">
        <v>68</v>
      </c>
      <c r="V3" s="6">
        <v>4.2500000000000003E-2</v>
      </c>
      <c r="W3" s="5" t="s">
        <v>28</v>
      </c>
      <c r="X3" s="5" t="s">
        <v>29</v>
      </c>
      <c r="Y3" s="5" t="s">
        <v>28</v>
      </c>
      <c r="Z3" s="5" t="s">
        <v>28</v>
      </c>
      <c r="AA3" s="5" t="s">
        <v>28</v>
      </c>
      <c r="AB3" s="5" t="s">
        <v>32</v>
      </c>
      <c r="AC3" s="5" t="s">
        <v>372</v>
      </c>
    </row>
    <row r="4" spans="1:29" x14ac:dyDescent="0.3">
      <c r="A4" s="5">
        <v>2</v>
      </c>
      <c r="B4" s="10" t="s">
        <v>236</v>
      </c>
      <c r="C4" s="5" t="s">
        <v>35</v>
      </c>
      <c r="D4" s="5" t="s">
        <v>708</v>
      </c>
      <c r="E4" s="5">
        <v>262937</v>
      </c>
      <c r="F4" s="5" t="s">
        <v>707</v>
      </c>
      <c r="G4" s="5">
        <v>1395</v>
      </c>
      <c r="H4" s="7">
        <v>0.61</v>
      </c>
      <c r="I4" s="7">
        <v>0.96</v>
      </c>
      <c r="J4" s="5" t="s">
        <v>27</v>
      </c>
      <c r="K4" s="5" t="s">
        <v>373</v>
      </c>
      <c r="L4" s="5" t="s">
        <v>27</v>
      </c>
      <c r="M4" s="7">
        <v>816.91200000000003</v>
      </c>
      <c r="N4" s="9">
        <v>669.6</v>
      </c>
      <c r="O4" s="6">
        <v>9.2999999999999999E-2</v>
      </c>
      <c r="P4" s="8">
        <v>5.58</v>
      </c>
      <c r="Q4" s="5">
        <v>257.3</v>
      </c>
      <c r="R4" s="5">
        <v>2</v>
      </c>
      <c r="S4" s="5">
        <v>1250</v>
      </c>
      <c r="T4" s="7">
        <v>1.22</v>
      </c>
      <c r="U4" s="5">
        <v>30</v>
      </c>
      <c r="V4" s="6">
        <v>2.4E-2</v>
      </c>
      <c r="W4" s="5" t="s">
        <v>28</v>
      </c>
      <c r="X4" s="5" t="s">
        <v>28</v>
      </c>
      <c r="Y4" s="5" t="s">
        <v>28</v>
      </c>
      <c r="Z4" s="5" t="s">
        <v>27</v>
      </c>
      <c r="AA4" s="5" t="s">
        <v>27</v>
      </c>
      <c r="AB4" s="5" t="s">
        <v>32</v>
      </c>
      <c r="AC4" s="5" t="s">
        <v>372</v>
      </c>
    </row>
    <row r="5" spans="1:29" x14ac:dyDescent="0.3">
      <c r="A5" s="5">
        <v>3</v>
      </c>
      <c r="B5" s="10" t="s">
        <v>236</v>
      </c>
      <c r="C5" s="5" t="s">
        <v>35</v>
      </c>
      <c r="D5" s="5" t="s">
        <v>708</v>
      </c>
      <c r="E5" s="5">
        <v>262935</v>
      </c>
      <c r="F5" s="5" t="s">
        <v>707</v>
      </c>
      <c r="G5" s="5">
        <v>5400</v>
      </c>
      <c r="H5" s="7">
        <v>0.27400000000000002</v>
      </c>
      <c r="I5" s="7">
        <v>0.71</v>
      </c>
      <c r="J5" s="5" t="s">
        <v>27</v>
      </c>
      <c r="K5" s="5" t="s">
        <v>368</v>
      </c>
      <c r="L5" s="5" t="s">
        <v>27</v>
      </c>
      <c r="M5" s="7">
        <v>1050.5160000000001</v>
      </c>
      <c r="N5" s="9">
        <v>958.5</v>
      </c>
      <c r="O5" s="6">
        <v>6.6600000000000006E-2</v>
      </c>
      <c r="P5" s="8">
        <v>3.99</v>
      </c>
      <c r="Q5" s="5">
        <v>330.9</v>
      </c>
      <c r="R5" s="5">
        <v>4</v>
      </c>
      <c r="S5" s="5">
        <v>1150</v>
      </c>
      <c r="T5" s="7">
        <v>1.0960000000000001</v>
      </c>
      <c r="U5" s="5">
        <v>54</v>
      </c>
      <c r="V5" s="6">
        <v>4.7E-2</v>
      </c>
      <c r="W5" s="5" t="s">
        <v>28</v>
      </c>
      <c r="X5" s="5" t="s">
        <v>28</v>
      </c>
      <c r="Y5" s="5" t="s">
        <v>28</v>
      </c>
      <c r="Z5" s="5" t="s">
        <v>27</v>
      </c>
      <c r="AA5" s="5" t="s">
        <v>27</v>
      </c>
      <c r="AB5" s="5" t="s">
        <v>32</v>
      </c>
      <c r="AC5" s="5" t="s">
        <v>367</v>
      </c>
    </row>
    <row r="6" spans="1:29" x14ac:dyDescent="0.3">
      <c r="A6" s="5">
        <v>4</v>
      </c>
      <c r="B6" s="10" t="s">
        <v>236</v>
      </c>
      <c r="C6" s="5" t="s">
        <v>35</v>
      </c>
      <c r="D6" s="5" t="s">
        <v>708</v>
      </c>
      <c r="E6" s="5">
        <v>262936</v>
      </c>
      <c r="F6" s="5" t="s">
        <v>707</v>
      </c>
      <c r="G6" s="5">
        <v>2760</v>
      </c>
      <c r="H6" s="7">
        <v>0.91</v>
      </c>
      <c r="I6" s="7">
        <v>1.1599999999999999</v>
      </c>
      <c r="J6" s="5" t="s">
        <v>27</v>
      </c>
      <c r="K6" s="5" t="s">
        <v>371</v>
      </c>
      <c r="L6" s="5" t="s">
        <v>27</v>
      </c>
      <c r="M6" s="7">
        <v>2913.4560000000001</v>
      </c>
      <c r="N6" s="9">
        <v>3201.6</v>
      </c>
      <c r="O6" s="6">
        <v>0.88929999999999998</v>
      </c>
      <c r="P6" s="8">
        <v>53.36</v>
      </c>
      <c r="Q6" s="5">
        <v>917.7</v>
      </c>
      <c r="R6" s="5">
        <v>1</v>
      </c>
      <c r="S6" s="5">
        <v>950</v>
      </c>
      <c r="T6" s="7">
        <v>0.91</v>
      </c>
      <c r="U6" s="5">
        <v>40</v>
      </c>
      <c r="V6" s="6">
        <v>4.2099999999999999E-2</v>
      </c>
      <c r="W6" s="5" t="s">
        <v>28</v>
      </c>
      <c r="X6" s="5" t="s">
        <v>28</v>
      </c>
      <c r="Y6" s="5" t="s">
        <v>28</v>
      </c>
      <c r="Z6" s="5" t="s">
        <v>27</v>
      </c>
      <c r="AA6" s="5" t="s">
        <v>27</v>
      </c>
      <c r="AB6" s="5" t="s">
        <v>31</v>
      </c>
      <c r="AC6" s="5" t="s">
        <v>370</v>
      </c>
    </row>
    <row r="7" spans="1:29" x14ac:dyDescent="0.3">
      <c r="A7" s="5">
        <v>5</v>
      </c>
      <c r="B7" s="10" t="s">
        <v>236</v>
      </c>
      <c r="C7" s="5" t="s">
        <v>81</v>
      </c>
      <c r="D7" s="5" t="s">
        <v>708</v>
      </c>
      <c r="E7" s="5">
        <v>262934</v>
      </c>
      <c r="F7" s="5" t="s">
        <v>707</v>
      </c>
      <c r="G7" s="5">
        <v>525</v>
      </c>
      <c r="H7" s="7">
        <v>0.93</v>
      </c>
      <c r="I7" s="7">
        <v>1.21</v>
      </c>
      <c r="J7" s="5" t="s">
        <v>27</v>
      </c>
      <c r="K7" s="5" t="s">
        <v>33</v>
      </c>
      <c r="L7" s="5" t="s">
        <v>27</v>
      </c>
      <c r="M7" s="7">
        <v>590.78300000000002</v>
      </c>
      <c r="N7" s="9">
        <v>635.29999999999995</v>
      </c>
      <c r="O7" s="6">
        <v>0.17649999999999999</v>
      </c>
      <c r="P7" s="8">
        <v>10.59</v>
      </c>
      <c r="Q7" s="5">
        <v>215.6</v>
      </c>
      <c r="R7" s="5">
        <v>1</v>
      </c>
      <c r="S7" s="5">
        <v>950</v>
      </c>
      <c r="T7" s="7">
        <v>0.93</v>
      </c>
      <c r="U7" s="5">
        <v>20</v>
      </c>
      <c r="V7" s="6">
        <v>2.1100000000000001E-2</v>
      </c>
      <c r="W7" s="5" t="s">
        <v>41</v>
      </c>
      <c r="X7" s="5" t="s">
        <v>29</v>
      </c>
      <c r="Y7" s="5" t="s">
        <v>28</v>
      </c>
      <c r="Z7" s="5" t="s">
        <v>27</v>
      </c>
      <c r="AA7" s="5" t="s">
        <v>27</v>
      </c>
      <c r="AB7" s="5" t="s">
        <v>32</v>
      </c>
      <c r="AC7" s="5" t="s">
        <v>369</v>
      </c>
    </row>
    <row r="8" spans="1:29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>
        <v>10440</v>
      </c>
      <c r="H8" s="11" t="s">
        <v>27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 t="s">
        <v>27</v>
      </c>
      <c r="Q8" s="11">
        <v>1933.8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  <c r="AC8" s="11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9F8E9-EB48-4F27-808B-8CFA1336D81D}">
  <sheetPr>
    <pageSetUpPr fitToPage="1"/>
  </sheetPr>
  <dimension ref="A1:AC7"/>
  <sheetViews>
    <sheetView workbookViewId="0">
      <selection activeCell="X25" sqref="X25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33203125" style="1" customWidth="1"/>
    <col min="4" max="4" width="11.77734375" style="1" hidden="1" customWidth="1"/>
    <col min="5" max="5" width="7.33203125" style="1" customWidth="1"/>
    <col min="6" max="6" width="5.21875" style="1" customWidth="1"/>
    <col min="7" max="7" width="5.77734375" style="1" customWidth="1"/>
    <col min="8" max="8" width="6.33203125" style="1" customWidth="1"/>
    <col min="9" max="9" width="6.5546875" style="1" customWidth="1"/>
    <col min="10" max="10" width="7.109375" style="1" customWidth="1"/>
    <col min="11" max="11" width="21.33203125" style="1" customWidth="1"/>
    <col min="12" max="12" width="9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33203125" style="1" customWidth="1"/>
    <col min="18" max="18" width="4.5546875" style="1" customWidth="1"/>
    <col min="19" max="19" width="6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" style="1" customWidth="1"/>
    <col min="24" max="24" width="8.109375" style="1" customWidth="1"/>
    <col min="25" max="25" width="7.6640625" style="1" customWidth="1"/>
    <col min="26" max="26" width="7.109375" style="1" customWidth="1"/>
    <col min="27" max="27" width="6.88671875" style="1" customWidth="1"/>
    <col min="28" max="28" width="4.88671875" style="1" customWidth="1"/>
    <col min="29" max="29" width="11.33203125" style="1" customWidth="1"/>
    <col min="30" max="16384" width="8.88671875" style="1"/>
  </cols>
  <sheetData>
    <row r="1" spans="1:29" ht="18" customHeight="1" x14ac:dyDescent="0.35">
      <c r="A1" s="260" t="s">
        <v>738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63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12" customFormat="1" ht="25.05" customHeight="1" x14ac:dyDescent="0.3">
      <c r="A3" s="5">
        <v>1</v>
      </c>
      <c r="B3" s="10" t="s">
        <v>92</v>
      </c>
      <c r="C3" s="5" t="s">
        <v>44</v>
      </c>
      <c r="D3" s="5" t="s">
        <v>698</v>
      </c>
      <c r="E3" s="5">
        <v>262933</v>
      </c>
      <c r="F3" s="5" t="s">
        <v>706</v>
      </c>
      <c r="G3" s="5">
        <v>100</v>
      </c>
      <c r="H3" s="7">
        <v>1.08</v>
      </c>
      <c r="I3" s="7">
        <v>2.5830000000000002</v>
      </c>
      <c r="J3" s="5" t="s">
        <v>27</v>
      </c>
      <c r="K3" s="5" t="s">
        <v>33</v>
      </c>
      <c r="L3" s="5" t="s">
        <v>27</v>
      </c>
      <c r="M3" s="7">
        <v>278.964</v>
      </c>
      <c r="N3" s="9">
        <v>258.3</v>
      </c>
      <c r="O3" s="6">
        <v>7.1800000000000003E-2</v>
      </c>
      <c r="P3" s="8">
        <v>4.3099999999999996</v>
      </c>
      <c r="Q3" s="5">
        <v>158.5</v>
      </c>
      <c r="R3" s="5">
        <v>1</v>
      </c>
      <c r="S3" s="5">
        <v>1100</v>
      </c>
      <c r="T3" s="7">
        <v>1.08</v>
      </c>
      <c r="U3" s="5">
        <v>20</v>
      </c>
      <c r="V3" s="6">
        <v>1.8200000000000001E-2</v>
      </c>
      <c r="W3" s="5" t="s">
        <v>34</v>
      </c>
      <c r="X3" s="5" t="s">
        <v>39</v>
      </c>
      <c r="Y3" s="5" t="s">
        <v>34</v>
      </c>
      <c r="Z3" s="5" t="s">
        <v>34</v>
      </c>
      <c r="AA3" s="5" t="s">
        <v>34</v>
      </c>
      <c r="AB3" s="5" t="s">
        <v>38</v>
      </c>
      <c r="AC3" s="5" t="s">
        <v>705</v>
      </c>
    </row>
    <row r="4" spans="1:29" s="12" customFormat="1" ht="25.05" customHeight="1" x14ac:dyDescent="0.3">
      <c r="A4" s="5">
        <v>2</v>
      </c>
      <c r="B4" s="246" t="s">
        <v>90</v>
      </c>
      <c r="C4" s="246" t="s">
        <v>35</v>
      </c>
      <c r="D4" s="246" t="s">
        <v>698</v>
      </c>
      <c r="E4" s="247">
        <v>262944</v>
      </c>
      <c r="F4" s="246" t="s">
        <v>722</v>
      </c>
      <c r="G4" s="247">
        <v>1000</v>
      </c>
      <c r="H4" s="248">
        <v>0.75</v>
      </c>
      <c r="I4" s="248">
        <v>2.1</v>
      </c>
      <c r="J4" s="247"/>
      <c r="K4" s="246" t="s">
        <v>33</v>
      </c>
      <c r="L4" s="247"/>
      <c r="M4" s="248">
        <v>1575</v>
      </c>
      <c r="N4" s="249">
        <v>1050</v>
      </c>
      <c r="O4" s="250">
        <v>0.14580000000000001</v>
      </c>
      <c r="P4" s="251">
        <v>8.75</v>
      </c>
      <c r="Q4" s="247">
        <v>496.1</v>
      </c>
      <c r="R4" s="247">
        <v>2</v>
      </c>
      <c r="S4" s="247">
        <v>1550</v>
      </c>
      <c r="T4" s="248">
        <v>1.5</v>
      </c>
      <c r="U4" s="247">
        <v>50</v>
      </c>
      <c r="V4" s="250">
        <v>3.2300000000000002E-2</v>
      </c>
      <c r="W4" s="246" t="s">
        <v>28</v>
      </c>
      <c r="X4" s="246" t="s">
        <v>28</v>
      </c>
      <c r="Y4" s="246" t="s">
        <v>28</v>
      </c>
      <c r="Z4" s="246"/>
      <c r="AA4" s="246"/>
      <c r="AB4" s="246" t="s">
        <v>30</v>
      </c>
      <c r="AC4" s="246" t="s">
        <v>723</v>
      </c>
    </row>
    <row r="5" spans="1:29" s="12" customFormat="1" ht="25.05" customHeight="1" x14ac:dyDescent="0.3">
      <c r="A5" s="5">
        <v>3</v>
      </c>
      <c r="B5" s="246" t="s">
        <v>90</v>
      </c>
      <c r="C5" s="246" t="s">
        <v>35</v>
      </c>
      <c r="D5" s="246" t="s">
        <v>708</v>
      </c>
      <c r="E5" s="247">
        <v>262945</v>
      </c>
      <c r="F5" s="246" t="s">
        <v>724</v>
      </c>
      <c r="G5" s="247">
        <v>1000</v>
      </c>
      <c r="H5" s="248">
        <v>1.1120000000000001</v>
      </c>
      <c r="I5" s="248">
        <v>1.24</v>
      </c>
      <c r="J5" s="247"/>
      <c r="K5" s="246" t="s">
        <v>33</v>
      </c>
      <c r="L5" s="247"/>
      <c r="M5" s="248">
        <v>1378.88</v>
      </c>
      <c r="N5" s="249">
        <v>1240</v>
      </c>
      <c r="O5" s="250">
        <v>0.34439999999999998</v>
      </c>
      <c r="P5" s="251">
        <v>20.67</v>
      </c>
      <c r="Q5" s="247">
        <v>434.3</v>
      </c>
      <c r="R5" s="247">
        <v>1</v>
      </c>
      <c r="S5" s="247">
        <v>1150</v>
      </c>
      <c r="T5" s="248">
        <v>1.1120000000000001</v>
      </c>
      <c r="U5" s="247">
        <v>38</v>
      </c>
      <c r="V5" s="250">
        <v>3.3000000000000002E-2</v>
      </c>
      <c r="W5" s="246" t="s">
        <v>28</v>
      </c>
      <c r="X5" s="246" t="s">
        <v>28</v>
      </c>
      <c r="Y5" s="246" t="s">
        <v>28</v>
      </c>
      <c r="Z5" s="246"/>
      <c r="AA5" s="246"/>
      <c r="AB5" s="246" t="s">
        <v>30</v>
      </c>
      <c r="AC5" s="246" t="s">
        <v>725</v>
      </c>
    </row>
    <row r="6" spans="1:29" s="12" customFormat="1" ht="25.05" customHeight="1" x14ac:dyDescent="0.3">
      <c r="A6" s="5">
        <v>4</v>
      </c>
      <c r="B6" s="246" t="s">
        <v>90</v>
      </c>
      <c r="C6" s="246" t="s">
        <v>35</v>
      </c>
      <c r="D6" s="246" t="s">
        <v>698</v>
      </c>
      <c r="E6" s="247">
        <v>262943</v>
      </c>
      <c r="F6" s="246" t="s">
        <v>722</v>
      </c>
      <c r="G6" s="247">
        <v>2000</v>
      </c>
      <c r="H6" s="248">
        <v>0.94599999999999995</v>
      </c>
      <c r="I6" s="248">
        <v>2.1</v>
      </c>
      <c r="J6" s="247"/>
      <c r="K6" s="246" t="s">
        <v>726</v>
      </c>
      <c r="L6" s="247"/>
      <c r="M6" s="248">
        <v>3973.2</v>
      </c>
      <c r="N6" s="249">
        <v>4200</v>
      </c>
      <c r="O6" s="250">
        <v>1.1667000000000001</v>
      </c>
      <c r="P6" s="251">
        <v>70</v>
      </c>
      <c r="Q6" s="247">
        <v>1251.5999999999999</v>
      </c>
      <c r="R6" s="247">
        <v>1</v>
      </c>
      <c r="S6" s="247">
        <v>1000</v>
      </c>
      <c r="T6" s="248">
        <v>0.94599999999999995</v>
      </c>
      <c r="U6" s="247">
        <v>54</v>
      </c>
      <c r="V6" s="250">
        <v>5.3999999999999999E-2</v>
      </c>
      <c r="W6" s="246" t="s">
        <v>28</v>
      </c>
      <c r="X6" s="246" t="s">
        <v>28</v>
      </c>
      <c r="Y6" s="246" t="s">
        <v>28</v>
      </c>
      <c r="Z6" s="246"/>
      <c r="AA6" s="246"/>
      <c r="AB6" s="246" t="s">
        <v>48</v>
      </c>
      <c r="AC6" s="246" t="s">
        <v>727</v>
      </c>
    </row>
    <row r="7" spans="1:29" s="12" customFormat="1" ht="25.05" customHeight="1" x14ac:dyDescent="0.3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>
        <f>SUM(G3:G6)</f>
        <v>4100</v>
      </c>
      <c r="H7" s="11" t="s">
        <v>27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 t="s">
        <v>27</v>
      </c>
      <c r="Q7" s="11">
        <f>SUM(Q3:Q6)</f>
        <v>2340.5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  <c r="AC7" s="11" t="s">
        <v>27</v>
      </c>
    </row>
  </sheetData>
  <mergeCells count="1">
    <mergeCell ref="A1:AC1"/>
  </mergeCells>
  <pageMargins left="0.511811024" right="0.511811024" top="1.29" bottom="0.78740157499999996" header="0.31496062000000002" footer="0.31496062000000002"/>
  <pageSetup paperSize="9" scale="86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C2BD0-01B8-40A4-86C4-0C407CD88084}">
  <sheetPr>
    <pageSetUpPr fitToPage="1"/>
  </sheetPr>
  <dimension ref="A1:AC17"/>
  <sheetViews>
    <sheetView workbookViewId="0">
      <selection activeCell="AN23" sqref="AN23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55468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6.33203125" style="33" customWidth="1"/>
    <col min="8" max="8" width="7.109375" style="33" customWidth="1"/>
    <col min="9" max="9" width="8.77734375" style="33" customWidth="1"/>
    <col min="10" max="10" width="8.109375" style="33" customWidth="1"/>
    <col min="11" max="11" width="17" style="33" customWidth="1"/>
    <col min="12" max="12" width="8.77734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77734375" style="33" customWidth="1"/>
    <col min="18" max="18" width="4.88671875" style="33" customWidth="1"/>
    <col min="19" max="19" width="7.21875" style="33" customWidth="1"/>
    <col min="20" max="20" width="6" style="33" customWidth="1"/>
    <col min="21" max="21" width="11.77734375" style="33" hidden="1" customWidth="1"/>
    <col min="22" max="22" width="8.77734375" style="33" hidden="1" customWidth="1"/>
    <col min="23" max="23" width="8" style="33" customWidth="1"/>
    <col min="24" max="25" width="7.5546875" style="33" customWidth="1"/>
    <col min="26" max="26" width="7.44140625" style="33" customWidth="1"/>
    <col min="27" max="27" width="7" style="33" customWidth="1"/>
    <col min="28" max="28" width="3.77734375" style="33" customWidth="1"/>
    <col min="29" max="29" width="11.21875" style="33" customWidth="1"/>
    <col min="30" max="16384" width="8.88671875" style="33"/>
  </cols>
  <sheetData>
    <row r="1" spans="1:29" ht="18" customHeight="1" x14ac:dyDescent="0.35">
      <c r="A1" s="263" t="s">
        <v>696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</row>
    <row r="2" spans="1:29" ht="40.799999999999997" customHeight="1" x14ac:dyDescent="0.3">
      <c r="A2" s="171" t="s">
        <v>0</v>
      </c>
      <c r="B2" s="171" t="s">
        <v>36</v>
      </c>
      <c r="C2" s="171" t="s">
        <v>1</v>
      </c>
      <c r="D2" s="171" t="s">
        <v>2</v>
      </c>
      <c r="E2" s="171" t="s">
        <v>53</v>
      </c>
      <c r="F2" s="171" t="s">
        <v>4</v>
      </c>
      <c r="G2" s="171" t="s">
        <v>5</v>
      </c>
      <c r="H2" s="171" t="s">
        <v>6</v>
      </c>
      <c r="I2" s="171" t="s">
        <v>7</v>
      </c>
      <c r="J2" s="171" t="s">
        <v>27</v>
      </c>
      <c r="K2" s="171" t="s">
        <v>8</v>
      </c>
      <c r="L2" s="171" t="s">
        <v>27</v>
      </c>
      <c r="M2" s="171" t="s">
        <v>9</v>
      </c>
      <c r="N2" s="171" t="s">
        <v>10</v>
      </c>
      <c r="O2" s="171" t="s">
        <v>11</v>
      </c>
      <c r="P2" s="171" t="s">
        <v>12</v>
      </c>
      <c r="Q2" s="171" t="s">
        <v>13</v>
      </c>
      <c r="R2" s="171" t="s">
        <v>14</v>
      </c>
      <c r="S2" s="171" t="s">
        <v>15</v>
      </c>
      <c r="T2" s="171" t="s">
        <v>16</v>
      </c>
      <c r="U2" s="171" t="s">
        <v>17</v>
      </c>
      <c r="V2" s="171" t="s">
        <v>18</v>
      </c>
      <c r="W2" s="171" t="s">
        <v>19</v>
      </c>
      <c r="X2" s="171" t="s">
        <v>20</v>
      </c>
      <c r="Y2" s="171" t="s">
        <v>21</v>
      </c>
      <c r="Z2" s="171" t="s">
        <v>22</v>
      </c>
      <c r="AA2" s="171" t="s">
        <v>23</v>
      </c>
      <c r="AB2" s="171" t="s">
        <v>24</v>
      </c>
      <c r="AC2" s="171" t="s">
        <v>25</v>
      </c>
    </row>
    <row r="3" spans="1:29" s="170" customFormat="1" ht="25.05" customHeight="1" x14ac:dyDescent="0.3">
      <c r="A3" s="173">
        <v>1</v>
      </c>
      <c r="B3" s="174" t="s">
        <v>90</v>
      </c>
      <c r="C3" s="173" t="s">
        <v>44</v>
      </c>
      <c r="D3" s="173" t="s">
        <v>695</v>
      </c>
      <c r="E3" s="173">
        <v>262920</v>
      </c>
      <c r="F3" s="173" t="s">
        <v>694</v>
      </c>
      <c r="G3" s="173">
        <v>160</v>
      </c>
      <c r="H3" s="175">
        <v>1.1379999999999999</v>
      </c>
      <c r="I3" s="175">
        <v>1.597</v>
      </c>
      <c r="J3" s="173" t="s">
        <v>27</v>
      </c>
      <c r="K3" s="173" t="s">
        <v>693</v>
      </c>
      <c r="L3" s="173"/>
      <c r="M3" s="175">
        <v>290.78199999999998</v>
      </c>
      <c r="N3" s="176">
        <v>255.5</v>
      </c>
      <c r="O3" s="177">
        <v>7.0999999999999994E-2</v>
      </c>
      <c r="P3" s="178">
        <v>4.26</v>
      </c>
      <c r="Q3" s="173">
        <v>165.2</v>
      </c>
      <c r="R3" s="173">
        <v>1</v>
      </c>
      <c r="S3" s="173">
        <v>1200</v>
      </c>
      <c r="T3" s="175">
        <v>1.1379999999999999</v>
      </c>
      <c r="U3" s="173">
        <v>62</v>
      </c>
      <c r="V3" s="177">
        <v>5.1700000000000003E-2</v>
      </c>
      <c r="W3" s="173" t="s">
        <v>34</v>
      </c>
      <c r="X3" s="173" t="s">
        <v>39</v>
      </c>
      <c r="Y3" s="173" t="s">
        <v>34</v>
      </c>
      <c r="Z3" s="173" t="s">
        <v>34</v>
      </c>
      <c r="AA3" s="173" t="s">
        <v>34</v>
      </c>
      <c r="AB3" s="173" t="s">
        <v>38</v>
      </c>
      <c r="AC3" s="173" t="s">
        <v>692</v>
      </c>
    </row>
    <row r="4" spans="1:29" s="170" customFormat="1" ht="25.05" customHeight="1" x14ac:dyDescent="0.3">
      <c r="A4" s="179">
        <v>6</v>
      </c>
      <c r="B4" s="174" t="s">
        <v>92</v>
      </c>
      <c r="C4" s="173" t="s">
        <v>44</v>
      </c>
      <c r="D4" s="173" t="s">
        <v>222</v>
      </c>
      <c r="E4" s="173">
        <v>252635</v>
      </c>
      <c r="F4" s="173" t="s">
        <v>223</v>
      </c>
      <c r="G4" s="173">
        <v>5000</v>
      </c>
      <c r="H4" s="175">
        <v>0.55900000000000005</v>
      </c>
      <c r="I4" s="175">
        <v>1.389</v>
      </c>
      <c r="J4" s="175"/>
      <c r="K4" s="179" t="s">
        <v>33</v>
      </c>
      <c r="L4" s="175"/>
      <c r="M4" s="176">
        <v>3472.5</v>
      </c>
      <c r="N4" s="177">
        <v>0.48230000000000001</v>
      </c>
      <c r="O4" s="178">
        <v>28.94</v>
      </c>
      <c r="P4" s="178"/>
      <c r="Q4" s="173">
        <v>2205.1</v>
      </c>
      <c r="R4" s="173">
        <v>2</v>
      </c>
      <c r="S4" s="173">
        <v>1150</v>
      </c>
      <c r="T4" s="175">
        <v>1.1180000000000001</v>
      </c>
      <c r="U4" s="173">
        <v>32</v>
      </c>
      <c r="V4" s="177">
        <v>2.7799999999999998E-2</v>
      </c>
      <c r="W4" s="173" t="s">
        <v>34</v>
      </c>
      <c r="X4" s="173" t="s">
        <v>39</v>
      </c>
      <c r="Y4" s="173" t="s">
        <v>34</v>
      </c>
      <c r="Z4" s="173" t="s">
        <v>34</v>
      </c>
      <c r="AA4" s="173" t="s">
        <v>34</v>
      </c>
      <c r="AB4" s="173" t="s">
        <v>66</v>
      </c>
      <c r="AC4" s="173" t="s">
        <v>91</v>
      </c>
    </row>
    <row r="5" spans="1:29" s="170" customFormat="1" ht="25.05" customHeight="1" x14ac:dyDescent="0.3">
      <c r="A5" s="173">
        <v>2</v>
      </c>
      <c r="B5" s="174" t="s">
        <v>92</v>
      </c>
      <c r="C5" s="173" t="s">
        <v>35</v>
      </c>
      <c r="D5" s="173" t="s">
        <v>576</v>
      </c>
      <c r="E5" s="173">
        <v>262928</v>
      </c>
      <c r="F5" s="173" t="s">
        <v>691</v>
      </c>
      <c r="G5" s="173">
        <v>1000</v>
      </c>
      <c r="H5" s="175">
        <v>1.359</v>
      </c>
      <c r="I5" s="175">
        <v>2.1949999999999998</v>
      </c>
      <c r="J5" s="173" t="s">
        <v>27</v>
      </c>
      <c r="K5" s="173" t="s">
        <v>690</v>
      </c>
      <c r="L5" s="173"/>
      <c r="M5" s="175">
        <v>2983.0050000000001</v>
      </c>
      <c r="N5" s="176">
        <v>2195</v>
      </c>
      <c r="O5" s="177">
        <v>0.60970000000000002</v>
      </c>
      <c r="P5" s="178">
        <v>36.58</v>
      </c>
      <c r="Q5" s="173">
        <v>939.6</v>
      </c>
      <c r="R5" s="173">
        <v>1</v>
      </c>
      <c r="S5" s="173">
        <v>1400</v>
      </c>
      <c r="T5" s="175">
        <v>1.359</v>
      </c>
      <c r="U5" s="173">
        <v>41</v>
      </c>
      <c r="V5" s="177">
        <v>2.93E-2</v>
      </c>
      <c r="W5" s="173" t="s">
        <v>28</v>
      </c>
      <c r="X5" s="173" t="s">
        <v>28</v>
      </c>
      <c r="Y5" s="173" t="s">
        <v>28</v>
      </c>
      <c r="Z5" s="173" t="s">
        <v>27</v>
      </c>
      <c r="AA5" s="173" t="s">
        <v>27</v>
      </c>
      <c r="AB5" s="173" t="s">
        <v>30</v>
      </c>
      <c r="AC5" s="173" t="s">
        <v>689</v>
      </c>
    </row>
    <row r="6" spans="1:29" s="170" customFormat="1" ht="25.05" customHeight="1" x14ac:dyDescent="0.3">
      <c r="A6" s="173">
        <v>1</v>
      </c>
      <c r="B6" s="174" t="s">
        <v>92</v>
      </c>
      <c r="C6" s="173" t="s">
        <v>35</v>
      </c>
      <c r="D6" s="173" t="s">
        <v>599</v>
      </c>
      <c r="E6" s="173">
        <v>262884</v>
      </c>
      <c r="F6" s="173" t="s">
        <v>688</v>
      </c>
      <c r="G6" s="173">
        <v>200</v>
      </c>
      <c r="H6" s="175">
        <v>1.304</v>
      </c>
      <c r="I6" s="175">
        <v>2.1259999999999999</v>
      </c>
      <c r="J6" s="175"/>
      <c r="K6" s="173" t="s">
        <v>33</v>
      </c>
      <c r="L6" s="175"/>
      <c r="M6" s="176">
        <v>425.2</v>
      </c>
      <c r="N6" s="177">
        <v>0.1181</v>
      </c>
      <c r="O6" s="178">
        <v>7.09</v>
      </c>
      <c r="P6" s="178"/>
      <c r="Q6" s="173">
        <v>174.7</v>
      </c>
      <c r="R6" s="173">
        <v>1</v>
      </c>
      <c r="S6" s="173">
        <v>1350</v>
      </c>
      <c r="T6" s="175">
        <v>1.304</v>
      </c>
      <c r="U6" s="173">
        <v>46</v>
      </c>
      <c r="V6" s="177">
        <v>3.4099999999999998E-2</v>
      </c>
      <c r="W6" s="173" t="s">
        <v>28</v>
      </c>
      <c r="X6" s="173" t="s">
        <v>28</v>
      </c>
      <c r="Y6" s="173" t="s">
        <v>28</v>
      </c>
      <c r="Z6" s="173" t="s">
        <v>27</v>
      </c>
      <c r="AA6" s="173" t="s">
        <v>27</v>
      </c>
      <c r="AB6" s="173" t="s">
        <v>38</v>
      </c>
      <c r="AC6" s="173" t="s">
        <v>687</v>
      </c>
    </row>
    <row r="7" spans="1:29" s="170" customFormat="1" ht="25.05" customHeight="1" x14ac:dyDescent="0.3">
      <c r="A7" s="173">
        <v>3</v>
      </c>
      <c r="B7" s="174" t="s">
        <v>92</v>
      </c>
      <c r="C7" s="173" t="s">
        <v>35</v>
      </c>
      <c r="D7" s="173" t="s">
        <v>576</v>
      </c>
      <c r="E7" s="173">
        <v>262929</v>
      </c>
      <c r="F7" s="173" t="s">
        <v>686</v>
      </c>
      <c r="G7" s="173">
        <v>170</v>
      </c>
      <c r="H7" s="175">
        <v>1.32</v>
      </c>
      <c r="I7" s="175">
        <v>2.0529999999999999</v>
      </c>
      <c r="J7" s="173" t="s">
        <v>27</v>
      </c>
      <c r="K7" s="173" t="s">
        <v>33</v>
      </c>
      <c r="L7" s="173"/>
      <c r="M7" s="175">
        <v>453.71300000000002</v>
      </c>
      <c r="N7" s="176">
        <v>349</v>
      </c>
      <c r="O7" s="177">
        <v>9.69E-2</v>
      </c>
      <c r="P7" s="178">
        <v>5.82</v>
      </c>
      <c r="Q7" s="173">
        <v>142.9</v>
      </c>
      <c r="R7" s="173">
        <v>1</v>
      </c>
      <c r="S7" s="173">
        <v>1350</v>
      </c>
      <c r="T7" s="175">
        <v>1.32</v>
      </c>
      <c r="U7" s="173">
        <v>50</v>
      </c>
      <c r="V7" s="177">
        <v>3.6999999999999998E-2</v>
      </c>
      <c r="W7" s="173" t="s">
        <v>28</v>
      </c>
      <c r="X7" s="173" t="s">
        <v>28</v>
      </c>
      <c r="Y7" s="173" t="s">
        <v>28</v>
      </c>
      <c r="Z7" s="173" t="s">
        <v>27</v>
      </c>
      <c r="AA7" s="173" t="s">
        <v>27</v>
      </c>
      <c r="AB7" s="173" t="s">
        <v>38</v>
      </c>
      <c r="AC7" s="173" t="s">
        <v>685</v>
      </c>
    </row>
    <row r="8" spans="1:29" s="170" customFormat="1" ht="25.05" customHeight="1" x14ac:dyDescent="0.3">
      <c r="A8" s="173">
        <v>4</v>
      </c>
      <c r="B8" s="174" t="s">
        <v>90</v>
      </c>
      <c r="C8" s="173" t="s">
        <v>35</v>
      </c>
      <c r="D8" s="173" t="s">
        <v>443</v>
      </c>
      <c r="E8" s="173">
        <v>262924</v>
      </c>
      <c r="F8" s="173" t="s">
        <v>681</v>
      </c>
      <c r="G8" s="173">
        <v>600</v>
      </c>
      <c r="H8" s="175">
        <v>0.66</v>
      </c>
      <c r="I8" s="175">
        <v>1.385</v>
      </c>
      <c r="J8" s="173" t="s">
        <v>27</v>
      </c>
      <c r="K8" s="173" t="s">
        <v>33</v>
      </c>
      <c r="L8" s="173"/>
      <c r="M8" s="175">
        <v>548.46</v>
      </c>
      <c r="N8" s="176">
        <v>415.5</v>
      </c>
      <c r="O8" s="177">
        <v>5.7700000000000001E-2</v>
      </c>
      <c r="P8" s="178">
        <v>3.46</v>
      </c>
      <c r="Q8" s="173">
        <v>172.8</v>
      </c>
      <c r="R8" s="173">
        <v>2</v>
      </c>
      <c r="S8" s="173">
        <v>1350</v>
      </c>
      <c r="T8" s="175">
        <v>1.32</v>
      </c>
      <c r="U8" s="173">
        <v>30</v>
      </c>
      <c r="V8" s="177">
        <v>2.2200000000000001E-2</v>
      </c>
      <c r="W8" s="173" t="s">
        <v>28</v>
      </c>
      <c r="X8" s="173" t="s">
        <v>28</v>
      </c>
      <c r="Y8" s="173" t="s">
        <v>28</v>
      </c>
      <c r="Z8" s="173" t="s">
        <v>27</v>
      </c>
      <c r="AA8" s="173" t="s">
        <v>27</v>
      </c>
      <c r="AB8" s="173" t="s">
        <v>32</v>
      </c>
      <c r="AC8" s="173" t="s">
        <v>684</v>
      </c>
    </row>
    <row r="9" spans="1:29" s="170" customFormat="1" ht="25.05" customHeight="1" x14ac:dyDescent="0.3">
      <c r="A9" s="173">
        <v>5</v>
      </c>
      <c r="B9" s="174" t="s">
        <v>90</v>
      </c>
      <c r="C9" s="173" t="s">
        <v>35</v>
      </c>
      <c r="D9" s="173" t="s">
        <v>443</v>
      </c>
      <c r="E9" s="173">
        <v>262925</v>
      </c>
      <c r="F9" s="173" t="s">
        <v>681</v>
      </c>
      <c r="G9" s="173">
        <v>500</v>
      </c>
      <c r="H9" s="175">
        <v>0.66</v>
      </c>
      <c r="I9" s="175">
        <v>1.6950000000000001</v>
      </c>
      <c r="J9" s="173" t="s">
        <v>27</v>
      </c>
      <c r="K9" s="173" t="s">
        <v>33</v>
      </c>
      <c r="L9" s="173"/>
      <c r="M9" s="175">
        <v>559.35</v>
      </c>
      <c r="N9" s="176">
        <v>423.8</v>
      </c>
      <c r="O9" s="177">
        <v>5.8900000000000001E-2</v>
      </c>
      <c r="P9" s="178">
        <v>3.53</v>
      </c>
      <c r="Q9" s="173">
        <v>176.2</v>
      </c>
      <c r="R9" s="173">
        <v>2</v>
      </c>
      <c r="S9" s="173">
        <v>1350</v>
      </c>
      <c r="T9" s="175">
        <v>1.32</v>
      </c>
      <c r="U9" s="173">
        <v>30</v>
      </c>
      <c r="V9" s="177">
        <v>2.2200000000000001E-2</v>
      </c>
      <c r="W9" s="173" t="s">
        <v>28</v>
      </c>
      <c r="X9" s="173" t="s">
        <v>28</v>
      </c>
      <c r="Y9" s="173" t="s">
        <v>28</v>
      </c>
      <c r="Z9" s="173" t="s">
        <v>27</v>
      </c>
      <c r="AA9" s="173" t="s">
        <v>27</v>
      </c>
      <c r="AB9" s="173" t="s">
        <v>30</v>
      </c>
      <c r="AC9" s="173" t="s">
        <v>683</v>
      </c>
    </row>
    <row r="10" spans="1:29" s="170" customFormat="1" ht="25.05" customHeight="1" x14ac:dyDescent="0.3">
      <c r="A10" s="173">
        <v>6</v>
      </c>
      <c r="B10" s="174" t="s">
        <v>90</v>
      </c>
      <c r="C10" s="173" t="s">
        <v>35</v>
      </c>
      <c r="D10" s="173" t="s">
        <v>443</v>
      </c>
      <c r="E10" s="173">
        <v>262926</v>
      </c>
      <c r="F10" s="173" t="s">
        <v>681</v>
      </c>
      <c r="G10" s="173">
        <v>1000</v>
      </c>
      <c r="H10" s="175">
        <v>0.66</v>
      </c>
      <c r="I10" s="175">
        <v>1.865</v>
      </c>
      <c r="J10" s="173" t="s">
        <v>27</v>
      </c>
      <c r="K10" s="173" t="s">
        <v>33</v>
      </c>
      <c r="L10" s="173"/>
      <c r="M10" s="175">
        <v>1230.9000000000001</v>
      </c>
      <c r="N10" s="176">
        <v>932.5</v>
      </c>
      <c r="O10" s="177">
        <v>0.1295</v>
      </c>
      <c r="P10" s="178">
        <v>7.77</v>
      </c>
      <c r="Q10" s="173">
        <v>387.7</v>
      </c>
      <c r="R10" s="173">
        <v>2</v>
      </c>
      <c r="S10" s="173">
        <v>1350</v>
      </c>
      <c r="T10" s="175">
        <v>1.32</v>
      </c>
      <c r="U10" s="173">
        <v>30</v>
      </c>
      <c r="V10" s="177">
        <v>2.2200000000000001E-2</v>
      </c>
      <c r="W10" s="173" t="s">
        <v>28</v>
      </c>
      <c r="X10" s="173" t="s">
        <v>28</v>
      </c>
      <c r="Y10" s="173" t="s">
        <v>28</v>
      </c>
      <c r="Z10" s="173" t="s">
        <v>27</v>
      </c>
      <c r="AA10" s="173" t="s">
        <v>27</v>
      </c>
      <c r="AB10" s="173" t="s">
        <v>32</v>
      </c>
      <c r="AC10" s="173" t="s">
        <v>682</v>
      </c>
    </row>
    <row r="11" spans="1:29" s="170" customFormat="1" ht="25.05" customHeight="1" x14ac:dyDescent="0.3">
      <c r="A11" s="173">
        <v>7</v>
      </c>
      <c r="B11" s="174" t="s">
        <v>90</v>
      </c>
      <c r="C11" s="173" t="s">
        <v>35</v>
      </c>
      <c r="D11" s="173" t="s">
        <v>443</v>
      </c>
      <c r="E11" s="173">
        <v>262927</v>
      </c>
      <c r="F11" s="173" t="s">
        <v>681</v>
      </c>
      <c r="G11" s="173">
        <v>800</v>
      </c>
      <c r="H11" s="175">
        <v>0.66</v>
      </c>
      <c r="I11" s="175">
        <v>2.0499999999999998</v>
      </c>
      <c r="J11" s="173" t="s">
        <v>27</v>
      </c>
      <c r="K11" s="173" t="s">
        <v>33</v>
      </c>
      <c r="L11" s="173"/>
      <c r="M11" s="175">
        <v>1082.4000000000001</v>
      </c>
      <c r="N11" s="176">
        <v>820</v>
      </c>
      <c r="O11" s="177">
        <v>0.1139</v>
      </c>
      <c r="P11" s="178">
        <v>6.83</v>
      </c>
      <c r="Q11" s="173">
        <v>341</v>
      </c>
      <c r="R11" s="173">
        <v>2</v>
      </c>
      <c r="S11" s="173">
        <v>1350</v>
      </c>
      <c r="T11" s="175">
        <v>1.32</v>
      </c>
      <c r="U11" s="173">
        <v>30</v>
      </c>
      <c r="V11" s="177">
        <v>2.2200000000000001E-2</v>
      </c>
      <c r="W11" s="173" t="s">
        <v>28</v>
      </c>
      <c r="X11" s="173" t="s">
        <v>28</v>
      </c>
      <c r="Y11" s="173" t="s">
        <v>28</v>
      </c>
      <c r="Z11" s="173" t="s">
        <v>27</v>
      </c>
      <c r="AA11" s="173" t="s">
        <v>27</v>
      </c>
      <c r="AB11" s="173" t="s">
        <v>32</v>
      </c>
      <c r="AC11" s="173" t="s">
        <v>680</v>
      </c>
    </row>
    <row r="12" spans="1:29" s="170" customFormat="1" ht="25.05" customHeight="1" x14ac:dyDescent="0.3">
      <c r="A12" s="173">
        <v>8</v>
      </c>
      <c r="B12" s="174" t="s">
        <v>90</v>
      </c>
      <c r="C12" s="173" t="s">
        <v>35</v>
      </c>
      <c r="D12" s="173" t="s">
        <v>440</v>
      </c>
      <c r="E12" s="173">
        <v>262921</v>
      </c>
      <c r="F12" s="173" t="s">
        <v>679</v>
      </c>
      <c r="G12" s="173">
        <v>300</v>
      </c>
      <c r="H12" s="175">
        <v>1.272</v>
      </c>
      <c r="I12" s="175">
        <v>1.4810000000000001</v>
      </c>
      <c r="J12" s="173" t="s">
        <v>27</v>
      </c>
      <c r="K12" s="173" t="s">
        <v>678</v>
      </c>
      <c r="L12" s="173"/>
      <c r="M12" s="175">
        <v>565.15</v>
      </c>
      <c r="N12" s="176">
        <v>444.3</v>
      </c>
      <c r="O12" s="177">
        <v>0.1234</v>
      </c>
      <c r="P12" s="178">
        <v>7.41</v>
      </c>
      <c r="Q12" s="173">
        <v>178</v>
      </c>
      <c r="R12" s="173">
        <v>1</v>
      </c>
      <c r="S12" s="173">
        <v>1300</v>
      </c>
      <c r="T12" s="175">
        <v>1.272</v>
      </c>
      <c r="U12" s="173">
        <v>28</v>
      </c>
      <c r="V12" s="177">
        <v>2.1499999999999998E-2</v>
      </c>
      <c r="W12" s="173" t="s">
        <v>28</v>
      </c>
      <c r="X12" s="173" t="s">
        <v>28</v>
      </c>
      <c r="Y12" s="173" t="s">
        <v>28</v>
      </c>
      <c r="Z12" s="173" t="s">
        <v>27</v>
      </c>
      <c r="AA12" s="173" t="s">
        <v>27</v>
      </c>
      <c r="AB12" s="173" t="s">
        <v>38</v>
      </c>
      <c r="AC12" s="173" t="s">
        <v>677</v>
      </c>
    </row>
    <row r="13" spans="1:29" s="170" customFormat="1" ht="25.05" customHeight="1" x14ac:dyDescent="0.3">
      <c r="A13" s="173">
        <v>9</v>
      </c>
      <c r="B13" s="174" t="s">
        <v>90</v>
      </c>
      <c r="C13" s="173" t="s">
        <v>35</v>
      </c>
      <c r="D13" s="173" t="s">
        <v>671</v>
      </c>
      <c r="E13" s="173">
        <v>262923</v>
      </c>
      <c r="F13" s="173" t="s">
        <v>670</v>
      </c>
      <c r="G13" s="173">
        <v>250</v>
      </c>
      <c r="H13" s="175">
        <v>0.56999999999999995</v>
      </c>
      <c r="I13" s="175">
        <v>0.45300000000000001</v>
      </c>
      <c r="J13" s="173" t="s">
        <v>27</v>
      </c>
      <c r="K13" s="173" t="s">
        <v>33</v>
      </c>
      <c r="L13" s="173"/>
      <c r="M13" s="175">
        <v>64.552000000000007</v>
      </c>
      <c r="N13" s="176">
        <v>56.6</v>
      </c>
      <c r="O13" s="177">
        <v>7.9000000000000008E-3</v>
      </c>
      <c r="P13" s="178">
        <v>0.47</v>
      </c>
      <c r="Q13" s="173">
        <v>20.3</v>
      </c>
      <c r="R13" s="173">
        <v>2</v>
      </c>
      <c r="S13" s="173">
        <v>1200</v>
      </c>
      <c r="T13" s="175">
        <v>1.1399999999999999</v>
      </c>
      <c r="U13" s="173">
        <v>60</v>
      </c>
      <c r="V13" s="177">
        <v>0.05</v>
      </c>
      <c r="W13" s="173" t="s">
        <v>28</v>
      </c>
      <c r="X13" s="173" t="s">
        <v>28</v>
      </c>
      <c r="Y13" s="173" t="s">
        <v>28</v>
      </c>
      <c r="Z13" s="173" t="s">
        <v>27</v>
      </c>
      <c r="AA13" s="173" t="s">
        <v>27</v>
      </c>
      <c r="AB13" s="173" t="s">
        <v>38</v>
      </c>
      <c r="AC13" s="173" t="s">
        <v>676</v>
      </c>
    </row>
    <row r="14" spans="1:29" s="170" customFormat="1" ht="25.05" customHeight="1" x14ac:dyDescent="0.3">
      <c r="A14" s="180">
        <v>1</v>
      </c>
      <c r="B14" s="181" t="s">
        <v>92</v>
      </c>
      <c r="C14" s="180" t="s">
        <v>35</v>
      </c>
      <c r="D14" s="180" t="s">
        <v>586</v>
      </c>
      <c r="E14" s="180">
        <v>262870</v>
      </c>
      <c r="F14" s="180" t="s">
        <v>675</v>
      </c>
      <c r="G14" s="180">
        <v>200</v>
      </c>
      <c r="H14" s="182">
        <v>0.93600000000000005</v>
      </c>
      <c r="I14" s="182">
        <v>1.829</v>
      </c>
      <c r="J14" s="182"/>
      <c r="K14" s="180" t="s">
        <v>33</v>
      </c>
      <c r="L14" s="182"/>
      <c r="M14" s="183">
        <v>365.8</v>
      </c>
      <c r="N14" s="184">
        <v>0.1016</v>
      </c>
      <c r="O14" s="185">
        <v>6.1</v>
      </c>
      <c r="P14" s="185"/>
      <c r="Q14" s="180">
        <v>107.9</v>
      </c>
      <c r="R14" s="180">
        <v>1</v>
      </c>
      <c r="S14" s="180">
        <v>1000</v>
      </c>
      <c r="T14" s="182">
        <v>0.93600000000000005</v>
      </c>
      <c r="U14" s="180">
        <v>64</v>
      </c>
      <c r="V14" s="184">
        <v>6.4000000000000001E-2</v>
      </c>
      <c r="W14" s="180" t="s">
        <v>28</v>
      </c>
      <c r="X14" s="180" t="s">
        <v>28</v>
      </c>
      <c r="Y14" s="180" t="s">
        <v>28</v>
      </c>
      <c r="Z14" s="180" t="s">
        <v>27</v>
      </c>
      <c r="AA14" s="180" t="s">
        <v>27</v>
      </c>
      <c r="AB14" s="180" t="s">
        <v>38</v>
      </c>
      <c r="AC14" s="180" t="s">
        <v>674</v>
      </c>
    </row>
    <row r="15" spans="1:29" s="170" customFormat="1" ht="25.05" customHeight="1" x14ac:dyDescent="0.3">
      <c r="A15" s="173">
        <v>2</v>
      </c>
      <c r="B15" s="174" t="s">
        <v>92</v>
      </c>
      <c r="C15" s="173" t="s">
        <v>42</v>
      </c>
      <c r="D15" s="173" t="s">
        <v>599</v>
      </c>
      <c r="E15" s="173">
        <v>262885</v>
      </c>
      <c r="F15" s="173" t="s">
        <v>673</v>
      </c>
      <c r="G15" s="173">
        <v>200</v>
      </c>
      <c r="H15" s="175">
        <v>0.88300000000000001</v>
      </c>
      <c r="I15" s="175">
        <v>1.5349999999999999</v>
      </c>
      <c r="J15" s="175"/>
      <c r="K15" s="173" t="s">
        <v>33</v>
      </c>
      <c r="L15" s="175"/>
      <c r="M15" s="176">
        <v>307</v>
      </c>
      <c r="N15" s="177">
        <v>8.5300000000000001E-2</v>
      </c>
      <c r="O15" s="178">
        <v>5.12</v>
      </c>
      <c r="P15" s="178"/>
      <c r="Q15" s="173">
        <v>93.5</v>
      </c>
      <c r="R15" s="173">
        <v>1</v>
      </c>
      <c r="S15" s="173">
        <v>950</v>
      </c>
      <c r="T15" s="175">
        <v>0.88300000000000001</v>
      </c>
      <c r="U15" s="173">
        <v>67</v>
      </c>
      <c r="V15" s="177">
        <v>7.0499999999999993E-2</v>
      </c>
      <c r="W15" s="173" t="s">
        <v>29</v>
      </c>
      <c r="X15" s="173" t="s">
        <v>29</v>
      </c>
      <c r="Y15" s="173" t="s">
        <v>28</v>
      </c>
      <c r="Z15" s="173" t="s">
        <v>27</v>
      </c>
      <c r="AA15" s="173" t="s">
        <v>27</v>
      </c>
      <c r="AB15" s="173" t="s">
        <v>38</v>
      </c>
      <c r="AC15" s="173" t="s">
        <v>672</v>
      </c>
    </row>
    <row r="16" spans="1:29" s="170" customFormat="1" ht="25.05" customHeight="1" x14ac:dyDescent="0.3">
      <c r="A16" s="173">
        <v>10</v>
      </c>
      <c r="B16" s="174" t="s">
        <v>90</v>
      </c>
      <c r="C16" s="173" t="s">
        <v>35</v>
      </c>
      <c r="D16" s="173" t="s">
        <v>671</v>
      </c>
      <c r="E16" s="173">
        <v>262922</v>
      </c>
      <c r="F16" s="173" t="s">
        <v>670</v>
      </c>
      <c r="G16" s="173">
        <v>500</v>
      </c>
      <c r="H16" s="175">
        <v>0.42599999999999999</v>
      </c>
      <c r="I16" s="175">
        <v>2.3199999999999998</v>
      </c>
      <c r="J16" s="173" t="s">
        <v>27</v>
      </c>
      <c r="K16" s="173" t="s">
        <v>669</v>
      </c>
      <c r="L16" s="173"/>
      <c r="M16" s="175">
        <v>494.16</v>
      </c>
      <c r="N16" s="176">
        <v>580</v>
      </c>
      <c r="O16" s="177">
        <v>8.0600000000000005E-2</v>
      </c>
      <c r="P16" s="178">
        <v>4.83</v>
      </c>
      <c r="Q16" s="173">
        <v>155.69999999999999</v>
      </c>
      <c r="R16" s="173">
        <v>2</v>
      </c>
      <c r="S16" s="173">
        <v>900</v>
      </c>
      <c r="T16" s="175">
        <v>0.85199999999999998</v>
      </c>
      <c r="U16" s="173">
        <v>48</v>
      </c>
      <c r="V16" s="177">
        <v>5.33E-2</v>
      </c>
      <c r="W16" s="173" t="s">
        <v>28</v>
      </c>
      <c r="X16" s="173" t="s">
        <v>28</v>
      </c>
      <c r="Y16" s="173" t="s">
        <v>28</v>
      </c>
      <c r="Z16" s="173" t="s">
        <v>27</v>
      </c>
      <c r="AA16" s="173" t="s">
        <v>27</v>
      </c>
      <c r="AB16" s="173" t="s">
        <v>32</v>
      </c>
      <c r="AC16" s="173" t="s">
        <v>668</v>
      </c>
    </row>
    <row r="17" spans="1:29" s="51" customFormat="1" ht="25.05" customHeight="1" x14ac:dyDescent="0.3">
      <c r="A17" s="172" t="s">
        <v>27</v>
      </c>
      <c r="B17" s="172" t="s">
        <v>27</v>
      </c>
      <c r="C17" s="172" t="s">
        <v>27</v>
      </c>
      <c r="D17" s="172" t="s">
        <v>27</v>
      </c>
      <c r="E17" s="172" t="s">
        <v>27</v>
      </c>
      <c r="F17" s="172" t="s">
        <v>27</v>
      </c>
      <c r="G17" s="172">
        <f>SUM(G3:G16)</f>
        <v>10880</v>
      </c>
      <c r="H17" s="172" t="s">
        <v>27</v>
      </c>
      <c r="I17" s="172" t="s">
        <v>27</v>
      </c>
      <c r="J17" s="172" t="s">
        <v>27</v>
      </c>
      <c r="K17" s="172" t="s">
        <v>27</v>
      </c>
      <c r="L17" s="172" t="s">
        <v>27</v>
      </c>
      <c r="M17" s="172" t="s">
        <v>27</v>
      </c>
      <c r="N17" s="172" t="s">
        <v>27</v>
      </c>
      <c r="O17" s="172" t="s">
        <v>27</v>
      </c>
      <c r="P17" s="172" t="s">
        <v>27</v>
      </c>
      <c r="Q17" s="172">
        <f>SUM(Q3:Q16)</f>
        <v>5260.5999999999995</v>
      </c>
      <c r="R17" s="172" t="s">
        <v>27</v>
      </c>
      <c r="S17" s="172" t="s">
        <v>27</v>
      </c>
      <c r="T17" s="172" t="s">
        <v>27</v>
      </c>
      <c r="U17" s="172" t="s">
        <v>27</v>
      </c>
      <c r="V17" s="172" t="s">
        <v>27</v>
      </c>
      <c r="W17" s="172" t="s">
        <v>27</v>
      </c>
      <c r="X17" s="172" t="s">
        <v>27</v>
      </c>
      <c r="Y17" s="172" t="s">
        <v>27</v>
      </c>
      <c r="Z17" s="172" t="s">
        <v>27</v>
      </c>
      <c r="AA17" s="172" t="s">
        <v>27</v>
      </c>
      <c r="AB17" s="172" t="s">
        <v>27</v>
      </c>
      <c r="AC17" s="17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D7C4F-0D46-40C5-9713-B07DDC64A79B}">
  <sheetPr>
    <pageSetUpPr fitToPage="1"/>
  </sheetPr>
  <dimension ref="A1:AC21"/>
  <sheetViews>
    <sheetView workbookViewId="0">
      <selection activeCell="AC47" sqref="AC4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7.88671875" style="1" customWidth="1"/>
    <col min="6" max="6" width="7.6640625" style="168" customWidth="1"/>
    <col min="7" max="7" width="6.21875" style="1" customWidth="1"/>
    <col min="8" max="8" width="7.33203125" style="1" customWidth="1"/>
    <col min="9" max="9" width="7.6640625" style="1" customWidth="1"/>
    <col min="10" max="10" width="8" style="1" customWidth="1"/>
    <col min="11" max="11" width="7.44140625" style="1" customWidth="1"/>
    <col min="12" max="12" width="8.218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44140625" style="1" customWidth="1"/>
    <col min="18" max="18" width="4.5546875" style="1" customWidth="1"/>
    <col min="19" max="19" width="6.44140625" style="1" customWidth="1"/>
    <col min="20" max="20" width="6.33203125" style="1" customWidth="1"/>
    <col min="21" max="21" width="11.77734375" style="1" hidden="1" customWidth="1"/>
    <col min="22" max="22" width="8.77734375" style="1" hidden="1" customWidth="1"/>
    <col min="23" max="23" width="8.6640625" style="1" customWidth="1"/>
    <col min="24" max="24" width="9" style="1" customWidth="1"/>
    <col min="25" max="25" width="7.44140625" style="1" customWidth="1"/>
    <col min="26" max="26" width="8.5546875" style="1" customWidth="1"/>
    <col min="27" max="27" width="9.33203125" style="1" customWidth="1"/>
    <col min="28" max="28" width="4.21875" style="1" customWidth="1"/>
    <col min="29" max="29" width="12" style="1" customWidth="1"/>
    <col min="30" max="16384" width="8.88671875" style="1"/>
  </cols>
  <sheetData>
    <row r="1" spans="1:29" ht="18" customHeight="1" x14ac:dyDescent="0.35">
      <c r="A1" s="260" t="s">
        <v>664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  <c r="AC1" s="260" t="s">
        <v>27</v>
      </c>
    </row>
    <row r="2" spans="1:29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53</v>
      </c>
      <c r="F2" s="169" t="s">
        <v>4</v>
      </c>
      <c r="G2" s="2" t="s">
        <v>5</v>
      </c>
      <c r="H2" s="2" t="s">
        <v>6</v>
      </c>
      <c r="I2" s="2" t="s">
        <v>7</v>
      </c>
      <c r="J2" s="2" t="s">
        <v>27</v>
      </c>
      <c r="K2" s="2" t="s">
        <v>8</v>
      </c>
      <c r="L2" s="2" t="s">
        <v>27</v>
      </c>
      <c r="M2" s="2" t="s">
        <v>9</v>
      </c>
      <c r="N2" s="2" t="s">
        <v>10</v>
      </c>
      <c r="O2" s="2" t="s">
        <v>11</v>
      </c>
      <c r="P2" s="2" t="s">
        <v>12</v>
      </c>
      <c r="Q2" s="2" t="s">
        <v>13</v>
      </c>
      <c r="R2" s="2" t="s">
        <v>14</v>
      </c>
      <c r="S2" s="2" t="s">
        <v>15</v>
      </c>
      <c r="T2" s="2" t="s">
        <v>16</v>
      </c>
      <c r="U2" s="2" t="s">
        <v>17</v>
      </c>
      <c r="V2" s="2" t="s">
        <v>18</v>
      </c>
      <c r="W2" s="2" t="s">
        <v>19</v>
      </c>
      <c r="X2" s="2" t="s">
        <v>20</v>
      </c>
      <c r="Y2" s="2" t="s">
        <v>21</v>
      </c>
      <c r="Z2" s="2" t="s">
        <v>22</v>
      </c>
      <c r="AA2" s="2" t="s">
        <v>23</v>
      </c>
      <c r="AB2" s="2" t="s">
        <v>24</v>
      </c>
      <c r="AC2" s="2" t="s">
        <v>25</v>
      </c>
    </row>
    <row r="3" spans="1:29" s="206" customFormat="1" x14ac:dyDescent="0.3">
      <c r="A3" s="199">
        <v>1</v>
      </c>
      <c r="B3" s="200" t="s">
        <v>107</v>
      </c>
      <c r="C3" s="199" t="s">
        <v>49</v>
      </c>
      <c r="D3" s="199" t="s">
        <v>661</v>
      </c>
      <c r="E3" s="199">
        <v>262917</v>
      </c>
      <c r="F3" s="201">
        <v>71026</v>
      </c>
      <c r="G3" s="199">
        <v>5086</v>
      </c>
      <c r="H3" s="202">
        <v>0.39</v>
      </c>
      <c r="I3" s="202">
        <v>0.71</v>
      </c>
      <c r="J3" s="199" t="s">
        <v>27</v>
      </c>
      <c r="K3" s="199" t="s">
        <v>33</v>
      </c>
      <c r="L3" s="199" t="s">
        <v>27</v>
      </c>
      <c r="M3" s="202">
        <v>1408.3130000000001</v>
      </c>
      <c r="N3" s="203">
        <v>902.8</v>
      </c>
      <c r="O3" s="204">
        <v>6.2700000000000006E-2</v>
      </c>
      <c r="P3" s="205">
        <v>3.76</v>
      </c>
      <c r="Q3" s="199">
        <v>500</v>
      </c>
      <c r="R3" s="199">
        <v>4</v>
      </c>
      <c r="S3" s="199">
        <v>1600</v>
      </c>
      <c r="T3" s="202">
        <v>1.56</v>
      </c>
      <c r="U3" s="199">
        <v>40</v>
      </c>
      <c r="V3" s="204">
        <v>2.5000000000000001E-2</v>
      </c>
      <c r="W3" s="199" t="s">
        <v>29</v>
      </c>
      <c r="X3" s="199" t="s">
        <v>28</v>
      </c>
      <c r="Y3" s="199" t="s">
        <v>29</v>
      </c>
      <c r="Z3" s="199" t="s">
        <v>27</v>
      </c>
      <c r="AA3" s="199" t="s">
        <v>27</v>
      </c>
      <c r="AB3" s="199" t="s">
        <v>32</v>
      </c>
      <c r="AC3" s="199" t="s">
        <v>108</v>
      </c>
    </row>
    <row r="4" spans="1:29" s="213" customFormat="1" x14ac:dyDescent="0.3">
      <c r="A4" s="207">
        <v>1</v>
      </c>
      <c r="B4" s="208" t="s">
        <v>700</v>
      </c>
      <c r="C4" s="207" t="s">
        <v>55</v>
      </c>
      <c r="D4" s="207" t="s">
        <v>698</v>
      </c>
      <c r="E4" s="207">
        <v>262931</v>
      </c>
      <c r="F4" s="201">
        <v>71026</v>
      </c>
      <c r="G4" s="207">
        <v>2283</v>
      </c>
      <c r="H4" s="209">
        <v>0.48</v>
      </c>
      <c r="I4" s="209">
        <v>1.25</v>
      </c>
      <c r="J4" s="207" t="s">
        <v>27</v>
      </c>
      <c r="K4" s="207" t="s">
        <v>33</v>
      </c>
      <c r="L4" s="207" t="s">
        <v>27</v>
      </c>
      <c r="M4" s="209">
        <v>1369.8</v>
      </c>
      <c r="N4" s="210">
        <v>951.3</v>
      </c>
      <c r="O4" s="211">
        <v>8.8099999999999998E-2</v>
      </c>
      <c r="P4" s="212">
        <v>5.28</v>
      </c>
      <c r="Q4" s="207">
        <v>500</v>
      </c>
      <c r="R4" s="207">
        <v>3</v>
      </c>
      <c r="S4" s="207">
        <v>1500</v>
      </c>
      <c r="T4" s="209">
        <v>1.44</v>
      </c>
      <c r="U4" s="207">
        <v>60</v>
      </c>
      <c r="V4" s="211">
        <v>0.04</v>
      </c>
      <c r="W4" s="207" t="s">
        <v>37</v>
      </c>
      <c r="X4" s="207" t="s">
        <v>29</v>
      </c>
      <c r="Y4" s="207" t="s">
        <v>34</v>
      </c>
      <c r="Z4" s="207" t="s">
        <v>27</v>
      </c>
      <c r="AA4" s="207" t="s">
        <v>27</v>
      </c>
      <c r="AB4" s="207" t="s">
        <v>30</v>
      </c>
      <c r="AC4" s="207" t="s">
        <v>239</v>
      </c>
    </row>
    <row r="5" spans="1:29" s="206" customFormat="1" x14ac:dyDescent="0.3">
      <c r="A5" s="199">
        <v>3</v>
      </c>
      <c r="B5" s="200" t="s">
        <v>107</v>
      </c>
      <c r="C5" s="199" t="s">
        <v>55</v>
      </c>
      <c r="D5" s="199" t="s">
        <v>661</v>
      </c>
      <c r="E5" s="199">
        <v>262914</v>
      </c>
      <c r="F5" s="201">
        <v>71026</v>
      </c>
      <c r="G5" s="199">
        <v>1378</v>
      </c>
      <c r="H5" s="202">
        <v>0.67</v>
      </c>
      <c r="I5" s="202">
        <v>0.89</v>
      </c>
      <c r="J5" s="199" t="s">
        <v>27</v>
      </c>
      <c r="K5" s="199" t="s">
        <v>33</v>
      </c>
      <c r="L5" s="199" t="s">
        <v>27</v>
      </c>
      <c r="M5" s="202">
        <v>821.70100000000002</v>
      </c>
      <c r="N5" s="203">
        <v>613.20000000000005</v>
      </c>
      <c r="O5" s="204">
        <v>8.5199999999999998E-2</v>
      </c>
      <c r="P5" s="205">
        <v>5.1100000000000003</v>
      </c>
      <c r="Q5" s="199">
        <v>299.89999999999998</v>
      </c>
      <c r="R5" s="199">
        <v>2</v>
      </c>
      <c r="S5" s="199">
        <v>1400</v>
      </c>
      <c r="T5" s="202">
        <v>1.34</v>
      </c>
      <c r="U5" s="199">
        <v>60</v>
      </c>
      <c r="V5" s="204">
        <v>4.2900000000000001E-2</v>
      </c>
      <c r="W5" s="199" t="s">
        <v>37</v>
      </c>
      <c r="X5" s="199" t="s">
        <v>29</v>
      </c>
      <c r="Y5" s="199" t="s">
        <v>34</v>
      </c>
      <c r="Z5" s="199" t="s">
        <v>27</v>
      </c>
      <c r="AA5" s="199" t="s">
        <v>27</v>
      </c>
      <c r="AB5" s="199" t="s">
        <v>32</v>
      </c>
      <c r="AC5" s="199" t="s">
        <v>663</v>
      </c>
    </row>
    <row r="6" spans="1:29" s="206" customFormat="1" x14ac:dyDescent="0.3">
      <c r="A6" s="199">
        <v>4</v>
      </c>
      <c r="B6" s="200" t="s">
        <v>107</v>
      </c>
      <c r="C6" s="199" t="s">
        <v>55</v>
      </c>
      <c r="D6" s="199" t="s">
        <v>661</v>
      </c>
      <c r="E6" s="199">
        <v>262913</v>
      </c>
      <c r="F6" s="201">
        <v>71026</v>
      </c>
      <c r="G6" s="199">
        <v>1662</v>
      </c>
      <c r="H6" s="202">
        <v>0.43</v>
      </c>
      <c r="I6" s="202">
        <v>1.1499999999999999</v>
      </c>
      <c r="J6" s="199" t="s">
        <v>27</v>
      </c>
      <c r="K6" s="199" t="s">
        <v>33</v>
      </c>
      <c r="L6" s="199" t="s">
        <v>27</v>
      </c>
      <c r="M6" s="202">
        <v>821.85900000000004</v>
      </c>
      <c r="N6" s="203">
        <v>637.1</v>
      </c>
      <c r="O6" s="204">
        <v>5.8999999999999997E-2</v>
      </c>
      <c r="P6" s="205">
        <v>3.54</v>
      </c>
      <c r="Q6" s="199">
        <v>300</v>
      </c>
      <c r="R6" s="199">
        <v>3</v>
      </c>
      <c r="S6" s="199">
        <v>1350</v>
      </c>
      <c r="T6" s="202">
        <v>1.29</v>
      </c>
      <c r="U6" s="199">
        <v>60</v>
      </c>
      <c r="V6" s="204">
        <v>4.4400000000000002E-2</v>
      </c>
      <c r="W6" s="199" t="s">
        <v>37</v>
      </c>
      <c r="X6" s="199" t="s">
        <v>29</v>
      </c>
      <c r="Y6" s="199" t="s">
        <v>34</v>
      </c>
      <c r="Z6" s="199" t="s">
        <v>27</v>
      </c>
      <c r="AA6" s="199" t="s">
        <v>27</v>
      </c>
      <c r="AB6" s="199" t="s">
        <v>32</v>
      </c>
      <c r="AC6" s="199" t="s">
        <v>238</v>
      </c>
    </row>
    <row r="7" spans="1:29" s="206" customFormat="1" x14ac:dyDescent="0.3">
      <c r="A7" s="199">
        <v>5</v>
      </c>
      <c r="B7" s="200" t="s">
        <v>107</v>
      </c>
      <c r="C7" s="199" t="s">
        <v>55</v>
      </c>
      <c r="D7" s="199" t="s">
        <v>661</v>
      </c>
      <c r="E7" s="199">
        <v>262915</v>
      </c>
      <c r="F7" s="201">
        <v>71026</v>
      </c>
      <c r="G7" s="199">
        <v>1287</v>
      </c>
      <c r="H7" s="202">
        <v>0.56999999999999995</v>
      </c>
      <c r="I7" s="202">
        <v>1.1200000000000001</v>
      </c>
      <c r="J7" s="199" t="s">
        <v>27</v>
      </c>
      <c r="K7" s="199" t="s">
        <v>33</v>
      </c>
      <c r="L7" s="199" t="s">
        <v>27</v>
      </c>
      <c r="M7" s="202">
        <v>821.62099999999998</v>
      </c>
      <c r="N7" s="203">
        <v>720.7</v>
      </c>
      <c r="O7" s="204">
        <v>0.10009999999999999</v>
      </c>
      <c r="P7" s="205">
        <v>6.01</v>
      </c>
      <c r="Q7" s="199">
        <v>299.89999999999998</v>
      </c>
      <c r="R7" s="199">
        <v>2</v>
      </c>
      <c r="S7" s="199">
        <v>1200</v>
      </c>
      <c r="T7" s="202">
        <v>1.1399999999999999</v>
      </c>
      <c r="U7" s="199">
        <v>60</v>
      </c>
      <c r="V7" s="204">
        <v>0.05</v>
      </c>
      <c r="W7" s="199" t="s">
        <v>37</v>
      </c>
      <c r="X7" s="199" t="s">
        <v>29</v>
      </c>
      <c r="Y7" s="199" t="s">
        <v>34</v>
      </c>
      <c r="Z7" s="199" t="s">
        <v>27</v>
      </c>
      <c r="AA7" s="199" t="s">
        <v>27</v>
      </c>
      <c r="AB7" s="199" t="s">
        <v>32</v>
      </c>
      <c r="AC7" s="199" t="s">
        <v>662</v>
      </c>
    </row>
    <row r="8" spans="1:29" s="206" customFormat="1" x14ac:dyDescent="0.3">
      <c r="A8" s="199">
        <v>6</v>
      </c>
      <c r="B8" s="200" t="s">
        <v>107</v>
      </c>
      <c r="C8" s="199" t="s">
        <v>49</v>
      </c>
      <c r="D8" s="199" t="s">
        <v>661</v>
      </c>
      <c r="E8" s="199">
        <v>262918</v>
      </c>
      <c r="F8" s="201">
        <v>71026</v>
      </c>
      <c r="G8" s="199">
        <v>2764</v>
      </c>
      <c r="H8" s="202">
        <v>0.56000000000000005</v>
      </c>
      <c r="I8" s="202">
        <v>0.91</v>
      </c>
      <c r="J8" s="199" t="s">
        <v>27</v>
      </c>
      <c r="K8" s="199" t="s">
        <v>33</v>
      </c>
      <c r="L8" s="199" t="s">
        <v>27</v>
      </c>
      <c r="M8" s="202">
        <v>1408.5340000000001</v>
      </c>
      <c r="N8" s="203">
        <v>1257.5999999999999</v>
      </c>
      <c r="O8" s="204">
        <v>0.17469999999999999</v>
      </c>
      <c r="P8" s="205">
        <v>10.48</v>
      </c>
      <c r="Q8" s="199">
        <v>500</v>
      </c>
      <c r="R8" s="199">
        <v>2</v>
      </c>
      <c r="S8" s="199">
        <v>1150</v>
      </c>
      <c r="T8" s="202">
        <v>1.1200000000000001</v>
      </c>
      <c r="U8" s="199">
        <v>30</v>
      </c>
      <c r="V8" s="204">
        <v>2.6100000000000002E-2</v>
      </c>
      <c r="W8" s="199" t="s">
        <v>29</v>
      </c>
      <c r="X8" s="199" t="s">
        <v>28</v>
      </c>
      <c r="Y8" s="199" t="s">
        <v>29</v>
      </c>
      <c r="Z8" s="199" t="s">
        <v>27</v>
      </c>
      <c r="AA8" s="199" t="s">
        <v>27</v>
      </c>
      <c r="AB8" s="199" t="s">
        <v>32</v>
      </c>
      <c r="AC8" s="199" t="s">
        <v>106</v>
      </c>
    </row>
    <row r="9" spans="1:29" s="12" customForma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214" t="s">
        <v>27</v>
      </c>
      <c r="G9" s="11">
        <f>SUM(G3:G8)</f>
        <v>14460</v>
      </c>
      <c r="H9" s="11" t="s">
        <v>27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 t="s">
        <v>27</v>
      </c>
      <c r="Q9" s="11">
        <f>SUM(Q3:Q8)</f>
        <v>2399.8000000000002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  <c r="AC9" s="11" t="s">
        <v>27</v>
      </c>
    </row>
    <row r="21" spans="12:12" x14ac:dyDescent="0.3">
      <c r="L21" s="198"/>
    </row>
  </sheetData>
  <mergeCells count="1">
    <mergeCell ref="A1:AC1"/>
  </mergeCells>
  <pageMargins left="0.511811024" right="0.511811024" top="1.38" bottom="0.78740157499999996" header="0.31496062000000002" footer="0.31496062000000002"/>
  <pageSetup paperSize="9" scale="87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81D34-B718-44F1-B498-ACED89D8096E}">
  <sheetPr>
    <pageSetUpPr fitToPage="1"/>
  </sheetPr>
  <dimension ref="A1:AC11"/>
  <sheetViews>
    <sheetView workbookViewId="0">
      <selection activeCell="AE27" sqref="AE27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" style="33" customWidth="1"/>
    <col min="6" max="6" width="4.6640625" style="33" customWidth="1"/>
    <col min="7" max="7" width="7.6640625" style="33" customWidth="1"/>
    <col min="8" max="8" width="6.21875" style="33" customWidth="1"/>
    <col min="9" max="9" width="7.33203125" style="33" customWidth="1"/>
    <col min="10" max="10" width="7" style="33" customWidth="1"/>
    <col min="11" max="11" width="13.5546875" style="33" customWidth="1"/>
    <col min="12" max="12" width="8.10937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7.88671875" style="33" customWidth="1"/>
    <col min="18" max="18" width="4.44140625" style="33" customWidth="1"/>
    <col min="19" max="19" width="5.88671875" style="33" customWidth="1"/>
    <col min="20" max="20" width="6.44140625" style="33" customWidth="1"/>
    <col min="21" max="21" width="11.77734375" style="33" hidden="1" customWidth="1"/>
    <col min="22" max="22" width="8.77734375" style="33" hidden="1" customWidth="1"/>
    <col min="23" max="23" width="8.44140625" style="33" customWidth="1"/>
    <col min="24" max="26" width="7.5546875" style="33" customWidth="1"/>
    <col min="27" max="27" width="8" style="33" customWidth="1"/>
    <col min="28" max="28" width="4" style="33" customWidth="1"/>
    <col min="29" max="29" width="10" style="33" customWidth="1"/>
    <col min="30" max="16384" width="8.88671875" style="33"/>
  </cols>
  <sheetData>
    <row r="1" spans="1:29" ht="18" customHeight="1" x14ac:dyDescent="0.35">
      <c r="A1" s="263" t="s">
        <v>660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/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</row>
    <row r="2" spans="1:29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53</v>
      </c>
      <c r="F2" s="44" t="s">
        <v>4</v>
      </c>
      <c r="G2" s="44" t="s">
        <v>5</v>
      </c>
      <c r="H2" s="44" t="s">
        <v>6</v>
      </c>
      <c r="I2" s="44" t="s">
        <v>7</v>
      </c>
      <c r="J2" s="44"/>
      <c r="K2" s="44" t="s">
        <v>8</v>
      </c>
      <c r="L2" s="44" t="s">
        <v>27</v>
      </c>
      <c r="M2" s="44" t="s">
        <v>9</v>
      </c>
      <c r="N2" s="44" t="s">
        <v>10</v>
      </c>
      <c r="O2" s="44" t="s">
        <v>11</v>
      </c>
      <c r="P2" s="44" t="s">
        <v>12</v>
      </c>
      <c r="Q2" s="44" t="s">
        <v>13</v>
      </c>
      <c r="R2" s="44" t="s">
        <v>14</v>
      </c>
      <c r="S2" s="44" t="s">
        <v>15</v>
      </c>
      <c r="T2" s="44" t="s">
        <v>16</v>
      </c>
      <c r="U2" s="44" t="s">
        <v>17</v>
      </c>
      <c r="V2" s="44" t="s">
        <v>18</v>
      </c>
      <c r="W2" s="44" t="s">
        <v>19</v>
      </c>
      <c r="X2" s="44" t="s">
        <v>20</v>
      </c>
      <c r="Y2" s="44" t="s">
        <v>21</v>
      </c>
      <c r="Z2" s="44" t="s">
        <v>22</v>
      </c>
      <c r="AA2" s="44" t="s">
        <v>23</v>
      </c>
      <c r="AB2" s="44" t="s">
        <v>24</v>
      </c>
      <c r="AC2" s="44" t="s">
        <v>25</v>
      </c>
    </row>
    <row r="3" spans="1:29" s="51" customFormat="1" ht="25.05" customHeight="1" x14ac:dyDescent="0.3">
      <c r="A3" s="45">
        <v>1</v>
      </c>
      <c r="B3" s="46" t="s">
        <v>366</v>
      </c>
      <c r="C3" s="45" t="s">
        <v>26</v>
      </c>
      <c r="D3" s="45" t="s">
        <v>586</v>
      </c>
      <c r="E3" s="45">
        <v>262909</v>
      </c>
      <c r="F3" s="45" t="s">
        <v>66</v>
      </c>
      <c r="G3" s="45">
        <v>200</v>
      </c>
      <c r="H3" s="47">
        <v>1.4159999999999999</v>
      </c>
      <c r="I3" s="47">
        <v>2.0299999999999998</v>
      </c>
      <c r="J3" s="47"/>
      <c r="K3" s="45" t="s">
        <v>659</v>
      </c>
      <c r="L3" s="45" t="s">
        <v>27</v>
      </c>
      <c r="M3" s="47">
        <v>574.89599999999996</v>
      </c>
      <c r="N3" s="48">
        <v>406</v>
      </c>
      <c r="O3" s="49">
        <v>0.1128</v>
      </c>
      <c r="P3" s="50">
        <v>6.77</v>
      </c>
      <c r="Q3" s="45">
        <v>309.3</v>
      </c>
      <c r="R3" s="45">
        <v>1</v>
      </c>
      <c r="S3" s="45">
        <v>1450</v>
      </c>
      <c r="T3" s="47">
        <v>1.4159999999999999</v>
      </c>
      <c r="U3" s="45">
        <v>34</v>
      </c>
      <c r="V3" s="49">
        <v>2.3400000000000001E-2</v>
      </c>
      <c r="W3" s="45" t="s">
        <v>28</v>
      </c>
      <c r="X3" s="45" t="s">
        <v>29</v>
      </c>
      <c r="Y3" s="45" t="s">
        <v>28</v>
      </c>
      <c r="Z3" s="45" t="s">
        <v>28</v>
      </c>
      <c r="AA3" s="45" t="s">
        <v>28</v>
      </c>
      <c r="AB3" s="45" t="s">
        <v>32</v>
      </c>
      <c r="AC3" s="45" t="s">
        <v>658</v>
      </c>
    </row>
    <row r="4" spans="1:29" s="51" customFormat="1" ht="25.05" customHeight="1" x14ac:dyDescent="0.3">
      <c r="A4" s="45">
        <v>2</v>
      </c>
      <c r="B4" s="46" t="s">
        <v>366</v>
      </c>
      <c r="C4" s="45" t="s">
        <v>26</v>
      </c>
      <c r="D4" s="45" t="s">
        <v>586</v>
      </c>
      <c r="E4" s="45">
        <v>262910</v>
      </c>
      <c r="F4" s="45" t="s">
        <v>66</v>
      </c>
      <c r="G4" s="45">
        <v>292</v>
      </c>
      <c r="H4" s="47">
        <v>1.36</v>
      </c>
      <c r="I4" s="47">
        <v>1.4059999999999999</v>
      </c>
      <c r="J4" s="47"/>
      <c r="K4" s="45" t="s">
        <v>33</v>
      </c>
      <c r="L4" s="45" t="s">
        <v>27</v>
      </c>
      <c r="M4" s="47">
        <v>558.351</v>
      </c>
      <c r="N4" s="48">
        <v>410.6</v>
      </c>
      <c r="O4" s="49">
        <v>0.114</v>
      </c>
      <c r="P4" s="50">
        <v>6.84</v>
      </c>
      <c r="Q4" s="45">
        <v>300.39999999999998</v>
      </c>
      <c r="R4" s="45">
        <v>1</v>
      </c>
      <c r="S4" s="45">
        <v>1400</v>
      </c>
      <c r="T4" s="47">
        <v>1.36</v>
      </c>
      <c r="U4" s="45">
        <v>40</v>
      </c>
      <c r="V4" s="49">
        <v>2.86E-2</v>
      </c>
      <c r="W4" s="45" t="s">
        <v>28</v>
      </c>
      <c r="X4" s="45" t="s">
        <v>29</v>
      </c>
      <c r="Y4" s="45" t="s">
        <v>28</v>
      </c>
      <c r="Z4" s="45" t="s">
        <v>28</v>
      </c>
      <c r="AA4" s="45" t="s">
        <v>28</v>
      </c>
      <c r="AB4" s="45" t="s">
        <v>32</v>
      </c>
      <c r="AC4" s="45" t="s">
        <v>657</v>
      </c>
    </row>
    <row r="5" spans="1:29" s="51" customFormat="1" ht="25.05" customHeight="1" x14ac:dyDescent="0.3">
      <c r="A5" s="45">
        <v>3</v>
      </c>
      <c r="B5" s="46" t="s">
        <v>366</v>
      </c>
      <c r="C5" s="45" t="s">
        <v>26</v>
      </c>
      <c r="D5" s="45" t="s">
        <v>586</v>
      </c>
      <c r="E5" s="45">
        <v>262911</v>
      </c>
      <c r="F5" s="45" t="s">
        <v>66</v>
      </c>
      <c r="G5" s="45">
        <v>200</v>
      </c>
      <c r="H5" s="47">
        <v>1.34</v>
      </c>
      <c r="I5" s="47">
        <v>2.1219999999999999</v>
      </c>
      <c r="J5" s="47"/>
      <c r="K5" s="45" t="s">
        <v>33</v>
      </c>
      <c r="L5" s="45" t="s">
        <v>27</v>
      </c>
      <c r="M5" s="47">
        <v>568.69600000000003</v>
      </c>
      <c r="N5" s="48">
        <v>424.4</v>
      </c>
      <c r="O5" s="49">
        <v>0.1179</v>
      </c>
      <c r="P5" s="50">
        <v>7.07</v>
      </c>
      <c r="Q5" s="45">
        <v>306</v>
      </c>
      <c r="R5" s="45">
        <v>1</v>
      </c>
      <c r="S5" s="45">
        <v>1400</v>
      </c>
      <c r="T5" s="47">
        <v>1.34</v>
      </c>
      <c r="U5" s="45">
        <v>60</v>
      </c>
      <c r="V5" s="49">
        <v>4.2900000000000001E-2</v>
      </c>
      <c r="W5" s="45" t="s">
        <v>28</v>
      </c>
      <c r="X5" s="45" t="s">
        <v>29</v>
      </c>
      <c r="Y5" s="45" t="s">
        <v>28</v>
      </c>
      <c r="Z5" s="45" t="s">
        <v>28</v>
      </c>
      <c r="AA5" s="45" t="s">
        <v>28</v>
      </c>
      <c r="AB5" s="45" t="s">
        <v>32</v>
      </c>
      <c r="AC5" s="45" t="s">
        <v>656</v>
      </c>
    </row>
    <row r="6" spans="1:29" s="51" customFormat="1" ht="25.05" customHeight="1" x14ac:dyDescent="0.3">
      <c r="A6" s="45">
        <v>4</v>
      </c>
      <c r="B6" s="46" t="s">
        <v>366</v>
      </c>
      <c r="C6" s="45" t="s">
        <v>26</v>
      </c>
      <c r="D6" s="45" t="s">
        <v>586</v>
      </c>
      <c r="E6" s="45">
        <v>262912</v>
      </c>
      <c r="F6" s="45" t="s">
        <v>66</v>
      </c>
      <c r="G6" s="45">
        <v>258</v>
      </c>
      <c r="H6" s="47">
        <v>1.1559999999999999</v>
      </c>
      <c r="I6" s="47">
        <v>1.87</v>
      </c>
      <c r="J6" s="47"/>
      <c r="K6" s="45" t="s">
        <v>655</v>
      </c>
      <c r="L6" s="45" t="s">
        <v>27</v>
      </c>
      <c r="M6" s="47">
        <v>557.72400000000005</v>
      </c>
      <c r="N6" s="48">
        <v>482.5</v>
      </c>
      <c r="O6" s="49">
        <v>0.13400000000000001</v>
      </c>
      <c r="P6" s="50">
        <v>8.0399999999999991</v>
      </c>
      <c r="Q6" s="45">
        <v>300.10000000000002</v>
      </c>
      <c r="R6" s="45">
        <v>1</v>
      </c>
      <c r="S6" s="45">
        <v>1200</v>
      </c>
      <c r="T6" s="47">
        <v>1.1559999999999999</v>
      </c>
      <c r="U6" s="45">
        <v>44</v>
      </c>
      <c r="V6" s="49">
        <v>3.6700000000000003E-2</v>
      </c>
      <c r="W6" s="45" t="s">
        <v>28</v>
      </c>
      <c r="X6" s="45" t="s">
        <v>29</v>
      </c>
      <c r="Y6" s="45" t="s">
        <v>28</v>
      </c>
      <c r="Z6" s="45" t="s">
        <v>28</v>
      </c>
      <c r="AA6" s="45" t="s">
        <v>28</v>
      </c>
      <c r="AB6" s="45" t="s">
        <v>32</v>
      </c>
      <c r="AC6" s="45" t="s">
        <v>654</v>
      </c>
    </row>
    <row r="7" spans="1:29" s="51" customFormat="1" ht="25.05" customHeight="1" x14ac:dyDescent="0.3">
      <c r="A7" s="45">
        <v>5</v>
      </c>
      <c r="B7" s="46" t="s">
        <v>366</v>
      </c>
      <c r="C7" s="45" t="s">
        <v>653</v>
      </c>
      <c r="D7" s="45" t="s">
        <v>576</v>
      </c>
      <c r="E7" s="45">
        <v>262907</v>
      </c>
      <c r="F7" s="45" t="s">
        <v>52</v>
      </c>
      <c r="G7" s="45">
        <v>400</v>
      </c>
      <c r="H7" s="47">
        <v>1.18</v>
      </c>
      <c r="I7" s="47">
        <v>1.23</v>
      </c>
      <c r="J7" s="47"/>
      <c r="K7" s="45" t="s">
        <v>33</v>
      </c>
      <c r="L7" s="45" t="s">
        <v>27</v>
      </c>
      <c r="M7" s="47">
        <v>580.55999999999995</v>
      </c>
      <c r="N7" s="48">
        <v>492</v>
      </c>
      <c r="O7" s="49">
        <v>0.13669999999999999</v>
      </c>
      <c r="P7" s="50">
        <v>8.1999999999999993</v>
      </c>
      <c r="Q7" s="45">
        <v>384.3</v>
      </c>
      <c r="R7" s="45">
        <v>1</v>
      </c>
      <c r="S7" s="45">
        <v>1200</v>
      </c>
      <c r="T7" s="47">
        <v>1.18</v>
      </c>
      <c r="U7" s="45">
        <v>20</v>
      </c>
      <c r="V7" s="49">
        <v>1.67E-2</v>
      </c>
      <c r="W7" s="45" t="s">
        <v>41</v>
      </c>
      <c r="X7" s="45" t="s">
        <v>39</v>
      </c>
      <c r="Y7" s="45" t="s">
        <v>28</v>
      </c>
      <c r="Z7" s="45" t="s">
        <v>28</v>
      </c>
      <c r="AA7" s="45" t="s">
        <v>41</v>
      </c>
      <c r="AB7" s="45" t="s">
        <v>30</v>
      </c>
      <c r="AC7" s="45" t="s">
        <v>652</v>
      </c>
    </row>
    <row r="8" spans="1:29" s="51" customFormat="1" ht="25.05" customHeight="1" x14ac:dyDescent="0.3">
      <c r="A8" s="45">
        <v>6</v>
      </c>
      <c r="B8" s="46" t="s">
        <v>366</v>
      </c>
      <c r="C8" s="45" t="s">
        <v>26</v>
      </c>
      <c r="D8" s="45" t="s">
        <v>576</v>
      </c>
      <c r="E8" s="45">
        <v>262905</v>
      </c>
      <c r="F8" s="45" t="s">
        <v>52</v>
      </c>
      <c r="G8" s="45">
        <v>570</v>
      </c>
      <c r="H8" s="47">
        <v>0.95599999999999996</v>
      </c>
      <c r="I8" s="47">
        <v>1.03</v>
      </c>
      <c r="J8" s="47"/>
      <c r="K8" s="45" t="s">
        <v>651</v>
      </c>
      <c r="L8" s="45" t="s">
        <v>27</v>
      </c>
      <c r="M8" s="47">
        <v>561.26800000000003</v>
      </c>
      <c r="N8" s="48">
        <v>587.1</v>
      </c>
      <c r="O8" s="49">
        <v>0.16309999999999999</v>
      </c>
      <c r="P8" s="50">
        <v>9.7899999999999991</v>
      </c>
      <c r="Q8" s="45">
        <v>302</v>
      </c>
      <c r="R8" s="45">
        <v>1</v>
      </c>
      <c r="S8" s="45">
        <v>1000</v>
      </c>
      <c r="T8" s="47">
        <v>0.95599999999999996</v>
      </c>
      <c r="U8" s="45">
        <v>44</v>
      </c>
      <c r="V8" s="49">
        <v>4.3999999999999997E-2</v>
      </c>
      <c r="W8" s="45" t="s">
        <v>28</v>
      </c>
      <c r="X8" s="45" t="s">
        <v>29</v>
      </c>
      <c r="Y8" s="45" t="s">
        <v>28</v>
      </c>
      <c r="Z8" s="45" t="s">
        <v>28</v>
      </c>
      <c r="AA8" s="45" t="s">
        <v>28</v>
      </c>
      <c r="AB8" s="45" t="s">
        <v>32</v>
      </c>
      <c r="AC8" s="45" t="s">
        <v>650</v>
      </c>
    </row>
    <row r="9" spans="1:29" s="51" customFormat="1" ht="25.05" customHeight="1" x14ac:dyDescent="0.3">
      <c r="A9" s="45">
        <v>7</v>
      </c>
      <c r="B9" s="46" t="s">
        <v>366</v>
      </c>
      <c r="C9" s="45" t="s">
        <v>81</v>
      </c>
      <c r="D9" s="45" t="s">
        <v>576</v>
      </c>
      <c r="E9" s="45">
        <v>262906</v>
      </c>
      <c r="F9" s="45" t="s">
        <v>52</v>
      </c>
      <c r="G9" s="45">
        <v>3500</v>
      </c>
      <c r="H9" s="47">
        <v>0.46100000000000002</v>
      </c>
      <c r="I9" s="47">
        <v>1.32</v>
      </c>
      <c r="J9" s="47"/>
      <c r="K9" s="45" t="s">
        <v>649</v>
      </c>
      <c r="L9" s="45" t="s">
        <v>27</v>
      </c>
      <c r="M9" s="47">
        <v>2129.8200000000002</v>
      </c>
      <c r="N9" s="48">
        <v>1540</v>
      </c>
      <c r="O9" s="49">
        <v>0.1426</v>
      </c>
      <c r="P9" s="50">
        <v>8.56</v>
      </c>
      <c r="Q9" s="45">
        <v>777.4</v>
      </c>
      <c r="R9" s="45">
        <v>3</v>
      </c>
      <c r="S9" s="45">
        <v>1450</v>
      </c>
      <c r="T9" s="47">
        <v>1.383</v>
      </c>
      <c r="U9" s="45">
        <v>67</v>
      </c>
      <c r="V9" s="49">
        <v>4.6199999999999998E-2</v>
      </c>
      <c r="W9" s="45" t="s">
        <v>41</v>
      </c>
      <c r="X9" s="45" t="s">
        <v>29</v>
      </c>
      <c r="Y9" s="45" t="s">
        <v>28</v>
      </c>
      <c r="Z9" s="45" t="s">
        <v>27</v>
      </c>
      <c r="AA9" s="45" t="s">
        <v>27</v>
      </c>
      <c r="AB9" s="45" t="s">
        <v>48</v>
      </c>
      <c r="AC9" s="45" t="s">
        <v>114</v>
      </c>
    </row>
    <row r="10" spans="1:29" s="51" customFormat="1" ht="25.05" customHeight="1" x14ac:dyDescent="0.3">
      <c r="A10" s="45">
        <v>8</v>
      </c>
      <c r="B10" s="46" t="s">
        <v>366</v>
      </c>
      <c r="C10" s="45" t="s">
        <v>648</v>
      </c>
      <c r="D10" s="45" t="s">
        <v>576</v>
      </c>
      <c r="E10" s="45">
        <v>262908</v>
      </c>
      <c r="F10" s="45" t="s">
        <v>52</v>
      </c>
      <c r="G10" s="45">
        <v>10000</v>
      </c>
      <c r="H10" s="47">
        <v>0.25600000000000001</v>
      </c>
      <c r="I10" s="47">
        <v>0.83599999999999997</v>
      </c>
      <c r="J10" s="47"/>
      <c r="K10" s="45" t="s">
        <v>647</v>
      </c>
      <c r="L10" s="45" t="s">
        <v>27</v>
      </c>
      <c r="M10" s="47">
        <v>2140.16</v>
      </c>
      <c r="N10" s="48">
        <v>2090</v>
      </c>
      <c r="O10" s="49">
        <v>0.14510000000000001</v>
      </c>
      <c r="P10" s="50">
        <v>8.7100000000000009</v>
      </c>
      <c r="Q10" s="45">
        <v>851.8</v>
      </c>
      <c r="R10" s="45">
        <v>4</v>
      </c>
      <c r="S10" s="45">
        <v>1050</v>
      </c>
      <c r="T10" s="47">
        <v>1.024</v>
      </c>
      <c r="U10" s="45">
        <v>26</v>
      </c>
      <c r="V10" s="49">
        <v>2.4799999999999999E-2</v>
      </c>
      <c r="W10" s="45" t="s">
        <v>39</v>
      </c>
      <c r="X10" s="45" t="s">
        <v>39</v>
      </c>
      <c r="Y10" s="45" t="s">
        <v>29</v>
      </c>
      <c r="Z10" s="45" t="s">
        <v>27</v>
      </c>
      <c r="AA10" s="45" t="s">
        <v>27</v>
      </c>
      <c r="AB10" s="45" t="s">
        <v>31</v>
      </c>
      <c r="AC10" s="45" t="s">
        <v>646</v>
      </c>
    </row>
    <row r="11" spans="1:29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>
        <v>15420</v>
      </c>
      <c r="H11" s="52" t="s">
        <v>27</v>
      </c>
      <c r="I11" s="52" t="s">
        <v>27</v>
      </c>
      <c r="J11" s="52"/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 t="s">
        <v>27</v>
      </c>
      <c r="Q11" s="52">
        <v>3531.2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  <c r="AC11" s="52" t="s">
        <v>27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0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sheetPr>
    <pageSetUpPr fitToPage="1"/>
  </sheetPr>
  <dimension ref="A1:AD18"/>
  <sheetViews>
    <sheetView topLeftCell="A22" workbookViewId="0">
      <selection sqref="A1:AD1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3320312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263" t="s">
        <v>645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/>
      <c r="L1" s="263" t="s">
        <v>27</v>
      </c>
      <c r="M1" s="263" t="s">
        <v>27</v>
      </c>
      <c r="N1" s="263" t="s">
        <v>27</v>
      </c>
      <c r="O1" s="263" t="s">
        <v>27</v>
      </c>
      <c r="P1" s="263"/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  <c r="AD1" s="263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162"/>
      <c r="B3" s="163" t="s">
        <v>60</v>
      </c>
      <c r="C3" s="162" t="s">
        <v>26</v>
      </c>
      <c r="D3" s="162" t="s">
        <v>599</v>
      </c>
      <c r="E3" s="162" t="s">
        <v>27</v>
      </c>
      <c r="F3" s="162">
        <v>262903</v>
      </c>
      <c r="G3" s="162" t="s">
        <v>627</v>
      </c>
      <c r="H3" s="162">
        <v>2500</v>
      </c>
      <c r="I3" s="164">
        <v>0.49</v>
      </c>
      <c r="J3" s="164">
        <v>1.5489999999999999</v>
      </c>
      <c r="K3" s="164"/>
      <c r="L3" s="162" t="s">
        <v>33</v>
      </c>
      <c r="M3" s="164">
        <v>948.76199999999994</v>
      </c>
      <c r="N3" s="165">
        <v>645.4</v>
      </c>
      <c r="O3" s="166">
        <v>5.9799999999999999E-2</v>
      </c>
      <c r="P3" s="166"/>
      <c r="Q3" s="167">
        <v>3.59</v>
      </c>
      <c r="R3" s="162">
        <v>510.4</v>
      </c>
      <c r="S3" s="162">
        <v>3</v>
      </c>
      <c r="T3" s="162">
        <v>1500</v>
      </c>
      <c r="U3" s="164">
        <v>1.47</v>
      </c>
      <c r="V3" s="162">
        <v>30</v>
      </c>
      <c r="W3" s="166">
        <v>0.02</v>
      </c>
      <c r="X3" s="162" t="s">
        <v>28</v>
      </c>
      <c r="Y3" s="162" t="s">
        <v>29</v>
      </c>
      <c r="Z3" s="162" t="s">
        <v>28</v>
      </c>
      <c r="AA3" s="162" t="s">
        <v>28</v>
      </c>
      <c r="AB3" s="162" t="s">
        <v>28</v>
      </c>
      <c r="AC3" s="162" t="s">
        <v>31</v>
      </c>
      <c r="AD3" s="162" t="s">
        <v>172</v>
      </c>
    </row>
    <row r="4" spans="1:30" s="51" customFormat="1" ht="25.05" customHeight="1" x14ac:dyDescent="0.3">
      <c r="A4" s="162"/>
      <c r="B4" s="163" t="s">
        <v>60</v>
      </c>
      <c r="C4" s="162" t="s">
        <v>26</v>
      </c>
      <c r="D4" s="162" t="s">
        <v>599</v>
      </c>
      <c r="E4" s="162" t="s">
        <v>27</v>
      </c>
      <c r="F4" s="162">
        <v>262904</v>
      </c>
      <c r="G4" s="162" t="s">
        <v>627</v>
      </c>
      <c r="H4" s="162">
        <v>2500</v>
      </c>
      <c r="I4" s="164">
        <v>0.49</v>
      </c>
      <c r="J4" s="164">
        <v>1.36</v>
      </c>
      <c r="K4" s="164"/>
      <c r="L4" s="162" t="s">
        <v>33</v>
      </c>
      <c r="M4" s="164">
        <v>1666</v>
      </c>
      <c r="N4" s="165">
        <v>1133.3</v>
      </c>
      <c r="O4" s="166">
        <v>0.10489999999999999</v>
      </c>
      <c r="P4" s="166"/>
      <c r="Q4" s="167">
        <v>6.3</v>
      </c>
      <c r="R4" s="162">
        <v>896.3</v>
      </c>
      <c r="S4" s="162">
        <v>3</v>
      </c>
      <c r="T4" s="162">
        <v>1500</v>
      </c>
      <c r="U4" s="164">
        <v>1.47</v>
      </c>
      <c r="V4" s="162">
        <v>30</v>
      </c>
      <c r="W4" s="166">
        <v>0.02</v>
      </c>
      <c r="X4" s="162" t="s">
        <v>28</v>
      </c>
      <c r="Y4" s="162" t="s">
        <v>29</v>
      </c>
      <c r="Z4" s="162" t="s">
        <v>28</v>
      </c>
      <c r="AA4" s="162" t="s">
        <v>28</v>
      </c>
      <c r="AB4" s="162" t="s">
        <v>28</v>
      </c>
      <c r="AC4" s="162" t="s">
        <v>54</v>
      </c>
      <c r="AD4" s="162" t="s">
        <v>644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599</v>
      </c>
      <c r="E5" s="45" t="s">
        <v>27</v>
      </c>
      <c r="F5" s="45">
        <v>262897</v>
      </c>
      <c r="G5" s="45" t="s">
        <v>627</v>
      </c>
      <c r="H5" s="45">
        <v>300</v>
      </c>
      <c r="I5" s="47">
        <v>0.60899999999999999</v>
      </c>
      <c r="J5" s="47">
        <v>2.319</v>
      </c>
      <c r="K5" s="47"/>
      <c r="L5" s="45" t="s">
        <v>643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642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599</v>
      </c>
      <c r="E6" s="45" t="s">
        <v>27</v>
      </c>
      <c r="F6" s="45">
        <v>262900</v>
      </c>
      <c r="G6" s="45" t="s">
        <v>627</v>
      </c>
      <c r="H6" s="45">
        <v>600</v>
      </c>
      <c r="I6" s="47">
        <v>0.51400000000000001</v>
      </c>
      <c r="J6" s="47">
        <v>1.2490000000000001</v>
      </c>
      <c r="K6" s="47"/>
      <c r="L6" s="45" t="s">
        <v>641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640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599</v>
      </c>
      <c r="E7" s="45" t="s">
        <v>27</v>
      </c>
      <c r="F7" s="45">
        <v>262893</v>
      </c>
      <c r="G7" s="45" t="s">
        <v>627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639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599</v>
      </c>
      <c r="E8" s="45" t="s">
        <v>27</v>
      </c>
      <c r="F8" s="45">
        <v>262896</v>
      </c>
      <c r="G8" s="45" t="s">
        <v>627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638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599</v>
      </c>
      <c r="E9" s="45" t="s">
        <v>27</v>
      </c>
      <c r="F9" s="45">
        <v>262895</v>
      </c>
      <c r="G9" s="45" t="s">
        <v>627</v>
      </c>
      <c r="H9" s="45">
        <v>3000</v>
      </c>
      <c r="I9" s="47">
        <v>0.34</v>
      </c>
      <c r="J9" s="47">
        <v>0.67900000000000005</v>
      </c>
      <c r="K9" s="47"/>
      <c r="L9" s="45" t="s">
        <v>637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636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599</v>
      </c>
      <c r="E10" s="45" t="s">
        <v>27</v>
      </c>
      <c r="F10" s="45">
        <v>262892</v>
      </c>
      <c r="G10" s="45" t="s">
        <v>627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635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599</v>
      </c>
      <c r="E11" s="45" t="s">
        <v>27</v>
      </c>
      <c r="F11" s="45">
        <v>262894</v>
      </c>
      <c r="G11" s="45" t="s">
        <v>627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634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633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599</v>
      </c>
      <c r="E12" s="45" t="s">
        <v>27</v>
      </c>
      <c r="F12" s="45">
        <v>262899</v>
      </c>
      <c r="G12" s="45" t="s">
        <v>627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632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599</v>
      </c>
      <c r="E13" s="45" t="s">
        <v>27</v>
      </c>
      <c r="F13" s="45">
        <v>262902</v>
      </c>
      <c r="G13" s="45" t="s">
        <v>627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631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599</v>
      </c>
      <c r="E14" s="45" t="s">
        <v>27</v>
      </c>
      <c r="F14" s="45">
        <v>262898</v>
      </c>
      <c r="G14" s="45" t="s">
        <v>627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630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599</v>
      </c>
      <c r="E15" s="45" t="s">
        <v>27</v>
      </c>
      <c r="F15" s="45">
        <v>262901</v>
      </c>
      <c r="G15" s="45" t="s">
        <v>627</v>
      </c>
      <c r="H15" s="45">
        <v>375</v>
      </c>
      <c r="I15" s="47">
        <v>0.996</v>
      </c>
      <c r="J15" s="47">
        <v>0.94899999999999995</v>
      </c>
      <c r="K15" s="47"/>
      <c r="L15" s="45" t="s">
        <v>629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628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599</v>
      </c>
      <c r="E16" s="45" t="s">
        <v>27</v>
      </c>
      <c r="F16" s="45">
        <v>262891</v>
      </c>
      <c r="G16" s="45" t="s">
        <v>627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626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1.35" bottom="0.78740157499999996" header="0.31496062000000002" footer="0.31496062000000002"/>
  <pageSetup paperSize="9" scale="68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sheetPr>
    <pageSetUpPr fitToPage="1"/>
  </sheetPr>
  <dimension ref="A1:AD6"/>
  <sheetViews>
    <sheetView zoomScale="192" zoomScaleNormal="192" workbookViewId="0">
      <selection activeCell="A3" sqref="A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hidden="1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1" width="6.6640625" style="33" customWidth="1"/>
    <col min="12" max="12" width="12.6640625" style="33" customWidth="1"/>
    <col min="13" max="13" width="9.77734375" style="33" hidden="1" customWidth="1"/>
    <col min="14" max="14" width="8.77734375" style="33" hidden="1" customWidth="1"/>
    <col min="15" max="16" width="9.77734375" style="33" hidden="1" customWidth="1"/>
    <col min="17" max="17" width="9.109375" style="33" customWidth="1"/>
    <col min="18" max="18" width="7.88671875" style="33" customWidth="1"/>
    <col min="19" max="19" width="4.33203125" style="33" customWidth="1"/>
    <col min="20" max="20" width="5.33203125" style="33" customWidth="1"/>
    <col min="21" max="21" width="7.21875" style="33" customWidth="1"/>
    <col min="22" max="22" width="11.77734375" style="33" hidden="1" customWidth="1"/>
    <col min="23" max="23" width="8.77734375" style="33" hidden="1" customWidth="1"/>
    <col min="24" max="25" width="8.6640625" style="33" customWidth="1"/>
    <col min="26" max="26" width="8.33203125" style="33" customWidth="1"/>
    <col min="27" max="27" width="8.109375" style="33" customWidth="1"/>
    <col min="28" max="28" width="7.21875" style="33" customWidth="1"/>
    <col min="29" max="29" width="4.33203125" style="33" customWidth="1"/>
    <col min="30" max="30" width="10.109375" style="33" customWidth="1"/>
    <col min="31" max="16384" width="8.88671875" style="33"/>
  </cols>
  <sheetData>
    <row r="1" spans="1:30" ht="18" customHeight="1" x14ac:dyDescent="0.35">
      <c r="A1" s="263" t="s">
        <v>622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/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/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  <c r="AC1" s="263" t="s">
        <v>27</v>
      </c>
      <c r="AD1" s="263" t="s">
        <v>27</v>
      </c>
    </row>
    <row r="2" spans="1:30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 t="s">
        <v>12</v>
      </c>
      <c r="Q2" s="44"/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586</v>
      </c>
      <c r="E3" s="45" t="s">
        <v>27</v>
      </c>
      <c r="F3" s="45">
        <v>262887</v>
      </c>
      <c r="G3" s="45" t="s">
        <v>617</v>
      </c>
      <c r="H3" s="45">
        <v>550</v>
      </c>
      <c r="I3" s="47">
        <v>0.51900000000000002</v>
      </c>
      <c r="J3" s="47">
        <v>1.2589999999999999</v>
      </c>
      <c r="K3" s="47"/>
      <c r="L3" s="45" t="s">
        <v>621</v>
      </c>
      <c r="M3" s="47">
        <v>359.38200000000001</v>
      </c>
      <c r="N3" s="48">
        <v>230.8</v>
      </c>
      <c r="O3" s="49">
        <v>2.1399999999999999E-2</v>
      </c>
      <c r="P3" s="50">
        <v>1.28</v>
      </c>
      <c r="Q3" s="50"/>
      <c r="R3" s="45">
        <v>193.3</v>
      </c>
      <c r="S3" s="45">
        <v>3</v>
      </c>
      <c r="T3" s="45">
        <v>1600</v>
      </c>
      <c r="U3" s="47">
        <v>1.5569999999999999</v>
      </c>
      <c r="V3" s="45">
        <v>43</v>
      </c>
      <c r="W3" s="49">
        <v>2.69E-2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32</v>
      </c>
      <c r="AD3" s="45" t="s">
        <v>620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586</v>
      </c>
      <c r="E4" s="45" t="s">
        <v>27</v>
      </c>
      <c r="F4" s="45">
        <v>262889</v>
      </c>
      <c r="G4" s="45" t="s">
        <v>617</v>
      </c>
      <c r="H4" s="45">
        <v>2500</v>
      </c>
      <c r="I4" s="47">
        <v>0.434</v>
      </c>
      <c r="J4" s="47">
        <v>1.4990000000000001</v>
      </c>
      <c r="K4" s="47"/>
      <c r="L4" s="45" t="s">
        <v>619</v>
      </c>
      <c r="M4" s="47">
        <v>1626.415</v>
      </c>
      <c r="N4" s="48">
        <v>1249.2</v>
      </c>
      <c r="O4" s="49">
        <v>0.1157</v>
      </c>
      <c r="P4" s="50">
        <v>6.94</v>
      </c>
      <c r="Q4" s="50"/>
      <c r="R4" s="45">
        <v>875</v>
      </c>
      <c r="S4" s="45">
        <v>3</v>
      </c>
      <c r="T4" s="45">
        <v>1350</v>
      </c>
      <c r="U4" s="47">
        <v>1.302</v>
      </c>
      <c r="V4" s="45">
        <v>48</v>
      </c>
      <c r="W4" s="49">
        <v>3.56E-2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618</v>
      </c>
    </row>
    <row r="5" spans="1:30" s="51" customFormat="1" ht="25.05" customHeight="1" x14ac:dyDescent="0.3">
      <c r="A5" s="45"/>
      <c r="B5" s="46" t="s">
        <v>60</v>
      </c>
      <c r="C5" s="45" t="s">
        <v>42</v>
      </c>
      <c r="D5" s="45" t="s">
        <v>586</v>
      </c>
      <c r="E5" s="45" t="s">
        <v>27</v>
      </c>
      <c r="F5" s="45">
        <v>262886</v>
      </c>
      <c r="G5" s="45" t="s">
        <v>617</v>
      </c>
      <c r="H5" s="45">
        <v>600</v>
      </c>
      <c r="I5" s="47">
        <v>0.84499999999999997</v>
      </c>
      <c r="J5" s="47">
        <v>1.589</v>
      </c>
      <c r="K5" s="47"/>
      <c r="L5" s="45" t="s">
        <v>616</v>
      </c>
      <c r="M5" s="47">
        <v>805.62300000000005</v>
      </c>
      <c r="N5" s="48">
        <v>953.4</v>
      </c>
      <c r="O5" s="49">
        <v>0.26479999999999998</v>
      </c>
      <c r="P5" s="50">
        <v>15.89</v>
      </c>
      <c r="Q5" s="50"/>
      <c r="R5" s="45">
        <v>277.89999999999998</v>
      </c>
      <c r="S5" s="45">
        <v>1</v>
      </c>
      <c r="T5" s="45">
        <v>900</v>
      </c>
      <c r="U5" s="47">
        <v>0.84499999999999997</v>
      </c>
      <c r="V5" s="45">
        <v>55</v>
      </c>
      <c r="W5" s="49">
        <v>6.1100000000000002E-2</v>
      </c>
      <c r="X5" s="45" t="s">
        <v>29</v>
      </c>
      <c r="Y5" s="45" t="s">
        <v>29</v>
      </c>
      <c r="Z5" s="45" t="s">
        <v>28</v>
      </c>
      <c r="AA5" s="45" t="s">
        <v>27</v>
      </c>
      <c r="AB5" s="45" t="s">
        <v>27</v>
      </c>
      <c r="AC5" s="45" t="s">
        <v>32</v>
      </c>
      <c r="AD5" s="45" t="s">
        <v>615</v>
      </c>
    </row>
    <row r="6" spans="1:30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4900</v>
      </c>
      <c r="I6" s="52" t="s">
        <v>27</v>
      </c>
      <c r="J6" s="52" t="s">
        <v>27</v>
      </c>
      <c r="K6" s="52"/>
      <c r="L6" s="52" t="s">
        <v>27</v>
      </c>
      <c r="M6" s="52" t="s">
        <v>27</v>
      </c>
      <c r="N6" s="52" t="s">
        <v>27</v>
      </c>
      <c r="O6" s="52" t="s">
        <v>27</v>
      </c>
      <c r="P6" s="52" t="s">
        <v>27</v>
      </c>
      <c r="Q6" s="52"/>
      <c r="R6" s="52">
        <v>1856.7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  <c r="AC6" s="52" t="s">
        <v>27</v>
      </c>
      <c r="AD6" s="52" t="s">
        <v>27</v>
      </c>
    </row>
  </sheetData>
  <mergeCells count="1">
    <mergeCell ref="A1:AD1"/>
  </mergeCells>
  <pageMargins left="0.511811024" right="0.511811024" top="1.93" bottom="0.78740157499999996" header="0.31496062000000002" footer="0.31496062000000002"/>
  <pageSetup paperSize="9" scale="86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3" t="s">
        <v>614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610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609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613</v>
      </c>
    </row>
    <row r="4" spans="1:28" s="51" customFormat="1" ht="25.05" customHeight="1" x14ac:dyDescent="0.3">
      <c r="A4" s="45"/>
      <c r="B4" s="46" t="s">
        <v>610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609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612</v>
      </c>
    </row>
    <row r="5" spans="1:28" s="51" customFormat="1" ht="25.05" customHeight="1" x14ac:dyDescent="0.3">
      <c r="A5" s="45"/>
      <c r="B5" s="46" t="s">
        <v>610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609</v>
      </c>
      <c r="H5" s="45">
        <v>1600</v>
      </c>
      <c r="I5" s="47">
        <v>0.57699999999999996</v>
      </c>
      <c r="J5" s="47">
        <v>1.1100000000000001</v>
      </c>
      <c r="K5" s="45" t="s">
        <v>608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611</v>
      </c>
    </row>
    <row r="6" spans="1:28" s="51" customFormat="1" ht="25.05" customHeight="1" x14ac:dyDescent="0.3">
      <c r="A6" s="45"/>
      <c r="B6" s="46" t="s">
        <v>610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609</v>
      </c>
      <c r="H6" s="45">
        <v>2500</v>
      </c>
      <c r="I6" s="47">
        <v>0.57699999999999996</v>
      </c>
      <c r="J6" s="47">
        <v>0.84</v>
      </c>
      <c r="K6" s="45" t="s">
        <v>608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607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260" t="s">
        <v>606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600</v>
      </c>
      <c r="C3" s="5" t="s">
        <v>35</v>
      </c>
      <c r="D3" s="5" t="s">
        <v>599</v>
      </c>
      <c r="E3" s="5" t="s">
        <v>27</v>
      </c>
      <c r="F3" s="5">
        <v>262876</v>
      </c>
      <c r="G3" s="5" t="s">
        <v>598</v>
      </c>
      <c r="H3" s="5">
        <v>500</v>
      </c>
      <c r="I3" s="7">
        <v>0.46</v>
      </c>
      <c r="J3" s="7">
        <v>1.57</v>
      </c>
      <c r="K3" s="5" t="s">
        <v>605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604</v>
      </c>
    </row>
    <row r="4" spans="1:28" s="12" customFormat="1" ht="25.05" customHeight="1" x14ac:dyDescent="0.3">
      <c r="A4" s="5"/>
      <c r="B4" s="10" t="s">
        <v>600</v>
      </c>
      <c r="C4" s="5" t="s">
        <v>35</v>
      </c>
      <c r="D4" s="5" t="s">
        <v>599</v>
      </c>
      <c r="E4" s="5" t="s">
        <v>27</v>
      </c>
      <c r="F4" s="5">
        <v>262878</v>
      </c>
      <c r="G4" s="5" t="s">
        <v>598</v>
      </c>
      <c r="H4" s="5">
        <v>2000</v>
      </c>
      <c r="I4" s="7">
        <v>0.33400000000000002</v>
      </c>
      <c r="J4" s="7">
        <v>1.24</v>
      </c>
      <c r="K4" s="5" t="s">
        <v>603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602</v>
      </c>
    </row>
    <row r="5" spans="1:28" s="12" customFormat="1" ht="25.05" customHeight="1" x14ac:dyDescent="0.3">
      <c r="A5" s="5"/>
      <c r="B5" s="10" t="s">
        <v>600</v>
      </c>
      <c r="C5" s="5" t="s">
        <v>35</v>
      </c>
      <c r="D5" s="5" t="s">
        <v>599</v>
      </c>
      <c r="E5" s="5" t="s">
        <v>27</v>
      </c>
      <c r="F5" s="5">
        <v>262879</v>
      </c>
      <c r="G5" s="5" t="s">
        <v>598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600</v>
      </c>
      <c r="C6" s="5" t="s">
        <v>35</v>
      </c>
      <c r="D6" s="5" t="s">
        <v>599</v>
      </c>
      <c r="E6" s="5" t="s">
        <v>27</v>
      </c>
      <c r="F6" s="5">
        <v>262875</v>
      </c>
      <c r="G6" s="5" t="s">
        <v>598</v>
      </c>
      <c r="H6" s="5">
        <v>8000</v>
      </c>
      <c r="I6" s="7">
        <v>0.41</v>
      </c>
      <c r="J6" s="7">
        <v>0.59</v>
      </c>
      <c r="K6" s="5" t="s">
        <v>601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600</v>
      </c>
      <c r="C7" s="5" t="s">
        <v>35</v>
      </c>
      <c r="D7" s="5" t="s">
        <v>599</v>
      </c>
      <c r="E7" s="5" t="s">
        <v>27</v>
      </c>
      <c r="F7" s="5">
        <v>262877</v>
      </c>
      <c r="G7" s="5" t="s">
        <v>598</v>
      </c>
      <c r="H7" s="5">
        <v>4000</v>
      </c>
      <c r="I7" s="7">
        <v>0.37</v>
      </c>
      <c r="J7" s="7">
        <v>0.59399999999999997</v>
      </c>
      <c r="K7" s="5" t="s">
        <v>597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596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263" t="s">
        <v>595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594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sheetPr>
    <pageSetUpPr fitToPage="1"/>
  </sheetPr>
  <dimension ref="A1:AB5"/>
  <sheetViews>
    <sheetView workbookViewId="0">
      <selection sqref="A1:AB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260" t="s">
        <v>585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sheetPr>
    <pageSetUpPr fitToPage="1"/>
  </sheetPr>
  <dimension ref="A1:AC9"/>
  <sheetViews>
    <sheetView zoomScale="220" zoomScaleNormal="220" workbookViewId="0">
      <selection sqref="A1:AC9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9" style="1" customWidth="1"/>
    <col min="6" max="6" width="4.44140625" style="1" customWidth="1"/>
    <col min="7" max="7" width="6.44140625" style="1" customWidth="1"/>
    <col min="8" max="8" width="7.77734375" style="1" customWidth="1"/>
    <col min="9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77734375" style="1" customWidth="1"/>
    <col min="17" max="17" width="6.6640625" style="1" customWidth="1"/>
    <col min="18" max="18" width="3.77734375" style="1" customWidth="1"/>
    <col min="19" max="19" width="6.21875" style="1" customWidth="1"/>
    <col min="20" max="20" width="6.6640625" style="1" customWidth="1"/>
    <col min="21" max="21" width="11.77734375" style="1" hidden="1" customWidth="1"/>
    <col min="22" max="22" width="8.77734375" style="1" hidden="1" customWidth="1"/>
    <col min="23" max="23" width="8.33203125" style="1" customWidth="1"/>
    <col min="24" max="24" width="7.44140625" style="1" customWidth="1"/>
    <col min="25" max="25" width="8" style="1" customWidth="1"/>
    <col min="26" max="26" width="7" style="1" customWidth="1"/>
    <col min="27" max="27" width="7.5546875" style="1" customWidth="1"/>
    <col min="28" max="28" width="4.6640625" style="1" customWidth="1"/>
    <col min="29" max="29" width="10.5546875" style="1" customWidth="1"/>
    <col min="30" max="16384" width="8.88671875" style="1"/>
  </cols>
  <sheetData>
    <row r="1" spans="1:29" ht="18" customHeight="1" x14ac:dyDescent="0.35">
      <c r="A1" s="265" t="s">
        <v>578</v>
      </c>
      <c r="B1" s="265" t="s">
        <v>27</v>
      </c>
      <c r="C1" s="265" t="s">
        <v>27</v>
      </c>
      <c r="D1" s="265" t="s">
        <v>27</v>
      </c>
      <c r="E1" s="265" t="s">
        <v>27</v>
      </c>
      <c r="F1" s="265" t="s">
        <v>27</v>
      </c>
      <c r="G1" s="265" t="s">
        <v>27</v>
      </c>
      <c r="H1" s="265" t="s">
        <v>27</v>
      </c>
      <c r="I1" s="265" t="s">
        <v>27</v>
      </c>
      <c r="J1" s="265"/>
      <c r="K1" s="265" t="s">
        <v>27</v>
      </c>
      <c r="L1" s="265" t="s">
        <v>27</v>
      </c>
      <c r="M1" s="265" t="s">
        <v>27</v>
      </c>
      <c r="N1" s="265" t="s">
        <v>27</v>
      </c>
      <c r="O1" s="265" t="s">
        <v>27</v>
      </c>
      <c r="P1" s="265"/>
      <c r="Q1" s="265" t="s">
        <v>27</v>
      </c>
      <c r="R1" s="265" t="s">
        <v>27</v>
      </c>
      <c r="S1" s="265" t="s">
        <v>27</v>
      </c>
      <c r="T1" s="265" t="s">
        <v>27</v>
      </c>
      <c r="U1" s="265" t="s">
        <v>27</v>
      </c>
      <c r="V1" s="265" t="s">
        <v>27</v>
      </c>
      <c r="W1" s="265" t="s">
        <v>27</v>
      </c>
      <c r="X1" s="265" t="s">
        <v>27</v>
      </c>
      <c r="Y1" s="265" t="s">
        <v>27</v>
      </c>
      <c r="Z1" s="265" t="s">
        <v>27</v>
      </c>
      <c r="AA1" s="265" t="s">
        <v>27</v>
      </c>
      <c r="AB1" s="265" t="s">
        <v>27</v>
      </c>
      <c r="AC1" s="265" t="s">
        <v>27</v>
      </c>
    </row>
    <row r="2" spans="1:29" ht="42" customHeight="1" x14ac:dyDescent="0.3">
      <c r="A2" s="221" t="s">
        <v>0</v>
      </c>
      <c r="B2" s="221" t="s">
        <v>36</v>
      </c>
      <c r="C2" s="221" t="s">
        <v>1</v>
      </c>
      <c r="D2" s="221" t="s">
        <v>2</v>
      </c>
      <c r="E2" s="221" t="s">
        <v>53</v>
      </c>
      <c r="F2" s="221" t="s">
        <v>4</v>
      </c>
      <c r="G2" s="221" t="s">
        <v>5</v>
      </c>
      <c r="H2" s="221" t="s">
        <v>6</v>
      </c>
      <c r="I2" s="221" t="s">
        <v>7</v>
      </c>
      <c r="J2" s="221"/>
      <c r="K2" s="221" t="s">
        <v>8</v>
      </c>
      <c r="L2" s="221" t="s">
        <v>9</v>
      </c>
      <c r="M2" s="221" t="s">
        <v>10</v>
      </c>
      <c r="N2" s="221" t="s">
        <v>11</v>
      </c>
      <c r="O2" s="221" t="s">
        <v>12</v>
      </c>
      <c r="P2" s="221"/>
      <c r="Q2" s="221" t="s">
        <v>13</v>
      </c>
      <c r="R2" s="221" t="s">
        <v>14</v>
      </c>
      <c r="S2" s="221" t="s">
        <v>15</v>
      </c>
      <c r="T2" s="221" t="s">
        <v>16</v>
      </c>
      <c r="U2" s="221" t="s">
        <v>17</v>
      </c>
      <c r="V2" s="221" t="s">
        <v>18</v>
      </c>
      <c r="W2" s="221" t="s">
        <v>19</v>
      </c>
      <c r="X2" s="221" t="s">
        <v>20</v>
      </c>
      <c r="Y2" s="221" t="s">
        <v>21</v>
      </c>
      <c r="Z2" s="221" t="s">
        <v>22</v>
      </c>
      <c r="AA2" s="221" t="s">
        <v>23</v>
      </c>
      <c r="AB2" s="221" t="s">
        <v>24</v>
      </c>
      <c r="AC2" s="221" t="s">
        <v>25</v>
      </c>
    </row>
    <row r="3" spans="1:29" s="12" customFormat="1" ht="25.05" customHeight="1" x14ac:dyDescent="0.3">
      <c r="A3" s="222">
        <v>1</v>
      </c>
      <c r="B3" s="223" t="s">
        <v>93</v>
      </c>
      <c r="C3" s="222" t="s">
        <v>35</v>
      </c>
      <c r="D3" s="222" t="s">
        <v>576</v>
      </c>
      <c r="E3" s="222">
        <v>262865</v>
      </c>
      <c r="F3" s="222" t="s">
        <v>575</v>
      </c>
      <c r="G3" s="222">
        <v>1400</v>
      </c>
      <c r="H3" s="224">
        <v>0.44500000000000001</v>
      </c>
      <c r="I3" s="224">
        <v>0.83</v>
      </c>
      <c r="J3" s="224"/>
      <c r="K3" s="222" t="s">
        <v>577</v>
      </c>
      <c r="L3" s="224">
        <v>517.09</v>
      </c>
      <c r="M3" s="225">
        <v>387.3</v>
      </c>
      <c r="N3" s="226">
        <v>3.5900000000000001E-2</v>
      </c>
      <c r="O3" s="227">
        <v>2.15</v>
      </c>
      <c r="P3" s="227"/>
      <c r="Q3" s="222">
        <v>162.9</v>
      </c>
      <c r="R3" s="222">
        <v>3</v>
      </c>
      <c r="S3" s="222">
        <v>1400</v>
      </c>
      <c r="T3" s="224">
        <v>1.335</v>
      </c>
      <c r="U3" s="222">
        <v>65</v>
      </c>
      <c r="V3" s="226">
        <v>4.6399999999999997E-2</v>
      </c>
      <c r="W3" s="222" t="s">
        <v>28</v>
      </c>
      <c r="X3" s="222" t="s">
        <v>28</v>
      </c>
      <c r="Y3" s="222" t="s">
        <v>28</v>
      </c>
      <c r="Z3" s="222" t="s">
        <v>27</v>
      </c>
      <c r="AA3" s="222" t="s">
        <v>27</v>
      </c>
      <c r="AB3" s="222" t="s">
        <v>38</v>
      </c>
      <c r="AC3" s="222" t="s">
        <v>574</v>
      </c>
    </row>
    <row r="4" spans="1:29" s="98" customFormat="1" ht="25.05" customHeight="1" x14ac:dyDescent="0.3">
      <c r="A4" s="215">
        <v>1</v>
      </c>
      <c r="B4" s="216" t="s">
        <v>126</v>
      </c>
      <c r="C4" s="215" t="s">
        <v>35</v>
      </c>
      <c r="D4" s="215" t="s">
        <v>698</v>
      </c>
      <c r="E4" s="215">
        <v>262930</v>
      </c>
      <c r="F4" s="215" t="s">
        <v>699</v>
      </c>
      <c r="G4" s="215">
        <v>500</v>
      </c>
      <c r="H4" s="217">
        <v>0.62</v>
      </c>
      <c r="I4" s="217">
        <v>0.96</v>
      </c>
      <c r="J4" s="215" t="s">
        <v>27</v>
      </c>
      <c r="K4" s="215" t="s">
        <v>33</v>
      </c>
      <c r="L4" s="215" t="s">
        <v>27</v>
      </c>
      <c r="M4" s="217">
        <v>297.60000000000002</v>
      </c>
      <c r="N4" s="218">
        <v>240</v>
      </c>
      <c r="O4" s="219">
        <v>3.3300000000000003E-2</v>
      </c>
      <c r="P4" s="220"/>
      <c r="Q4" s="215">
        <v>93.7</v>
      </c>
      <c r="R4" s="215">
        <v>2</v>
      </c>
      <c r="S4" s="215">
        <v>1300</v>
      </c>
      <c r="T4" s="217">
        <v>1.24</v>
      </c>
      <c r="U4" s="215">
        <v>60</v>
      </c>
      <c r="V4" s="219">
        <v>4.6199999999999998E-2</v>
      </c>
      <c r="W4" s="215" t="s">
        <v>28</v>
      </c>
      <c r="X4" s="215" t="s">
        <v>28</v>
      </c>
      <c r="Y4" s="215" t="s">
        <v>28</v>
      </c>
      <c r="Z4" s="215" t="s">
        <v>27</v>
      </c>
      <c r="AA4" s="215" t="s">
        <v>27</v>
      </c>
      <c r="AB4" s="215" t="s">
        <v>38</v>
      </c>
      <c r="AC4" s="215" t="s">
        <v>697</v>
      </c>
    </row>
    <row r="5" spans="1:29" s="12" customFormat="1" ht="25.05" customHeight="1" x14ac:dyDescent="0.3">
      <c r="A5" s="222">
        <v>2</v>
      </c>
      <c r="B5" s="223" t="s">
        <v>93</v>
      </c>
      <c r="C5" s="222" t="s">
        <v>35</v>
      </c>
      <c r="D5" s="222" t="s">
        <v>576</v>
      </c>
      <c r="E5" s="222">
        <v>262866</v>
      </c>
      <c r="F5" s="222">
        <v>83</v>
      </c>
      <c r="G5" s="222">
        <v>1000</v>
      </c>
      <c r="H5" s="224">
        <v>0.63</v>
      </c>
      <c r="I5" s="224">
        <v>1</v>
      </c>
      <c r="J5" s="224"/>
      <c r="K5" s="222" t="s">
        <v>33</v>
      </c>
      <c r="L5" s="224">
        <v>630</v>
      </c>
      <c r="M5" s="225">
        <v>500</v>
      </c>
      <c r="N5" s="226">
        <v>6.9400000000000003E-2</v>
      </c>
      <c r="O5" s="227">
        <v>4.17</v>
      </c>
      <c r="P5" s="227"/>
      <c r="Q5" s="222">
        <v>198.4</v>
      </c>
      <c r="R5" s="222">
        <v>2</v>
      </c>
      <c r="S5" s="222">
        <v>1300</v>
      </c>
      <c r="T5" s="224">
        <v>1.26</v>
      </c>
      <c r="U5" s="222">
        <v>40</v>
      </c>
      <c r="V5" s="226">
        <v>3.0800000000000001E-2</v>
      </c>
      <c r="W5" s="222" t="s">
        <v>28</v>
      </c>
      <c r="X5" s="222" t="s">
        <v>28</v>
      </c>
      <c r="Y5" s="222" t="s">
        <v>28</v>
      </c>
      <c r="Z5" s="222" t="s">
        <v>27</v>
      </c>
      <c r="AA5" s="222" t="s">
        <v>27</v>
      </c>
      <c r="AB5" s="222" t="s">
        <v>38</v>
      </c>
      <c r="AC5" s="222" t="s">
        <v>574</v>
      </c>
    </row>
    <row r="6" spans="1:29" s="90" customFormat="1" ht="25.05" customHeight="1" x14ac:dyDescent="0.3">
      <c r="A6" s="215">
        <v>1</v>
      </c>
      <c r="B6" s="216" t="s">
        <v>704</v>
      </c>
      <c r="C6" s="215" t="s">
        <v>45</v>
      </c>
      <c r="D6" s="215" t="s">
        <v>661</v>
      </c>
      <c r="E6" s="215">
        <v>262932</v>
      </c>
      <c r="F6" s="215" t="s">
        <v>703</v>
      </c>
      <c r="G6" s="215">
        <v>450</v>
      </c>
      <c r="H6" s="217">
        <v>0.56699999999999995</v>
      </c>
      <c r="I6" s="217">
        <v>1.6619999999999999</v>
      </c>
      <c r="J6" s="215" t="s">
        <v>27</v>
      </c>
      <c r="K6" s="215" t="s">
        <v>702</v>
      </c>
      <c r="L6" s="215" t="s">
        <v>27</v>
      </c>
      <c r="M6" s="217">
        <v>424.05900000000003</v>
      </c>
      <c r="N6" s="218">
        <v>373.9</v>
      </c>
      <c r="O6" s="219">
        <v>5.1900000000000002E-2</v>
      </c>
      <c r="P6" s="220"/>
      <c r="Q6" s="215">
        <v>186.6</v>
      </c>
      <c r="R6" s="215">
        <v>2</v>
      </c>
      <c r="S6" s="215">
        <v>1200</v>
      </c>
      <c r="T6" s="217">
        <v>1.1339999999999999</v>
      </c>
      <c r="U6" s="215">
        <v>66</v>
      </c>
      <c r="V6" s="219">
        <v>5.5E-2</v>
      </c>
      <c r="W6" s="215" t="s">
        <v>41</v>
      </c>
      <c r="X6" s="215" t="s">
        <v>41</v>
      </c>
      <c r="Y6" s="215" t="s">
        <v>41</v>
      </c>
      <c r="Z6" s="215" t="s">
        <v>27</v>
      </c>
      <c r="AA6" s="215" t="s">
        <v>27</v>
      </c>
      <c r="AB6" s="215" t="s">
        <v>38</v>
      </c>
      <c r="AC6" s="215" t="s">
        <v>701</v>
      </c>
    </row>
    <row r="7" spans="1:29" s="51" customFormat="1" ht="25.05" customHeight="1" x14ac:dyDescent="0.3">
      <c r="A7" s="222">
        <v>3</v>
      </c>
      <c r="B7" s="228" t="s">
        <v>126</v>
      </c>
      <c r="C7" s="229" t="s">
        <v>35</v>
      </c>
      <c r="D7" s="229"/>
      <c r="E7" s="229">
        <v>262919</v>
      </c>
      <c r="F7" s="229" t="s">
        <v>665</v>
      </c>
      <c r="G7" s="229">
        <v>4500</v>
      </c>
      <c r="H7" s="230">
        <v>0.58099999999999996</v>
      </c>
      <c r="I7" s="230">
        <v>1.9059999999999999</v>
      </c>
      <c r="J7" s="230"/>
      <c r="K7" s="229" t="s">
        <v>666</v>
      </c>
      <c r="L7" s="230"/>
      <c r="M7" s="231"/>
      <c r="N7" s="232"/>
      <c r="O7" s="233"/>
      <c r="P7" s="233"/>
      <c r="Q7" s="229">
        <v>1569.7</v>
      </c>
      <c r="R7" s="229">
        <v>2</v>
      </c>
      <c r="S7" s="229">
        <v>1200</v>
      </c>
      <c r="T7" s="230">
        <v>1.1619999999999999</v>
      </c>
      <c r="U7" s="229">
        <v>38</v>
      </c>
      <c r="V7" s="232">
        <v>3.1699999999999999E-2</v>
      </c>
      <c r="W7" s="229" t="s">
        <v>28</v>
      </c>
      <c r="X7" s="229" t="s">
        <v>28</v>
      </c>
      <c r="Y7" s="229" t="s">
        <v>28</v>
      </c>
      <c r="Z7" s="229" t="s">
        <v>27</v>
      </c>
      <c r="AA7" s="229" t="s">
        <v>27</v>
      </c>
      <c r="AB7" s="229" t="s">
        <v>40</v>
      </c>
      <c r="AC7" s="229" t="s">
        <v>667</v>
      </c>
    </row>
    <row r="8" spans="1:29" s="98" customFormat="1" ht="25.05" customHeight="1" x14ac:dyDescent="0.3">
      <c r="A8" s="222">
        <v>4</v>
      </c>
      <c r="B8" s="216" t="s">
        <v>126</v>
      </c>
      <c r="C8" s="215" t="s">
        <v>49</v>
      </c>
      <c r="D8" s="215" t="s">
        <v>599</v>
      </c>
      <c r="E8" s="215">
        <v>262890</v>
      </c>
      <c r="F8" s="215" t="s">
        <v>625</v>
      </c>
      <c r="G8" s="215">
        <v>1000</v>
      </c>
      <c r="H8" s="217">
        <v>0.55000000000000004</v>
      </c>
      <c r="I8" s="217">
        <v>1.45</v>
      </c>
      <c r="J8" s="217"/>
      <c r="K8" s="215" t="s">
        <v>623</v>
      </c>
      <c r="L8" s="217">
        <v>797.5</v>
      </c>
      <c r="M8" s="218">
        <v>725</v>
      </c>
      <c r="N8" s="219">
        <v>0.1007</v>
      </c>
      <c r="O8" s="220">
        <v>6.04</v>
      </c>
      <c r="P8" s="220"/>
      <c r="Q8" s="215">
        <v>283.10000000000002</v>
      </c>
      <c r="R8" s="215">
        <v>2</v>
      </c>
      <c r="S8" s="215">
        <v>1150</v>
      </c>
      <c r="T8" s="217">
        <v>1.1000000000000001</v>
      </c>
      <c r="U8" s="215">
        <v>50</v>
      </c>
      <c r="V8" s="219">
        <v>4.3499999999999997E-2</v>
      </c>
      <c r="W8" s="215" t="s">
        <v>29</v>
      </c>
      <c r="X8" s="215" t="s">
        <v>28</v>
      </c>
      <c r="Y8" s="215" t="s">
        <v>29</v>
      </c>
      <c r="Z8" s="215" t="s">
        <v>27</v>
      </c>
      <c r="AA8" s="215" t="s">
        <v>27</v>
      </c>
      <c r="AB8" s="215" t="s">
        <v>32</v>
      </c>
      <c r="AC8" s="215" t="s">
        <v>624</v>
      </c>
    </row>
    <row r="9" spans="1:29" s="129" customFormat="1" x14ac:dyDescent="0.3">
      <c r="A9" s="234" t="s">
        <v>27</v>
      </c>
      <c r="B9" s="234" t="s">
        <v>27</v>
      </c>
      <c r="C9" s="234" t="s">
        <v>27</v>
      </c>
      <c r="D9" s="234" t="s">
        <v>27</v>
      </c>
      <c r="E9" s="234" t="s">
        <v>27</v>
      </c>
      <c r="F9" s="234" t="s">
        <v>27</v>
      </c>
      <c r="G9" s="234">
        <f>SUM(G3:G8)</f>
        <v>8850</v>
      </c>
      <c r="H9" s="234" t="s">
        <v>27</v>
      </c>
      <c r="I9" s="234" t="s">
        <v>27</v>
      </c>
      <c r="J9" s="234"/>
      <c r="K9" s="234" t="s">
        <v>27</v>
      </c>
      <c r="L9" s="234" t="s">
        <v>27</v>
      </c>
      <c r="M9" s="234" t="s">
        <v>27</v>
      </c>
      <c r="N9" s="234" t="s">
        <v>27</v>
      </c>
      <c r="O9" s="234" t="s">
        <v>27</v>
      </c>
      <c r="P9" s="234"/>
      <c r="Q9" s="234">
        <f>SUM(Q3:Q8)</f>
        <v>2494.4</v>
      </c>
      <c r="R9" s="234" t="s">
        <v>27</v>
      </c>
      <c r="S9" s="234" t="s">
        <v>27</v>
      </c>
      <c r="T9" s="234" t="s">
        <v>27</v>
      </c>
      <c r="U9" s="234" t="s">
        <v>27</v>
      </c>
      <c r="V9" s="234" t="s">
        <v>27</v>
      </c>
      <c r="W9" s="234" t="s">
        <v>27</v>
      </c>
      <c r="X9" s="234" t="s">
        <v>27</v>
      </c>
      <c r="Y9" s="234" t="s">
        <v>27</v>
      </c>
      <c r="Z9" s="234" t="s">
        <v>27</v>
      </c>
      <c r="AA9" s="234" t="s">
        <v>27</v>
      </c>
      <c r="AB9" s="234" t="s">
        <v>27</v>
      </c>
      <c r="AC9" s="234" t="s">
        <v>27</v>
      </c>
    </row>
  </sheetData>
  <mergeCells count="1">
    <mergeCell ref="A1:AC1"/>
  </mergeCells>
  <pageMargins left="0.511811024" right="0.511811024" top="1.39" bottom="0.78740157499999996" header="0.31496062000000002" footer="0.31496062000000002"/>
  <pageSetup paperSize="9" scale="93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AE36" sqref="AE36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0" t="s">
        <v>573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263" t="s">
        <v>566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260" t="s">
        <v>528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95" zoomScaleNormal="95" workbookViewId="0">
      <selection sqref="A1:AB1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260" t="s">
        <v>508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192">
        <v>1</v>
      </c>
      <c r="B3" s="193" t="s">
        <v>58</v>
      </c>
      <c r="C3" s="192" t="s">
        <v>26</v>
      </c>
      <c r="D3" s="192" t="s">
        <v>465</v>
      </c>
      <c r="E3" s="192" t="s">
        <v>27</v>
      </c>
      <c r="F3" s="192">
        <v>262830</v>
      </c>
      <c r="G3" s="192" t="s">
        <v>503</v>
      </c>
      <c r="H3" s="192">
        <v>1100</v>
      </c>
      <c r="I3" s="194">
        <v>0.51700000000000002</v>
      </c>
      <c r="J3" s="194">
        <v>2.68</v>
      </c>
      <c r="K3" s="192" t="s">
        <v>507</v>
      </c>
      <c r="L3" s="194">
        <v>1524.116</v>
      </c>
      <c r="M3" s="195">
        <v>982.7</v>
      </c>
      <c r="N3" s="196">
        <v>9.0999999999999998E-2</v>
      </c>
      <c r="O3" s="197">
        <v>5.46</v>
      </c>
      <c r="P3" s="192">
        <v>820</v>
      </c>
      <c r="Q3" s="192">
        <v>3</v>
      </c>
      <c r="R3" s="192">
        <v>1600</v>
      </c>
      <c r="S3" s="194">
        <v>1.5509999999999999</v>
      </c>
      <c r="T3" s="192">
        <v>49</v>
      </c>
      <c r="U3" s="196">
        <v>3.0599999999999999E-2</v>
      </c>
      <c r="V3" s="192" t="s">
        <v>28</v>
      </c>
      <c r="W3" s="192" t="s">
        <v>29</v>
      </c>
      <c r="X3" s="192" t="s">
        <v>28</v>
      </c>
      <c r="Y3" s="192" t="s">
        <v>28</v>
      </c>
      <c r="Z3" s="192" t="s">
        <v>28</v>
      </c>
      <c r="AA3" s="192" t="s">
        <v>40</v>
      </c>
      <c r="AB3" s="192" t="s">
        <v>506</v>
      </c>
    </row>
    <row r="4" spans="1:28" s="12" customFormat="1" ht="25.05" customHeight="1" x14ac:dyDescent="0.3">
      <c r="A4" s="192">
        <v>2</v>
      </c>
      <c r="B4" s="193" t="s">
        <v>58</v>
      </c>
      <c r="C4" s="192" t="s">
        <v>26</v>
      </c>
      <c r="D4" s="192" t="s">
        <v>465</v>
      </c>
      <c r="E4" s="192" t="s">
        <v>27</v>
      </c>
      <c r="F4" s="192">
        <v>262832</v>
      </c>
      <c r="G4" s="192" t="s">
        <v>503</v>
      </c>
      <c r="H4" s="192">
        <v>660</v>
      </c>
      <c r="I4" s="194">
        <v>0.91200000000000003</v>
      </c>
      <c r="J4" s="194">
        <v>2.1</v>
      </c>
      <c r="K4" s="192" t="s">
        <v>505</v>
      </c>
      <c r="L4" s="194">
        <v>1264.0319999999999</v>
      </c>
      <c r="M4" s="195">
        <v>1386</v>
      </c>
      <c r="N4" s="196">
        <v>0.38500000000000001</v>
      </c>
      <c r="O4" s="197">
        <v>23.1</v>
      </c>
      <c r="P4" s="192">
        <v>680</v>
      </c>
      <c r="Q4" s="192">
        <v>1</v>
      </c>
      <c r="R4" s="192">
        <v>950</v>
      </c>
      <c r="S4" s="194">
        <v>0.91200000000000003</v>
      </c>
      <c r="T4" s="192">
        <v>38</v>
      </c>
      <c r="U4" s="196">
        <v>0.04</v>
      </c>
      <c r="V4" s="192" t="s">
        <v>28</v>
      </c>
      <c r="W4" s="192" t="s">
        <v>29</v>
      </c>
      <c r="X4" s="192" t="s">
        <v>28</v>
      </c>
      <c r="Y4" s="192" t="s">
        <v>28</v>
      </c>
      <c r="Z4" s="192" t="s">
        <v>28</v>
      </c>
      <c r="AA4" s="192" t="s">
        <v>31</v>
      </c>
      <c r="AB4" s="192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589</v>
      </c>
      <c r="H5" s="91">
        <v>300</v>
      </c>
      <c r="I5" s="93">
        <v>0.86199999999999999</v>
      </c>
      <c r="J5" s="93">
        <v>2.1789999999999998</v>
      </c>
      <c r="K5" s="91" t="s">
        <v>588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587</v>
      </c>
    </row>
    <row r="6" spans="1:28" s="98" customFormat="1" ht="25.05" customHeight="1" x14ac:dyDescent="0.3">
      <c r="A6" s="186">
        <v>2</v>
      </c>
      <c r="B6" s="187" t="s">
        <v>58</v>
      </c>
      <c r="C6" s="186" t="s">
        <v>26</v>
      </c>
      <c r="D6" s="186" t="s">
        <v>576</v>
      </c>
      <c r="E6" s="186" t="s">
        <v>27</v>
      </c>
      <c r="F6" s="186">
        <v>262872</v>
      </c>
      <c r="G6" s="186" t="s">
        <v>589</v>
      </c>
      <c r="H6" s="186">
        <v>600</v>
      </c>
      <c r="I6" s="188">
        <v>0.86799999999999999</v>
      </c>
      <c r="J6" s="188">
        <v>1.32</v>
      </c>
      <c r="K6" s="186" t="s">
        <v>591</v>
      </c>
      <c r="L6" s="188">
        <v>687.45600000000002</v>
      </c>
      <c r="M6" s="189">
        <v>792</v>
      </c>
      <c r="N6" s="190">
        <v>0.22</v>
      </c>
      <c r="O6" s="191">
        <v>13.2</v>
      </c>
      <c r="P6" s="186">
        <v>369.9</v>
      </c>
      <c r="Q6" s="186">
        <v>1</v>
      </c>
      <c r="R6" s="186">
        <v>900</v>
      </c>
      <c r="S6" s="188">
        <v>0.86799999999999999</v>
      </c>
      <c r="T6" s="186">
        <v>32</v>
      </c>
      <c r="U6" s="190">
        <v>3.56E-2</v>
      </c>
      <c r="V6" s="186" t="s">
        <v>28</v>
      </c>
      <c r="W6" s="186" t="s">
        <v>29</v>
      </c>
      <c r="X6" s="186" t="s">
        <v>28</v>
      </c>
      <c r="Y6" s="186" t="s">
        <v>28</v>
      </c>
      <c r="Z6" s="186" t="s">
        <v>28</v>
      </c>
      <c r="AA6" s="186" t="s">
        <v>31</v>
      </c>
      <c r="AB6" s="186" t="s">
        <v>590</v>
      </c>
    </row>
    <row r="7" spans="1:28" s="12" customFormat="1" ht="25.05" customHeight="1" x14ac:dyDescent="0.3">
      <c r="A7" s="192">
        <v>3</v>
      </c>
      <c r="B7" s="193" t="s">
        <v>58</v>
      </c>
      <c r="C7" s="192" t="s">
        <v>59</v>
      </c>
      <c r="D7" s="192" t="s">
        <v>465</v>
      </c>
      <c r="E7" s="192" t="s">
        <v>27</v>
      </c>
      <c r="F7" s="192">
        <v>262831</v>
      </c>
      <c r="G7" s="192" t="s">
        <v>503</v>
      </c>
      <c r="H7" s="192">
        <v>490</v>
      </c>
      <c r="I7" s="194">
        <v>1.0629999999999999</v>
      </c>
      <c r="J7" s="194">
        <v>1.93</v>
      </c>
      <c r="K7" s="192" t="s">
        <v>502</v>
      </c>
      <c r="L7" s="194">
        <v>1005.279</v>
      </c>
      <c r="M7" s="195">
        <v>945.7</v>
      </c>
      <c r="N7" s="196">
        <v>0.26269999999999999</v>
      </c>
      <c r="O7" s="197">
        <v>15.76</v>
      </c>
      <c r="P7" s="192">
        <v>325.7</v>
      </c>
      <c r="Q7" s="192">
        <v>1</v>
      </c>
      <c r="R7" s="192">
        <v>1100</v>
      </c>
      <c r="S7" s="194">
        <v>1.0629999999999999</v>
      </c>
      <c r="T7" s="192">
        <v>37</v>
      </c>
      <c r="U7" s="196">
        <v>3.3599999999999998E-2</v>
      </c>
      <c r="V7" s="192" t="s">
        <v>28</v>
      </c>
      <c r="W7" s="192" t="s">
        <v>28</v>
      </c>
      <c r="X7" s="192" t="s">
        <v>28</v>
      </c>
      <c r="Y7" s="192" t="s">
        <v>27</v>
      </c>
      <c r="Z7" s="192" t="s">
        <v>27</v>
      </c>
      <c r="AA7" s="192" t="s">
        <v>32</v>
      </c>
      <c r="AB7" s="192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589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592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10"/>
  <sheetViews>
    <sheetView workbookViewId="0">
      <selection activeCell="A6" sqref="A6:XFD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9.21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266" t="s">
        <v>489</v>
      </c>
      <c r="B1" s="266" t="s">
        <v>27</v>
      </c>
      <c r="C1" s="266" t="s">
        <v>27</v>
      </c>
      <c r="D1" s="266" t="s">
        <v>27</v>
      </c>
      <c r="E1" s="266" t="s">
        <v>27</v>
      </c>
      <c r="F1" s="266" t="s">
        <v>27</v>
      </c>
      <c r="G1" s="266" t="s">
        <v>27</v>
      </c>
      <c r="H1" s="266" t="s">
        <v>27</v>
      </c>
      <c r="I1" s="266" t="s">
        <v>27</v>
      </c>
      <c r="J1" s="266" t="s">
        <v>27</v>
      </c>
      <c r="K1" s="266" t="s">
        <v>27</v>
      </c>
      <c r="L1" s="266" t="s">
        <v>27</v>
      </c>
      <c r="M1" s="266" t="s">
        <v>27</v>
      </c>
      <c r="N1" s="266" t="s">
        <v>27</v>
      </c>
      <c r="O1" s="266" t="s">
        <v>27</v>
      </c>
      <c r="P1" s="266" t="s">
        <v>27</v>
      </c>
      <c r="Q1" s="266" t="s">
        <v>27</v>
      </c>
      <c r="R1" s="266" t="s">
        <v>27</v>
      </c>
      <c r="S1" s="266" t="s">
        <v>27</v>
      </c>
      <c r="T1" s="266" t="s">
        <v>27</v>
      </c>
      <c r="U1" s="266" t="s">
        <v>27</v>
      </c>
      <c r="V1" s="266" t="s">
        <v>27</v>
      </c>
      <c r="W1" s="266" t="s">
        <v>27</v>
      </c>
      <c r="X1" s="266" t="s">
        <v>27</v>
      </c>
      <c r="Y1" s="266" t="s">
        <v>27</v>
      </c>
      <c r="Z1" s="266" t="s">
        <v>27</v>
      </c>
      <c r="AA1" s="266" t="s">
        <v>27</v>
      </c>
      <c r="AB1" s="266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7" spans="1:28" s="51" customFormat="1" ht="25.05" customHeight="1" x14ac:dyDescent="0.3">
      <c r="A7" s="109">
        <v>4</v>
      </c>
      <c r="B7" s="111" t="s">
        <v>459</v>
      </c>
      <c r="C7" s="112" t="s">
        <v>49</v>
      </c>
      <c r="D7" s="117">
        <v>46297</v>
      </c>
      <c r="E7" s="112"/>
      <c r="F7" s="112">
        <v>262829</v>
      </c>
      <c r="G7" s="112">
        <v>81</v>
      </c>
      <c r="H7" s="112">
        <v>2000</v>
      </c>
      <c r="I7" s="113">
        <v>0.54</v>
      </c>
      <c r="J7" s="113">
        <v>1.61</v>
      </c>
      <c r="K7" s="112" t="s">
        <v>496</v>
      </c>
      <c r="L7" s="113">
        <v>1738.8</v>
      </c>
      <c r="M7" s="114">
        <v>1610</v>
      </c>
      <c r="N7" s="115">
        <v>0.22359999999999999</v>
      </c>
      <c r="O7" s="116">
        <v>13.42</v>
      </c>
      <c r="P7" s="112">
        <v>617.29999999999995</v>
      </c>
      <c r="Q7" s="112">
        <v>2</v>
      </c>
      <c r="R7" s="112">
        <v>1100</v>
      </c>
      <c r="S7" s="113">
        <v>1.08</v>
      </c>
      <c r="T7" s="112">
        <v>20</v>
      </c>
      <c r="U7" s="115">
        <v>1.8200000000000001E-2</v>
      </c>
      <c r="V7" s="112" t="s">
        <v>29</v>
      </c>
      <c r="W7" s="112" t="s">
        <v>28</v>
      </c>
      <c r="X7" s="112" t="s">
        <v>29</v>
      </c>
      <c r="Y7" s="112"/>
      <c r="Z7" s="112"/>
      <c r="AA7" s="112">
        <v>3</v>
      </c>
      <c r="AB7" s="112" t="s">
        <v>497</v>
      </c>
    </row>
    <row r="8" spans="1:28" s="51" customFormat="1" ht="25.05" customHeight="1" x14ac:dyDescent="0.3">
      <c r="A8" s="109">
        <v>5</v>
      </c>
      <c r="B8" s="111" t="s">
        <v>126</v>
      </c>
      <c r="C8" s="112" t="s">
        <v>35</v>
      </c>
      <c r="D8" s="112" t="s">
        <v>482</v>
      </c>
      <c r="E8" s="112" t="s">
        <v>27</v>
      </c>
      <c r="F8" s="112">
        <v>262825</v>
      </c>
      <c r="G8" s="112" t="s">
        <v>481</v>
      </c>
      <c r="H8" s="112">
        <v>1175</v>
      </c>
      <c r="I8" s="113">
        <v>0.49199999999999999</v>
      </c>
      <c r="J8" s="113">
        <v>0.87</v>
      </c>
      <c r="K8" s="112" t="s">
        <v>480</v>
      </c>
      <c r="L8" s="113">
        <v>502.947</v>
      </c>
      <c r="M8" s="114">
        <v>511.1</v>
      </c>
      <c r="N8" s="115">
        <v>7.0999999999999994E-2</v>
      </c>
      <c r="O8" s="116">
        <v>4.26</v>
      </c>
      <c r="P8" s="112">
        <v>158.4</v>
      </c>
      <c r="Q8" s="112">
        <v>2</v>
      </c>
      <c r="R8" s="112">
        <v>1050</v>
      </c>
      <c r="S8" s="113">
        <v>0.98399999999999999</v>
      </c>
      <c r="T8" s="112">
        <v>66</v>
      </c>
      <c r="U8" s="115">
        <v>6.2899999999999998E-2</v>
      </c>
      <c r="V8" s="112" t="s">
        <v>28</v>
      </c>
      <c r="W8" s="112" t="s">
        <v>28</v>
      </c>
      <c r="X8" s="112" t="s">
        <v>28</v>
      </c>
      <c r="Y8" s="112" t="s">
        <v>27</v>
      </c>
      <c r="Z8" s="112" t="s">
        <v>27</v>
      </c>
      <c r="AA8" s="112" t="s">
        <v>38</v>
      </c>
      <c r="AB8" s="112" t="s">
        <v>479</v>
      </c>
    </row>
    <row r="9" spans="1:28" s="51" customFormat="1" ht="25.05" customHeight="1" x14ac:dyDescent="0.3">
      <c r="A9" s="118" t="s">
        <v>27</v>
      </c>
      <c r="B9" s="118" t="s">
        <v>27</v>
      </c>
      <c r="C9" s="118" t="s">
        <v>27</v>
      </c>
      <c r="D9" s="118" t="s">
        <v>27</v>
      </c>
      <c r="E9" s="118" t="s">
        <v>27</v>
      </c>
      <c r="F9" s="118" t="s">
        <v>27</v>
      </c>
      <c r="G9" s="118" t="s">
        <v>27</v>
      </c>
      <c r="H9" s="118">
        <f>SUM(H3:H8)</f>
        <v>5825</v>
      </c>
      <c r="I9" s="118" t="s">
        <v>27</v>
      </c>
      <c r="J9" s="118" t="s">
        <v>27</v>
      </c>
      <c r="K9" s="118" t="s">
        <v>27</v>
      </c>
      <c r="L9" s="118" t="s">
        <v>27</v>
      </c>
      <c r="M9" s="118" t="s">
        <v>27</v>
      </c>
      <c r="N9" s="118" t="s">
        <v>27</v>
      </c>
      <c r="O9" s="118" t="s">
        <v>27</v>
      </c>
      <c r="P9" s="118">
        <f>SUM(P3:P8)</f>
        <v>1306.9000000000001</v>
      </c>
      <c r="Q9" s="118" t="s">
        <v>27</v>
      </c>
      <c r="R9" s="118" t="s">
        <v>27</v>
      </c>
      <c r="S9" s="118" t="s">
        <v>27</v>
      </c>
      <c r="T9" s="118" t="s">
        <v>27</v>
      </c>
      <c r="U9" s="118" t="s">
        <v>27</v>
      </c>
      <c r="V9" s="118" t="s">
        <v>27</v>
      </c>
      <c r="W9" s="118" t="s">
        <v>27</v>
      </c>
      <c r="X9" s="118" t="s">
        <v>27</v>
      </c>
      <c r="Y9" s="118" t="s">
        <v>27</v>
      </c>
      <c r="Z9" s="118" t="s">
        <v>27</v>
      </c>
      <c r="AA9" s="118" t="s">
        <v>27</v>
      </c>
      <c r="AB9" s="118" t="s">
        <v>27</v>
      </c>
    </row>
    <row r="10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260" t="s">
        <v>478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267" t="s">
        <v>477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263" t="s">
        <v>458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4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263" t="s">
        <v>395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P15" sqref="P15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263" t="s">
        <v>593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267" t="s">
        <v>364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AG24" sqref="AG2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3" t="s">
        <v>321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70" customFormat="1" ht="25.05" customHeight="1" x14ac:dyDescent="0.3">
      <c r="A3" s="162">
        <v>1</v>
      </c>
      <c r="B3" s="163" t="s">
        <v>306</v>
      </c>
      <c r="C3" s="162" t="s">
        <v>26</v>
      </c>
      <c r="D3" s="162" t="s">
        <v>305</v>
      </c>
      <c r="E3" s="162" t="s">
        <v>27</v>
      </c>
      <c r="F3" s="162">
        <v>262688</v>
      </c>
      <c r="G3" s="162" t="s">
        <v>40</v>
      </c>
      <c r="H3" s="162">
        <v>400</v>
      </c>
      <c r="I3" s="164">
        <v>0.78100000000000003</v>
      </c>
      <c r="J3" s="164">
        <v>1.83</v>
      </c>
      <c r="K3" s="162" t="s">
        <v>320</v>
      </c>
      <c r="L3" s="164">
        <v>571.69200000000001</v>
      </c>
      <c r="M3" s="165">
        <v>366</v>
      </c>
      <c r="N3" s="166">
        <v>5.0799999999999998E-2</v>
      </c>
      <c r="O3" s="167">
        <v>3.05</v>
      </c>
      <c r="P3" s="162">
        <v>307.60000000000002</v>
      </c>
      <c r="Q3" s="162">
        <v>2</v>
      </c>
      <c r="R3" s="162">
        <v>1600</v>
      </c>
      <c r="S3" s="164">
        <v>1.5620000000000001</v>
      </c>
      <c r="T3" s="162">
        <v>38</v>
      </c>
      <c r="U3" s="166">
        <v>2.3800000000000002E-2</v>
      </c>
      <c r="V3" s="162" t="s">
        <v>28</v>
      </c>
      <c r="W3" s="162" t="s">
        <v>29</v>
      </c>
      <c r="X3" s="162" t="s">
        <v>28</v>
      </c>
      <c r="Y3" s="162" t="s">
        <v>28</v>
      </c>
      <c r="Z3" s="162" t="s">
        <v>28</v>
      </c>
      <c r="AA3" s="162" t="s">
        <v>30</v>
      </c>
      <c r="AB3" s="162" t="s">
        <v>319</v>
      </c>
    </row>
    <row r="4" spans="1:28" s="170" customFormat="1" ht="25.05" customHeight="1" x14ac:dyDescent="0.3">
      <c r="A4" s="162">
        <v>2</v>
      </c>
      <c r="B4" s="163" t="s">
        <v>306</v>
      </c>
      <c r="C4" s="162" t="s">
        <v>26</v>
      </c>
      <c r="D4" s="162" t="s">
        <v>305</v>
      </c>
      <c r="E4" s="162" t="s">
        <v>27</v>
      </c>
      <c r="F4" s="162">
        <v>262698</v>
      </c>
      <c r="G4" s="162" t="s">
        <v>40</v>
      </c>
      <c r="H4" s="162">
        <v>510</v>
      </c>
      <c r="I4" s="164">
        <v>0.76600000000000001</v>
      </c>
      <c r="J4" s="164">
        <v>1.43</v>
      </c>
      <c r="K4" s="162" t="s">
        <v>33</v>
      </c>
      <c r="L4" s="164">
        <v>558.64400000000001</v>
      </c>
      <c r="M4" s="165">
        <v>364.6</v>
      </c>
      <c r="N4" s="166">
        <v>5.0599999999999999E-2</v>
      </c>
      <c r="O4" s="167">
        <v>3.04</v>
      </c>
      <c r="P4" s="162">
        <v>300.60000000000002</v>
      </c>
      <c r="Q4" s="162">
        <v>2</v>
      </c>
      <c r="R4" s="162">
        <v>1600</v>
      </c>
      <c r="S4" s="164">
        <v>1.532</v>
      </c>
      <c r="T4" s="162">
        <v>68</v>
      </c>
      <c r="U4" s="166">
        <v>4.2500000000000003E-2</v>
      </c>
      <c r="V4" s="162" t="s">
        <v>28</v>
      </c>
      <c r="W4" s="162" t="s">
        <v>29</v>
      </c>
      <c r="X4" s="162" t="s">
        <v>28</v>
      </c>
      <c r="Y4" s="162" t="s">
        <v>28</v>
      </c>
      <c r="Z4" s="162" t="s">
        <v>28</v>
      </c>
      <c r="AA4" s="162" t="s">
        <v>30</v>
      </c>
      <c r="AB4" s="162" t="s">
        <v>69</v>
      </c>
    </row>
    <row r="5" spans="1:28" s="170" customFormat="1" ht="25.05" customHeight="1" x14ac:dyDescent="0.3">
      <c r="A5" s="162">
        <v>3</v>
      </c>
      <c r="B5" s="163" t="s">
        <v>306</v>
      </c>
      <c r="C5" s="162" t="s">
        <v>26</v>
      </c>
      <c r="D5" s="162" t="s">
        <v>305</v>
      </c>
      <c r="E5" s="162" t="s">
        <v>27</v>
      </c>
      <c r="F5" s="162">
        <v>262696</v>
      </c>
      <c r="G5" s="162" t="s">
        <v>40</v>
      </c>
      <c r="H5" s="162">
        <v>350</v>
      </c>
      <c r="I5" s="164">
        <v>1.3320000000000001</v>
      </c>
      <c r="J5" s="164">
        <v>1.23</v>
      </c>
      <c r="K5" s="162" t="s">
        <v>33</v>
      </c>
      <c r="L5" s="164">
        <v>573.42600000000004</v>
      </c>
      <c r="M5" s="165">
        <v>430.5</v>
      </c>
      <c r="N5" s="166">
        <v>0.1196</v>
      </c>
      <c r="O5" s="167">
        <v>7.17</v>
      </c>
      <c r="P5" s="162">
        <v>308.5</v>
      </c>
      <c r="Q5" s="162">
        <v>1</v>
      </c>
      <c r="R5" s="162">
        <v>1400</v>
      </c>
      <c r="S5" s="164">
        <v>1.3320000000000001</v>
      </c>
      <c r="T5" s="162">
        <v>68</v>
      </c>
      <c r="U5" s="166">
        <v>4.8599999999999997E-2</v>
      </c>
      <c r="V5" s="162" t="s">
        <v>28</v>
      </c>
      <c r="W5" s="162" t="s">
        <v>29</v>
      </c>
      <c r="X5" s="162" t="s">
        <v>28</v>
      </c>
      <c r="Y5" s="162" t="s">
        <v>28</v>
      </c>
      <c r="Z5" s="162" t="s">
        <v>28</v>
      </c>
      <c r="AA5" s="162" t="s">
        <v>32</v>
      </c>
      <c r="AB5" s="162" t="s">
        <v>318</v>
      </c>
    </row>
    <row r="6" spans="1:28" s="170" customFormat="1" ht="25.05" customHeight="1" x14ac:dyDescent="0.3">
      <c r="A6" s="162">
        <v>4</v>
      </c>
      <c r="B6" s="163" t="s">
        <v>306</v>
      </c>
      <c r="C6" s="162" t="s">
        <v>26</v>
      </c>
      <c r="D6" s="162" t="s">
        <v>305</v>
      </c>
      <c r="E6" s="162" t="s">
        <v>27</v>
      </c>
      <c r="F6" s="162">
        <v>262690</v>
      </c>
      <c r="G6" s="162" t="s">
        <v>40</v>
      </c>
      <c r="H6" s="162">
        <v>800</v>
      </c>
      <c r="I6" s="164">
        <v>0.56399999999999995</v>
      </c>
      <c r="J6" s="164">
        <v>1.3660000000000001</v>
      </c>
      <c r="K6" s="162" t="s">
        <v>33</v>
      </c>
      <c r="L6" s="164">
        <v>616.33900000000006</v>
      </c>
      <c r="M6" s="165">
        <v>546.4</v>
      </c>
      <c r="N6" s="166">
        <v>7.5899999999999995E-2</v>
      </c>
      <c r="O6" s="167">
        <v>4.55</v>
      </c>
      <c r="P6" s="162">
        <v>331.6</v>
      </c>
      <c r="Q6" s="162">
        <v>2</v>
      </c>
      <c r="R6" s="162">
        <v>1150</v>
      </c>
      <c r="S6" s="164">
        <v>1.1279999999999999</v>
      </c>
      <c r="T6" s="162">
        <v>22</v>
      </c>
      <c r="U6" s="166">
        <v>1.9099999999999999E-2</v>
      </c>
      <c r="V6" s="162" t="s">
        <v>28</v>
      </c>
      <c r="W6" s="162" t="s">
        <v>29</v>
      </c>
      <c r="X6" s="162" t="s">
        <v>28</v>
      </c>
      <c r="Y6" s="162" t="s">
        <v>28</v>
      </c>
      <c r="Z6" s="162" t="s">
        <v>28</v>
      </c>
      <c r="AA6" s="162" t="s">
        <v>30</v>
      </c>
      <c r="AB6" s="162" t="s">
        <v>317</v>
      </c>
    </row>
    <row r="7" spans="1:28" s="170" customFormat="1" ht="25.05" customHeight="1" x14ac:dyDescent="0.3">
      <c r="A7" s="162">
        <v>5</v>
      </c>
      <c r="B7" s="163" t="s">
        <v>306</v>
      </c>
      <c r="C7" s="162" t="s">
        <v>26</v>
      </c>
      <c r="D7" s="162" t="s">
        <v>305</v>
      </c>
      <c r="E7" s="162" t="s">
        <v>27</v>
      </c>
      <c r="F7" s="162">
        <v>262692</v>
      </c>
      <c r="G7" s="162" t="s">
        <v>40</v>
      </c>
      <c r="H7" s="162">
        <v>415</v>
      </c>
      <c r="I7" s="164">
        <v>1.016</v>
      </c>
      <c r="J7" s="164">
        <v>1.33</v>
      </c>
      <c r="K7" s="162" t="s">
        <v>33</v>
      </c>
      <c r="L7" s="164">
        <v>560.78099999999995</v>
      </c>
      <c r="M7" s="165">
        <v>552</v>
      </c>
      <c r="N7" s="166">
        <v>0.15329999999999999</v>
      </c>
      <c r="O7" s="167">
        <v>9.1999999999999993</v>
      </c>
      <c r="P7" s="162">
        <v>301.7</v>
      </c>
      <c r="Q7" s="162">
        <v>1</v>
      </c>
      <c r="R7" s="162">
        <v>1050</v>
      </c>
      <c r="S7" s="164">
        <v>1.016</v>
      </c>
      <c r="T7" s="162">
        <v>34</v>
      </c>
      <c r="U7" s="166">
        <v>3.2399999999999998E-2</v>
      </c>
      <c r="V7" s="162" t="s">
        <v>28</v>
      </c>
      <c r="W7" s="162" t="s">
        <v>29</v>
      </c>
      <c r="X7" s="162" t="s">
        <v>28</v>
      </c>
      <c r="Y7" s="162" t="s">
        <v>28</v>
      </c>
      <c r="Z7" s="162" t="s">
        <v>28</v>
      </c>
      <c r="AA7" s="162" t="s">
        <v>30</v>
      </c>
      <c r="AB7" s="162" t="s">
        <v>316</v>
      </c>
    </row>
    <row r="8" spans="1:28" s="170" customFormat="1" ht="25.05" customHeight="1" x14ac:dyDescent="0.3">
      <c r="A8" s="162">
        <v>6</v>
      </c>
      <c r="B8" s="163" t="s">
        <v>306</v>
      </c>
      <c r="C8" s="162" t="s">
        <v>26</v>
      </c>
      <c r="D8" s="162" t="s">
        <v>305</v>
      </c>
      <c r="E8" s="162" t="s">
        <v>27</v>
      </c>
      <c r="F8" s="162">
        <v>262693</v>
      </c>
      <c r="G8" s="162" t="s">
        <v>40</v>
      </c>
      <c r="H8" s="162">
        <v>380</v>
      </c>
      <c r="I8" s="164">
        <v>0.996</v>
      </c>
      <c r="J8" s="164">
        <v>1.49</v>
      </c>
      <c r="K8" s="162" t="s">
        <v>33</v>
      </c>
      <c r="L8" s="164">
        <v>563.93499999999995</v>
      </c>
      <c r="M8" s="165">
        <v>566.20000000000005</v>
      </c>
      <c r="N8" s="166">
        <v>0.1573</v>
      </c>
      <c r="O8" s="167">
        <v>9.44</v>
      </c>
      <c r="P8" s="162">
        <v>303.39999999999998</v>
      </c>
      <c r="Q8" s="162">
        <v>1</v>
      </c>
      <c r="R8" s="162">
        <v>1050</v>
      </c>
      <c r="S8" s="164">
        <v>0.996</v>
      </c>
      <c r="T8" s="162">
        <v>54</v>
      </c>
      <c r="U8" s="166">
        <v>5.1400000000000001E-2</v>
      </c>
      <c r="V8" s="162" t="s">
        <v>28</v>
      </c>
      <c r="W8" s="162" t="s">
        <v>29</v>
      </c>
      <c r="X8" s="162" t="s">
        <v>28</v>
      </c>
      <c r="Y8" s="162" t="s">
        <v>28</v>
      </c>
      <c r="Z8" s="162" t="s">
        <v>28</v>
      </c>
      <c r="AA8" s="162" t="s">
        <v>32</v>
      </c>
      <c r="AB8" s="162" t="s">
        <v>315</v>
      </c>
    </row>
    <row r="9" spans="1:28" s="170" customFormat="1" ht="25.05" customHeight="1" x14ac:dyDescent="0.3">
      <c r="A9" s="162">
        <v>7</v>
      </c>
      <c r="B9" s="163" t="s">
        <v>306</v>
      </c>
      <c r="C9" s="162" t="s">
        <v>26</v>
      </c>
      <c r="D9" s="162" t="s">
        <v>305</v>
      </c>
      <c r="E9" s="162" t="s">
        <v>27</v>
      </c>
      <c r="F9" s="162">
        <v>262691</v>
      </c>
      <c r="G9" s="162" t="s">
        <v>40</v>
      </c>
      <c r="H9" s="162">
        <v>1000</v>
      </c>
      <c r="I9" s="164">
        <v>0.95599999999999996</v>
      </c>
      <c r="J9" s="164">
        <v>1.23</v>
      </c>
      <c r="K9" s="162" t="s">
        <v>33</v>
      </c>
      <c r="L9" s="164">
        <v>1175.8800000000001</v>
      </c>
      <c r="M9" s="165">
        <v>1230</v>
      </c>
      <c r="N9" s="166">
        <v>0.3417</v>
      </c>
      <c r="O9" s="167">
        <v>20.5</v>
      </c>
      <c r="P9" s="162">
        <v>632.6</v>
      </c>
      <c r="Q9" s="162">
        <v>1</v>
      </c>
      <c r="R9" s="162">
        <v>1000</v>
      </c>
      <c r="S9" s="164">
        <v>0.95599999999999996</v>
      </c>
      <c r="T9" s="162">
        <v>44</v>
      </c>
      <c r="U9" s="166">
        <v>4.3999999999999997E-2</v>
      </c>
      <c r="V9" s="162" t="s">
        <v>28</v>
      </c>
      <c r="W9" s="162" t="s">
        <v>29</v>
      </c>
      <c r="X9" s="162" t="s">
        <v>28</v>
      </c>
      <c r="Y9" s="162" t="s">
        <v>28</v>
      </c>
      <c r="Z9" s="162" t="s">
        <v>28</v>
      </c>
      <c r="AA9" s="162" t="s">
        <v>40</v>
      </c>
      <c r="AB9" s="162" t="s">
        <v>118</v>
      </c>
    </row>
    <row r="10" spans="1:28" s="170" customFormat="1" ht="25.05" customHeight="1" x14ac:dyDescent="0.3">
      <c r="A10" s="162">
        <v>8</v>
      </c>
      <c r="B10" s="163" t="s">
        <v>306</v>
      </c>
      <c r="C10" s="162" t="s">
        <v>26</v>
      </c>
      <c r="D10" s="162" t="s">
        <v>305</v>
      </c>
      <c r="E10" s="162" t="s">
        <v>27</v>
      </c>
      <c r="F10" s="162">
        <v>262694</v>
      </c>
      <c r="G10" s="162" t="s">
        <v>40</v>
      </c>
      <c r="H10" s="162">
        <v>500</v>
      </c>
      <c r="I10" s="164">
        <v>0.97099999999999997</v>
      </c>
      <c r="J10" s="164">
        <v>1.26</v>
      </c>
      <c r="K10" s="162" t="s">
        <v>33</v>
      </c>
      <c r="L10" s="164">
        <v>611.73</v>
      </c>
      <c r="M10" s="165">
        <v>630</v>
      </c>
      <c r="N10" s="166">
        <v>0.17499999999999999</v>
      </c>
      <c r="O10" s="167">
        <v>10.5</v>
      </c>
      <c r="P10" s="162">
        <v>329.1</v>
      </c>
      <c r="Q10" s="162">
        <v>1</v>
      </c>
      <c r="R10" s="162">
        <v>1000</v>
      </c>
      <c r="S10" s="164">
        <v>0.97099999999999997</v>
      </c>
      <c r="T10" s="162">
        <v>29</v>
      </c>
      <c r="U10" s="166">
        <v>2.9000000000000001E-2</v>
      </c>
      <c r="V10" s="162" t="s">
        <v>28</v>
      </c>
      <c r="W10" s="162" t="s">
        <v>29</v>
      </c>
      <c r="X10" s="162" t="s">
        <v>28</v>
      </c>
      <c r="Y10" s="162" t="s">
        <v>28</v>
      </c>
      <c r="Z10" s="162" t="s">
        <v>28</v>
      </c>
      <c r="AA10" s="162" t="s">
        <v>30</v>
      </c>
      <c r="AB10" s="162" t="s">
        <v>117</v>
      </c>
    </row>
    <row r="11" spans="1:28" s="170" customFormat="1" ht="25.05" customHeight="1" x14ac:dyDescent="0.3">
      <c r="A11" s="162">
        <v>9</v>
      </c>
      <c r="B11" s="163" t="s">
        <v>306</v>
      </c>
      <c r="C11" s="162" t="s">
        <v>44</v>
      </c>
      <c r="D11" s="162" t="s">
        <v>305</v>
      </c>
      <c r="E11" s="162" t="s">
        <v>27</v>
      </c>
      <c r="F11" s="162">
        <v>262699</v>
      </c>
      <c r="G11" s="162" t="s">
        <v>40</v>
      </c>
      <c r="H11" s="162">
        <v>380</v>
      </c>
      <c r="I11" s="164">
        <v>0.94599999999999995</v>
      </c>
      <c r="J11" s="164">
        <v>1.48</v>
      </c>
      <c r="K11" s="162" t="s">
        <v>33</v>
      </c>
      <c r="L11" s="164">
        <v>532.03</v>
      </c>
      <c r="M11" s="165">
        <v>562.4</v>
      </c>
      <c r="N11" s="166">
        <v>0.15620000000000001</v>
      </c>
      <c r="O11" s="167">
        <v>9.3699999999999992</v>
      </c>
      <c r="P11" s="162">
        <v>302.2</v>
      </c>
      <c r="Q11" s="162">
        <v>1</v>
      </c>
      <c r="R11" s="162">
        <v>1000</v>
      </c>
      <c r="S11" s="164">
        <v>0.94599999999999995</v>
      </c>
      <c r="T11" s="162">
        <v>54</v>
      </c>
      <c r="U11" s="166">
        <v>5.3999999999999999E-2</v>
      </c>
      <c r="V11" s="162" t="s">
        <v>34</v>
      </c>
      <c r="W11" s="162" t="s">
        <v>39</v>
      </c>
      <c r="X11" s="162" t="s">
        <v>34</v>
      </c>
      <c r="Y11" s="162" t="s">
        <v>34</v>
      </c>
      <c r="Z11" s="162" t="s">
        <v>34</v>
      </c>
      <c r="AA11" s="162" t="s">
        <v>32</v>
      </c>
      <c r="AB11" s="162" t="s">
        <v>314</v>
      </c>
    </row>
    <row r="12" spans="1:28" s="170" customFormat="1" ht="25.05" customHeight="1" x14ac:dyDescent="0.3">
      <c r="A12" s="162">
        <v>10</v>
      </c>
      <c r="B12" s="163" t="s">
        <v>306</v>
      </c>
      <c r="C12" s="162" t="s">
        <v>35</v>
      </c>
      <c r="D12" s="162" t="s">
        <v>305</v>
      </c>
      <c r="E12" s="162" t="s">
        <v>27</v>
      </c>
      <c r="F12" s="162">
        <v>262685</v>
      </c>
      <c r="G12" s="162" t="s">
        <v>40</v>
      </c>
      <c r="H12" s="162">
        <v>350</v>
      </c>
      <c r="I12" s="164">
        <v>1.49</v>
      </c>
      <c r="J12" s="164">
        <v>1.89</v>
      </c>
      <c r="K12" s="162" t="s">
        <v>33</v>
      </c>
      <c r="L12" s="164">
        <v>985.63499999999999</v>
      </c>
      <c r="M12" s="165">
        <v>661.5</v>
      </c>
      <c r="N12" s="166">
        <v>0.1837</v>
      </c>
      <c r="O12" s="167">
        <v>11.03</v>
      </c>
      <c r="P12" s="162">
        <v>310.5</v>
      </c>
      <c r="Q12" s="162">
        <v>1</v>
      </c>
      <c r="R12" s="162">
        <v>1550</v>
      </c>
      <c r="S12" s="164">
        <v>1.49</v>
      </c>
      <c r="T12" s="162">
        <v>60</v>
      </c>
      <c r="U12" s="166">
        <v>3.8699999999999998E-2</v>
      </c>
      <c r="V12" s="162" t="s">
        <v>28</v>
      </c>
      <c r="W12" s="162" t="s">
        <v>28</v>
      </c>
      <c r="X12" s="162" t="s">
        <v>28</v>
      </c>
      <c r="Y12" s="162" t="s">
        <v>27</v>
      </c>
      <c r="Z12" s="162" t="s">
        <v>27</v>
      </c>
      <c r="AA12" s="162" t="s">
        <v>38</v>
      </c>
      <c r="AB12" s="162" t="s">
        <v>313</v>
      </c>
    </row>
    <row r="13" spans="1:28" s="170" customFormat="1" ht="25.05" customHeight="1" x14ac:dyDescent="0.3">
      <c r="A13" s="162">
        <v>11</v>
      </c>
      <c r="B13" s="163" t="s">
        <v>306</v>
      </c>
      <c r="C13" s="162" t="s">
        <v>81</v>
      </c>
      <c r="D13" s="162" t="s">
        <v>305</v>
      </c>
      <c r="E13" s="162" t="s">
        <v>27</v>
      </c>
      <c r="F13" s="162">
        <v>262695</v>
      </c>
      <c r="G13" s="162" t="s">
        <v>40</v>
      </c>
      <c r="H13" s="162">
        <v>375</v>
      </c>
      <c r="I13" s="164">
        <v>1.44</v>
      </c>
      <c r="J13" s="164">
        <v>1.538</v>
      </c>
      <c r="K13" s="162" t="s">
        <v>33</v>
      </c>
      <c r="L13" s="164">
        <v>830.52</v>
      </c>
      <c r="M13" s="165">
        <v>576.79999999999995</v>
      </c>
      <c r="N13" s="166">
        <v>0.16020000000000001</v>
      </c>
      <c r="O13" s="167">
        <v>9.61</v>
      </c>
      <c r="P13" s="162">
        <v>303.10000000000002</v>
      </c>
      <c r="Q13" s="162">
        <v>1</v>
      </c>
      <c r="R13" s="162">
        <v>1500</v>
      </c>
      <c r="S13" s="164">
        <v>1.44</v>
      </c>
      <c r="T13" s="162">
        <v>60</v>
      </c>
      <c r="U13" s="166">
        <v>0.04</v>
      </c>
      <c r="V13" s="162" t="s">
        <v>41</v>
      </c>
      <c r="W13" s="162" t="s">
        <v>29</v>
      </c>
      <c r="X13" s="162" t="s">
        <v>28</v>
      </c>
      <c r="Y13" s="162" t="s">
        <v>27</v>
      </c>
      <c r="Z13" s="162" t="s">
        <v>27</v>
      </c>
      <c r="AA13" s="162" t="s">
        <v>38</v>
      </c>
      <c r="AB13" s="162" t="s">
        <v>116</v>
      </c>
    </row>
    <row r="14" spans="1:28" s="170" customFormat="1" ht="25.05" customHeight="1" x14ac:dyDescent="0.3">
      <c r="A14" s="162">
        <v>12</v>
      </c>
      <c r="B14" s="163" t="s">
        <v>306</v>
      </c>
      <c r="C14" s="162" t="s">
        <v>35</v>
      </c>
      <c r="D14" s="162" t="s">
        <v>305</v>
      </c>
      <c r="E14" s="162" t="s">
        <v>27</v>
      </c>
      <c r="F14" s="162">
        <v>262697</v>
      </c>
      <c r="G14" s="162" t="s">
        <v>40</v>
      </c>
      <c r="H14" s="162">
        <v>1170</v>
      </c>
      <c r="I14" s="164">
        <v>0.68600000000000005</v>
      </c>
      <c r="J14" s="164">
        <v>1.23</v>
      </c>
      <c r="K14" s="162" t="s">
        <v>33</v>
      </c>
      <c r="L14" s="164">
        <v>987.22299999999996</v>
      </c>
      <c r="M14" s="165">
        <v>719.5</v>
      </c>
      <c r="N14" s="166">
        <v>9.9900000000000003E-2</v>
      </c>
      <c r="O14" s="167">
        <v>6</v>
      </c>
      <c r="P14" s="162">
        <v>311</v>
      </c>
      <c r="Q14" s="162">
        <v>2</v>
      </c>
      <c r="R14" s="162">
        <v>1400</v>
      </c>
      <c r="S14" s="164">
        <v>1.3720000000000001</v>
      </c>
      <c r="T14" s="162">
        <v>28</v>
      </c>
      <c r="U14" s="166">
        <v>0.02</v>
      </c>
      <c r="V14" s="162" t="s">
        <v>28</v>
      </c>
      <c r="W14" s="162" t="s">
        <v>28</v>
      </c>
      <c r="X14" s="162" t="s">
        <v>28</v>
      </c>
      <c r="Y14" s="162" t="s">
        <v>27</v>
      </c>
      <c r="Z14" s="162" t="s">
        <v>27</v>
      </c>
      <c r="AA14" s="162" t="s">
        <v>30</v>
      </c>
      <c r="AB14" s="162" t="s">
        <v>312</v>
      </c>
    </row>
    <row r="15" spans="1:28" s="170" customFormat="1" ht="25.05" customHeight="1" x14ac:dyDescent="0.3">
      <c r="A15" s="162">
        <v>13</v>
      </c>
      <c r="B15" s="163" t="s">
        <v>306</v>
      </c>
      <c r="C15" s="162" t="s">
        <v>35</v>
      </c>
      <c r="D15" s="162" t="s">
        <v>305</v>
      </c>
      <c r="E15" s="162" t="s">
        <v>27</v>
      </c>
      <c r="F15" s="162">
        <v>262684</v>
      </c>
      <c r="G15" s="162" t="s">
        <v>40</v>
      </c>
      <c r="H15" s="162">
        <v>550</v>
      </c>
      <c r="I15" s="164">
        <v>1.3080000000000001</v>
      </c>
      <c r="J15" s="164">
        <v>1.335</v>
      </c>
      <c r="K15" s="162" t="s">
        <v>33</v>
      </c>
      <c r="L15" s="164">
        <v>960.399</v>
      </c>
      <c r="M15" s="165">
        <v>734.3</v>
      </c>
      <c r="N15" s="166">
        <v>0.20399999999999999</v>
      </c>
      <c r="O15" s="167">
        <v>12.24</v>
      </c>
      <c r="P15" s="162">
        <v>302.5</v>
      </c>
      <c r="Q15" s="162">
        <v>1</v>
      </c>
      <c r="R15" s="162">
        <v>1350</v>
      </c>
      <c r="S15" s="164">
        <v>1.3080000000000001</v>
      </c>
      <c r="T15" s="162">
        <v>42</v>
      </c>
      <c r="U15" s="166">
        <v>3.1099999999999999E-2</v>
      </c>
      <c r="V15" s="162" t="s">
        <v>28</v>
      </c>
      <c r="W15" s="162" t="s">
        <v>28</v>
      </c>
      <c r="X15" s="162" t="s">
        <v>28</v>
      </c>
      <c r="Y15" s="162" t="s">
        <v>27</v>
      </c>
      <c r="Z15" s="162" t="s">
        <v>27</v>
      </c>
      <c r="AA15" s="162" t="s">
        <v>32</v>
      </c>
      <c r="AB15" s="162" t="s">
        <v>311</v>
      </c>
    </row>
    <row r="16" spans="1:28" s="170" customFormat="1" ht="25.05" customHeight="1" x14ac:dyDescent="0.3">
      <c r="A16" s="162">
        <v>14</v>
      </c>
      <c r="B16" s="163" t="s">
        <v>306</v>
      </c>
      <c r="C16" s="162" t="s">
        <v>35</v>
      </c>
      <c r="D16" s="162" t="s">
        <v>305</v>
      </c>
      <c r="E16" s="162" t="s">
        <v>27</v>
      </c>
      <c r="F16" s="162">
        <v>262687</v>
      </c>
      <c r="G16" s="162" t="s">
        <v>40</v>
      </c>
      <c r="H16" s="162">
        <v>1000</v>
      </c>
      <c r="I16" s="164">
        <v>0.63400000000000001</v>
      </c>
      <c r="J16" s="164">
        <v>1.6</v>
      </c>
      <c r="K16" s="162" t="s">
        <v>310</v>
      </c>
      <c r="L16" s="164">
        <v>1014.4</v>
      </c>
      <c r="M16" s="165">
        <v>800</v>
      </c>
      <c r="N16" s="166">
        <v>0.1111</v>
      </c>
      <c r="O16" s="167">
        <v>6.67</v>
      </c>
      <c r="P16" s="162">
        <v>319.5</v>
      </c>
      <c r="Q16" s="162">
        <v>2</v>
      </c>
      <c r="R16" s="162">
        <v>1300</v>
      </c>
      <c r="S16" s="164">
        <v>1.268</v>
      </c>
      <c r="T16" s="162">
        <v>32</v>
      </c>
      <c r="U16" s="166">
        <v>2.46E-2</v>
      </c>
      <c r="V16" s="162" t="s">
        <v>28</v>
      </c>
      <c r="W16" s="162" t="s">
        <v>28</v>
      </c>
      <c r="X16" s="162" t="s">
        <v>28</v>
      </c>
      <c r="Y16" s="162" t="s">
        <v>27</v>
      </c>
      <c r="Z16" s="162" t="s">
        <v>27</v>
      </c>
      <c r="AA16" s="162" t="s">
        <v>30</v>
      </c>
      <c r="AB16" s="162" t="s">
        <v>309</v>
      </c>
    </row>
    <row r="17" spans="1:28" s="170" customFormat="1" ht="25.05" customHeight="1" x14ac:dyDescent="0.3">
      <c r="A17" s="162">
        <v>15</v>
      </c>
      <c r="B17" s="163" t="s">
        <v>306</v>
      </c>
      <c r="C17" s="162" t="s">
        <v>81</v>
      </c>
      <c r="D17" s="162" t="s">
        <v>305</v>
      </c>
      <c r="E17" s="162" t="s">
        <v>27</v>
      </c>
      <c r="F17" s="162">
        <v>262689</v>
      </c>
      <c r="G17" s="162" t="s">
        <v>40</v>
      </c>
      <c r="H17" s="162">
        <v>500</v>
      </c>
      <c r="I17" s="164">
        <v>1.198</v>
      </c>
      <c r="J17" s="164">
        <v>1.56</v>
      </c>
      <c r="K17" s="162" t="s">
        <v>33</v>
      </c>
      <c r="L17" s="164">
        <v>934.44</v>
      </c>
      <c r="M17" s="165">
        <v>780</v>
      </c>
      <c r="N17" s="166">
        <v>0.2167</v>
      </c>
      <c r="O17" s="167">
        <v>13</v>
      </c>
      <c r="P17" s="162">
        <v>341.1</v>
      </c>
      <c r="Q17" s="162">
        <v>1</v>
      </c>
      <c r="R17" s="162">
        <v>1250</v>
      </c>
      <c r="S17" s="164">
        <v>1.198</v>
      </c>
      <c r="T17" s="162">
        <v>52</v>
      </c>
      <c r="U17" s="166">
        <v>4.1599999999999998E-2</v>
      </c>
      <c r="V17" s="162" t="s">
        <v>41</v>
      </c>
      <c r="W17" s="162" t="s">
        <v>29</v>
      </c>
      <c r="X17" s="162" t="s">
        <v>28</v>
      </c>
      <c r="Y17" s="162" t="s">
        <v>27</v>
      </c>
      <c r="Z17" s="162" t="s">
        <v>27</v>
      </c>
      <c r="AA17" s="162" t="s">
        <v>32</v>
      </c>
      <c r="AB17" s="162" t="s">
        <v>308</v>
      </c>
    </row>
    <row r="18" spans="1:28" s="170" customFormat="1" ht="25.05" customHeight="1" x14ac:dyDescent="0.3">
      <c r="A18" s="162">
        <v>16</v>
      </c>
      <c r="B18" s="163" t="s">
        <v>306</v>
      </c>
      <c r="C18" s="162" t="s">
        <v>35</v>
      </c>
      <c r="D18" s="162" t="s">
        <v>305</v>
      </c>
      <c r="E18" s="162" t="s">
        <v>27</v>
      </c>
      <c r="F18" s="162">
        <v>262683</v>
      </c>
      <c r="G18" s="162" t="s">
        <v>40</v>
      </c>
      <c r="H18" s="162">
        <v>610</v>
      </c>
      <c r="I18" s="164">
        <v>1.0980000000000001</v>
      </c>
      <c r="J18" s="164">
        <v>1.44</v>
      </c>
      <c r="K18" s="162" t="s">
        <v>33</v>
      </c>
      <c r="L18" s="164">
        <v>964.48299999999995</v>
      </c>
      <c r="M18" s="165">
        <v>878.4</v>
      </c>
      <c r="N18" s="166">
        <v>0.24399999999999999</v>
      </c>
      <c r="O18" s="167">
        <v>14.64</v>
      </c>
      <c r="P18" s="162">
        <v>303.8</v>
      </c>
      <c r="Q18" s="162">
        <v>1</v>
      </c>
      <c r="R18" s="162">
        <v>1150</v>
      </c>
      <c r="S18" s="164">
        <v>1.0980000000000001</v>
      </c>
      <c r="T18" s="162">
        <v>52</v>
      </c>
      <c r="U18" s="166">
        <v>4.5199999999999997E-2</v>
      </c>
      <c r="V18" s="162" t="s">
        <v>28</v>
      </c>
      <c r="W18" s="162" t="s">
        <v>28</v>
      </c>
      <c r="X18" s="162" t="s">
        <v>28</v>
      </c>
      <c r="Y18" s="162" t="s">
        <v>27</v>
      </c>
      <c r="Z18" s="162" t="s">
        <v>27</v>
      </c>
      <c r="AA18" s="162" t="s">
        <v>32</v>
      </c>
      <c r="AB18" s="162" t="s">
        <v>307</v>
      </c>
    </row>
    <row r="19" spans="1:28" s="170" customFormat="1" ht="25.05" customHeight="1" x14ac:dyDescent="0.3">
      <c r="A19" s="162">
        <v>17</v>
      </c>
      <c r="B19" s="163" t="s">
        <v>306</v>
      </c>
      <c r="C19" s="162" t="s">
        <v>35</v>
      </c>
      <c r="D19" s="162" t="s">
        <v>305</v>
      </c>
      <c r="E19" s="162" t="s">
        <v>27</v>
      </c>
      <c r="F19" s="162">
        <v>262686</v>
      </c>
      <c r="G19" s="162" t="s">
        <v>40</v>
      </c>
      <c r="H19" s="162">
        <v>5000</v>
      </c>
      <c r="I19" s="164">
        <v>0.30499999999999999</v>
      </c>
      <c r="J19" s="164">
        <v>0.67</v>
      </c>
      <c r="K19" s="162" t="s">
        <v>304</v>
      </c>
      <c r="L19" s="164">
        <v>1021.75</v>
      </c>
      <c r="M19" s="165">
        <v>1675</v>
      </c>
      <c r="N19" s="166">
        <v>0.2326</v>
      </c>
      <c r="O19" s="167">
        <v>13.96</v>
      </c>
      <c r="P19" s="162">
        <v>321.89999999999998</v>
      </c>
      <c r="Q19" s="162">
        <v>2</v>
      </c>
      <c r="R19" s="162">
        <v>650</v>
      </c>
      <c r="S19" s="164">
        <v>0.61</v>
      </c>
      <c r="T19" s="162">
        <v>40</v>
      </c>
      <c r="U19" s="166">
        <v>6.1499999999999999E-2</v>
      </c>
      <c r="V19" s="162" t="s">
        <v>28</v>
      </c>
      <c r="W19" s="162" t="s">
        <v>28</v>
      </c>
      <c r="X19" s="162" t="s">
        <v>28</v>
      </c>
      <c r="Y19" s="162" t="s">
        <v>27</v>
      </c>
      <c r="Z19" s="162" t="s">
        <v>27</v>
      </c>
      <c r="AA19" s="162" t="s">
        <v>32</v>
      </c>
      <c r="AB19" s="162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263" t="s">
        <v>296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263" t="s">
        <v>278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263" t="s">
        <v>264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Z39" sqref="Z39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264" t="s">
        <v>247</v>
      </c>
      <c r="B1" s="264" t="s">
        <v>27</v>
      </c>
      <c r="C1" s="264" t="s">
        <v>27</v>
      </c>
      <c r="D1" s="264" t="s">
        <v>27</v>
      </c>
      <c r="E1" s="264" t="s">
        <v>27</v>
      </c>
      <c r="F1" s="264" t="s">
        <v>27</v>
      </c>
      <c r="G1" s="264" t="s">
        <v>27</v>
      </c>
      <c r="H1" s="264" t="s">
        <v>27</v>
      </c>
      <c r="I1" s="264" t="s">
        <v>27</v>
      </c>
      <c r="J1" s="264" t="s">
        <v>27</v>
      </c>
      <c r="K1" s="264" t="s">
        <v>27</v>
      </c>
      <c r="L1" s="264" t="s">
        <v>27</v>
      </c>
      <c r="M1" s="264" t="s">
        <v>27</v>
      </c>
      <c r="N1" s="264" t="s">
        <v>27</v>
      </c>
      <c r="O1" s="264" t="s">
        <v>27</v>
      </c>
      <c r="P1" s="264" t="s">
        <v>27</v>
      </c>
      <c r="Q1" s="264" t="s">
        <v>27</v>
      </c>
      <c r="R1" s="264" t="s">
        <v>27</v>
      </c>
      <c r="S1" s="264" t="s">
        <v>27</v>
      </c>
      <c r="T1" s="264" t="s">
        <v>27</v>
      </c>
      <c r="U1" s="264" t="s">
        <v>27</v>
      </c>
      <c r="V1" s="264" t="s">
        <v>27</v>
      </c>
      <c r="W1" s="264" t="s">
        <v>27</v>
      </c>
      <c r="X1" s="264" t="s">
        <v>27</v>
      </c>
      <c r="Y1" s="264" t="s">
        <v>27</v>
      </c>
      <c r="Z1" s="264" t="s">
        <v>27</v>
      </c>
      <c r="AA1" s="264" t="s">
        <v>27</v>
      </c>
      <c r="AB1" s="264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99" zoomScaleNormal="99" workbookViewId="0">
      <selection activeCell="AC2" sqref="AC2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3" t="s">
        <v>234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186">
        <v>6</v>
      </c>
      <c r="B8" s="187" t="s">
        <v>58</v>
      </c>
      <c r="C8" s="186" t="s">
        <v>26</v>
      </c>
      <c r="D8" s="186" t="s">
        <v>251</v>
      </c>
      <c r="E8" s="186" t="s">
        <v>27</v>
      </c>
      <c r="F8" s="186">
        <v>262770</v>
      </c>
      <c r="G8" s="186" t="s">
        <v>280</v>
      </c>
      <c r="H8" s="186">
        <v>400</v>
      </c>
      <c r="I8" s="188">
        <v>1.3720000000000001</v>
      </c>
      <c r="J8" s="188">
        <v>2.38</v>
      </c>
      <c r="K8" s="186" t="s">
        <v>284</v>
      </c>
      <c r="L8" s="188">
        <v>1306.144</v>
      </c>
      <c r="M8" s="189">
        <v>952</v>
      </c>
      <c r="N8" s="190">
        <v>0.26440000000000002</v>
      </c>
      <c r="O8" s="191">
        <v>15.87</v>
      </c>
      <c r="P8" s="186">
        <v>702.7</v>
      </c>
      <c r="Q8" s="186">
        <v>1</v>
      </c>
      <c r="R8" s="186">
        <v>1400</v>
      </c>
      <c r="S8" s="188">
        <v>1.3720000000000001</v>
      </c>
      <c r="T8" s="186">
        <v>28</v>
      </c>
      <c r="U8" s="190">
        <v>0.02</v>
      </c>
      <c r="V8" s="186" t="s">
        <v>28</v>
      </c>
      <c r="W8" s="186" t="s">
        <v>29</v>
      </c>
      <c r="X8" s="186" t="s">
        <v>28</v>
      </c>
      <c r="Y8" s="186" t="s">
        <v>28</v>
      </c>
      <c r="Z8" s="186" t="s">
        <v>28</v>
      </c>
      <c r="AA8" s="186" t="s">
        <v>30</v>
      </c>
      <c r="AB8" s="186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186">
        <v>11</v>
      </c>
      <c r="B13" s="187" t="s">
        <v>58</v>
      </c>
      <c r="C13" s="186" t="s">
        <v>59</v>
      </c>
      <c r="D13" s="186" t="s">
        <v>440</v>
      </c>
      <c r="E13" s="186" t="s">
        <v>27</v>
      </c>
      <c r="F13" s="186">
        <v>262773</v>
      </c>
      <c r="G13" s="186" t="s">
        <v>439</v>
      </c>
      <c r="H13" s="186">
        <v>930</v>
      </c>
      <c r="I13" s="188">
        <v>0.59199999999999997</v>
      </c>
      <c r="J13" s="188">
        <v>1.62</v>
      </c>
      <c r="K13" s="186" t="s">
        <v>324</v>
      </c>
      <c r="L13" s="188">
        <v>891.90700000000004</v>
      </c>
      <c r="M13" s="189">
        <v>753.3</v>
      </c>
      <c r="N13" s="190">
        <v>0.1046</v>
      </c>
      <c r="O13" s="191">
        <v>6.28</v>
      </c>
      <c r="P13" s="186">
        <v>289</v>
      </c>
      <c r="Q13" s="186">
        <v>2</v>
      </c>
      <c r="R13" s="186">
        <v>1250</v>
      </c>
      <c r="S13" s="188">
        <v>1.1839999999999999</v>
      </c>
      <c r="T13" s="186">
        <v>66</v>
      </c>
      <c r="U13" s="190">
        <v>5.28E-2</v>
      </c>
      <c r="V13" s="186" t="s">
        <v>28</v>
      </c>
      <c r="W13" s="186" t="s">
        <v>28</v>
      </c>
      <c r="X13" s="186" t="s">
        <v>28</v>
      </c>
      <c r="Y13" s="186" t="s">
        <v>27</v>
      </c>
      <c r="Z13" s="186" t="s">
        <v>27</v>
      </c>
      <c r="AA13" s="186" t="s">
        <v>30</v>
      </c>
      <c r="AB13" s="186" t="s">
        <v>325</v>
      </c>
    </row>
    <row r="14" spans="1:28" s="90" customFormat="1" ht="25.05" customHeight="1" x14ac:dyDescent="0.3">
      <c r="A14" s="186">
        <v>12</v>
      </c>
      <c r="B14" s="187" t="s">
        <v>58</v>
      </c>
      <c r="C14" s="186" t="s">
        <v>59</v>
      </c>
      <c r="D14" s="186" t="s">
        <v>222</v>
      </c>
      <c r="E14" s="186" t="s">
        <v>27</v>
      </c>
      <c r="F14" s="186">
        <v>262765</v>
      </c>
      <c r="G14" s="186" t="s">
        <v>231</v>
      </c>
      <c r="H14" s="186">
        <v>1150</v>
      </c>
      <c r="I14" s="188">
        <v>0.54700000000000004</v>
      </c>
      <c r="J14" s="188">
        <v>1.44</v>
      </c>
      <c r="K14" s="186" t="s">
        <v>233</v>
      </c>
      <c r="L14" s="188">
        <v>905.83199999999999</v>
      </c>
      <c r="M14" s="189">
        <v>828</v>
      </c>
      <c r="N14" s="190">
        <v>0.115</v>
      </c>
      <c r="O14" s="191">
        <v>6.9</v>
      </c>
      <c r="P14" s="186">
        <v>293.5</v>
      </c>
      <c r="Q14" s="186">
        <v>2</v>
      </c>
      <c r="R14" s="186">
        <v>1150</v>
      </c>
      <c r="S14" s="188">
        <v>1.0940000000000001</v>
      </c>
      <c r="T14" s="186">
        <v>56</v>
      </c>
      <c r="U14" s="190">
        <v>4.87E-2</v>
      </c>
      <c r="V14" s="186" t="s">
        <v>28</v>
      </c>
      <c r="W14" s="186" t="s">
        <v>28</v>
      </c>
      <c r="X14" s="186" t="s">
        <v>28</v>
      </c>
      <c r="Y14" s="186" t="s">
        <v>27</v>
      </c>
      <c r="Z14" s="186" t="s">
        <v>27</v>
      </c>
      <c r="AA14" s="186" t="s">
        <v>32</v>
      </c>
      <c r="AB14" s="186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186">
        <v>14</v>
      </c>
      <c r="B16" s="187" t="s">
        <v>58</v>
      </c>
      <c r="C16" s="186" t="s">
        <v>35</v>
      </c>
      <c r="D16" s="186" t="s">
        <v>272</v>
      </c>
      <c r="E16" s="186" t="s">
        <v>27</v>
      </c>
      <c r="F16" s="186">
        <v>262771</v>
      </c>
      <c r="G16" s="186" t="s">
        <v>286</v>
      </c>
      <c r="H16" s="186">
        <v>1350</v>
      </c>
      <c r="I16" s="188">
        <v>0.59199999999999997</v>
      </c>
      <c r="J16" s="188">
        <v>1.619</v>
      </c>
      <c r="K16" s="186" t="s">
        <v>287</v>
      </c>
      <c r="L16" s="188">
        <v>1293.905</v>
      </c>
      <c r="M16" s="189">
        <v>1092.8</v>
      </c>
      <c r="N16" s="190">
        <v>0.15179999999999999</v>
      </c>
      <c r="O16" s="191">
        <v>9.11</v>
      </c>
      <c r="P16" s="186">
        <v>407.6</v>
      </c>
      <c r="Q16" s="186">
        <v>2</v>
      </c>
      <c r="R16" s="186">
        <v>1250</v>
      </c>
      <c r="S16" s="188">
        <v>1.1839999999999999</v>
      </c>
      <c r="T16" s="186">
        <v>66</v>
      </c>
      <c r="U16" s="190">
        <v>5.28E-2</v>
      </c>
      <c r="V16" s="186" t="s">
        <v>28</v>
      </c>
      <c r="W16" s="186" t="s">
        <v>28</v>
      </c>
      <c r="X16" s="186" t="s">
        <v>28</v>
      </c>
      <c r="Y16" s="186" t="s">
        <v>27</v>
      </c>
      <c r="Z16" s="186" t="s">
        <v>27</v>
      </c>
      <c r="AA16" s="186" t="s">
        <v>31</v>
      </c>
      <c r="AB16" s="186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263" t="s">
        <v>228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21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263" t="s">
        <v>218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263" t="s">
        <v>235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260" t="s">
        <v>181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260" t="s">
        <v>173</v>
      </c>
      <c r="B1" s="260" t="s">
        <v>27</v>
      </c>
      <c r="C1" s="260" t="s">
        <v>27</v>
      </c>
      <c r="D1" s="260" t="s">
        <v>27</v>
      </c>
      <c r="E1" s="260" t="s">
        <v>27</v>
      </c>
      <c r="F1" s="260" t="s">
        <v>27</v>
      </c>
      <c r="G1" s="260" t="s">
        <v>27</v>
      </c>
      <c r="H1" s="260" t="s">
        <v>27</v>
      </c>
      <c r="I1" s="260" t="s">
        <v>27</v>
      </c>
      <c r="J1" s="260" t="s">
        <v>27</v>
      </c>
      <c r="K1" s="260" t="s">
        <v>27</v>
      </c>
      <c r="L1" s="260" t="s">
        <v>27</v>
      </c>
      <c r="M1" s="260" t="s">
        <v>27</v>
      </c>
      <c r="N1" s="260" t="s">
        <v>27</v>
      </c>
      <c r="O1" s="260" t="s">
        <v>27</v>
      </c>
      <c r="P1" s="260" t="s">
        <v>27</v>
      </c>
      <c r="Q1" s="260" t="s">
        <v>27</v>
      </c>
      <c r="R1" s="260" t="s">
        <v>27</v>
      </c>
      <c r="S1" s="260" t="s">
        <v>27</v>
      </c>
      <c r="T1" s="260" t="s">
        <v>27</v>
      </c>
      <c r="U1" s="260" t="s">
        <v>27</v>
      </c>
      <c r="V1" s="260" t="s">
        <v>27</v>
      </c>
      <c r="W1" s="260" t="s">
        <v>27</v>
      </c>
      <c r="X1" s="260" t="s">
        <v>27</v>
      </c>
      <c r="Y1" s="260" t="s">
        <v>27</v>
      </c>
      <c r="Z1" s="260" t="s">
        <v>27</v>
      </c>
      <c r="AA1" s="260" t="s">
        <v>27</v>
      </c>
      <c r="AB1" s="26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263" t="s">
        <v>143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263" t="s">
        <v>139</v>
      </c>
      <c r="B1" s="263" t="s">
        <v>27</v>
      </c>
      <c r="C1" s="263" t="s">
        <v>27</v>
      </c>
      <c r="D1" s="263" t="s">
        <v>27</v>
      </c>
      <c r="E1" s="263" t="s">
        <v>27</v>
      </c>
      <c r="F1" s="263" t="s">
        <v>27</v>
      </c>
      <c r="G1" s="263" t="s">
        <v>27</v>
      </c>
      <c r="H1" s="263" t="s">
        <v>27</v>
      </c>
      <c r="I1" s="263" t="s">
        <v>27</v>
      </c>
      <c r="J1" s="263" t="s">
        <v>27</v>
      </c>
      <c r="K1" s="263" t="s">
        <v>27</v>
      </c>
      <c r="L1" s="263" t="s">
        <v>27</v>
      </c>
      <c r="M1" s="263" t="s">
        <v>27</v>
      </c>
      <c r="N1" s="263" t="s">
        <v>27</v>
      </c>
      <c r="O1" s="263" t="s">
        <v>27</v>
      </c>
      <c r="P1" s="263" t="s">
        <v>27</v>
      </c>
      <c r="Q1" s="263" t="s">
        <v>27</v>
      </c>
      <c r="R1" s="263" t="s">
        <v>27</v>
      </c>
      <c r="S1" s="263" t="s">
        <v>27</v>
      </c>
      <c r="T1" s="263" t="s">
        <v>27</v>
      </c>
      <c r="U1" s="263" t="s">
        <v>27</v>
      </c>
      <c r="V1" s="263" t="s">
        <v>27</v>
      </c>
      <c r="W1" s="263" t="s">
        <v>27</v>
      </c>
      <c r="X1" s="263" t="s">
        <v>27</v>
      </c>
      <c r="Y1" s="263" t="s">
        <v>27</v>
      </c>
      <c r="Z1" s="263" t="s">
        <v>27</v>
      </c>
      <c r="AA1" s="263" t="s">
        <v>27</v>
      </c>
      <c r="AB1" s="263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267" t="s">
        <v>123</v>
      </c>
      <c r="B1" s="267" t="s">
        <v>27</v>
      </c>
      <c r="C1" s="267" t="s">
        <v>27</v>
      </c>
      <c r="D1" s="267" t="s">
        <v>27</v>
      </c>
      <c r="E1" s="267" t="s">
        <v>27</v>
      </c>
      <c r="F1" s="267" t="s">
        <v>27</v>
      </c>
      <c r="G1" s="267" t="s">
        <v>27</v>
      </c>
      <c r="H1" s="267" t="s">
        <v>27</v>
      </c>
      <c r="I1" s="267" t="s">
        <v>27</v>
      </c>
      <c r="J1" s="267" t="s">
        <v>27</v>
      </c>
      <c r="K1" s="267" t="s">
        <v>27</v>
      </c>
      <c r="L1" s="267" t="s">
        <v>27</v>
      </c>
      <c r="M1" s="267" t="s">
        <v>27</v>
      </c>
      <c r="N1" s="267" t="s">
        <v>27</v>
      </c>
      <c r="O1" s="267" t="s">
        <v>27</v>
      </c>
      <c r="P1" s="267" t="s">
        <v>27</v>
      </c>
      <c r="Q1" s="267" t="s">
        <v>27</v>
      </c>
      <c r="R1" s="267" t="s">
        <v>27</v>
      </c>
      <c r="S1" s="267" t="s">
        <v>27</v>
      </c>
      <c r="T1" s="267" t="s">
        <v>27</v>
      </c>
      <c r="U1" s="267" t="s">
        <v>27</v>
      </c>
      <c r="V1" s="267" t="s">
        <v>27</v>
      </c>
      <c r="W1" s="267" t="s">
        <v>27</v>
      </c>
      <c r="X1" s="267" t="s">
        <v>27</v>
      </c>
      <c r="Y1" s="267" t="s">
        <v>27</v>
      </c>
      <c r="Z1" s="267" t="s">
        <v>27</v>
      </c>
      <c r="AA1" s="267" t="s">
        <v>27</v>
      </c>
      <c r="AB1" s="267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268" t="s">
        <v>105</v>
      </c>
      <c r="B1" s="268" t="s">
        <v>27</v>
      </c>
      <c r="C1" s="268" t="s">
        <v>27</v>
      </c>
      <c r="D1" s="268" t="s">
        <v>27</v>
      </c>
      <c r="E1" s="268" t="s">
        <v>27</v>
      </c>
      <c r="F1" s="268" t="s">
        <v>27</v>
      </c>
      <c r="G1" s="268" t="s">
        <v>27</v>
      </c>
      <c r="H1" s="268" t="s">
        <v>27</v>
      </c>
      <c r="I1" s="268" t="s">
        <v>27</v>
      </c>
      <c r="J1" s="268" t="s">
        <v>27</v>
      </c>
      <c r="K1" s="268" t="s">
        <v>27</v>
      </c>
      <c r="L1" s="268" t="s">
        <v>27</v>
      </c>
      <c r="M1" s="268" t="s">
        <v>27</v>
      </c>
      <c r="N1" s="268" t="s">
        <v>27</v>
      </c>
      <c r="O1" s="268" t="s">
        <v>27</v>
      </c>
      <c r="P1" s="268" t="s">
        <v>27</v>
      </c>
      <c r="Q1" s="268" t="s">
        <v>27</v>
      </c>
      <c r="R1" s="268" t="s">
        <v>27</v>
      </c>
      <c r="S1" s="268" t="s">
        <v>27</v>
      </c>
      <c r="T1" s="268" t="s">
        <v>27</v>
      </c>
      <c r="U1" s="268" t="s">
        <v>27</v>
      </c>
      <c r="V1" s="268" t="s">
        <v>27</v>
      </c>
      <c r="W1" s="268" t="s">
        <v>27</v>
      </c>
      <c r="X1" s="268" t="s">
        <v>27</v>
      </c>
      <c r="Y1" s="268" t="s">
        <v>27</v>
      </c>
      <c r="Z1" s="268" t="s">
        <v>27</v>
      </c>
      <c r="AA1" s="268" t="s">
        <v>27</v>
      </c>
      <c r="AB1" s="268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269" t="s">
        <v>80</v>
      </c>
      <c r="B1" s="269" t="s">
        <v>27</v>
      </c>
      <c r="C1" s="269" t="s">
        <v>27</v>
      </c>
      <c r="D1" s="269" t="s">
        <v>27</v>
      </c>
      <c r="E1" s="269" t="s">
        <v>27</v>
      </c>
      <c r="F1" s="269" t="s">
        <v>27</v>
      </c>
      <c r="G1" s="269" t="s">
        <v>27</v>
      </c>
      <c r="H1" s="269" t="s">
        <v>27</v>
      </c>
      <c r="I1" s="269" t="s">
        <v>27</v>
      </c>
      <c r="J1" s="269" t="s">
        <v>27</v>
      </c>
      <c r="K1" s="269" t="s">
        <v>27</v>
      </c>
      <c r="L1" s="269" t="s">
        <v>27</v>
      </c>
      <c r="M1" s="269" t="s">
        <v>27</v>
      </c>
      <c r="N1" s="269" t="s">
        <v>27</v>
      </c>
      <c r="O1" s="269" t="s">
        <v>27</v>
      </c>
      <c r="P1" s="269" t="s">
        <v>27</v>
      </c>
      <c r="Q1" s="269" t="s">
        <v>27</v>
      </c>
      <c r="R1" s="269" t="s">
        <v>27</v>
      </c>
      <c r="S1" s="269" t="s">
        <v>27</v>
      </c>
      <c r="T1" s="269" t="s">
        <v>27</v>
      </c>
      <c r="U1" s="269" t="s">
        <v>27</v>
      </c>
      <c r="V1" s="269" t="s">
        <v>27</v>
      </c>
      <c r="W1" s="269" t="s">
        <v>27</v>
      </c>
      <c r="X1" s="269" t="s">
        <v>27</v>
      </c>
      <c r="Y1" s="269" t="s">
        <v>27</v>
      </c>
      <c r="Z1" s="269" t="s">
        <v>27</v>
      </c>
      <c r="AA1" s="269" t="s">
        <v>27</v>
      </c>
      <c r="AB1" s="269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45</vt:i4>
      </vt:variant>
    </vt:vector>
  </HeadingPairs>
  <TitlesOfParts>
    <vt:vector size="45" baseType="lpstr">
      <vt:lpstr>VÔ CHICO 1280</vt:lpstr>
      <vt:lpstr>PCBOX EMBALAGENS 1278</vt:lpstr>
      <vt:lpstr>RM EMBALAGENS 1277</vt:lpstr>
      <vt:lpstr>RM Embalagens 1275 P</vt:lpstr>
      <vt:lpstr>FAVINCO EMBALAGENS 1273</vt:lpstr>
      <vt:lpstr>ABAPEL 1272 P</vt:lpstr>
      <vt:lpstr>RM Embalagens 1271 P</vt:lpstr>
      <vt:lpstr>IPE -PC BOX 1270 P</vt:lpstr>
      <vt:lpstr>PCBOX  - IPE 1266 P</vt:lpstr>
      <vt:lpstr>Tolecaixas 1264 P</vt:lpstr>
      <vt:lpstr>RM Embalagens 1263 P</vt:lpstr>
      <vt:lpstr>HARMONY EMBALAGENS 1262 P</vt:lpstr>
      <vt:lpstr>HARMONY EMBALAGENS 1260 P</vt:lpstr>
      <vt:lpstr>CARTOMIL EMBALAGENS LTDA 1258 P</vt:lpstr>
      <vt:lpstr>CARPEL 1257 P</vt:lpstr>
      <vt:lpstr>FAVINCO EMBALAGENS 1256 P</vt:lpstr>
      <vt:lpstr>RR STELLA 1253 P</vt:lpstr>
      <vt:lpstr>FAVINCO EMBALAGENS 1252 P</vt:lpstr>
      <vt:lpstr>DR EMBALAGENS 1250 P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2026-10-14T11:47:13Z</cp:lastPrinted>
  <dcterms:created xsi:type="dcterms:W3CDTF">2026-07-02T17:42:15Z</dcterms:created>
  <dcterms:modified xsi:type="dcterms:W3CDTF">2026-10-14T18:00:54Z</dcterms:modified>
</cp:coreProperties>
</file>