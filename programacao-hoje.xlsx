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133AF5B-522F-4193-A1DA-98EEA6684B70}" xr6:coauthVersionLast="47" xr6:coauthVersionMax="47" xr10:uidLastSave="{00000000-0000-0000-0000-000000000000}"/>
  <bookViews>
    <workbookView xWindow="-21720" yWindow="-120" windowWidth="21840" windowHeight="13020" firstSheet="7" activeTab="8" xr2:uid="{00000000-000D-0000-FFFF-FFFF00000000}"/>
  </bookViews>
  <sheets>
    <sheet name="PCBOX - IPE 1187" sheetId="142" r:id="rId1"/>
    <sheet name="RM Embalagens 1184" sheetId="141" r:id="rId2"/>
    <sheet name="CARTOMIL EMBALAGENS LTDA 1183 P" sheetId="140" r:id="rId3"/>
    <sheet name="Z4A EMBALAGENS LTDA 1182" sheetId="139" r:id="rId4"/>
    <sheet name="Tolecaixas 1181" sheetId="138" r:id="rId5"/>
    <sheet name="HARMONY EMBALAGENS 1180 P" sheetId="137" r:id="rId6"/>
    <sheet name="RM Embalagens 1179 P" sheetId="136" r:id="rId7"/>
    <sheet name="ABAPEL 1178" sheetId="135" r:id="rId8"/>
    <sheet name="FAVINCO EMBALAGENS 1177" sheetId="134" r:id="rId9"/>
    <sheet name="IPE EMBALAGENS 1176 P" sheetId="133" r:id="rId10"/>
    <sheet name="PCBOX EMBALAGENS 1175 P" sheetId="132" r:id="rId11"/>
    <sheet name="ABAPEL 1174" sheetId="131" r:id="rId12"/>
    <sheet name="PCBOX EMBALAGENS 1171 P" sheetId="127" r:id="rId13"/>
    <sheet name="HARMONY EMBALAGENS 1169 P" sheetId="125" r:id="rId14"/>
    <sheet name="DR EMBALAGEM 1167 P" sheetId="124" r:id="rId15"/>
    <sheet name="Z4A EMBALAGENS  1166 P" sheetId="123" r:id="rId16"/>
    <sheet name="RM Embalagens 1165 P" sheetId="122" r:id="rId17"/>
    <sheet name="Carpel 1158 P" sheetId="119" r:id="rId18"/>
    <sheet name="ABAPEL 1155 P" sheetId="118" r:id="rId19"/>
    <sheet name="IPE - PCBOX 1154 P" sheetId="117" r:id="rId20"/>
    <sheet name="ABAPEL 1143 " sheetId="109" r:id="rId21"/>
    <sheet name="HARMONY EMBALAGENS 1138 P" sheetId="102" r:id="rId22"/>
    <sheet name="ABAPEL 1127 P" sheetId="97" r:id="rId23"/>
    <sheet name="ABAPEL 1105 P" sheetId="85" r:id="rId24"/>
    <sheet name="IVAIR SILVA 1122 P" sheetId="91" r:id="rId25"/>
    <sheet name="RENOVAPEL 1115 P" sheetId="88" r:id="rId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2" i="135"/>
  <c r="H12" i="135"/>
</calcChain>
</file>

<file path=xl/sharedStrings.xml><?xml version="1.0" encoding="utf-8"?>
<sst xmlns="http://schemas.openxmlformats.org/spreadsheetml/2006/main" count="4812" uniqueCount="593">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</sst>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15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21" fillId="0" borderId="0" xfId="3" applyFont="1"/>
    <xf numFmtId="0" fontId="15" fillId="0" borderId="0" xfId="1" applyFont="1"/>
    <xf numFmtId="0" fontId="2" fillId="0" borderId="0" xfId="1" applyFont="1"/>
    <xf numFmtId="0" fontId="8" fillId="0" borderId="0" xfId="1" applyFont="1"/>
    <xf numFmtId="0" fontId="15" fillId="0" borderId="0" xfId="2" applyFont="1" applyAlignment="1">
      <alignment horizontal="center" vertical="center"/>
    </xf>
    <xf numFmtId="0" fontId="8" fillId="0" borderId="0" xfId="2" applyFont="1"/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dimension ref="A1:AB10"/>
  <sheetViews>
    <sheetView workbookViewId="0">
      <selection activeCell="J18" sqref="J1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22" t="s">
        <v>592</v>
      </c>
      <c r="B1" s="122" t="s">
        <v>27</v>
      </c>
      <c r="C1" s="122" t="s">
        <v>27</v>
      </c>
      <c r="D1" s="122" t="s">
        <v>27</v>
      </c>
      <c r="E1" s="122" t="s">
        <v>27</v>
      </c>
      <c r="F1" s="122" t="s">
        <v>27</v>
      </c>
      <c r="G1" s="122" t="s">
        <v>27</v>
      </c>
      <c r="H1" s="122" t="s">
        <v>27</v>
      </c>
      <c r="I1" s="122" t="s">
        <v>27</v>
      </c>
      <c r="J1" s="122" t="s">
        <v>27</v>
      </c>
      <c r="K1" s="122" t="s">
        <v>27</v>
      </c>
      <c r="L1" s="122" t="s">
        <v>27</v>
      </c>
      <c r="M1" s="122" t="s">
        <v>27</v>
      </c>
      <c r="N1" s="122" t="s">
        <v>27</v>
      </c>
      <c r="O1" s="122" t="s">
        <v>27</v>
      </c>
      <c r="P1" s="122" t="s">
        <v>27</v>
      </c>
      <c r="Q1" s="122" t="s">
        <v>27</v>
      </c>
      <c r="R1" s="122" t="s">
        <v>27</v>
      </c>
      <c r="S1" s="122" t="s">
        <v>27</v>
      </c>
      <c r="T1" s="122" t="s">
        <v>27</v>
      </c>
      <c r="U1" s="122" t="s">
        <v>27</v>
      </c>
      <c r="V1" s="122" t="s">
        <v>27</v>
      </c>
      <c r="W1" s="122" t="s">
        <v>27</v>
      </c>
      <c r="X1" s="122" t="s">
        <v>27</v>
      </c>
      <c r="Y1" s="122" t="s">
        <v>27</v>
      </c>
      <c r="Z1" s="122" t="s">
        <v>27</v>
      </c>
      <c r="AA1" s="122" t="s">
        <v>27</v>
      </c>
      <c r="AB1" s="122" t="s">
        <v>27</v>
      </c>
    </row>
    <row r="2" spans="1:28" ht="30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34">
        <v>1</v>
      </c>
      <c r="B3" s="36" t="s">
        <v>444</v>
      </c>
      <c r="C3" s="34" t="s">
        <v>45</v>
      </c>
      <c r="D3" s="34" t="s">
        <v>534</v>
      </c>
      <c r="E3" s="34" t="s">
        <v>27</v>
      </c>
      <c r="F3" s="34">
        <v>262513</v>
      </c>
      <c r="G3" s="34" t="s">
        <v>591</v>
      </c>
      <c r="H3" s="34">
        <v>700</v>
      </c>
      <c r="I3" s="35">
        <v>0.64</v>
      </c>
      <c r="J3" s="35">
        <v>1.403</v>
      </c>
      <c r="K3" s="34" t="s">
        <v>590</v>
      </c>
      <c r="L3" s="31">
        <v>628.54399999999998</v>
      </c>
      <c r="M3" s="33">
        <v>491.1</v>
      </c>
      <c r="N3" s="30">
        <v>6.8199999999999997E-2</v>
      </c>
      <c r="O3" s="32">
        <v>4.09</v>
      </c>
      <c r="P3" s="29">
        <v>380.9</v>
      </c>
      <c r="Q3" s="29">
        <v>2</v>
      </c>
      <c r="R3" s="29">
        <v>1300</v>
      </c>
      <c r="S3" s="31">
        <v>1.28</v>
      </c>
      <c r="T3" s="29">
        <v>20</v>
      </c>
      <c r="U3" s="30">
        <v>1.54E-2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32</v>
      </c>
      <c r="AB3" s="29" t="s">
        <v>589</v>
      </c>
    </row>
    <row r="4" spans="1:28" x14ac:dyDescent="0.3">
      <c r="A4" s="34">
        <v>2</v>
      </c>
      <c r="B4" s="36" t="s">
        <v>448</v>
      </c>
      <c r="C4" s="34" t="s">
        <v>45</v>
      </c>
      <c r="D4" s="34" t="s">
        <v>534</v>
      </c>
      <c r="E4" s="34" t="s">
        <v>27</v>
      </c>
      <c r="F4" s="34">
        <v>262514</v>
      </c>
      <c r="G4" s="34" t="s">
        <v>588</v>
      </c>
      <c r="H4" s="34">
        <v>2000</v>
      </c>
      <c r="I4" s="35">
        <v>0.70399999999999996</v>
      </c>
      <c r="J4" s="35">
        <v>1.903</v>
      </c>
      <c r="K4" s="34" t="s">
        <v>453</v>
      </c>
      <c r="L4" s="31">
        <v>2679.424</v>
      </c>
      <c r="M4" s="33">
        <v>1903</v>
      </c>
      <c r="N4" s="30">
        <v>0.26429999999999998</v>
      </c>
      <c r="O4" s="32">
        <v>15.86</v>
      </c>
      <c r="P4" s="29">
        <v>1623.7</v>
      </c>
      <c r="Q4" s="29">
        <v>2</v>
      </c>
      <c r="R4" s="29">
        <v>1450</v>
      </c>
      <c r="S4" s="31">
        <v>1.4079999999999999</v>
      </c>
      <c r="T4" s="29">
        <v>42</v>
      </c>
      <c r="U4" s="30">
        <v>2.9000000000000001E-2</v>
      </c>
      <c r="V4" s="29" t="s">
        <v>35</v>
      </c>
      <c r="W4" s="29" t="s">
        <v>40</v>
      </c>
      <c r="X4" s="29" t="s">
        <v>35</v>
      </c>
      <c r="Y4" s="29" t="s">
        <v>35</v>
      </c>
      <c r="Z4" s="29" t="s">
        <v>35</v>
      </c>
      <c r="AA4" s="29" t="s">
        <v>72</v>
      </c>
      <c r="AB4" s="29" t="s">
        <v>452</v>
      </c>
    </row>
    <row r="5" spans="1:28" x14ac:dyDescent="0.3">
      <c r="A5" s="34">
        <v>3</v>
      </c>
      <c r="B5" s="36" t="s">
        <v>448</v>
      </c>
      <c r="C5" s="34" t="s">
        <v>45</v>
      </c>
      <c r="D5" s="34" t="s">
        <v>534</v>
      </c>
      <c r="E5" s="34" t="s">
        <v>27</v>
      </c>
      <c r="F5" s="34">
        <v>262515</v>
      </c>
      <c r="G5" s="34" t="s">
        <v>588</v>
      </c>
      <c r="H5" s="34">
        <v>5000</v>
      </c>
      <c r="I5" s="35">
        <v>0.55900000000000005</v>
      </c>
      <c r="J5" s="35">
        <v>1.389</v>
      </c>
      <c r="K5" s="34" t="s">
        <v>446</v>
      </c>
      <c r="L5" s="31">
        <v>3882.2550000000001</v>
      </c>
      <c r="M5" s="33">
        <v>3472.5</v>
      </c>
      <c r="N5" s="30">
        <v>0.48230000000000001</v>
      </c>
      <c r="O5" s="32">
        <v>28.94</v>
      </c>
      <c r="P5" s="29">
        <v>2352.6</v>
      </c>
      <c r="Q5" s="29">
        <v>2</v>
      </c>
      <c r="R5" s="29">
        <v>1150</v>
      </c>
      <c r="S5" s="31">
        <v>1.1180000000000001</v>
      </c>
      <c r="T5" s="29">
        <v>32</v>
      </c>
      <c r="U5" s="30">
        <v>2.7799999999999998E-2</v>
      </c>
      <c r="V5" s="29" t="s">
        <v>35</v>
      </c>
      <c r="W5" s="29" t="s">
        <v>40</v>
      </c>
      <c r="X5" s="29" t="s">
        <v>35</v>
      </c>
      <c r="Y5" s="29" t="s">
        <v>35</v>
      </c>
      <c r="Z5" s="29" t="s">
        <v>35</v>
      </c>
      <c r="AA5" s="29" t="s">
        <v>73</v>
      </c>
      <c r="AB5" s="29" t="s">
        <v>445</v>
      </c>
    </row>
    <row r="6" spans="1:28" x14ac:dyDescent="0.3">
      <c r="A6" s="34">
        <v>4</v>
      </c>
      <c r="B6" s="36" t="s">
        <v>444</v>
      </c>
      <c r="C6" s="34" t="s">
        <v>36</v>
      </c>
      <c r="D6" s="34" t="s">
        <v>534</v>
      </c>
      <c r="E6" s="34" t="s">
        <v>27</v>
      </c>
      <c r="F6" s="34">
        <v>262516</v>
      </c>
      <c r="G6" s="34" t="s">
        <v>581</v>
      </c>
      <c r="H6" s="34">
        <v>200</v>
      </c>
      <c r="I6" s="35">
        <v>0.94899999999999995</v>
      </c>
      <c r="J6" s="35">
        <v>1.536</v>
      </c>
      <c r="K6" s="34" t="s">
        <v>587</v>
      </c>
      <c r="L6" s="31">
        <v>291.53300000000002</v>
      </c>
      <c r="M6" s="33">
        <v>307.2</v>
      </c>
      <c r="N6" s="30">
        <v>8.5300000000000001E-2</v>
      </c>
      <c r="O6" s="32">
        <v>5.12</v>
      </c>
      <c r="P6" s="29">
        <v>100.6</v>
      </c>
      <c r="Q6" s="29">
        <v>1</v>
      </c>
      <c r="R6" s="29">
        <v>1000</v>
      </c>
      <c r="S6" s="31">
        <v>0.94899999999999995</v>
      </c>
      <c r="T6" s="29">
        <v>51</v>
      </c>
      <c r="U6" s="30">
        <v>5.0999999999999997E-2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39</v>
      </c>
      <c r="AB6" s="29" t="s">
        <v>586</v>
      </c>
    </row>
    <row r="7" spans="1:28" x14ac:dyDescent="0.3">
      <c r="A7" s="34">
        <v>5</v>
      </c>
      <c r="B7" s="36" t="s">
        <v>444</v>
      </c>
      <c r="C7" s="34" t="s">
        <v>36</v>
      </c>
      <c r="D7" s="34" t="s">
        <v>534</v>
      </c>
      <c r="E7" s="34" t="s">
        <v>27</v>
      </c>
      <c r="F7" s="34">
        <v>262517</v>
      </c>
      <c r="G7" s="34" t="s">
        <v>581</v>
      </c>
      <c r="H7" s="34">
        <v>200</v>
      </c>
      <c r="I7" s="35">
        <v>1.3089999999999999</v>
      </c>
      <c r="J7" s="35">
        <v>1.151</v>
      </c>
      <c r="K7" s="34" t="s">
        <v>585</v>
      </c>
      <c r="L7" s="31">
        <v>301.33199999999999</v>
      </c>
      <c r="M7" s="33">
        <v>230.2</v>
      </c>
      <c r="N7" s="30">
        <v>6.3899999999999998E-2</v>
      </c>
      <c r="O7" s="32">
        <v>3.84</v>
      </c>
      <c r="P7" s="29">
        <v>104</v>
      </c>
      <c r="Q7" s="29">
        <v>1</v>
      </c>
      <c r="R7" s="29">
        <v>1350</v>
      </c>
      <c r="S7" s="31">
        <v>1.3089999999999999</v>
      </c>
      <c r="T7" s="29">
        <v>41</v>
      </c>
      <c r="U7" s="30">
        <v>3.04E-2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39</v>
      </c>
      <c r="AB7" s="29" t="s">
        <v>584</v>
      </c>
    </row>
    <row r="8" spans="1:28" x14ac:dyDescent="0.3">
      <c r="A8" s="34">
        <v>6</v>
      </c>
      <c r="B8" s="36" t="s">
        <v>444</v>
      </c>
      <c r="C8" s="34" t="s">
        <v>36</v>
      </c>
      <c r="D8" s="34" t="s">
        <v>534</v>
      </c>
      <c r="E8" s="34" t="s">
        <v>27</v>
      </c>
      <c r="F8" s="34">
        <v>262518</v>
      </c>
      <c r="G8" s="34" t="s">
        <v>581</v>
      </c>
      <c r="H8" s="34">
        <v>200</v>
      </c>
      <c r="I8" s="35">
        <v>1.2430000000000001</v>
      </c>
      <c r="J8" s="35">
        <v>1.5249999999999999</v>
      </c>
      <c r="K8" s="34" t="s">
        <v>583</v>
      </c>
      <c r="L8" s="31">
        <v>379.11500000000001</v>
      </c>
      <c r="M8" s="33">
        <v>305</v>
      </c>
      <c r="N8" s="30">
        <v>8.4699999999999998E-2</v>
      </c>
      <c r="O8" s="32">
        <v>5.08</v>
      </c>
      <c r="P8" s="29">
        <v>130.80000000000001</v>
      </c>
      <c r="Q8" s="29">
        <v>1</v>
      </c>
      <c r="R8" s="29">
        <v>1300</v>
      </c>
      <c r="S8" s="31">
        <v>1.2430000000000001</v>
      </c>
      <c r="T8" s="29">
        <v>57</v>
      </c>
      <c r="U8" s="30">
        <v>4.3799999999999999E-2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39</v>
      </c>
      <c r="AB8" s="29" t="s">
        <v>582</v>
      </c>
    </row>
    <row r="9" spans="1:28" x14ac:dyDescent="0.3">
      <c r="A9" s="34">
        <v>7</v>
      </c>
      <c r="B9" s="36" t="s">
        <v>444</v>
      </c>
      <c r="C9" s="34" t="s">
        <v>36</v>
      </c>
      <c r="D9" s="34" t="s">
        <v>534</v>
      </c>
      <c r="E9" s="34" t="s">
        <v>27</v>
      </c>
      <c r="F9" s="34">
        <v>262519</v>
      </c>
      <c r="G9" s="34" t="s">
        <v>581</v>
      </c>
      <c r="H9" s="34">
        <v>200</v>
      </c>
      <c r="I9" s="35">
        <v>1.2749999999999999</v>
      </c>
      <c r="J9" s="35">
        <v>1.7569999999999999</v>
      </c>
      <c r="K9" s="34" t="s">
        <v>580</v>
      </c>
      <c r="L9" s="31">
        <v>448.03500000000003</v>
      </c>
      <c r="M9" s="33">
        <v>351.4</v>
      </c>
      <c r="N9" s="30">
        <v>9.7600000000000006E-2</v>
      </c>
      <c r="O9" s="32">
        <v>5.86</v>
      </c>
      <c r="P9" s="29">
        <v>154.6</v>
      </c>
      <c r="Q9" s="29">
        <v>1</v>
      </c>
      <c r="R9" s="29">
        <v>1300</v>
      </c>
      <c r="S9" s="31">
        <v>1.2749999999999999</v>
      </c>
      <c r="T9" s="29">
        <v>25</v>
      </c>
      <c r="U9" s="30">
        <v>1.9199999999999998E-2</v>
      </c>
      <c r="V9" s="29" t="s">
        <v>28</v>
      </c>
      <c r="W9" s="29" t="s">
        <v>28</v>
      </c>
      <c r="X9" s="29" t="s">
        <v>28</v>
      </c>
      <c r="Y9" s="29" t="s">
        <v>27</v>
      </c>
      <c r="Z9" s="29" t="s">
        <v>27</v>
      </c>
      <c r="AA9" s="29" t="s">
        <v>39</v>
      </c>
      <c r="AB9" s="29" t="s">
        <v>579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8500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4847.2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20" t="s">
        <v>554</v>
      </c>
      <c r="B1" s="120" t="s">
        <v>27</v>
      </c>
      <c r="C1" s="120" t="s">
        <v>27</v>
      </c>
      <c r="D1" s="120" t="s">
        <v>27</v>
      </c>
      <c r="E1" s="120" t="s">
        <v>27</v>
      </c>
      <c r="F1" s="120" t="s">
        <v>27</v>
      </c>
      <c r="G1" s="120" t="s">
        <v>27</v>
      </c>
      <c r="H1" s="120" t="s">
        <v>27</v>
      </c>
      <c r="I1" s="120" t="s">
        <v>27</v>
      </c>
      <c r="J1" s="120" t="s">
        <v>27</v>
      </c>
      <c r="K1" s="120" t="s">
        <v>27</v>
      </c>
      <c r="L1" s="120" t="s">
        <v>27</v>
      </c>
      <c r="M1" s="120" t="s">
        <v>27</v>
      </c>
      <c r="N1" s="120" t="s">
        <v>27</v>
      </c>
      <c r="O1" s="120" t="s">
        <v>27</v>
      </c>
      <c r="P1" s="120" t="s">
        <v>27</v>
      </c>
      <c r="Q1" s="120" t="s">
        <v>27</v>
      </c>
      <c r="R1" s="120" t="s">
        <v>27</v>
      </c>
      <c r="S1" s="120" t="s">
        <v>27</v>
      </c>
      <c r="T1" s="120" t="s">
        <v>27</v>
      </c>
      <c r="U1" s="120" t="s">
        <v>27</v>
      </c>
      <c r="V1" s="120" t="s">
        <v>27</v>
      </c>
      <c r="W1" s="120" t="s">
        <v>27</v>
      </c>
      <c r="X1" s="120" t="s">
        <v>27</v>
      </c>
      <c r="Y1" s="120" t="s">
        <v>27</v>
      </c>
      <c r="Z1" s="120" t="s">
        <v>27</v>
      </c>
      <c r="AA1" s="120" t="s">
        <v>27</v>
      </c>
      <c r="AB1" s="120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23" t="s">
        <v>539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40" customFormat="1" ht="25.05" customHeight="1" x14ac:dyDescent="0.3">
      <c r="A3" s="134">
        <v>1</v>
      </c>
      <c r="B3" s="135" t="s">
        <v>416</v>
      </c>
      <c r="C3" s="134" t="s">
        <v>36</v>
      </c>
      <c r="D3" s="134" t="s">
        <v>74</v>
      </c>
      <c r="E3" s="134" t="s">
        <v>27</v>
      </c>
      <c r="F3" s="134">
        <v>262491</v>
      </c>
      <c r="G3" s="134" t="s">
        <v>536</v>
      </c>
      <c r="H3" s="134">
        <v>1300</v>
      </c>
      <c r="I3" s="136">
        <v>0.77500000000000002</v>
      </c>
      <c r="J3" s="136">
        <v>0.99</v>
      </c>
      <c r="K3" s="134" t="s">
        <v>424</v>
      </c>
      <c r="L3" s="136">
        <v>997.42499999999995</v>
      </c>
      <c r="M3" s="137">
        <v>643.5</v>
      </c>
      <c r="N3" s="138">
        <v>8.9399999999999993E-2</v>
      </c>
      <c r="O3" s="139">
        <v>5.36</v>
      </c>
      <c r="P3" s="134">
        <v>344.1</v>
      </c>
      <c r="Q3" s="134">
        <v>2</v>
      </c>
      <c r="R3" s="134">
        <v>1600</v>
      </c>
      <c r="S3" s="136">
        <v>1.55</v>
      </c>
      <c r="T3" s="134">
        <v>50</v>
      </c>
      <c r="U3" s="138">
        <v>3.1300000000000001E-2</v>
      </c>
      <c r="V3" s="134" t="s">
        <v>28</v>
      </c>
      <c r="W3" s="134" t="s">
        <v>28</v>
      </c>
      <c r="X3" s="134" t="s">
        <v>28</v>
      </c>
      <c r="Y3" s="134" t="s">
        <v>27</v>
      </c>
      <c r="Z3" s="134" t="s">
        <v>27</v>
      </c>
      <c r="AA3" s="134" t="s">
        <v>33</v>
      </c>
      <c r="AB3" s="134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40" customFormat="1" ht="25.05" customHeight="1" x14ac:dyDescent="0.3">
      <c r="A5" s="134">
        <v>2</v>
      </c>
      <c r="B5" s="135" t="s">
        <v>416</v>
      </c>
      <c r="C5" s="134" t="s">
        <v>36</v>
      </c>
      <c r="D5" s="134" t="s">
        <v>74</v>
      </c>
      <c r="E5" s="134" t="s">
        <v>27</v>
      </c>
      <c r="F5" s="134">
        <v>262492</v>
      </c>
      <c r="G5" s="134" t="s">
        <v>536</v>
      </c>
      <c r="H5" s="134">
        <v>3000</v>
      </c>
      <c r="I5" s="136">
        <v>0.43</v>
      </c>
      <c r="J5" s="136">
        <v>0.65</v>
      </c>
      <c r="K5" s="134" t="s">
        <v>34</v>
      </c>
      <c r="L5" s="136">
        <v>838.5</v>
      </c>
      <c r="M5" s="137">
        <v>650</v>
      </c>
      <c r="N5" s="138">
        <v>6.0199999999999997E-2</v>
      </c>
      <c r="O5" s="139">
        <v>3.61</v>
      </c>
      <c r="P5" s="134">
        <v>289.3</v>
      </c>
      <c r="Q5" s="134">
        <v>3</v>
      </c>
      <c r="R5" s="134">
        <v>1350</v>
      </c>
      <c r="S5" s="136">
        <v>1.29</v>
      </c>
      <c r="T5" s="134">
        <v>60</v>
      </c>
      <c r="U5" s="138">
        <v>4.4400000000000002E-2</v>
      </c>
      <c r="V5" s="134" t="s">
        <v>28</v>
      </c>
      <c r="W5" s="134" t="s">
        <v>28</v>
      </c>
      <c r="X5" s="134" t="s">
        <v>28</v>
      </c>
      <c r="Y5" s="134" t="s">
        <v>27</v>
      </c>
      <c r="Z5" s="134" t="s">
        <v>27</v>
      </c>
      <c r="AA5" s="134" t="s">
        <v>33</v>
      </c>
      <c r="AB5" s="134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3" sqref="A3:XFD4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22" t="s">
        <v>535</v>
      </c>
      <c r="B1" s="122" t="s">
        <v>27</v>
      </c>
      <c r="C1" s="122" t="s">
        <v>27</v>
      </c>
      <c r="D1" s="122" t="s">
        <v>27</v>
      </c>
      <c r="E1" s="122" t="s">
        <v>27</v>
      </c>
      <c r="F1" s="122" t="s">
        <v>27</v>
      </c>
      <c r="G1" s="122" t="s">
        <v>27</v>
      </c>
      <c r="H1" s="122" t="s">
        <v>27</v>
      </c>
      <c r="I1" s="122" t="s">
        <v>27</v>
      </c>
      <c r="J1" s="122" t="s">
        <v>27</v>
      </c>
      <c r="K1" s="122" t="s">
        <v>27</v>
      </c>
      <c r="L1" s="122" t="s">
        <v>27</v>
      </c>
      <c r="M1" s="122" t="s">
        <v>27</v>
      </c>
      <c r="N1" s="122" t="s">
        <v>27</v>
      </c>
      <c r="O1" s="122" t="s">
        <v>27</v>
      </c>
      <c r="P1" s="122" t="s">
        <v>27</v>
      </c>
      <c r="Q1" s="122" t="s">
        <v>27</v>
      </c>
      <c r="R1" s="122" t="s">
        <v>27</v>
      </c>
      <c r="S1" s="122" t="s">
        <v>27</v>
      </c>
      <c r="T1" s="122" t="s">
        <v>27</v>
      </c>
      <c r="U1" s="122" t="s">
        <v>27</v>
      </c>
      <c r="V1" s="122" t="s">
        <v>27</v>
      </c>
      <c r="W1" s="122" t="s">
        <v>27</v>
      </c>
      <c r="X1" s="122" t="s">
        <v>27</v>
      </c>
      <c r="Y1" s="122" t="s">
        <v>27</v>
      </c>
      <c r="Z1" s="122" t="s">
        <v>27</v>
      </c>
      <c r="AA1" s="122" t="s">
        <v>27</v>
      </c>
      <c r="AB1" s="122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E21" sqref="E21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20" t="s">
        <v>531</v>
      </c>
      <c r="B1" s="120" t="s">
        <v>27</v>
      </c>
      <c r="C1" s="120" t="s">
        <v>27</v>
      </c>
      <c r="D1" s="120" t="s">
        <v>27</v>
      </c>
      <c r="E1" s="120" t="s">
        <v>27</v>
      </c>
      <c r="F1" s="120" t="s">
        <v>27</v>
      </c>
      <c r="G1" s="120" t="s">
        <v>27</v>
      </c>
      <c r="H1" s="120" t="s">
        <v>27</v>
      </c>
      <c r="I1" s="120" t="s">
        <v>27</v>
      </c>
      <c r="J1" s="120" t="s">
        <v>27</v>
      </c>
      <c r="K1" s="120" t="s">
        <v>27</v>
      </c>
      <c r="L1" s="120" t="s">
        <v>27</v>
      </c>
      <c r="M1" s="120" t="s">
        <v>27</v>
      </c>
      <c r="N1" s="120" t="s">
        <v>27</v>
      </c>
      <c r="O1" s="120" t="s">
        <v>27</v>
      </c>
      <c r="P1" s="120" t="s">
        <v>27</v>
      </c>
      <c r="Q1" s="120" t="s">
        <v>27</v>
      </c>
      <c r="R1" s="120" t="s">
        <v>27</v>
      </c>
      <c r="S1" s="120" t="s">
        <v>27</v>
      </c>
      <c r="T1" s="120" t="s">
        <v>27</v>
      </c>
      <c r="U1" s="120" t="s">
        <v>27</v>
      </c>
      <c r="V1" s="120" t="s">
        <v>27</v>
      </c>
      <c r="W1" s="120" t="s">
        <v>27</v>
      </c>
      <c r="X1" s="120" t="s">
        <v>27</v>
      </c>
      <c r="Y1" s="120" t="s">
        <v>27</v>
      </c>
      <c r="Z1" s="120" t="s">
        <v>27</v>
      </c>
      <c r="AA1" s="120" t="s">
        <v>27</v>
      </c>
      <c r="AB1" s="120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Z16" sqref="Z1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21" t="s">
        <v>523</v>
      </c>
      <c r="B1" s="121" t="s">
        <v>27</v>
      </c>
      <c r="C1" s="121" t="s">
        <v>27</v>
      </c>
      <c r="D1" s="121" t="s">
        <v>27</v>
      </c>
      <c r="E1" s="121" t="s">
        <v>27</v>
      </c>
      <c r="F1" s="121" t="s">
        <v>27</v>
      </c>
      <c r="G1" s="121" t="s">
        <v>27</v>
      </c>
      <c r="H1" s="121" t="s">
        <v>27</v>
      </c>
      <c r="I1" s="121" t="s">
        <v>27</v>
      </c>
      <c r="J1" s="121" t="s">
        <v>27</v>
      </c>
      <c r="K1" s="121" t="s">
        <v>27</v>
      </c>
      <c r="L1" s="121" t="s">
        <v>27</v>
      </c>
      <c r="M1" s="121" t="s">
        <v>27</v>
      </c>
      <c r="N1" s="121" t="s">
        <v>27</v>
      </c>
      <c r="O1" s="121" t="s">
        <v>27</v>
      </c>
      <c r="P1" s="121" t="s">
        <v>27</v>
      </c>
      <c r="Q1" s="121" t="s">
        <v>27</v>
      </c>
      <c r="R1" s="121" t="s">
        <v>27</v>
      </c>
      <c r="S1" s="121" t="s">
        <v>27</v>
      </c>
      <c r="T1" s="121" t="s">
        <v>27</v>
      </c>
      <c r="U1" s="121" t="s">
        <v>27</v>
      </c>
      <c r="V1" s="121" t="s">
        <v>27</v>
      </c>
      <c r="W1" s="121" t="s">
        <v>27</v>
      </c>
      <c r="X1" s="121" t="s">
        <v>27</v>
      </c>
      <c r="Y1" s="121" t="s">
        <v>27</v>
      </c>
      <c r="Z1" s="121" t="s">
        <v>27</v>
      </c>
      <c r="AA1" s="121" t="s">
        <v>27</v>
      </c>
      <c r="AB1" s="121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25" t="s">
        <v>512</v>
      </c>
      <c r="B1" s="125" t="s">
        <v>27</v>
      </c>
      <c r="C1" s="125" t="s">
        <v>27</v>
      </c>
      <c r="D1" s="125" t="s">
        <v>27</v>
      </c>
      <c r="E1" s="125" t="s">
        <v>27</v>
      </c>
      <c r="F1" s="125" t="s">
        <v>27</v>
      </c>
      <c r="G1" s="125" t="s">
        <v>27</v>
      </c>
      <c r="H1" s="125" t="s">
        <v>27</v>
      </c>
      <c r="I1" s="125" t="s">
        <v>27</v>
      </c>
      <c r="J1" s="125" t="s">
        <v>27</v>
      </c>
      <c r="K1" s="125" t="s">
        <v>27</v>
      </c>
      <c r="L1" s="125" t="s">
        <v>27</v>
      </c>
      <c r="M1" s="125" t="s">
        <v>27</v>
      </c>
      <c r="N1" s="125" t="s">
        <v>27</v>
      </c>
      <c r="O1" s="125" t="s">
        <v>27</v>
      </c>
      <c r="P1" s="125" t="s">
        <v>27</v>
      </c>
      <c r="Q1" s="125" t="s">
        <v>27</v>
      </c>
      <c r="R1" s="125" t="s">
        <v>27</v>
      </c>
      <c r="S1" s="125" t="s">
        <v>27</v>
      </c>
      <c r="T1" s="125" t="s">
        <v>27</v>
      </c>
      <c r="U1" s="125" t="s">
        <v>27</v>
      </c>
      <c r="V1" s="125" t="s">
        <v>27</v>
      </c>
      <c r="W1" s="125" t="s">
        <v>27</v>
      </c>
      <c r="X1" s="125" t="s">
        <v>27</v>
      </c>
      <c r="Y1" s="125" t="s">
        <v>27</v>
      </c>
      <c r="Z1" s="125" t="s">
        <v>27</v>
      </c>
      <c r="AA1" s="125" t="s">
        <v>27</v>
      </c>
      <c r="AB1" s="125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8">
        <v>1</v>
      </c>
      <c r="B3" s="129" t="s">
        <v>135</v>
      </c>
      <c r="C3" s="128" t="s">
        <v>26</v>
      </c>
      <c r="D3" s="128" t="s">
        <v>457</v>
      </c>
      <c r="E3" s="128" t="s">
        <v>27</v>
      </c>
      <c r="F3" s="128">
        <v>262470</v>
      </c>
      <c r="G3" s="128" t="s">
        <v>498</v>
      </c>
      <c r="H3" s="128">
        <v>500</v>
      </c>
      <c r="I3" s="130">
        <v>0.68400000000000005</v>
      </c>
      <c r="J3" s="130">
        <v>3.13</v>
      </c>
      <c r="K3" s="128" t="s">
        <v>511</v>
      </c>
      <c r="L3" s="130">
        <v>1070.46</v>
      </c>
      <c r="M3" s="131">
        <v>782.5</v>
      </c>
      <c r="N3" s="132">
        <v>0.1087</v>
      </c>
      <c r="O3" s="133">
        <v>6.52</v>
      </c>
      <c r="P3" s="128">
        <v>634.79999999999995</v>
      </c>
      <c r="Q3" s="128">
        <v>2</v>
      </c>
      <c r="R3" s="128">
        <v>1400</v>
      </c>
      <c r="S3" s="130">
        <v>1.3680000000000001</v>
      </c>
      <c r="T3" s="128">
        <v>32</v>
      </c>
      <c r="U3" s="132">
        <v>2.29E-2</v>
      </c>
      <c r="V3" s="128" t="s">
        <v>28</v>
      </c>
      <c r="W3" s="128" t="s">
        <v>29</v>
      </c>
      <c r="X3" s="128" t="s">
        <v>28</v>
      </c>
      <c r="Y3" s="128" t="s">
        <v>28</v>
      </c>
      <c r="Z3" s="128" t="s">
        <v>28</v>
      </c>
      <c r="AA3" s="128" t="s">
        <v>30</v>
      </c>
      <c r="AB3" s="128" t="s">
        <v>510</v>
      </c>
    </row>
    <row r="4" spans="1:28" customFormat="1" x14ac:dyDescent="0.3">
      <c r="A4" s="128">
        <v>2</v>
      </c>
      <c r="B4" s="129" t="s">
        <v>135</v>
      </c>
      <c r="C4" s="128" t="s">
        <v>26</v>
      </c>
      <c r="D4" s="128" t="s">
        <v>457</v>
      </c>
      <c r="E4" s="128" t="s">
        <v>27</v>
      </c>
      <c r="F4" s="128">
        <v>262469</v>
      </c>
      <c r="G4" s="128" t="s">
        <v>498</v>
      </c>
      <c r="H4" s="128">
        <v>1000</v>
      </c>
      <c r="I4" s="130">
        <v>0.68600000000000005</v>
      </c>
      <c r="J4" s="130">
        <v>2.4700000000000002</v>
      </c>
      <c r="K4" s="128" t="s">
        <v>509</v>
      </c>
      <c r="L4" s="130">
        <v>1694.42</v>
      </c>
      <c r="M4" s="131">
        <v>1235</v>
      </c>
      <c r="N4" s="132">
        <v>0.17150000000000001</v>
      </c>
      <c r="O4" s="133">
        <v>10.29</v>
      </c>
      <c r="P4" s="128">
        <v>1004.8</v>
      </c>
      <c r="Q4" s="128">
        <v>2</v>
      </c>
      <c r="R4" s="128">
        <v>1400</v>
      </c>
      <c r="S4" s="130">
        <v>1.3720000000000001</v>
      </c>
      <c r="T4" s="128">
        <v>28</v>
      </c>
      <c r="U4" s="132">
        <v>0.02</v>
      </c>
      <c r="V4" s="128" t="s">
        <v>28</v>
      </c>
      <c r="W4" s="128" t="s">
        <v>29</v>
      </c>
      <c r="X4" s="128" t="s">
        <v>28</v>
      </c>
      <c r="Y4" s="128" t="s">
        <v>28</v>
      </c>
      <c r="Z4" s="128" t="s">
        <v>28</v>
      </c>
      <c r="AA4" s="128" t="s">
        <v>41</v>
      </c>
      <c r="AB4" s="128" t="s">
        <v>508</v>
      </c>
    </row>
    <row r="5" spans="1:28" customFormat="1" x14ac:dyDescent="0.3">
      <c r="A5" s="128">
        <v>3</v>
      </c>
      <c r="B5" s="129" t="s">
        <v>135</v>
      </c>
      <c r="C5" s="128" t="s">
        <v>26</v>
      </c>
      <c r="D5" s="128" t="s">
        <v>457</v>
      </c>
      <c r="E5" s="128" t="s">
        <v>27</v>
      </c>
      <c r="F5" s="128">
        <v>262472</v>
      </c>
      <c r="G5" s="128" t="s">
        <v>498</v>
      </c>
      <c r="H5" s="128">
        <v>300</v>
      </c>
      <c r="I5" s="130">
        <v>1.216</v>
      </c>
      <c r="J5" s="130">
        <v>2.298</v>
      </c>
      <c r="K5" s="128" t="s">
        <v>34</v>
      </c>
      <c r="L5" s="130">
        <v>838.31</v>
      </c>
      <c r="M5" s="131">
        <v>689.4</v>
      </c>
      <c r="N5" s="132">
        <v>0.1915</v>
      </c>
      <c r="O5" s="133">
        <v>11.49</v>
      </c>
      <c r="P5" s="128">
        <v>497.1</v>
      </c>
      <c r="Q5" s="128">
        <v>1</v>
      </c>
      <c r="R5" s="128">
        <v>1250</v>
      </c>
      <c r="S5" s="130">
        <v>1.216</v>
      </c>
      <c r="T5" s="128">
        <v>34</v>
      </c>
      <c r="U5" s="132">
        <v>2.7199999999999998E-2</v>
      </c>
      <c r="V5" s="128" t="s">
        <v>28</v>
      </c>
      <c r="W5" s="128" t="s">
        <v>29</v>
      </c>
      <c r="X5" s="128" t="s">
        <v>28</v>
      </c>
      <c r="Y5" s="128" t="s">
        <v>28</v>
      </c>
      <c r="Z5" s="128" t="s">
        <v>28</v>
      </c>
      <c r="AA5" s="128" t="s">
        <v>33</v>
      </c>
      <c r="AB5" s="128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8">
        <v>5</v>
      </c>
      <c r="B7" s="129" t="s">
        <v>135</v>
      </c>
      <c r="C7" s="128" t="s">
        <v>26</v>
      </c>
      <c r="D7" s="128" t="s">
        <v>457</v>
      </c>
      <c r="E7" s="128" t="s">
        <v>27</v>
      </c>
      <c r="F7" s="128">
        <v>262471</v>
      </c>
      <c r="G7" s="128" t="s">
        <v>498</v>
      </c>
      <c r="H7" s="128">
        <v>500</v>
      </c>
      <c r="I7" s="130">
        <v>0.93600000000000005</v>
      </c>
      <c r="J7" s="130">
        <v>3.12</v>
      </c>
      <c r="K7" s="128" t="s">
        <v>504</v>
      </c>
      <c r="L7" s="130">
        <v>1460.16</v>
      </c>
      <c r="M7" s="131">
        <v>1560</v>
      </c>
      <c r="N7" s="132">
        <v>0.43330000000000002</v>
      </c>
      <c r="O7" s="133">
        <v>26</v>
      </c>
      <c r="P7" s="128">
        <v>865.9</v>
      </c>
      <c r="Q7" s="128">
        <v>1</v>
      </c>
      <c r="R7" s="128">
        <v>1000</v>
      </c>
      <c r="S7" s="130">
        <v>0.93600000000000005</v>
      </c>
      <c r="T7" s="128">
        <v>64</v>
      </c>
      <c r="U7" s="132">
        <v>6.4000000000000001E-2</v>
      </c>
      <c r="V7" s="128" t="s">
        <v>28</v>
      </c>
      <c r="W7" s="128" t="s">
        <v>29</v>
      </c>
      <c r="X7" s="128" t="s">
        <v>28</v>
      </c>
      <c r="Y7" s="128" t="s">
        <v>28</v>
      </c>
      <c r="Z7" s="128" t="s">
        <v>28</v>
      </c>
      <c r="AA7" s="128" t="s">
        <v>30</v>
      </c>
      <c r="AB7" s="128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8">
        <v>8</v>
      </c>
      <c r="B10" s="129" t="s">
        <v>135</v>
      </c>
      <c r="C10" s="128" t="s">
        <v>36</v>
      </c>
      <c r="D10" s="128" t="s">
        <v>457</v>
      </c>
      <c r="E10" s="128" t="s">
        <v>27</v>
      </c>
      <c r="F10" s="128">
        <v>262473</v>
      </c>
      <c r="G10" s="128" t="s">
        <v>498</v>
      </c>
      <c r="H10" s="128">
        <v>1960</v>
      </c>
      <c r="I10" s="130">
        <v>0.51400000000000001</v>
      </c>
      <c r="J10" s="130">
        <v>0.96</v>
      </c>
      <c r="K10" s="128" t="s">
        <v>500</v>
      </c>
      <c r="L10" s="130">
        <v>967.14200000000005</v>
      </c>
      <c r="M10" s="131">
        <v>940.8</v>
      </c>
      <c r="N10" s="132">
        <v>0.13070000000000001</v>
      </c>
      <c r="O10" s="133">
        <v>7.84</v>
      </c>
      <c r="P10" s="128">
        <v>333.7</v>
      </c>
      <c r="Q10" s="128">
        <v>2</v>
      </c>
      <c r="R10" s="128">
        <v>1050</v>
      </c>
      <c r="S10" s="130">
        <v>1.028</v>
      </c>
      <c r="T10" s="128">
        <v>22</v>
      </c>
      <c r="U10" s="132">
        <v>2.1000000000000001E-2</v>
      </c>
      <c r="V10" s="128" t="s">
        <v>28</v>
      </c>
      <c r="W10" s="128" t="s">
        <v>28</v>
      </c>
      <c r="X10" s="128" t="s">
        <v>28</v>
      </c>
      <c r="Y10" s="128" t="s">
        <v>27</v>
      </c>
      <c r="Z10" s="128" t="s">
        <v>27</v>
      </c>
      <c r="AA10" s="128" t="s">
        <v>33</v>
      </c>
      <c r="AB10" s="128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scale="98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2"/>
  <sheetViews>
    <sheetView workbookViewId="0">
      <selection activeCell="H12" sqref="H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22" t="s">
        <v>496</v>
      </c>
      <c r="B1" s="122" t="s">
        <v>27</v>
      </c>
      <c r="C1" s="122" t="s">
        <v>27</v>
      </c>
      <c r="D1" s="122" t="s">
        <v>27</v>
      </c>
      <c r="E1" s="122" t="s">
        <v>27</v>
      </c>
      <c r="F1" s="122" t="s">
        <v>27</v>
      </c>
      <c r="G1" s="122" t="s">
        <v>27</v>
      </c>
      <c r="H1" s="122" t="s">
        <v>27</v>
      </c>
      <c r="I1" s="122" t="s">
        <v>27</v>
      </c>
      <c r="J1" s="122" t="s">
        <v>27</v>
      </c>
      <c r="K1" s="122" t="s">
        <v>27</v>
      </c>
      <c r="L1" s="122" t="s">
        <v>27</v>
      </c>
      <c r="M1" s="122" t="s">
        <v>27</v>
      </c>
      <c r="N1" s="122" t="s">
        <v>27</v>
      </c>
      <c r="O1" s="122" t="s">
        <v>27</v>
      </c>
      <c r="P1" s="122" t="s">
        <v>27</v>
      </c>
      <c r="Q1" s="122" t="s">
        <v>27</v>
      </c>
      <c r="R1" s="122" t="s">
        <v>27</v>
      </c>
      <c r="S1" s="122" t="s">
        <v>27</v>
      </c>
      <c r="T1" s="122" t="s">
        <v>27</v>
      </c>
      <c r="U1" s="122" t="s">
        <v>27</v>
      </c>
      <c r="V1" s="122" t="s">
        <v>27</v>
      </c>
      <c r="W1" s="122" t="s">
        <v>27</v>
      </c>
      <c r="X1" s="122" t="s">
        <v>27</v>
      </c>
      <c r="Y1" s="122" t="s">
        <v>27</v>
      </c>
      <c r="Z1" s="122" t="s">
        <v>27</v>
      </c>
      <c r="AA1" s="122" t="s">
        <v>27</v>
      </c>
      <c r="AB1" s="122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41">
        <v>1</v>
      </c>
      <c r="B3" s="142" t="s">
        <v>63</v>
      </c>
      <c r="C3" s="141" t="s">
        <v>26</v>
      </c>
      <c r="D3" s="141" t="s">
        <v>534</v>
      </c>
      <c r="E3" s="141" t="s">
        <v>27</v>
      </c>
      <c r="F3" s="141">
        <v>262507</v>
      </c>
      <c r="G3" s="141" t="s">
        <v>557</v>
      </c>
      <c r="H3" s="141">
        <v>550</v>
      </c>
      <c r="I3" s="143">
        <v>0.77200000000000002</v>
      </c>
      <c r="J3" s="143">
        <v>1.76</v>
      </c>
      <c r="K3" s="141" t="s">
        <v>556</v>
      </c>
      <c r="L3" s="143">
        <v>747.29600000000005</v>
      </c>
      <c r="M3" s="144">
        <v>484</v>
      </c>
      <c r="N3" s="145">
        <v>6.7199999999999996E-2</v>
      </c>
      <c r="O3" s="146">
        <v>4.03</v>
      </c>
      <c r="P3" s="141">
        <v>443.1</v>
      </c>
      <c r="Q3" s="141">
        <v>2</v>
      </c>
      <c r="R3" s="141">
        <v>1600</v>
      </c>
      <c r="S3" s="143">
        <v>1.544</v>
      </c>
      <c r="T3" s="141">
        <v>56</v>
      </c>
      <c r="U3" s="145">
        <v>3.5000000000000003E-2</v>
      </c>
      <c r="V3" s="141" t="s">
        <v>28</v>
      </c>
      <c r="W3" s="141" t="s">
        <v>29</v>
      </c>
      <c r="X3" s="141" t="s">
        <v>28</v>
      </c>
      <c r="Y3" s="141" t="s">
        <v>28</v>
      </c>
      <c r="Z3" s="141" t="s">
        <v>28</v>
      </c>
      <c r="AA3" s="141" t="s">
        <v>30</v>
      </c>
      <c r="AB3" s="141" t="s">
        <v>555</v>
      </c>
    </row>
    <row r="4" spans="1:28" s="38" customFormat="1" ht="25.05" customHeight="1" x14ac:dyDescent="0.3">
      <c r="A4" s="141">
        <v>2</v>
      </c>
      <c r="B4" s="142" t="s">
        <v>63</v>
      </c>
      <c r="C4" s="141" t="s">
        <v>26</v>
      </c>
      <c r="D4" s="141" t="s">
        <v>457</v>
      </c>
      <c r="E4" s="141" t="s">
        <v>27</v>
      </c>
      <c r="F4" s="141">
        <v>262506</v>
      </c>
      <c r="G4" s="141" t="s">
        <v>560</v>
      </c>
      <c r="H4" s="141">
        <v>1300</v>
      </c>
      <c r="I4" s="143">
        <v>0.66800000000000004</v>
      </c>
      <c r="J4" s="143">
        <v>1.548</v>
      </c>
      <c r="K4" s="141" t="s">
        <v>559</v>
      </c>
      <c r="L4" s="143">
        <v>1344.2829999999999</v>
      </c>
      <c r="M4" s="144">
        <v>1006.2</v>
      </c>
      <c r="N4" s="145">
        <v>0.13969999999999999</v>
      </c>
      <c r="O4" s="146">
        <v>8.3800000000000008</v>
      </c>
      <c r="P4" s="141">
        <v>797.2</v>
      </c>
      <c r="Q4" s="141">
        <v>2</v>
      </c>
      <c r="R4" s="141">
        <v>1400</v>
      </c>
      <c r="S4" s="143">
        <v>1.3360000000000001</v>
      </c>
      <c r="T4" s="141">
        <v>64</v>
      </c>
      <c r="U4" s="145">
        <v>4.5699999999999998E-2</v>
      </c>
      <c r="V4" s="141" t="s">
        <v>28</v>
      </c>
      <c r="W4" s="141" t="s">
        <v>29</v>
      </c>
      <c r="X4" s="141" t="s">
        <v>28</v>
      </c>
      <c r="Y4" s="141" t="s">
        <v>28</v>
      </c>
      <c r="Z4" s="141" t="s">
        <v>28</v>
      </c>
      <c r="AA4" s="141" t="s">
        <v>57</v>
      </c>
      <c r="AB4" s="141" t="s">
        <v>558</v>
      </c>
    </row>
    <row r="5" spans="1:28" s="12" customFormat="1" ht="25.05" customHeight="1" x14ac:dyDescent="0.3">
      <c r="A5" s="5">
        <v>1</v>
      </c>
      <c r="B5" s="10" t="s">
        <v>63</v>
      </c>
      <c r="C5" s="5" t="s">
        <v>26</v>
      </c>
      <c r="D5" s="5" t="s">
        <v>489</v>
      </c>
      <c r="E5" s="5" t="s">
        <v>27</v>
      </c>
      <c r="F5" s="5">
        <v>262467</v>
      </c>
      <c r="G5" s="5" t="s">
        <v>488</v>
      </c>
      <c r="H5" s="5">
        <v>800</v>
      </c>
      <c r="I5" s="7">
        <v>0.56799999999999995</v>
      </c>
      <c r="J5" s="7">
        <v>1.508</v>
      </c>
      <c r="K5" s="5" t="s">
        <v>495</v>
      </c>
      <c r="L5" s="7">
        <v>685.23500000000001</v>
      </c>
      <c r="M5" s="9">
        <v>603.20000000000005</v>
      </c>
      <c r="N5" s="6">
        <v>8.3799999999999999E-2</v>
      </c>
      <c r="O5" s="8">
        <v>5.03</v>
      </c>
      <c r="P5" s="5">
        <v>406.3</v>
      </c>
      <c r="Q5" s="5">
        <v>2</v>
      </c>
      <c r="R5" s="5">
        <v>1200</v>
      </c>
      <c r="S5" s="7">
        <v>1.1359999999999999</v>
      </c>
      <c r="T5" s="5">
        <v>64</v>
      </c>
      <c r="U5" s="6">
        <v>5.33E-2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494</v>
      </c>
    </row>
    <row r="6" spans="1:28" s="12" customFormat="1" ht="25.05" customHeight="1" x14ac:dyDescent="0.3">
      <c r="A6" s="5">
        <v>2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262468</v>
      </c>
      <c r="G6" s="5" t="s">
        <v>488</v>
      </c>
      <c r="H6" s="5">
        <v>1000</v>
      </c>
      <c r="I6" s="7">
        <v>0.46400000000000002</v>
      </c>
      <c r="J6" s="7">
        <v>1.208</v>
      </c>
      <c r="K6" s="5" t="s">
        <v>493</v>
      </c>
      <c r="L6" s="7">
        <v>560.51199999999994</v>
      </c>
      <c r="M6" s="9">
        <v>604</v>
      </c>
      <c r="N6" s="6">
        <v>8.3900000000000002E-2</v>
      </c>
      <c r="O6" s="8">
        <v>5.03</v>
      </c>
      <c r="P6" s="5">
        <v>332.4</v>
      </c>
      <c r="Q6" s="5">
        <v>2</v>
      </c>
      <c r="R6" s="5">
        <v>950</v>
      </c>
      <c r="S6" s="7">
        <v>0.92800000000000005</v>
      </c>
      <c r="T6" s="5">
        <v>22</v>
      </c>
      <c r="U6" s="6">
        <v>2.3199999999999998E-2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492</v>
      </c>
    </row>
    <row r="7" spans="1:28" s="12" customFormat="1" ht="25.05" customHeight="1" x14ac:dyDescent="0.3">
      <c r="A7" s="5">
        <v>3</v>
      </c>
      <c r="B7" s="10" t="s">
        <v>63</v>
      </c>
      <c r="C7" s="5" t="s">
        <v>65</v>
      </c>
      <c r="D7" s="5" t="s">
        <v>489</v>
      </c>
      <c r="E7" s="5" t="s">
        <v>27</v>
      </c>
      <c r="F7" s="5">
        <v>262465</v>
      </c>
      <c r="G7" s="5" t="s">
        <v>488</v>
      </c>
      <c r="H7" s="5">
        <v>900</v>
      </c>
      <c r="I7" s="7">
        <v>0.78200000000000003</v>
      </c>
      <c r="J7" s="7">
        <v>1.5680000000000001</v>
      </c>
      <c r="K7" s="5" t="s">
        <v>491</v>
      </c>
      <c r="L7" s="7">
        <v>1103.558</v>
      </c>
      <c r="M7" s="9">
        <v>705.6</v>
      </c>
      <c r="N7" s="6">
        <v>9.8000000000000004E-2</v>
      </c>
      <c r="O7" s="8">
        <v>5.88</v>
      </c>
      <c r="P7" s="5">
        <v>380.7</v>
      </c>
      <c r="Q7" s="5">
        <v>2</v>
      </c>
      <c r="R7" s="5">
        <v>1600</v>
      </c>
      <c r="S7" s="7">
        <v>1.5640000000000001</v>
      </c>
      <c r="T7" s="5">
        <v>36</v>
      </c>
      <c r="U7" s="6">
        <v>2.2499999999999999E-2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30</v>
      </c>
      <c r="AB7" s="5" t="s">
        <v>490</v>
      </c>
    </row>
    <row r="8" spans="1:28" s="38" customFormat="1" ht="25.05" customHeight="1" x14ac:dyDescent="0.3">
      <c r="A8" s="141">
        <v>3</v>
      </c>
      <c r="B8" s="142" t="s">
        <v>63</v>
      </c>
      <c r="C8" s="141" t="s">
        <v>65</v>
      </c>
      <c r="D8" s="141" t="s">
        <v>534</v>
      </c>
      <c r="E8" s="141" t="s">
        <v>27</v>
      </c>
      <c r="F8" s="141">
        <v>262510</v>
      </c>
      <c r="G8" s="141" t="s">
        <v>557</v>
      </c>
      <c r="H8" s="141">
        <v>1100</v>
      </c>
      <c r="I8" s="143">
        <v>0.77200000000000002</v>
      </c>
      <c r="J8" s="143">
        <v>1.7589999999999999</v>
      </c>
      <c r="K8" s="141" t="s">
        <v>556</v>
      </c>
      <c r="L8" s="143">
        <v>1493.7429999999999</v>
      </c>
      <c r="M8" s="144">
        <v>967.4</v>
      </c>
      <c r="N8" s="145">
        <v>0.13439999999999999</v>
      </c>
      <c r="O8" s="146">
        <v>8.06</v>
      </c>
      <c r="P8" s="141">
        <v>515.29999999999995</v>
      </c>
      <c r="Q8" s="141">
        <v>2</v>
      </c>
      <c r="R8" s="141">
        <v>1600</v>
      </c>
      <c r="S8" s="143">
        <v>1.544</v>
      </c>
      <c r="T8" s="141">
        <v>56</v>
      </c>
      <c r="U8" s="145">
        <v>3.5000000000000003E-2</v>
      </c>
      <c r="V8" s="141" t="s">
        <v>28</v>
      </c>
      <c r="W8" s="141" t="s">
        <v>28</v>
      </c>
      <c r="X8" s="141" t="s">
        <v>28</v>
      </c>
      <c r="Y8" s="141" t="s">
        <v>27</v>
      </c>
      <c r="Z8" s="141" t="s">
        <v>27</v>
      </c>
      <c r="AA8" s="141" t="s">
        <v>32</v>
      </c>
      <c r="AB8" s="141" t="s">
        <v>562</v>
      </c>
    </row>
    <row r="9" spans="1:28" s="38" customFormat="1" ht="25.05" customHeight="1" x14ac:dyDescent="0.3">
      <c r="A9" s="141">
        <v>4</v>
      </c>
      <c r="B9" s="142" t="s">
        <v>63</v>
      </c>
      <c r="C9" s="141" t="s">
        <v>65</v>
      </c>
      <c r="D9" s="141" t="s">
        <v>534</v>
      </c>
      <c r="E9" s="141" t="s">
        <v>27</v>
      </c>
      <c r="F9" s="141">
        <v>262509</v>
      </c>
      <c r="G9" s="141" t="s">
        <v>557</v>
      </c>
      <c r="H9" s="141">
        <v>650</v>
      </c>
      <c r="I9" s="143">
        <v>1.0680000000000001</v>
      </c>
      <c r="J9" s="143">
        <v>1.375</v>
      </c>
      <c r="K9" s="141" t="s">
        <v>120</v>
      </c>
      <c r="L9" s="143">
        <v>954.52499999999998</v>
      </c>
      <c r="M9" s="144">
        <v>893.8</v>
      </c>
      <c r="N9" s="145">
        <v>0.24829999999999999</v>
      </c>
      <c r="O9" s="146">
        <v>14.9</v>
      </c>
      <c r="P9" s="141">
        <v>329.3</v>
      </c>
      <c r="Q9" s="141">
        <v>1</v>
      </c>
      <c r="R9" s="141">
        <v>1100</v>
      </c>
      <c r="S9" s="143">
        <v>1.0680000000000001</v>
      </c>
      <c r="T9" s="141">
        <v>32</v>
      </c>
      <c r="U9" s="145">
        <v>2.9100000000000001E-2</v>
      </c>
      <c r="V9" s="141" t="s">
        <v>28</v>
      </c>
      <c r="W9" s="141" t="s">
        <v>28</v>
      </c>
      <c r="X9" s="141" t="s">
        <v>28</v>
      </c>
      <c r="Y9" s="141" t="s">
        <v>27</v>
      </c>
      <c r="Z9" s="141" t="s">
        <v>27</v>
      </c>
      <c r="AA9" s="141" t="s">
        <v>30</v>
      </c>
      <c r="AB9" s="141" t="s">
        <v>561</v>
      </c>
    </row>
    <row r="10" spans="1:28" s="38" customFormat="1" ht="25.05" customHeight="1" x14ac:dyDescent="0.3">
      <c r="A10" s="141">
        <v>5</v>
      </c>
      <c r="B10" s="142" t="s">
        <v>63</v>
      </c>
      <c r="C10" s="141" t="s">
        <v>36</v>
      </c>
      <c r="D10" s="141" t="s">
        <v>534</v>
      </c>
      <c r="E10" s="141" t="s">
        <v>27</v>
      </c>
      <c r="F10" s="141">
        <v>262508</v>
      </c>
      <c r="G10" s="141" t="s">
        <v>557</v>
      </c>
      <c r="H10" s="141">
        <v>1650</v>
      </c>
      <c r="I10" s="143">
        <v>0.47199999999999998</v>
      </c>
      <c r="J10" s="143">
        <v>1.2589999999999999</v>
      </c>
      <c r="K10" s="141" t="s">
        <v>564</v>
      </c>
      <c r="L10" s="143">
        <v>980.50900000000001</v>
      </c>
      <c r="M10" s="144">
        <v>1038.7</v>
      </c>
      <c r="N10" s="145">
        <v>0.14430000000000001</v>
      </c>
      <c r="O10" s="146">
        <v>8.66</v>
      </c>
      <c r="P10" s="141">
        <v>338.3</v>
      </c>
      <c r="Q10" s="141">
        <v>2</v>
      </c>
      <c r="R10" s="141">
        <v>1000</v>
      </c>
      <c r="S10" s="143">
        <v>0.94399999999999995</v>
      </c>
      <c r="T10" s="141">
        <v>56</v>
      </c>
      <c r="U10" s="145">
        <v>5.6000000000000001E-2</v>
      </c>
      <c r="V10" s="141" t="s">
        <v>28</v>
      </c>
      <c r="W10" s="141" t="s">
        <v>28</v>
      </c>
      <c r="X10" s="141" t="s">
        <v>28</v>
      </c>
      <c r="Y10" s="141" t="s">
        <v>27</v>
      </c>
      <c r="Z10" s="141" t="s">
        <v>27</v>
      </c>
      <c r="AA10" s="141" t="s">
        <v>30</v>
      </c>
      <c r="AB10" s="141" t="s">
        <v>563</v>
      </c>
    </row>
    <row r="11" spans="1:28" s="12" customFormat="1" ht="25.05" customHeight="1" x14ac:dyDescent="0.3">
      <c r="A11" s="5">
        <v>4</v>
      </c>
      <c r="B11" s="10" t="s">
        <v>63</v>
      </c>
      <c r="C11" s="5" t="s">
        <v>36</v>
      </c>
      <c r="D11" s="5" t="s">
        <v>489</v>
      </c>
      <c r="E11" s="5" t="s">
        <v>27</v>
      </c>
      <c r="F11" s="5">
        <v>262466</v>
      </c>
      <c r="G11" s="5" t="s">
        <v>488</v>
      </c>
      <c r="H11" s="5">
        <v>2000</v>
      </c>
      <c r="I11" s="7">
        <v>0.90900000000000003</v>
      </c>
      <c r="J11" s="7">
        <v>0.65900000000000003</v>
      </c>
      <c r="K11" s="5" t="s">
        <v>34</v>
      </c>
      <c r="L11" s="7">
        <v>1198.0619999999999</v>
      </c>
      <c r="M11" s="9">
        <v>1318</v>
      </c>
      <c r="N11" s="6">
        <v>0.36609999999999998</v>
      </c>
      <c r="O11" s="8">
        <v>21.97</v>
      </c>
      <c r="P11" s="5">
        <v>413.3</v>
      </c>
      <c r="Q11" s="5">
        <v>1</v>
      </c>
      <c r="R11" s="5">
        <v>950</v>
      </c>
      <c r="S11" s="7">
        <v>0.90900000000000003</v>
      </c>
      <c r="T11" s="5">
        <v>41</v>
      </c>
      <c r="U11" s="6">
        <v>4.3200000000000002E-2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33</v>
      </c>
      <c r="AB11" s="5" t="s">
        <v>487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f>SUM(H3:H11)</f>
        <v>9950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f>SUM(P3:P11)</f>
        <v>3955.9000000000005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dimension ref="A1:AB8"/>
  <sheetViews>
    <sheetView tabSelected="1" workbookViewId="0">
      <selection activeCell="Y18" sqref="Y18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22" t="s">
        <v>486</v>
      </c>
      <c r="B1" s="122" t="s">
        <v>27</v>
      </c>
      <c r="C1" s="122" t="s">
        <v>27</v>
      </c>
      <c r="D1" s="122" t="s">
        <v>27</v>
      </c>
      <c r="E1" s="122" t="s">
        <v>27</v>
      </c>
      <c r="F1" s="122" t="s">
        <v>27</v>
      </c>
      <c r="G1" s="122" t="s">
        <v>27</v>
      </c>
      <c r="H1" s="122" t="s">
        <v>27</v>
      </c>
      <c r="I1" s="122" t="s">
        <v>27</v>
      </c>
      <c r="J1" s="122" t="s">
        <v>27</v>
      </c>
      <c r="K1" s="122" t="s">
        <v>27</v>
      </c>
      <c r="L1" s="122" t="s">
        <v>27</v>
      </c>
      <c r="M1" s="122" t="s">
        <v>27</v>
      </c>
      <c r="N1" s="122" t="s">
        <v>27</v>
      </c>
      <c r="O1" s="122" t="s">
        <v>27</v>
      </c>
      <c r="P1" s="122" t="s">
        <v>27</v>
      </c>
      <c r="Q1" s="122" t="s">
        <v>27</v>
      </c>
      <c r="R1" s="122" t="s">
        <v>27</v>
      </c>
      <c r="S1" s="122" t="s">
        <v>27</v>
      </c>
      <c r="T1" s="122" t="s">
        <v>27</v>
      </c>
      <c r="U1" s="122" t="s">
        <v>27</v>
      </c>
      <c r="V1" s="122" t="s">
        <v>27</v>
      </c>
      <c r="W1" s="122" t="s">
        <v>27</v>
      </c>
      <c r="X1" s="122" t="s">
        <v>27</v>
      </c>
      <c r="Y1" s="122" t="s">
        <v>27</v>
      </c>
      <c r="Z1" s="122" t="s">
        <v>27</v>
      </c>
      <c r="AA1" s="122" t="s">
        <v>27</v>
      </c>
      <c r="AB1" s="12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57" customFormat="1" ht="25.05" customHeight="1" x14ac:dyDescent="0.3">
      <c r="A4" s="147">
        <v>2</v>
      </c>
      <c r="B4" s="148" t="s">
        <v>480</v>
      </c>
      <c r="C4" s="147" t="s">
        <v>46</v>
      </c>
      <c r="D4" s="147" t="s">
        <v>457</v>
      </c>
      <c r="E4" s="147" t="s">
        <v>27</v>
      </c>
      <c r="F4" s="147">
        <v>262463</v>
      </c>
      <c r="G4" s="147" t="s">
        <v>478</v>
      </c>
      <c r="H4" s="147">
        <v>750</v>
      </c>
      <c r="I4" s="150">
        <v>0.61599999999999999</v>
      </c>
      <c r="J4" s="150">
        <v>1.56</v>
      </c>
      <c r="K4" s="156" t="s">
        <v>482</v>
      </c>
      <c r="L4" s="151">
        <v>773.37</v>
      </c>
      <c r="M4" s="152">
        <v>585</v>
      </c>
      <c r="N4" s="153">
        <v>8.1299999999999997E-2</v>
      </c>
      <c r="O4" s="154">
        <v>4.88</v>
      </c>
      <c r="P4" s="155">
        <v>330.6</v>
      </c>
      <c r="Q4" s="155">
        <v>2</v>
      </c>
      <c r="R4" s="155">
        <v>1350</v>
      </c>
      <c r="S4" s="151">
        <v>1.3220000000000001</v>
      </c>
      <c r="T4" s="155">
        <v>28</v>
      </c>
      <c r="U4" s="153">
        <v>2.07E-2</v>
      </c>
      <c r="V4" s="155" t="s">
        <v>42</v>
      </c>
      <c r="W4" s="155" t="s">
        <v>42</v>
      </c>
      <c r="X4" s="155" t="s">
        <v>42</v>
      </c>
      <c r="Y4" s="155" t="s">
        <v>27</v>
      </c>
      <c r="Z4" s="155" t="s">
        <v>27</v>
      </c>
      <c r="AA4" s="155" t="s">
        <v>30</v>
      </c>
      <c r="AB4" s="155" t="s">
        <v>481</v>
      </c>
    </row>
    <row r="5" spans="1:28" s="104" customFormat="1" ht="25.05" customHeight="1" x14ac:dyDescent="0.3">
      <c r="A5" s="147"/>
      <c r="B5" s="148" t="s">
        <v>480</v>
      </c>
      <c r="C5" s="147" t="s">
        <v>36</v>
      </c>
      <c r="D5" s="149">
        <v>46269</v>
      </c>
      <c r="E5" s="147"/>
      <c r="F5" s="147">
        <v>262511</v>
      </c>
      <c r="G5" s="147">
        <v>64</v>
      </c>
      <c r="H5" s="147">
        <v>3000</v>
      </c>
      <c r="I5" s="150">
        <v>0.309</v>
      </c>
      <c r="J5" s="150">
        <v>0.76200000000000001</v>
      </c>
      <c r="K5" s="156" t="s">
        <v>565</v>
      </c>
      <c r="L5" s="151">
        <v>706374</v>
      </c>
      <c r="M5" s="152" t="s">
        <v>566</v>
      </c>
      <c r="N5" s="153" t="s">
        <v>567</v>
      </c>
      <c r="O5" s="154" t="s">
        <v>568</v>
      </c>
      <c r="P5" s="155">
        <v>243.7</v>
      </c>
      <c r="Q5" s="155">
        <v>2</v>
      </c>
      <c r="R5" s="155">
        <v>650</v>
      </c>
      <c r="S5" s="151" t="s">
        <v>569</v>
      </c>
      <c r="T5" s="155">
        <v>32</v>
      </c>
      <c r="U5" s="153" t="s">
        <v>570</v>
      </c>
      <c r="V5" s="155" t="s">
        <v>28</v>
      </c>
      <c r="W5" s="155" t="s">
        <v>28</v>
      </c>
      <c r="X5" s="155" t="s">
        <v>28</v>
      </c>
      <c r="Y5" s="155"/>
      <c r="Z5" s="155"/>
      <c r="AA5" s="155">
        <v>2</v>
      </c>
      <c r="AB5" s="155" t="s">
        <v>571</v>
      </c>
    </row>
    <row r="6" spans="1:28" s="104" customFormat="1" ht="25.05" customHeight="1" x14ac:dyDescent="0.3">
      <c r="A6" s="147"/>
      <c r="B6" s="148" t="s">
        <v>480</v>
      </c>
      <c r="C6" s="147" t="s">
        <v>36</v>
      </c>
      <c r="D6" s="149">
        <v>46273</v>
      </c>
      <c r="E6" s="147"/>
      <c r="F6" s="147">
        <v>262512</v>
      </c>
      <c r="G6" s="147">
        <v>65</v>
      </c>
      <c r="H6" s="147">
        <v>570</v>
      </c>
      <c r="I6" s="150">
        <v>0.30199999999999999</v>
      </c>
      <c r="J6" s="150">
        <v>0.91</v>
      </c>
      <c r="K6" s="156" t="s">
        <v>572</v>
      </c>
      <c r="L6" s="151">
        <v>156647</v>
      </c>
      <c r="M6" s="152" t="s">
        <v>573</v>
      </c>
      <c r="N6" s="153" t="s">
        <v>574</v>
      </c>
      <c r="O6" s="154" t="s">
        <v>575</v>
      </c>
      <c r="P6" s="155">
        <v>54</v>
      </c>
      <c r="Q6" s="155">
        <v>2</v>
      </c>
      <c r="R6" s="155">
        <v>650</v>
      </c>
      <c r="S6" s="151" t="s">
        <v>576</v>
      </c>
      <c r="T6" s="155">
        <v>46</v>
      </c>
      <c r="U6" s="153" t="s">
        <v>577</v>
      </c>
      <c r="V6" s="155" t="s">
        <v>28</v>
      </c>
      <c r="W6" s="155" t="s">
        <v>28</v>
      </c>
      <c r="X6" s="155" t="s">
        <v>28</v>
      </c>
      <c r="Y6" s="155"/>
      <c r="Z6" s="155"/>
      <c r="AA6" s="155">
        <v>1</v>
      </c>
      <c r="AB6" s="155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23" t="s">
        <v>475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23" t="s">
        <v>454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K18" sqref="K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22" t="s">
        <v>440</v>
      </c>
      <c r="B1" s="122" t="s">
        <v>27</v>
      </c>
      <c r="C1" s="122" t="s">
        <v>27</v>
      </c>
      <c r="D1" s="122" t="s">
        <v>27</v>
      </c>
      <c r="E1" s="122" t="s">
        <v>27</v>
      </c>
      <c r="F1" s="122" t="s">
        <v>27</v>
      </c>
      <c r="G1" s="122" t="s">
        <v>27</v>
      </c>
      <c r="H1" s="122" t="s">
        <v>27</v>
      </c>
      <c r="I1" s="122" t="s">
        <v>27</v>
      </c>
      <c r="J1" s="122" t="s">
        <v>27</v>
      </c>
      <c r="K1" s="122" t="s">
        <v>27</v>
      </c>
      <c r="L1" s="122" t="s">
        <v>27</v>
      </c>
      <c r="M1" s="122" t="s">
        <v>27</v>
      </c>
      <c r="N1" s="122" t="s">
        <v>27</v>
      </c>
      <c r="O1" s="122" t="s">
        <v>27</v>
      </c>
      <c r="P1" s="122" t="s">
        <v>27</v>
      </c>
      <c r="Q1" s="122" t="s">
        <v>27</v>
      </c>
      <c r="R1" s="122" t="s">
        <v>27</v>
      </c>
      <c r="S1" s="122" t="s">
        <v>27</v>
      </c>
      <c r="T1" s="122" t="s">
        <v>27</v>
      </c>
      <c r="U1" s="122" t="s">
        <v>27</v>
      </c>
      <c r="V1" s="122" t="s">
        <v>27</v>
      </c>
      <c r="W1" s="122" t="s">
        <v>27</v>
      </c>
      <c r="X1" s="122" t="s">
        <v>27</v>
      </c>
      <c r="Y1" s="122" t="s">
        <v>27</v>
      </c>
      <c r="Z1" s="122" t="s">
        <v>27</v>
      </c>
      <c r="AA1" s="122" t="s">
        <v>27</v>
      </c>
      <c r="AB1" s="122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23" t="s">
        <v>403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P32" sqref="P32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24" t="s">
        <v>380</v>
      </c>
      <c r="B1" s="124" t="s">
        <v>27</v>
      </c>
      <c r="C1" s="124" t="s">
        <v>27</v>
      </c>
      <c r="D1" s="124" t="s">
        <v>27</v>
      </c>
      <c r="E1" s="124" t="s">
        <v>27</v>
      </c>
      <c r="F1" s="124" t="s">
        <v>27</v>
      </c>
      <c r="G1" s="124" t="s">
        <v>27</v>
      </c>
      <c r="H1" s="124" t="s">
        <v>27</v>
      </c>
      <c r="I1" s="124" t="s">
        <v>27</v>
      </c>
      <c r="J1" s="124" t="s">
        <v>27</v>
      </c>
      <c r="K1" s="124" t="s">
        <v>27</v>
      </c>
      <c r="L1" s="124" t="s">
        <v>27</v>
      </c>
      <c r="M1" s="124" t="s">
        <v>27</v>
      </c>
      <c r="N1" s="124" t="s">
        <v>27</v>
      </c>
      <c r="O1" s="124" t="s">
        <v>27</v>
      </c>
      <c r="P1" s="124" t="s">
        <v>27</v>
      </c>
      <c r="Q1" s="124" t="s">
        <v>27</v>
      </c>
      <c r="R1" s="124" t="s">
        <v>27</v>
      </c>
      <c r="S1" s="124" t="s">
        <v>27</v>
      </c>
      <c r="T1" s="124" t="s">
        <v>27</v>
      </c>
      <c r="U1" s="124" t="s">
        <v>27</v>
      </c>
      <c r="V1" s="124" t="s">
        <v>27</v>
      </c>
      <c r="W1" s="124" t="s">
        <v>27</v>
      </c>
      <c r="X1" s="124" t="s">
        <v>27</v>
      </c>
      <c r="Y1" s="124" t="s">
        <v>27</v>
      </c>
      <c r="Z1" s="124" t="s">
        <v>27</v>
      </c>
      <c r="AA1" s="124" t="s">
        <v>27</v>
      </c>
      <c r="AB1" s="124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15300</v>
      </c>
      <c r="I18" s="16">
        <v>0.29399999999999998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25" t="s">
        <v>332</v>
      </c>
      <c r="B1" s="125" t="s">
        <v>27</v>
      </c>
      <c r="C1" s="125" t="s">
        <v>27</v>
      </c>
      <c r="D1" s="125" t="s">
        <v>27</v>
      </c>
      <c r="E1" s="125" t="s">
        <v>27</v>
      </c>
      <c r="F1" s="125" t="s">
        <v>27</v>
      </c>
      <c r="G1" s="125" t="s">
        <v>27</v>
      </c>
      <c r="H1" s="125" t="s">
        <v>27</v>
      </c>
      <c r="I1" s="125" t="s">
        <v>27</v>
      </c>
      <c r="J1" s="125" t="s">
        <v>27</v>
      </c>
      <c r="K1" s="125" t="s">
        <v>27</v>
      </c>
      <c r="L1" s="125" t="s">
        <v>27</v>
      </c>
      <c r="M1" s="125" t="s">
        <v>27</v>
      </c>
      <c r="N1" s="125" t="s">
        <v>27</v>
      </c>
      <c r="O1" s="125" t="s">
        <v>27</v>
      </c>
      <c r="P1" s="125" t="s">
        <v>27</v>
      </c>
      <c r="Q1" s="125" t="s">
        <v>27</v>
      </c>
      <c r="R1" s="125" t="s">
        <v>27</v>
      </c>
      <c r="S1" s="125" t="s">
        <v>27</v>
      </c>
      <c r="T1" s="125" t="s">
        <v>27</v>
      </c>
      <c r="U1" s="125" t="s">
        <v>27</v>
      </c>
      <c r="V1" s="125" t="s">
        <v>27</v>
      </c>
      <c r="W1" s="125" t="s">
        <v>27</v>
      </c>
      <c r="X1" s="125" t="s">
        <v>27</v>
      </c>
      <c r="Y1" s="125" t="s">
        <v>27</v>
      </c>
      <c r="Z1" s="125" t="s">
        <v>27</v>
      </c>
      <c r="AA1" s="125" t="s">
        <v>27</v>
      </c>
      <c r="AB1" s="125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6"/>
  <sheetViews>
    <sheetView workbookViewId="0">
      <selection activeCell="D2" sqref="D1:D104857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23" t="s">
        <v>329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23" t="s">
        <v>324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25" t="s">
        <v>281</v>
      </c>
      <c r="B1" s="125" t="s">
        <v>27</v>
      </c>
      <c r="C1" s="125" t="s">
        <v>27</v>
      </c>
      <c r="D1" s="125" t="s">
        <v>27</v>
      </c>
      <c r="E1" s="125" t="s">
        <v>27</v>
      </c>
      <c r="F1" s="125" t="s">
        <v>27</v>
      </c>
      <c r="G1" s="125" t="s">
        <v>27</v>
      </c>
      <c r="H1" s="125" t="s">
        <v>27</v>
      </c>
      <c r="I1" s="125" t="s">
        <v>27</v>
      </c>
      <c r="J1" s="125" t="s">
        <v>27</v>
      </c>
      <c r="K1" s="125" t="s">
        <v>27</v>
      </c>
      <c r="L1" s="125" t="s">
        <v>27</v>
      </c>
      <c r="M1" s="125" t="s">
        <v>27</v>
      </c>
      <c r="N1" s="125" t="s">
        <v>27</v>
      </c>
      <c r="O1" s="125" t="s">
        <v>27</v>
      </c>
      <c r="P1" s="125" t="s">
        <v>27</v>
      </c>
      <c r="Q1" s="125" t="s">
        <v>27</v>
      </c>
      <c r="R1" s="125" t="s">
        <v>27</v>
      </c>
      <c r="S1" s="125" t="s">
        <v>27</v>
      </c>
      <c r="T1" s="125" t="s">
        <v>27</v>
      </c>
      <c r="U1" s="125" t="s">
        <v>27</v>
      </c>
      <c r="V1" s="125" t="s">
        <v>27</v>
      </c>
      <c r="W1" s="125" t="s">
        <v>27</v>
      </c>
      <c r="X1" s="125" t="s">
        <v>27</v>
      </c>
      <c r="Y1" s="125" t="s">
        <v>27</v>
      </c>
      <c r="Z1" s="125" t="s">
        <v>27</v>
      </c>
      <c r="AA1" s="125" t="s">
        <v>27</v>
      </c>
      <c r="AB1" s="125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23" t="s">
        <v>258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23" t="s">
        <v>240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22" t="s">
        <v>202</v>
      </c>
      <c r="B1" s="122" t="s">
        <v>27</v>
      </c>
      <c r="C1" s="122" t="s">
        <v>27</v>
      </c>
      <c r="D1" s="122" t="s">
        <v>27</v>
      </c>
      <c r="E1" s="122" t="s">
        <v>27</v>
      </c>
      <c r="F1" s="122" t="s">
        <v>27</v>
      </c>
      <c r="G1" s="122" t="s">
        <v>27</v>
      </c>
      <c r="H1" s="122" t="s">
        <v>27</v>
      </c>
      <c r="I1" s="122" t="s">
        <v>27</v>
      </c>
      <c r="J1" s="122" t="s">
        <v>27</v>
      </c>
      <c r="K1" s="122" t="s">
        <v>27</v>
      </c>
      <c r="L1" s="122" t="s">
        <v>27</v>
      </c>
      <c r="M1" s="122" t="s">
        <v>27</v>
      </c>
      <c r="N1" s="122" t="s">
        <v>27</v>
      </c>
      <c r="O1" s="122" t="s">
        <v>27</v>
      </c>
      <c r="P1" s="122" t="s">
        <v>27</v>
      </c>
      <c r="Q1" s="122" t="s">
        <v>27</v>
      </c>
      <c r="R1" s="122" t="s">
        <v>27</v>
      </c>
      <c r="S1" s="122" t="s">
        <v>27</v>
      </c>
      <c r="T1" s="122" t="s">
        <v>27</v>
      </c>
      <c r="U1" s="122" t="s">
        <v>27</v>
      </c>
      <c r="V1" s="122" t="s">
        <v>27</v>
      </c>
      <c r="W1" s="122" t="s">
        <v>27</v>
      </c>
      <c r="X1" s="122" t="s">
        <v>27</v>
      </c>
      <c r="Y1" s="122" t="s">
        <v>27</v>
      </c>
      <c r="Z1" s="122" t="s">
        <v>27</v>
      </c>
      <c r="AA1" s="122" t="s">
        <v>27</v>
      </c>
      <c r="AB1" s="122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23" t="s">
        <v>192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26" t="s">
        <v>155</v>
      </c>
      <c r="B1" s="126" t="s">
        <v>27</v>
      </c>
      <c r="C1" s="126" t="s">
        <v>27</v>
      </c>
      <c r="D1" s="126" t="s">
        <v>27</v>
      </c>
      <c r="E1" s="126" t="s">
        <v>27</v>
      </c>
      <c r="F1" s="126" t="s">
        <v>27</v>
      </c>
      <c r="G1" s="126" t="s">
        <v>27</v>
      </c>
      <c r="H1" s="126" t="s">
        <v>27</v>
      </c>
      <c r="I1" s="126" t="s">
        <v>27</v>
      </c>
      <c r="J1" s="126" t="s">
        <v>27</v>
      </c>
      <c r="K1" s="126" t="s">
        <v>27</v>
      </c>
      <c r="L1" s="126" t="s">
        <v>27</v>
      </c>
      <c r="M1" s="126" t="s">
        <v>27</v>
      </c>
      <c r="N1" s="126" t="s">
        <v>27</v>
      </c>
      <c r="O1" s="126" t="s">
        <v>27</v>
      </c>
      <c r="P1" s="126" t="s">
        <v>27</v>
      </c>
      <c r="Q1" s="126" t="s">
        <v>27</v>
      </c>
      <c r="R1" s="126" t="s">
        <v>27</v>
      </c>
      <c r="S1" s="126" t="s">
        <v>27</v>
      </c>
      <c r="T1" s="126" t="s">
        <v>27</v>
      </c>
      <c r="U1" s="126" t="s">
        <v>27</v>
      </c>
      <c r="V1" s="126" t="s">
        <v>27</v>
      </c>
      <c r="W1" s="126" t="s">
        <v>27</v>
      </c>
      <c r="X1" s="126" t="s">
        <v>27</v>
      </c>
      <c r="Y1" s="126" t="s">
        <v>27</v>
      </c>
      <c r="Z1" s="126" t="s">
        <v>27</v>
      </c>
      <c r="AA1" s="126" t="s">
        <v>27</v>
      </c>
      <c r="AB1" s="126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23" t="s">
        <v>79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23" t="s">
        <v>134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27" t="s">
        <v>109</v>
      </c>
      <c r="B1" s="127" t="s">
        <v>27</v>
      </c>
      <c r="C1" s="127" t="s">
        <v>27</v>
      </c>
      <c r="D1" s="127" t="s">
        <v>27</v>
      </c>
      <c r="E1" s="127" t="s">
        <v>27</v>
      </c>
      <c r="F1" s="127" t="s">
        <v>27</v>
      </c>
      <c r="G1" s="127" t="s">
        <v>27</v>
      </c>
      <c r="H1" s="127" t="s">
        <v>27</v>
      </c>
      <c r="I1" s="127" t="s">
        <v>27</v>
      </c>
      <c r="J1" s="127" t="s">
        <v>27</v>
      </c>
      <c r="K1" s="127" t="s">
        <v>27</v>
      </c>
      <c r="L1" s="127" t="s">
        <v>27</v>
      </c>
      <c r="M1" s="127" t="s">
        <v>27</v>
      </c>
      <c r="N1" s="127" t="s">
        <v>27</v>
      </c>
      <c r="O1" s="127" t="s">
        <v>27</v>
      </c>
      <c r="P1" s="127" t="s">
        <v>27</v>
      </c>
      <c r="Q1" s="127" t="s">
        <v>27</v>
      </c>
      <c r="R1" s="127" t="s">
        <v>27</v>
      </c>
      <c r="S1" s="127" t="s">
        <v>27</v>
      </c>
      <c r="T1" s="127" t="s">
        <v>27</v>
      </c>
      <c r="U1" s="127" t="s">
        <v>27</v>
      </c>
      <c r="V1" s="127" t="s">
        <v>27</v>
      </c>
      <c r="W1" s="127" t="s">
        <v>27</v>
      </c>
      <c r="X1" s="127" t="s">
        <v>27</v>
      </c>
      <c r="Y1" s="127" t="s">
        <v>27</v>
      </c>
      <c r="Z1" s="127" t="s">
        <v>27</v>
      </c>
      <c r="AA1" s="127" t="s">
        <v>27</v>
      </c>
      <c r="AB1" s="127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PCBOX - IPE 1187</vt:lpstr>
      <vt:lpstr>RM Embalagens 1184</vt:lpstr>
      <vt:lpstr>CARTOMIL EMBALAGENS LTDA 1183 P</vt:lpstr>
      <vt:lpstr>Z4A EMBALAGENS LTDA 1182</vt:lpstr>
      <vt:lpstr>Tolecaixas 1181</vt:lpstr>
      <vt:lpstr>HARMONY EMBALAGENS 1180 P</vt:lpstr>
      <vt:lpstr>RM Embalagens 1179 P</vt:lpstr>
      <vt:lpstr>ABAPEL 1178</vt:lpstr>
      <vt:lpstr>FAVINCO EMBALAGENS 1177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2026-09-09T14:18:36Z</cp:lastPrinted>
  <dcterms:created xsi:type="dcterms:W3CDTF">2026-07-02T17:42:15Z</dcterms:created>
  <dcterms:modified xsi:type="dcterms:W3CDTF">2026-09-09T18:59:48Z</dcterms:modified>
</cp:coreProperties>
</file>