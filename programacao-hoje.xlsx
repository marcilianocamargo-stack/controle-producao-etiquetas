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099EA770-8F96-4CD7-8CF7-41073B9A3D5A}" xr6:coauthVersionLast="47" xr6:coauthVersionMax="47" xr10:uidLastSave="{00000000-0000-0000-0000-000000000000}"/>
  <bookViews>
    <workbookView xWindow="-38510" yWindow="-10830" windowWidth="38620" windowHeight="21100" activeTab="6" xr2:uid="{00000000-000D-0000-FFFF-FFFF00000000}"/>
  </bookViews>
  <sheets>
    <sheet name="IPE EMBALAGENS LTDA 1254" sheetId="182" r:id="rId1"/>
    <sheet name="RR STELLA 1253" sheetId="181" r:id="rId2"/>
    <sheet name="FAVINCO EMBALAGENS 1252" sheetId="180" r:id="rId3"/>
    <sheet name="DR EMBALAGENS 1250" sheetId="179" r:id="rId4"/>
    <sheet name="HARMONY EMBALAGENS 1249 P" sheetId="178" r:id="rId5"/>
    <sheet name="FAVINCO 1248 AMOSTRA" sheetId="177" r:id="rId6"/>
    <sheet name="ABAPEL 1246 P" sheetId="176" r:id="rId7"/>
    <sheet name="FAVINCO 1243 P" sheetId="175" r:id="rId8"/>
    <sheet name="Renovapel 1242 P" sheetId="174" r:id="rId9"/>
    <sheet name="Tole. DR EMB. VO CH S. M 1241 P" sheetId="173" r:id="rId10"/>
    <sheet name="FAVINCO 1239 P" sheetId="172" r:id="rId11"/>
    <sheet name="PCBOX EMBALAGENS 1233 P" sheetId="170" r:id="rId12"/>
    <sheet name="RM Embalagens 1232" sheetId="169" r:id="rId13"/>
    <sheet name="HARMONY EMBALAGENS 1231 P" sheetId="168" r:id="rId14"/>
    <sheet name="RM Embalagens P" sheetId="166" r:id="rId15"/>
    <sheet name="PCBOX EMBALAGENS LTDA 1222 P" sheetId="164" r:id="rId16"/>
    <sheet name="FORBOX 1220 P" sheetId="163" r:id="rId17"/>
    <sheet name="HARMONY EMBALAGENS 1217 P" sheetId="162" r:id="rId18"/>
    <sheet name="Z4A EMBALAGENS LTDA 1216" sheetId="161" r:id="rId19"/>
    <sheet name="ABAPEL 1213 P" sheetId="159" r:id="rId20"/>
    <sheet name="IPE - PCBOX 1212 P" sheetId="158" r:id="rId21"/>
    <sheet name="Z4A EMBALAGENS LTDA 1210 P" sheetId="157" r:id="rId22"/>
    <sheet name="RM Embalagens 1209 P" sheetId="156" r:id="rId23"/>
    <sheet name="ABAPEL 1201 P" sheetId="153" r:id="rId24"/>
    <sheet name="HARMONY EMBALAGENS 1200 P" sheetId="152" r:id="rId25"/>
    <sheet name="FAVINCO EMBALAGENS 1197 P" sheetId="150" r:id="rId26"/>
    <sheet name="ABAPEL 1196 P" sheetId="149" r:id="rId27"/>
    <sheet name="RM Embalagens 1184 P" sheetId="141" r:id="rId28"/>
    <sheet name="HARMONY EMBALAGENS 1180 P" sheetId="137" r:id="rId29"/>
    <sheet name="Carpel 1158 P" sheetId="119" r:id="rId3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<sst xmlns="http://schemas.openxmlformats.org/spreadsheetml/2006/main" count="5782" uniqueCount="597">
  <si>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</si>
  <si>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</si>
  <si>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</si>
  <si>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</si>
  <si>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</si>
  <si>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</si>
  <si>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</si>
  <si>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</si>
  <si>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</si>
  <si>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</si>
  <si>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</si>
  <si>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</si>
  <si>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</si>
  <si>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</si>
  <si>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</si>
  <si>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</si>
  <si>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</si>
  <si>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</si>
  <si>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</si>
  <si>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</si>
  <si>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</si>
  <si>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</si>
  <si>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</si>
  <si>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</si>
  <si>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</si>
  <si>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</si>
  <si>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</si>
  <si>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</si>
  <si>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</si>
  <si>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</si>
  <si>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</si>
  <si>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</si>
  <si>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</si>
  <si>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</si>
  <si>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</si>
  <si>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</si>
  <si>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</si>
  <si>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</si>
  <si>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</si>
  <si>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</si>
  <si>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</si>
  <si>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</si>
  <si>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</si>
  <si>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</si>
  <si>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</si>
  <si>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</si>
  <si>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</si>
  <si>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</si>
  <si>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</si>
  <si>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</si>
  <si>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</si>
  <si>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</si>
  <si>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</si>
  <si>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</si>
  <si>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</si>
  <si>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</si>
  <si>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</si>
  <si>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</si>
  <si>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</si>
  <si>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</si>
  <si>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</si>
  <si>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</si>
  <si>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</si>
  <si>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</si>
  <si>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</si>
  <si>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</si>
  <si>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</si>
  <si>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</si>
  <si>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</si>
  <si>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</si>
  <si>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</si>
  <si>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</si>
  <si>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</si>
  <si>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</si>
  <si>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</si>
  <si>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</si>
  <si>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</si>
  <si>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</si>
  <si>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</si>
  <si>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</si>
  <si>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</si>
  <si>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</si>
  <si>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</si>
  <si>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</si>
  <si>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</si>
  <si>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</si>
  <si>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</si>
  <si>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</si>
  <si>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</si>
  <si>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</si>
  <si>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</si>
  <si>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</si>
  <si>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</si>
  <si>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</si>
  <si>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</si>
  <si>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</si>
  <si>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</si>
  <si>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</si>
  <si>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</si>
  <si>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</si>
  <si>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</si>
  <si>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</si>
  <si>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</si>
  <si>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</si>
  <si>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</si>
  <si>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</si>
  <si>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</si>
  <si>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</si>
  <si>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</si>
  <si>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</si>
  <si>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</si>
  <si>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</si>
  <si>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</si>
  <si>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</si>
  <si>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</si>
  <si>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</si>
  <si>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</si>
  <si>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</si>
  <si>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</si>
  <si>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</si>
  <si>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</si>
  <si>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</si>
  <si>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</si>
  <si>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</si>
  <si>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</si>
  <si>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</si>
  <si>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</si>
  <si>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</si>
  <si>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</si>
  <si>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</si>
  <si>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</si>
  <si>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</si>
  <si>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</si>
  <si>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</si>
  <si>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</si>
  <si>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</si>
  <si>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</si>
  <si>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</si>
  <si>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</si>
  <si>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</si>
  <si>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</si>
  <si>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</si>
  <si>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</si>
  <si>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</si>
  <si>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</si>
  <si>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</si>
  <si>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</si>
  <si>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</si>
  <si>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</si>
  <si>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</si>
  <si>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</si>
  <si>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</si>
  <si>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</si>
  <si>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</si>
  <si>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</si>
  <si>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</si>
  <si>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</si>
  <si>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</si>
  <si>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</si>
  <si>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</si>
  <si>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</si>
  <si>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</si>
  <si>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</si>
  <si>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</si>
  <si>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</si>
  <si>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</si>
  <si>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</si>
  <si>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</si>
  <si>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</si>
  <si>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</si>
  <si>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</si>
  <si>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</si>
  <si>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</si>
  <si>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</si>
  <si>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</si>
  <si>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</si>
  <si>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</si>
  <si>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</si>
  <si>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</si>
  <si>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</si>
  <si>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</si>
  <si>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</si>
  <si>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</si>
  <si>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</si>
  <si>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</si>
  <si>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</si>
  <si>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</si>
  <si>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</si>
  <si>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</si>
  <si>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</si>
  <si>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</si>
  <si>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</si>
  <si>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</si>
  <si>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</si>
  <si>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</si>
  <si>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</si>
  <si>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</si>
  <si>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</si>
  <si>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</si>
  <si>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</si>
  <si>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</si>
  <si>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</si>
  <si>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</si>
  <si>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</si>
  <si>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</si>
  <si>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</si>
  <si>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</si>
  <si>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</si>
  <si>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</si>
  <si>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</si>
  <si>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</si>
  <si>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</si>
  <si>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</si>
  <si>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</si>
  <si>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</si>
  <si>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</si>
  <si>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</si>
  <si>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</si>
  <si>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</si>
  <si>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</si>
  <si>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</si>
  <si>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</si>
  <si>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</si>
  <si>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</si>
  <si>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</si>
  <si>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</si>
  <si>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</si>
  <si>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</si>
  <si>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</si>
  <si>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</si>
  <si>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</si>
  <si>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</si>
  <si>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</si>
  <si>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</si>
  <si>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</si>
  <si>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</si>
  <si>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</si>
  <si>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</si>
  <si>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</si>
  <si>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</si>
  <si>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</si>
  <si>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</si>
  <si>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</si>
  <si>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</si>
  <si>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</si>
  <si>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</si>
  <si>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</si>
  <si>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</si>
  <si>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</si>
  <si>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</si>
  <si>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</si>
  <si>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</si>
  <si>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</si>
  <si>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</si>
  <si>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</si>
  <si>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</si>
  <si>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</si>
  <si>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</si>
  <si>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</si>
  <si>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</si>
  <si>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</si>
  <si>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</si>
  <si>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</si>
  <si>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</si>
  <si>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</si>
  <si>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</si>
  <si>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</si>
  <si>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</si>
  <si>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</si>
  <si>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</si>
  <si>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</si>
  <si>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</si>
  <si>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</si>
  <si>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</si>
  <si>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</si>
  <si>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</si>
  <si>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</si>
  <si>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</si>
  <si>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</si>
  <si>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</si>
  <si>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</si>
  <si>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</si>
  <si>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</si>
  <si>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</si>
  <si>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</si>
  <si>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</si>
  <si>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</si>
  <si>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</si>
  <si>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</si>
  <si>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</si>
  <si>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</si>
  <si>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</si>
  <si>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</si>
  <si>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</si>
  <si>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</si>
  <si>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</si>
  <si>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</si>
  <si>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</si>
  <si>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</si>
  <si>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</si>
  <si>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</si>
  <si>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</si>
  <si>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</si>
  <si>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</si>
  <si>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</si>
  <si>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</si>
  <si>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</si>
  <si>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</si>
  <si>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</si>
  <si>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</si>
  <si>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</si>
  <si>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</si>
  <si>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</si>
  <si>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</si>
  <si>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</si>
  <si>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</si>
  <si>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</si>
  <si>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</si>
  <si>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</si>
  <si>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</si>
  <si>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</si>
  <si>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</si>
  <si>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</si>
  <si>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</si>
  <si>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</si>
  <si>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</si>
  <si>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</si>
  <si>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</si>
  <si>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</si>
  <si>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</si>
  <si>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</si>
  <si>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</si>
  <si>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</si>
  <si>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</si>
  <si>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</si>
  <si>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</si>
  <si>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</si>
  <si>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</si>
  <si>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</si>
  <si>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</si>
  <si>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</si>
  <si>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</si>
  <si>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</si>
  <si>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</si>
  <si>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</si>
  <si>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</si>
  <si>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</si>
  <si>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</si>
  <si>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</si>
  <si>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</si>
  <si>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</si>
  <si>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</si>
  <si>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</si>
  <si>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</si>
  <si>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</si>
  <si>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</si>
  <si>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</si>
  <si>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</si>
  <si>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</si>
  <si>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</si>
  <si>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</si>
  <si>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</si>
  <si>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</si>
  <si>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</si>
  <si>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</si>
  <si>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</si>
  <si>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</si>
  <si>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</si>
  <si>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</si>
  <si>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</si>
  <si>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</si>
  <si>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</si>
  <si>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</si>
  <si>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</si>
  <si>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</si>
  <si>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</si>
  <si>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</si>
  <si>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</si>
  <si>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</si>
  <si>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</si>
  <si>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</si>
  <si>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</si>
  <si>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</si>
  <si>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</si>
  <si>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</si>
  <si>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</si>
  <si>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</si>
  <si>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</si>
  <si>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</si>
  <si>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</si>
  <si>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</si>
  <si>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</si>
  <si>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</si>
  <si>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</si>
  <si>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</si>
  <si>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</si>
  <si>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</si>
  <si>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</si>
  <si>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</si>
  <si>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</si>
  <si>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</si>
  <si>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</si>
  <si>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</si>
  <si>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</si>
  <si>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</si>
  <si>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</si>
  <si>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</si>
  <si>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</si>
  <si>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</si>
  <si>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</si>
  <si>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</si>
  <si>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</si>
  <si>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</si>
  <si>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</si>
  <si>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</si>
  <si>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</si>
  <si>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</si>
  <si>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</si>
  <si>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</si>
  <si>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</si>
  <si>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</si>
  <si>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</si>
  <si>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</si>
  <si>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</si>
  <si>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</si>
  <si>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</si>
  <si>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</si>
  <si>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</si>
  <si>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</si>
  <si>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</si>
  <si>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</si>
  <si>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</si>
  <si>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</si>
  <si>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</si>
  <si>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</si>
  <si>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</si>
  <si>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</si>
  <si>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</si>
  <si>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</si>
  <si>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</si>
  <si>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</si>
  <si>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</si>
  <si>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</si>
  <si>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</si>
  <si>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</si>
  <si>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</si>
  <si>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</si>
  <si>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</si>
  <si>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</si>
  <si>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</si>
  <si>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</si>
  <si>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</si>
  <si>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</si>
  <si>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</si>
  <si>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</si>
  <si>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</si>
  <si>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</si>
  <si>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</si>
  <si>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</si>
  <si>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</si>
  <si>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</si>
  <si>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</si>
  <si>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</si>
  <si>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</si>
  <si>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</si>
  <si>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</si>
  <si>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</si>
  <si>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</si>
  <si>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</si>
  <si>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</si>
  <si>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</si>
  <si>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</si>
  <si>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</si>
  <si>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</si>
  <si>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</si>
  <si>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</si>
  <si>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</si>
  <si>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</si>
  <si>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</si>
  <si>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</si>
  <si>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</si>
  <si>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</si>
  <si>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</si>
  <si>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</si>
  <si>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</si>
  <si>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</si>
  <si>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</si>
  <si>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</si>
  <si>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</si>
  <si>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</si>
  <si>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</si>
  <si>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</si>
  <si>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</si>
  <si>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</si>
  <si>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</si>
  <si>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</si>
  <si>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</si>
  <si>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</si>
  <si>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</si>
  <si>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</si>
  <si>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</si>
  <si>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</si>
  <si>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</si>
  <si>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</si>
  <si>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</si>
  <si>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</si>
  <si>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</si>
  <si>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</si>
  <si>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</si>
  <si>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</si>
  <si>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</si>
  <si>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</si>
  <si>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</si>
  <si>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</si>
  <si>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</si>
  <si>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</si>
  <si>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</si>
  <si>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</si>
  <si>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</si>
  <si>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</si>
  <si>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</si>
  <si>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</si>
  <si>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</si>
  <si>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</si>
  <si>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</si>
  <si>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</si>
  <si>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</si>
  <si>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</si>
  <si>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</si>
  <si>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</si>
  <si>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</si>
  <si>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</si>
  <si>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</si>
  <si>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</si>
  <si>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</si>
  <si>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</si>
  <si>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</si>
  <si>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</si>
  <si>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</si>
  <si>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</si>
  <si>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</si>
  <si>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</si>
  <si>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</si>
  <si>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</si>
  <si>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</si>
  <si>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</si>
  <si>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</si>
  <si>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</si>
  <si>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</si>
  <si>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</si>
  <si>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</si>
  <si>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</si>
  <si>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</si>
  <si>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</si>
  <si>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</si>
  <si>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</si>
  <si>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</si>
  <si>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</si>
  <si>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</si>
  <si>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</si>
  <si>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</si>
  <si>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</si>
  <si>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</si>
  <si>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</si>
  <si>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</si>
  <si>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</si>
  <si>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</si>
  <si>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</si>
  <si>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</si>
  <si>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</si>
  <si>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</si>
  <si>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</si>
  <si>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</si>
  <si>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</si>
  <si>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</si>
  <si>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</si>
  <si>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</si>
  <si>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</si>
  <si>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</si>
  <si>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</si>
  <si>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</si>
  <si>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</si>
  <si>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</si>
  <si>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</si>
  <si>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</si>
  <si>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</si>
  <si>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</si>
  <si>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956x1849</t>
  </si>
  <si>
    <t>1800</t>
  </si>
  <si>
    <t>05/10/2026</t>
  </si>
  <si>
    <t>PROGRAMAÇÃO ONDULADEIRA - IPE EMBALAGENS LTDA  —  OF: 001254</t>
  </si>
  <si>
    <t>882x2199</t>
  </si>
  <si>
    <t>166x530x166</t>
  </si>
  <si>
    <t>8298</t>
  </si>
  <si>
    <t>888x1340</t>
  </si>
  <si>
    <t>184x500x184</t>
  </si>
  <si>
    <t>780x2198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</si>
</sst>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6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59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0" borderId="0" xfId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6" fillId="0" borderId="0" xfId="1" applyFont="1"/>
    <xf numFmtId="0" fontId="17" fillId="0" borderId="0" xfId="3" applyFont="1"/>
    <xf numFmtId="0" fontId="25" fillId="0" borderId="0" xfId="1" applyFont="1"/>
    <xf numFmtId="0" fontId="20" fillId="0" borderId="0" xfId="3" applyFont="1"/>
    <xf numFmtId="0" fontId="6" fillId="0" borderId="0" xfId="3" applyFont="1" applyAlignment="1">
      <alignment horizontal="center" vertical="center"/>
    </xf>
    <xf numFmtId="0" fontId="6" fillId="0" borderId="0" xfId="3" applyFont="1"/>
    <xf numFmtId="0" fontId="11" fillId="0" borderId="0" xfId="1" applyFont="1"/>
    <xf numFmtId="0" fontId="6" fillId="0" borderId="0" xfId="2" applyFont="1"/>
    <xf numFmtId="0" fontId="12" fillId="0" borderId="0" xfId="3" applyFont="1"/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6F237-994B-4113-A854-6BDD919C451F}">
  <dimension ref="A1:AB4"/>
  <sheetViews>
    <sheetView workbookViewId="0">
      <selection activeCell="AM9" sqref="AM9"/>
    </sheetView>
  </sheetViews>
  <sheetFormatPr defaultRowHeight="14.4" x14ac:dyDescent="0.3"/>
  <cols>
    <col min="1" max="1" width="5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" style="1" customWidth="1"/>
    <col min="6" max="6" width="7.88671875" style="1" customWidth="1"/>
    <col min="7" max="8" width="5.88671875" style="1" customWidth="1"/>
    <col min="9" max="9" width="6.109375" style="1" customWidth="1"/>
    <col min="10" max="10" width="6.21875" style="1" customWidth="1"/>
    <col min="11" max="11" width="6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88671875" style="1" customWidth="1"/>
    <col min="18" max="18" width="6.1093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7.5546875" style="1" customWidth="1"/>
    <col min="24" max="24" width="7.44140625" style="1" customWidth="1"/>
    <col min="25" max="25" width="6.44140625" style="1" customWidth="1"/>
    <col min="26" max="26" width="7.44140625" style="1" customWidth="1"/>
    <col min="27" max="27" width="4.44140625" style="1" customWidth="1"/>
    <col min="28" max="28" width="9.6640625" style="1" customWidth="1"/>
    <col min="29" max="16384" width="8.88671875" style="1"/>
  </cols>
  <sheetData>
    <row r="1" spans="1:28" ht="18" customHeight="1" x14ac:dyDescent="0.35">
      <c r="A1" s="152" t="s">
        <v>590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63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92</v>
      </c>
      <c r="C3" s="126" t="s">
        <v>35</v>
      </c>
      <c r="D3" s="126" t="s">
        <v>589</v>
      </c>
      <c r="E3" s="126" t="s">
        <v>27</v>
      </c>
      <c r="F3" s="126">
        <v>262870</v>
      </c>
      <c r="G3" s="126" t="s">
        <v>588</v>
      </c>
      <c r="H3" s="126">
        <v>200</v>
      </c>
      <c r="I3" s="127">
        <v>0.93600000000000005</v>
      </c>
      <c r="J3" s="127">
        <v>1.829</v>
      </c>
      <c r="K3" s="126" t="s">
        <v>33</v>
      </c>
      <c r="L3" s="123">
        <v>342.38900000000001</v>
      </c>
      <c r="M3" s="125">
        <v>365.8</v>
      </c>
      <c r="N3" s="122">
        <v>0.1016</v>
      </c>
      <c r="O3" s="124">
        <v>6.1</v>
      </c>
      <c r="P3" s="121">
        <v>107.9</v>
      </c>
      <c r="Q3" s="121">
        <v>1</v>
      </c>
      <c r="R3" s="121">
        <v>1000</v>
      </c>
      <c r="S3" s="123">
        <v>0.93600000000000005</v>
      </c>
      <c r="T3" s="121">
        <v>64</v>
      </c>
      <c r="U3" s="122">
        <v>6.4000000000000001E-2</v>
      </c>
      <c r="V3" s="121" t="s">
        <v>28</v>
      </c>
      <c r="W3" s="121" t="s">
        <v>28</v>
      </c>
      <c r="X3" s="121" t="s">
        <v>28</v>
      </c>
      <c r="Y3" s="121" t="s">
        <v>27</v>
      </c>
      <c r="Z3" s="121" t="s">
        <v>27</v>
      </c>
      <c r="AA3" s="121" t="s">
        <v>38</v>
      </c>
      <c r="AB3" s="121" t="s">
        <v>587</v>
      </c>
    </row>
    <row r="4" spans="1:28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200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107.9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31" sqref="K3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52" t="s">
        <v>586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583</v>
      </c>
      <c r="C3" s="126" t="s">
        <v>582</v>
      </c>
      <c r="D3" s="126" t="s">
        <v>577</v>
      </c>
      <c r="E3" s="126" t="s">
        <v>27</v>
      </c>
      <c r="F3" s="126">
        <v>262868</v>
      </c>
      <c r="G3" s="126" t="s">
        <v>585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584</v>
      </c>
    </row>
    <row r="4" spans="1:28" x14ac:dyDescent="0.3">
      <c r="A4" s="126">
        <v>2</v>
      </c>
      <c r="B4" s="128" t="s">
        <v>583</v>
      </c>
      <c r="C4" s="126" t="s">
        <v>582</v>
      </c>
      <c r="D4" s="126" t="s">
        <v>577</v>
      </c>
      <c r="E4" s="126" t="s">
        <v>27</v>
      </c>
      <c r="F4" s="126">
        <v>262867</v>
      </c>
      <c r="G4" s="126" t="s">
        <v>581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580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dimension ref="A1:AB5"/>
  <sheetViews>
    <sheetView zoomScale="220" zoomScaleNormal="220" workbookViewId="0">
      <selection activeCell="AB4" sqref="AB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6.33203125" style="1" customWidth="1"/>
    <col min="6" max="6" width="7" style="1" customWidth="1"/>
    <col min="7" max="7" width="4.44140625" style="1" customWidth="1"/>
    <col min="8" max="9" width="6.44140625" style="1" customWidth="1"/>
    <col min="10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7.44140625" style="1" customWidth="1"/>
    <col min="24" max="24" width="8" style="1" customWidth="1"/>
    <col min="25" max="26" width="8.77734375" style="1" customWidth="1"/>
    <col min="27" max="27" width="4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52" t="s">
        <v>579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4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93</v>
      </c>
      <c r="C3" s="126" t="s">
        <v>35</v>
      </c>
      <c r="D3" s="126" t="s">
        <v>577</v>
      </c>
      <c r="E3" s="126" t="s">
        <v>27</v>
      </c>
      <c r="F3" s="126">
        <v>262865</v>
      </c>
      <c r="G3" s="126" t="s">
        <v>576</v>
      </c>
      <c r="H3" s="126">
        <v>1400</v>
      </c>
      <c r="I3" s="127">
        <v>0.44500000000000001</v>
      </c>
      <c r="J3" s="127">
        <v>0.83</v>
      </c>
      <c r="K3" s="126" t="s">
        <v>578</v>
      </c>
      <c r="L3" s="123">
        <v>517.09</v>
      </c>
      <c r="M3" s="125">
        <v>387.3</v>
      </c>
      <c r="N3" s="122">
        <v>3.5900000000000001E-2</v>
      </c>
      <c r="O3" s="124">
        <v>2.15</v>
      </c>
      <c r="P3" s="121">
        <v>162.9</v>
      </c>
      <c r="Q3" s="121">
        <v>3</v>
      </c>
      <c r="R3" s="121">
        <v>1400</v>
      </c>
      <c r="S3" s="123">
        <v>1.335</v>
      </c>
      <c r="T3" s="121">
        <v>65</v>
      </c>
      <c r="U3" s="122">
        <v>4.6399999999999997E-2</v>
      </c>
      <c r="V3" s="121" t="s">
        <v>28</v>
      </c>
      <c r="W3" s="121" t="s">
        <v>28</v>
      </c>
      <c r="X3" s="121" t="s">
        <v>28</v>
      </c>
      <c r="Y3" s="121" t="s">
        <v>27</v>
      </c>
      <c r="Z3" s="121" t="s">
        <v>27</v>
      </c>
      <c r="AA3" s="121" t="s">
        <v>38</v>
      </c>
      <c r="AB3" s="121" t="s">
        <v>575</v>
      </c>
    </row>
    <row r="4" spans="1:28" x14ac:dyDescent="0.3">
      <c r="A4" s="126">
        <v>2</v>
      </c>
      <c r="B4" s="128" t="s">
        <v>93</v>
      </c>
      <c r="C4" s="126" t="s">
        <v>35</v>
      </c>
      <c r="D4" s="126" t="s">
        <v>577</v>
      </c>
      <c r="E4" s="126" t="s">
        <v>27</v>
      </c>
      <c r="F4" s="126">
        <v>262866</v>
      </c>
      <c r="G4" s="126">
        <v>83</v>
      </c>
      <c r="H4" s="126">
        <v>1000</v>
      </c>
      <c r="I4" s="127">
        <v>0.63</v>
      </c>
      <c r="J4" s="127">
        <v>1</v>
      </c>
      <c r="K4" s="126" t="s">
        <v>33</v>
      </c>
      <c r="L4" s="123">
        <v>630</v>
      </c>
      <c r="M4" s="125">
        <v>500</v>
      </c>
      <c r="N4" s="122">
        <v>6.9400000000000003E-2</v>
      </c>
      <c r="O4" s="124">
        <v>4.17</v>
      </c>
      <c r="P4" s="121">
        <v>198.4</v>
      </c>
      <c r="Q4" s="121">
        <v>2</v>
      </c>
      <c r="R4" s="121">
        <v>1300</v>
      </c>
      <c r="S4" s="123">
        <v>1.26</v>
      </c>
      <c r="T4" s="121">
        <v>40</v>
      </c>
      <c r="U4" s="122">
        <v>3.0800000000000001E-2</v>
      </c>
      <c r="V4" s="121" t="s">
        <v>28</v>
      </c>
      <c r="W4" s="121" t="s">
        <v>28</v>
      </c>
      <c r="X4" s="121" t="s">
        <v>28</v>
      </c>
      <c r="Y4" s="121" t="s">
        <v>27</v>
      </c>
      <c r="Z4" s="121" t="s">
        <v>27</v>
      </c>
      <c r="AA4" s="121" t="s">
        <v>38</v>
      </c>
      <c r="AB4" s="121" t="s">
        <v>575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2400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361.3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E10" sqref="E10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50" t="s">
        <v>574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570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573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572</v>
      </c>
    </row>
    <row r="4" spans="1:28" s="12" customFormat="1" ht="25.05" customHeight="1" x14ac:dyDescent="0.3">
      <c r="A4" s="5">
        <v>2</v>
      </c>
      <c r="B4" s="10" t="s">
        <v>570</v>
      </c>
      <c r="C4" s="5" t="s">
        <v>35</v>
      </c>
      <c r="D4" s="5" t="s">
        <v>441</v>
      </c>
      <c r="E4" s="5" t="s">
        <v>27</v>
      </c>
      <c r="F4" s="5">
        <v>262861</v>
      </c>
      <c r="G4" s="5" t="s">
        <v>569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571</v>
      </c>
    </row>
    <row r="5" spans="1:28" s="12" customFormat="1" ht="25.05" customHeight="1" x14ac:dyDescent="0.3">
      <c r="A5" s="5">
        <v>3</v>
      </c>
      <c r="B5" s="10" t="s">
        <v>570</v>
      </c>
      <c r="C5" s="5" t="s">
        <v>35</v>
      </c>
      <c r="D5" s="5" t="s">
        <v>441</v>
      </c>
      <c r="E5" s="5" t="s">
        <v>27</v>
      </c>
      <c r="F5" s="5">
        <v>262862</v>
      </c>
      <c r="G5" s="5" t="s">
        <v>569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568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topLeftCell="A22" zoomScale="145" zoomScaleNormal="145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55" t="s">
        <v>567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466</v>
      </c>
      <c r="E3" s="45" t="s">
        <v>27</v>
      </c>
      <c r="F3" s="45">
        <v>262848</v>
      </c>
      <c r="G3" s="45" t="s">
        <v>538</v>
      </c>
      <c r="H3" s="45">
        <v>300</v>
      </c>
      <c r="I3" s="47">
        <v>0.49399999999999999</v>
      </c>
      <c r="J3" s="47">
        <v>1.7789999999999999</v>
      </c>
      <c r="K3" s="45" t="s">
        <v>566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380</v>
      </c>
      <c r="E4" s="45" t="s">
        <v>27</v>
      </c>
      <c r="F4" s="45">
        <v>262853</v>
      </c>
      <c r="G4" s="45" t="s">
        <v>531</v>
      </c>
      <c r="H4" s="45">
        <v>1000</v>
      </c>
      <c r="I4" s="47">
        <v>0.749</v>
      </c>
      <c r="J4" s="47">
        <v>1.7190000000000001</v>
      </c>
      <c r="K4" s="45" t="s">
        <v>564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563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466</v>
      </c>
      <c r="E5" s="45" t="s">
        <v>27</v>
      </c>
      <c r="F5" s="45">
        <v>262844</v>
      </c>
      <c r="G5" s="45" t="s">
        <v>538</v>
      </c>
      <c r="H5" s="45">
        <v>400</v>
      </c>
      <c r="I5" s="47">
        <v>0.74399999999999999</v>
      </c>
      <c r="J5" s="47">
        <v>1.7190000000000001</v>
      </c>
      <c r="K5" s="45" t="s">
        <v>562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380</v>
      </c>
      <c r="E6" s="45" t="s">
        <v>27</v>
      </c>
      <c r="F6" s="45">
        <v>262854</v>
      </c>
      <c r="G6" s="45" t="s">
        <v>531</v>
      </c>
      <c r="H6" s="45">
        <v>400</v>
      </c>
      <c r="I6" s="47">
        <v>0.33900000000000002</v>
      </c>
      <c r="J6" s="47">
        <v>1.0589999999999999</v>
      </c>
      <c r="K6" s="45" t="s">
        <v>560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559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380</v>
      </c>
      <c r="E7" s="89" t="s">
        <v>27</v>
      </c>
      <c r="F7" s="89">
        <v>262859</v>
      </c>
      <c r="G7" s="89" t="s">
        <v>547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380</v>
      </c>
      <c r="E8" s="45" t="s">
        <v>27</v>
      </c>
      <c r="F8" s="45">
        <v>262855</v>
      </c>
      <c r="G8" s="45" t="s">
        <v>531</v>
      </c>
      <c r="H8" s="45">
        <v>200</v>
      </c>
      <c r="I8" s="47">
        <v>0.61399999999999999</v>
      </c>
      <c r="J8" s="47">
        <v>1.2589999999999999</v>
      </c>
      <c r="K8" s="45" t="s">
        <v>558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557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466</v>
      </c>
      <c r="E9" s="45" t="s">
        <v>27</v>
      </c>
      <c r="F9" s="45">
        <v>262843</v>
      </c>
      <c r="G9" s="45" t="s">
        <v>538</v>
      </c>
      <c r="H9" s="45">
        <v>500</v>
      </c>
      <c r="I9" s="47">
        <v>0.6</v>
      </c>
      <c r="J9" s="47">
        <v>1.629</v>
      </c>
      <c r="K9" s="45" t="s">
        <v>556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555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380</v>
      </c>
      <c r="E10" s="89" t="s">
        <v>27</v>
      </c>
      <c r="F10" s="89">
        <v>262858</v>
      </c>
      <c r="G10" s="89" t="s">
        <v>547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380</v>
      </c>
      <c r="E11" s="89" t="s">
        <v>27</v>
      </c>
      <c r="F11" s="89">
        <v>262857</v>
      </c>
      <c r="G11" s="89" t="s">
        <v>547</v>
      </c>
      <c r="H11" s="89">
        <v>1700</v>
      </c>
      <c r="I11" s="137">
        <v>1.2050000000000001</v>
      </c>
      <c r="J11" s="137">
        <v>2.5110000000000001</v>
      </c>
      <c r="K11" s="89" t="s">
        <v>554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553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380</v>
      </c>
      <c r="E12" s="89" t="s">
        <v>27</v>
      </c>
      <c r="F12" s="89">
        <v>262856</v>
      </c>
      <c r="G12" s="89" t="s">
        <v>547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380</v>
      </c>
      <c r="E13" s="45" t="s">
        <v>27</v>
      </c>
      <c r="F13" s="45">
        <v>262851</v>
      </c>
      <c r="G13" s="45" t="s">
        <v>531</v>
      </c>
      <c r="H13" s="45">
        <v>15000</v>
      </c>
      <c r="I13" s="47">
        <v>0.29399999999999998</v>
      </c>
      <c r="J13" s="47">
        <v>0.95899999999999996</v>
      </c>
      <c r="K13" s="45" t="s">
        <v>552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551</v>
      </c>
      <c r="AB13" s="45" t="s">
        <v>550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466</v>
      </c>
      <c r="E14" s="45" t="s">
        <v>27</v>
      </c>
      <c r="F14" s="45">
        <v>262841</v>
      </c>
      <c r="G14" s="45" t="s">
        <v>538</v>
      </c>
      <c r="H14" s="45">
        <v>300</v>
      </c>
      <c r="I14" s="47">
        <v>1.0309999999999999</v>
      </c>
      <c r="J14" s="47">
        <v>2.024</v>
      </c>
      <c r="K14" s="45" t="s">
        <v>549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548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380</v>
      </c>
      <c r="E15" s="89" t="s">
        <v>27</v>
      </c>
      <c r="F15" s="89">
        <v>262860</v>
      </c>
      <c r="G15" s="89" t="s">
        <v>547</v>
      </c>
      <c r="H15" s="89">
        <v>1300</v>
      </c>
      <c r="I15" s="137">
        <v>0.97599999999999998</v>
      </c>
      <c r="J15" s="137">
        <v>2.331</v>
      </c>
      <c r="K15" s="89" t="s">
        <v>546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545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466</v>
      </c>
      <c r="E16" s="45" t="s">
        <v>27</v>
      </c>
      <c r="F16" s="45">
        <v>262845</v>
      </c>
      <c r="G16" s="45" t="s">
        <v>538</v>
      </c>
      <c r="H16" s="45">
        <v>200</v>
      </c>
      <c r="I16" s="47">
        <v>0.84399999999999997</v>
      </c>
      <c r="J16" s="47">
        <v>2.069</v>
      </c>
      <c r="K16" s="45" t="s">
        <v>544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543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466</v>
      </c>
      <c r="E17" s="45" t="s">
        <v>27</v>
      </c>
      <c r="F17" s="45">
        <v>262842</v>
      </c>
      <c r="G17" s="45" t="s">
        <v>538</v>
      </c>
      <c r="H17" s="45">
        <v>1500</v>
      </c>
      <c r="I17" s="47">
        <v>0.377</v>
      </c>
      <c r="J17" s="47">
        <v>1.0129999999999999</v>
      </c>
      <c r="K17" s="45" t="s">
        <v>542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541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466</v>
      </c>
      <c r="E18" s="45" t="s">
        <v>27</v>
      </c>
      <c r="F18" s="45">
        <v>262846</v>
      </c>
      <c r="G18" s="45" t="s">
        <v>538</v>
      </c>
      <c r="H18" s="45">
        <v>550</v>
      </c>
      <c r="I18" s="47">
        <v>0.49399999999999999</v>
      </c>
      <c r="J18" s="47">
        <v>1.409</v>
      </c>
      <c r="K18" s="45" t="s">
        <v>540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539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466</v>
      </c>
      <c r="E19" s="45" t="s">
        <v>27</v>
      </c>
      <c r="F19" s="45">
        <v>262847</v>
      </c>
      <c r="G19" s="45" t="s">
        <v>538</v>
      </c>
      <c r="H19" s="45">
        <v>350</v>
      </c>
      <c r="I19" s="47">
        <v>0.75</v>
      </c>
      <c r="J19" s="47">
        <v>1.929</v>
      </c>
      <c r="K19" s="45" t="s">
        <v>537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536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380</v>
      </c>
      <c r="E20" s="45" t="s">
        <v>27</v>
      </c>
      <c r="F20" s="45">
        <v>262852</v>
      </c>
      <c r="G20" s="45" t="s">
        <v>531</v>
      </c>
      <c r="H20" s="45">
        <v>1500</v>
      </c>
      <c r="I20" s="47">
        <v>0.36199999999999999</v>
      </c>
      <c r="J20" s="47">
        <v>0.95299999999999996</v>
      </c>
      <c r="K20" s="45" t="s">
        <v>535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534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380</v>
      </c>
      <c r="E21" s="45" t="s">
        <v>27</v>
      </c>
      <c r="F21" s="45">
        <v>262849</v>
      </c>
      <c r="G21" s="45" t="s">
        <v>531</v>
      </c>
      <c r="H21" s="45">
        <v>3000</v>
      </c>
      <c r="I21" s="47">
        <v>0.44400000000000001</v>
      </c>
      <c r="J21" s="47">
        <v>0.90900000000000003</v>
      </c>
      <c r="K21" s="45" t="s">
        <v>533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532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380</v>
      </c>
      <c r="E22" s="45" t="s">
        <v>27</v>
      </c>
      <c r="F22" s="45">
        <v>262850</v>
      </c>
      <c r="G22" s="45" t="s">
        <v>531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530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sqref="A1:AB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50" t="s">
        <v>529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483</v>
      </c>
      <c r="E3" s="126" t="s">
        <v>27</v>
      </c>
      <c r="F3" s="126">
        <v>262840</v>
      </c>
      <c r="G3" s="126" t="s">
        <v>528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527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tabSelected="1" zoomScale="175" zoomScaleNormal="175" workbookViewId="0">
      <selection activeCell="S13" sqref="S1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50" t="s">
        <v>509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466</v>
      </c>
      <c r="E3" s="5" t="s">
        <v>27</v>
      </c>
      <c r="F3" s="5">
        <v>262830</v>
      </c>
      <c r="G3" s="5" t="s">
        <v>504</v>
      </c>
      <c r="H3" s="5">
        <v>1100</v>
      </c>
      <c r="I3" s="7">
        <v>0.51700000000000002</v>
      </c>
      <c r="J3" s="7">
        <v>2.68</v>
      </c>
      <c r="K3" s="5" t="s">
        <v>508</v>
      </c>
      <c r="L3" s="7">
        <v>1524.116</v>
      </c>
      <c r="M3" s="9">
        <v>982.7</v>
      </c>
      <c r="N3" s="6">
        <v>9.0999999999999998E-2</v>
      </c>
      <c r="O3" s="8">
        <v>5.46</v>
      </c>
      <c r="P3" s="5">
        <v>820</v>
      </c>
      <c r="Q3" s="5">
        <v>3</v>
      </c>
      <c r="R3" s="5">
        <v>1600</v>
      </c>
      <c r="S3" s="7">
        <v>1.5509999999999999</v>
      </c>
      <c r="T3" s="5">
        <v>49</v>
      </c>
      <c r="U3" s="6">
        <v>3.0599999999999999E-2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507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466</v>
      </c>
      <c r="E4" s="5" t="s">
        <v>27</v>
      </c>
      <c r="F4" s="5">
        <v>262832</v>
      </c>
      <c r="G4" s="5" t="s">
        <v>504</v>
      </c>
      <c r="H4" s="5">
        <v>660</v>
      </c>
      <c r="I4" s="7">
        <v>0.91200000000000003</v>
      </c>
      <c r="J4" s="7">
        <v>2.1</v>
      </c>
      <c r="K4" s="5" t="s">
        <v>506</v>
      </c>
      <c r="L4" s="7">
        <v>1264.0319999999999</v>
      </c>
      <c r="M4" s="9">
        <v>1386</v>
      </c>
      <c r="N4" s="6">
        <v>0.38500000000000001</v>
      </c>
      <c r="O4" s="8">
        <v>23.1</v>
      </c>
      <c r="P4" s="5">
        <v>680</v>
      </c>
      <c r="Q4" s="5">
        <v>1</v>
      </c>
      <c r="R4" s="5">
        <v>950</v>
      </c>
      <c r="S4" s="7">
        <v>0.91200000000000003</v>
      </c>
      <c r="T4" s="5">
        <v>38</v>
      </c>
      <c r="U4" s="6">
        <v>0.04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31</v>
      </c>
      <c r="AB4" s="5" t="s">
        <v>505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577</v>
      </c>
      <c r="E5" s="91" t="s">
        <v>27</v>
      </c>
      <c r="F5" s="91">
        <v>262873</v>
      </c>
      <c r="G5" s="91" t="s">
        <v>593</v>
      </c>
      <c r="H5" s="91">
        <v>300</v>
      </c>
      <c r="I5" s="93">
        <v>0.86199999999999999</v>
      </c>
      <c r="J5" s="93">
        <v>2.1789999999999998</v>
      </c>
      <c r="K5" s="91" t="s">
        <v>592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591</v>
      </c>
    </row>
    <row r="6" spans="1:28" s="98" customFormat="1" ht="25.05" customHeight="1" x14ac:dyDescent="0.3">
      <c r="A6" s="91">
        <v>2</v>
      </c>
      <c r="B6" s="92" t="s">
        <v>58</v>
      </c>
      <c r="C6" s="91" t="s">
        <v>26</v>
      </c>
      <c r="D6" s="91" t="s">
        <v>577</v>
      </c>
      <c r="E6" s="91" t="s">
        <v>27</v>
      </c>
      <c r="F6" s="91">
        <v>262872</v>
      </c>
      <c r="G6" s="91" t="s">
        <v>593</v>
      </c>
      <c r="H6" s="91">
        <v>600</v>
      </c>
      <c r="I6" s="93">
        <v>0.86799999999999999</v>
      </c>
      <c r="J6" s="93">
        <v>1.32</v>
      </c>
      <c r="K6" s="91" t="s">
        <v>595</v>
      </c>
      <c r="L6" s="93">
        <v>687.45600000000002</v>
      </c>
      <c r="M6" s="94">
        <v>792</v>
      </c>
      <c r="N6" s="95">
        <v>0.22</v>
      </c>
      <c r="O6" s="96">
        <v>13.2</v>
      </c>
      <c r="P6" s="91">
        <v>369.9</v>
      </c>
      <c r="Q6" s="91">
        <v>1</v>
      </c>
      <c r="R6" s="91">
        <v>900</v>
      </c>
      <c r="S6" s="93">
        <v>0.86799999999999999</v>
      </c>
      <c r="T6" s="91">
        <v>32</v>
      </c>
      <c r="U6" s="95">
        <v>3.56E-2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31</v>
      </c>
      <c r="AB6" s="91" t="s">
        <v>594</v>
      </c>
    </row>
    <row r="7" spans="1:28" s="12" customFormat="1" ht="25.05" customHeight="1" x14ac:dyDescent="0.3">
      <c r="A7" s="5">
        <v>3</v>
      </c>
      <c r="B7" s="10" t="s">
        <v>58</v>
      </c>
      <c r="C7" s="5" t="s">
        <v>59</v>
      </c>
      <c r="D7" s="5" t="s">
        <v>466</v>
      </c>
      <c r="E7" s="5" t="s">
        <v>27</v>
      </c>
      <c r="F7" s="5">
        <v>262831</v>
      </c>
      <c r="G7" s="5" t="s">
        <v>504</v>
      </c>
      <c r="H7" s="5">
        <v>490</v>
      </c>
      <c r="I7" s="7">
        <v>1.0629999999999999</v>
      </c>
      <c r="J7" s="7">
        <v>1.93</v>
      </c>
      <c r="K7" s="5" t="s">
        <v>503</v>
      </c>
      <c r="L7" s="7">
        <v>1005.279</v>
      </c>
      <c r="M7" s="9">
        <v>945.7</v>
      </c>
      <c r="N7" s="6">
        <v>0.26269999999999999</v>
      </c>
      <c r="O7" s="8">
        <v>15.76</v>
      </c>
      <c r="P7" s="5">
        <v>325.7</v>
      </c>
      <c r="Q7" s="5">
        <v>1</v>
      </c>
      <c r="R7" s="5">
        <v>1100</v>
      </c>
      <c r="S7" s="7">
        <v>1.0629999999999999</v>
      </c>
      <c r="T7" s="5">
        <v>37</v>
      </c>
      <c r="U7" s="6">
        <v>3.3599999999999998E-2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502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577</v>
      </c>
      <c r="E8" s="91" t="s">
        <v>27</v>
      </c>
      <c r="F8" s="91">
        <v>262871</v>
      </c>
      <c r="G8" s="91" t="s">
        <v>593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596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466</v>
      </c>
      <c r="E9" s="5" t="s">
        <v>27</v>
      </c>
      <c r="F9" s="5">
        <v>262833</v>
      </c>
      <c r="G9" s="5" t="s">
        <v>501</v>
      </c>
      <c r="H9" s="5">
        <v>550</v>
      </c>
      <c r="I9" s="7">
        <v>0.81100000000000005</v>
      </c>
      <c r="J9" s="7">
        <v>2.29</v>
      </c>
      <c r="K9" s="5" t="s">
        <v>500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499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9"/>
  <sheetViews>
    <sheetView workbookViewId="0">
      <selection activeCell="Y17" sqref="Y17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7.5546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53" t="s">
        <v>490</v>
      </c>
      <c r="B1" s="153" t="s">
        <v>27</v>
      </c>
      <c r="C1" s="153" t="s">
        <v>27</v>
      </c>
      <c r="D1" s="153" t="s">
        <v>27</v>
      </c>
      <c r="E1" s="153" t="s">
        <v>27</v>
      </c>
      <c r="F1" s="153" t="s">
        <v>27</v>
      </c>
      <c r="G1" s="153" t="s">
        <v>27</v>
      </c>
      <c r="H1" s="153" t="s">
        <v>27</v>
      </c>
      <c r="I1" s="153" t="s">
        <v>27</v>
      </c>
      <c r="J1" s="153" t="s">
        <v>27</v>
      </c>
      <c r="K1" s="153" t="s">
        <v>27</v>
      </c>
      <c r="L1" s="153" t="s">
        <v>27</v>
      </c>
      <c r="M1" s="153" t="s">
        <v>27</v>
      </c>
      <c r="N1" s="153" t="s">
        <v>27</v>
      </c>
      <c r="O1" s="153" t="s">
        <v>27</v>
      </c>
      <c r="P1" s="153" t="s">
        <v>27</v>
      </c>
      <c r="Q1" s="153" t="s">
        <v>27</v>
      </c>
      <c r="R1" s="153" t="s">
        <v>27</v>
      </c>
      <c r="S1" s="153" t="s">
        <v>27</v>
      </c>
      <c r="T1" s="153" t="s">
        <v>27</v>
      </c>
      <c r="U1" s="153" t="s">
        <v>27</v>
      </c>
      <c r="V1" s="153" t="s">
        <v>27</v>
      </c>
      <c r="W1" s="153" t="s">
        <v>27</v>
      </c>
      <c r="X1" s="153" t="s">
        <v>27</v>
      </c>
      <c r="Y1" s="153" t="s">
        <v>27</v>
      </c>
      <c r="Z1" s="153" t="s">
        <v>27</v>
      </c>
      <c r="AA1" s="153" t="s">
        <v>27</v>
      </c>
      <c r="AB1" s="153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460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495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496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483</v>
      </c>
      <c r="E4" s="112" t="s">
        <v>27</v>
      </c>
      <c r="F4" s="112">
        <v>262823</v>
      </c>
      <c r="G4" s="112" t="s">
        <v>489</v>
      </c>
      <c r="H4" s="112">
        <v>300</v>
      </c>
      <c r="I4" s="113">
        <v>0.36599999999999999</v>
      </c>
      <c r="J4" s="113">
        <v>1.57</v>
      </c>
      <c r="K4" s="112" t="s">
        <v>488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487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483</v>
      </c>
      <c r="E5" s="112" t="s">
        <v>27</v>
      </c>
      <c r="F5" s="112">
        <v>262824</v>
      </c>
      <c r="G5" s="112" t="s">
        <v>486</v>
      </c>
      <c r="H5" s="112">
        <v>350</v>
      </c>
      <c r="I5" s="113">
        <v>0.63900000000000001</v>
      </c>
      <c r="J5" s="113">
        <v>1.9019999999999999</v>
      </c>
      <c r="K5" s="112" t="s">
        <v>485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484</v>
      </c>
    </row>
    <row r="6" spans="1:28" s="51" customFormat="1" ht="25.05" customHeight="1" x14ac:dyDescent="0.3">
      <c r="A6" s="109">
        <v>4</v>
      </c>
      <c r="B6" s="111" t="s">
        <v>460</v>
      </c>
      <c r="C6" s="112" t="s">
        <v>49</v>
      </c>
      <c r="D6" s="117">
        <v>46297</v>
      </c>
      <c r="E6" s="112"/>
      <c r="F6" s="112">
        <v>262829</v>
      </c>
      <c r="G6" s="112">
        <v>81</v>
      </c>
      <c r="H6" s="112">
        <v>2000</v>
      </c>
      <c r="I6" s="113">
        <v>0.54</v>
      </c>
      <c r="J6" s="113">
        <v>1.61</v>
      </c>
      <c r="K6" s="112" t="s">
        <v>497</v>
      </c>
      <c r="L6" s="113">
        <v>1738.8</v>
      </c>
      <c r="M6" s="114">
        <v>1610</v>
      </c>
      <c r="N6" s="115">
        <v>0.22359999999999999</v>
      </c>
      <c r="O6" s="116">
        <v>13.42</v>
      </c>
      <c r="P6" s="112">
        <v>617.29999999999995</v>
      </c>
      <c r="Q6" s="112">
        <v>2</v>
      </c>
      <c r="R6" s="112">
        <v>1100</v>
      </c>
      <c r="S6" s="113">
        <v>1.08</v>
      </c>
      <c r="T6" s="112">
        <v>20</v>
      </c>
      <c r="U6" s="115">
        <v>1.8200000000000001E-2</v>
      </c>
      <c r="V6" s="112" t="s">
        <v>29</v>
      </c>
      <c r="W6" s="112" t="s">
        <v>28</v>
      </c>
      <c r="X6" s="112" t="s">
        <v>29</v>
      </c>
      <c r="Y6" s="112"/>
      <c r="Z6" s="112"/>
      <c r="AA6" s="112">
        <v>3</v>
      </c>
      <c r="AB6" s="112" t="s">
        <v>498</v>
      </c>
    </row>
    <row r="7" spans="1:28" s="51" customFormat="1" ht="25.05" customHeight="1" x14ac:dyDescent="0.3">
      <c r="A7" s="109">
        <v>5</v>
      </c>
      <c r="B7" s="111" t="s">
        <v>126</v>
      </c>
      <c r="C7" s="112" t="s">
        <v>35</v>
      </c>
      <c r="D7" s="112" t="s">
        <v>483</v>
      </c>
      <c r="E7" s="112" t="s">
        <v>27</v>
      </c>
      <c r="F7" s="112">
        <v>262825</v>
      </c>
      <c r="G7" s="112" t="s">
        <v>482</v>
      </c>
      <c r="H7" s="112">
        <v>1175</v>
      </c>
      <c r="I7" s="113">
        <v>0.49199999999999999</v>
      </c>
      <c r="J7" s="113">
        <v>0.87</v>
      </c>
      <c r="K7" s="112" t="s">
        <v>481</v>
      </c>
      <c r="L7" s="113">
        <v>502.947</v>
      </c>
      <c r="M7" s="114">
        <v>511.1</v>
      </c>
      <c r="N7" s="115">
        <v>7.0999999999999994E-2</v>
      </c>
      <c r="O7" s="116">
        <v>4.26</v>
      </c>
      <c r="P7" s="112">
        <v>158.4</v>
      </c>
      <c r="Q7" s="112">
        <v>2</v>
      </c>
      <c r="R7" s="112">
        <v>1050</v>
      </c>
      <c r="S7" s="113">
        <v>0.98399999999999999</v>
      </c>
      <c r="T7" s="112">
        <v>66</v>
      </c>
      <c r="U7" s="115">
        <v>6.2899999999999998E-2</v>
      </c>
      <c r="V7" s="112" t="s">
        <v>28</v>
      </c>
      <c r="W7" s="112" t="s">
        <v>28</v>
      </c>
      <c r="X7" s="112" t="s">
        <v>28</v>
      </c>
      <c r="Y7" s="112" t="s">
        <v>27</v>
      </c>
      <c r="Z7" s="112" t="s">
        <v>27</v>
      </c>
      <c r="AA7" s="112" t="s">
        <v>38</v>
      </c>
      <c r="AB7" s="112" t="s">
        <v>480</v>
      </c>
    </row>
    <row r="8" spans="1:28" s="51" customFormat="1" ht="25.05" customHeight="1" x14ac:dyDescent="0.3">
      <c r="A8" s="118" t="s">
        <v>27</v>
      </c>
      <c r="B8" s="118" t="s">
        <v>27</v>
      </c>
      <c r="C8" s="118" t="s">
        <v>27</v>
      </c>
      <c r="D8" s="118" t="s">
        <v>27</v>
      </c>
      <c r="E8" s="118" t="s">
        <v>27</v>
      </c>
      <c r="F8" s="118" t="s">
        <v>27</v>
      </c>
      <c r="G8" s="118" t="s">
        <v>27</v>
      </c>
      <c r="H8" s="118">
        <v>1825</v>
      </c>
      <c r="I8" s="118" t="s">
        <v>27</v>
      </c>
      <c r="J8" s="118" t="s">
        <v>27</v>
      </c>
      <c r="K8" s="118" t="s">
        <v>27</v>
      </c>
      <c r="L8" s="118" t="s">
        <v>27</v>
      </c>
      <c r="M8" s="118" t="s">
        <v>27</v>
      </c>
      <c r="N8" s="118" t="s">
        <v>27</v>
      </c>
      <c r="O8" s="118" t="s">
        <v>27</v>
      </c>
      <c r="P8" s="118">
        <v>390.3</v>
      </c>
      <c r="Q8" s="118" t="s">
        <v>27</v>
      </c>
      <c r="R8" s="118" t="s">
        <v>27</v>
      </c>
      <c r="S8" s="118" t="s">
        <v>27</v>
      </c>
      <c r="T8" s="118" t="s">
        <v>27</v>
      </c>
      <c r="U8" s="118" t="s">
        <v>27</v>
      </c>
      <c r="V8" s="118" t="s">
        <v>27</v>
      </c>
      <c r="W8" s="118" t="s">
        <v>27</v>
      </c>
      <c r="X8" s="118" t="s">
        <v>27</v>
      </c>
      <c r="Y8" s="118" t="s">
        <v>27</v>
      </c>
      <c r="Z8" s="118" t="s">
        <v>27</v>
      </c>
      <c r="AA8" s="118" t="s">
        <v>27</v>
      </c>
      <c r="AB8" s="118" t="s">
        <v>27</v>
      </c>
    </row>
    <row r="9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50" t="s">
        <v>479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405</v>
      </c>
      <c r="C3" s="5" t="s">
        <v>438</v>
      </c>
      <c r="D3" s="5" t="s">
        <v>404</v>
      </c>
      <c r="E3" s="5" t="s">
        <v>27</v>
      </c>
      <c r="F3" s="5">
        <v>262805</v>
      </c>
      <c r="G3" s="5" t="s">
        <v>403</v>
      </c>
      <c r="H3" s="5">
        <v>600</v>
      </c>
      <c r="I3" s="7">
        <v>0.51200000000000001</v>
      </c>
      <c r="J3" s="7">
        <v>1.375</v>
      </c>
      <c r="K3" s="5" t="s">
        <v>439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436</v>
      </c>
      <c r="W3" s="5" t="s">
        <v>41</v>
      </c>
      <c r="X3" s="5" t="s">
        <v>436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405</v>
      </c>
      <c r="C4" s="5" t="s">
        <v>438</v>
      </c>
      <c r="D4" s="5" t="s">
        <v>404</v>
      </c>
      <c r="E4" s="5" t="s">
        <v>27</v>
      </c>
      <c r="F4" s="5">
        <v>262806</v>
      </c>
      <c r="G4" s="5" t="s">
        <v>403</v>
      </c>
      <c r="H4" s="5">
        <v>500</v>
      </c>
      <c r="I4" s="7">
        <v>0.66200000000000003</v>
      </c>
      <c r="J4" s="7">
        <v>1.7150000000000001</v>
      </c>
      <c r="K4" s="5" t="s">
        <v>437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436</v>
      </c>
      <c r="W4" s="5" t="s">
        <v>41</v>
      </c>
      <c r="X4" s="5" t="s">
        <v>436</v>
      </c>
      <c r="Y4" s="5" t="s">
        <v>27</v>
      </c>
      <c r="Z4" s="5" t="s">
        <v>27</v>
      </c>
      <c r="AA4" s="5" t="s">
        <v>32</v>
      </c>
      <c r="AB4" s="5" t="s">
        <v>435</v>
      </c>
    </row>
    <row r="5" spans="1:28" s="12" customFormat="1" ht="25.05" customHeight="1" x14ac:dyDescent="0.3">
      <c r="A5" s="5">
        <v>3</v>
      </c>
      <c r="B5" s="10" t="s">
        <v>405</v>
      </c>
      <c r="C5" s="5" t="s">
        <v>81</v>
      </c>
      <c r="D5" s="5" t="s">
        <v>404</v>
      </c>
      <c r="E5" s="5" t="s">
        <v>27</v>
      </c>
      <c r="F5" s="5">
        <v>262813</v>
      </c>
      <c r="G5" s="5" t="s">
        <v>403</v>
      </c>
      <c r="H5" s="5">
        <v>300</v>
      </c>
      <c r="I5" s="7">
        <v>0.36299999999999999</v>
      </c>
      <c r="J5" s="7">
        <v>0.95499999999999996</v>
      </c>
      <c r="K5" s="5" t="s">
        <v>434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433</v>
      </c>
    </row>
    <row r="6" spans="1:28" s="12" customFormat="1" ht="25.05" customHeight="1" x14ac:dyDescent="0.3">
      <c r="A6" s="5">
        <v>4</v>
      </c>
      <c r="B6" s="10" t="s">
        <v>405</v>
      </c>
      <c r="C6" s="5" t="s">
        <v>81</v>
      </c>
      <c r="D6" s="5" t="s">
        <v>404</v>
      </c>
      <c r="E6" s="5" t="s">
        <v>27</v>
      </c>
      <c r="F6" s="5">
        <v>262807</v>
      </c>
      <c r="G6" s="5" t="s">
        <v>403</v>
      </c>
      <c r="H6" s="5">
        <v>400</v>
      </c>
      <c r="I6" s="7">
        <v>0.48199999999999998</v>
      </c>
      <c r="J6" s="7">
        <v>1.095</v>
      </c>
      <c r="K6" s="5" t="s">
        <v>432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431</v>
      </c>
    </row>
    <row r="7" spans="1:28" s="12" customFormat="1" ht="25.05" customHeight="1" x14ac:dyDescent="0.3">
      <c r="A7" s="5">
        <v>5</v>
      </c>
      <c r="B7" s="10" t="s">
        <v>405</v>
      </c>
      <c r="C7" s="5" t="s">
        <v>81</v>
      </c>
      <c r="D7" s="5" t="s">
        <v>404</v>
      </c>
      <c r="E7" s="5" t="s">
        <v>27</v>
      </c>
      <c r="F7" s="5">
        <v>262819</v>
      </c>
      <c r="G7" s="5" t="s">
        <v>403</v>
      </c>
      <c r="H7" s="5">
        <v>1000</v>
      </c>
      <c r="I7" s="7">
        <v>0.35199999999999998</v>
      </c>
      <c r="J7" s="7">
        <v>0.95499999999999996</v>
      </c>
      <c r="K7" s="5" t="s">
        <v>430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429</v>
      </c>
    </row>
    <row r="8" spans="1:28" s="12" customFormat="1" ht="25.05" customHeight="1" x14ac:dyDescent="0.3">
      <c r="A8" s="5">
        <v>6</v>
      </c>
      <c r="B8" s="10" t="s">
        <v>405</v>
      </c>
      <c r="C8" s="5" t="s">
        <v>81</v>
      </c>
      <c r="D8" s="5" t="s">
        <v>404</v>
      </c>
      <c r="E8" s="5" t="s">
        <v>27</v>
      </c>
      <c r="F8" s="5">
        <v>262815</v>
      </c>
      <c r="G8" s="5" t="s">
        <v>403</v>
      </c>
      <c r="H8" s="5">
        <v>1000</v>
      </c>
      <c r="I8" s="7">
        <v>0.34799999999999998</v>
      </c>
      <c r="J8" s="7">
        <v>0.88500000000000001</v>
      </c>
      <c r="K8" s="5" t="s">
        <v>428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427</v>
      </c>
    </row>
    <row r="9" spans="1:28" s="12" customFormat="1" ht="25.05" customHeight="1" x14ac:dyDescent="0.3">
      <c r="A9" s="5">
        <v>7</v>
      </c>
      <c r="B9" s="10" t="s">
        <v>405</v>
      </c>
      <c r="C9" s="5" t="s">
        <v>81</v>
      </c>
      <c r="D9" s="5" t="s">
        <v>404</v>
      </c>
      <c r="E9" s="5" t="s">
        <v>27</v>
      </c>
      <c r="F9" s="5">
        <v>262816</v>
      </c>
      <c r="G9" s="5" t="s">
        <v>403</v>
      </c>
      <c r="H9" s="5">
        <v>1000</v>
      </c>
      <c r="I9" s="7">
        <v>0.33300000000000002</v>
      </c>
      <c r="J9" s="7">
        <v>0.875</v>
      </c>
      <c r="K9" s="5" t="s">
        <v>426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425</v>
      </c>
    </row>
    <row r="10" spans="1:28" s="12" customFormat="1" ht="25.05" customHeight="1" x14ac:dyDescent="0.3">
      <c r="A10" s="5">
        <v>8</v>
      </c>
      <c r="B10" s="10" t="s">
        <v>405</v>
      </c>
      <c r="C10" s="5" t="s">
        <v>81</v>
      </c>
      <c r="D10" s="5" t="s">
        <v>404</v>
      </c>
      <c r="E10" s="5" t="s">
        <v>27</v>
      </c>
      <c r="F10" s="5">
        <v>262814</v>
      </c>
      <c r="G10" s="5" t="s">
        <v>403</v>
      </c>
      <c r="H10" s="5">
        <v>2300</v>
      </c>
      <c r="I10" s="7">
        <v>0.432</v>
      </c>
      <c r="J10" s="7">
        <v>1.0489999999999999</v>
      </c>
      <c r="K10" s="5" t="s">
        <v>424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423</v>
      </c>
    </row>
    <row r="11" spans="1:28" s="12" customFormat="1" ht="25.05" customHeight="1" x14ac:dyDescent="0.3">
      <c r="A11" s="5">
        <v>9</v>
      </c>
      <c r="B11" s="10" t="s">
        <v>405</v>
      </c>
      <c r="C11" s="5" t="s">
        <v>81</v>
      </c>
      <c r="D11" s="5" t="s">
        <v>404</v>
      </c>
      <c r="E11" s="5" t="s">
        <v>27</v>
      </c>
      <c r="F11" s="5">
        <v>262809</v>
      </c>
      <c r="G11" s="5" t="s">
        <v>403</v>
      </c>
      <c r="H11" s="5">
        <v>300</v>
      </c>
      <c r="I11" s="7">
        <v>0.32200000000000001</v>
      </c>
      <c r="J11" s="7">
        <v>1.145</v>
      </c>
      <c r="K11" s="5" t="s">
        <v>422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421</v>
      </c>
    </row>
    <row r="12" spans="1:28" s="12" customFormat="1" ht="25.05" customHeight="1" x14ac:dyDescent="0.3">
      <c r="A12" s="5">
        <v>10</v>
      </c>
      <c r="B12" s="10" t="s">
        <v>405</v>
      </c>
      <c r="C12" s="5" t="s">
        <v>81</v>
      </c>
      <c r="D12" s="5" t="s">
        <v>404</v>
      </c>
      <c r="E12" s="5" t="s">
        <v>27</v>
      </c>
      <c r="F12" s="5">
        <v>262818</v>
      </c>
      <c r="G12" s="5" t="s">
        <v>403</v>
      </c>
      <c r="H12" s="5">
        <v>1000</v>
      </c>
      <c r="I12" s="7">
        <v>0.32300000000000001</v>
      </c>
      <c r="J12" s="7">
        <v>0.76500000000000001</v>
      </c>
      <c r="K12" s="5" t="s">
        <v>420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419</v>
      </c>
    </row>
    <row r="13" spans="1:28" s="12" customFormat="1" ht="25.05" customHeight="1" x14ac:dyDescent="0.3">
      <c r="A13" s="5">
        <v>11</v>
      </c>
      <c r="B13" s="10" t="s">
        <v>405</v>
      </c>
      <c r="C13" s="5" t="s">
        <v>81</v>
      </c>
      <c r="D13" s="5" t="s">
        <v>404</v>
      </c>
      <c r="E13" s="5" t="s">
        <v>27</v>
      </c>
      <c r="F13" s="5">
        <v>262810</v>
      </c>
      <c r="G13" s="5" t="s">
        <v>403</v>
      </c>
      <c r="H13" s="5">
        <v>300</v>
      </c>
      <c r="I13" s="7">
        <v>0.41699999999999998</v>
      </c>
      <c r="J13" s="7">
        <v>1.3149999999999999</v>
      </c>
      <c r="K13" s="5" t="s">
        <v>418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417</v>
      </c>
    </row>
    <row r="14" spans="1:28" s="12" customFormat="1" ht="25.05" customHeight="1" x14ac:dyDescent="0.3">
      <c r="A14" s="5">
        <v>12</v>
      </c>
      <c r="B14" s="10" t="s">
        <v>405</v>
      </c>
      <c r="C14" s="5" t="s">
        <v>81</v>
      </c>
      <c r="D14" s="5" t="s">
        <v>404</v>
      </c>
      <c r="E14" s="5" t="s">
        <v>27</v>
      </c>
      <c r="F14" s="5">
        <v>262812</v>
      </c>
      <c r="G14" s="5" t="s">
        <v>403</v>
      </c>
      <c r="H14" s="5">
        <v>300</v>
      </c>
      <c r="I14" s="7">
        <v>0.42299999999999999</v>
      </c>
      <c r="J14" s="7">
        <v>1.4350000000000001</v>
      </c>
      <c r="K14" s="5" t="s">
        <v>416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415</v>
      </c>
    </row>
    <row r="15" spans="1:28" s="12" customFormat="1" ht="25.05" customHeight="1" x14ac:dyDescent="0.3">
      <c r="A15" s="5">
        <v>13</v>
      </c>
      <c r="B15" s="10" t="s">
        <v>405</v>
      </c>
      <c r="C15" s="5" t="s">
        <v>81</v>
      </c>
      <c r="D15" s="5" t="s">
        <v>404</v>
      </c>
      <c r="E15" s="5" t="s">
        <v>27</v>
      </c>
      <c r="F15" s="5">
        <v>262820</v>
      </c>
      <c r="G15" s="5" t="s">
        <v>403</v>
      </c>
      <c r="H15" s="5">
        <v>1000</v>
      </c>
      <c r="I15" s="7">
        <v>0.311</v>
      </c>
      <c r="J15" s="7">
        <v>0.98699999999999999</v>
      </c>
      <c r="K15" s="5" t="s">
        <v>414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413</v>
      </c>
    </row>
    <row r="16" spans="1:28" s="12" customFormat="1" ht="25.05" customHeight="1" x14ac:dyDescent="0.3">
      <c r="A16" s="5">
        <v>14</v>
      </c>
      <c r="B16" s="10" t="s">
        <v>405</v>
      </c>
      <c r="C16" s="5" t="s">
        <v>81</v>
      </c>
      <c r="D16" s="5" t="s">
        <v>404</v>
      </c>
      <c r="E16" s="5" t="s">
        <v>27</v>
      </c>
      <c r="F16" s="5">
        <v>262808</v>
      </c>
      <c r="G16" s="5" t="s">
        <v>403</v>
      </c>
      <c r="H16" s="5">
        <v>300</v>
      </c>
      <c r="I16" s="7">
        <v>0.29799999999999999</v>
      </c>
      <c r="J16" s="7">
        <v>1.0569999999999999</v>
      </c>
      <c r="K16" s="5" t="s">
        <v>412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411</v>
      </c>
    </row>
    <row r="17" spans="1:28" s="12" customFormat="1" ht="25.05" customHeight="1" x14ac:dyDescent="0.3">
      <c r="A17" s="5">
        <v>15</v>
      </c>
      <c r="B17" s="10" t="s">
        <v>405</v>
      </c>
      <c r="C17" s="5" t="s">
        <v>81</v>
      </c>
      <c r="D17" s="5" t="s">
        <v>404</v>
      </c>
      <c r="E17" s="5" t="s">
        <v>27</v>
      </c>
      <c r="F17" s="5">
        <v>262811</v>
      </c>
      <c r="G17" s="5" t="s">
        <v>403</v>
      </c>
      <c r="H17" s="5">
        <v>300</v>
      </c>
      <c r="I17" s="7">
        <v>0.30199999999999999</v>
      </c>
      <c r="J17" s="7">
        <v>1.0349999999999999</v>
      </c>
      <c r="K17" s="5" t="s">
        <v>410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409</v>
      </c>
    </row>
    <row r="18" spans="1:28" s="12" customFormat="1" ht="25.05" customHeight="1" x14ac:dyDescent="0.3">
      <c r="A18" s="5">
        <v>16</v>
      </c>
      <c r="B18" s="10" t="s">
        <v>405</v>
      </c>
      <c r="C18" s="5" t="s">
        <v>81</v>
      </c>
      <c r="D18" s="5" t="s">
        <v>404</v>
      </c>
      <c r="E18" s="5" t="s">
        <v>27</v>
      </c>
      <c r="F18" s="5">
        <v>262817</v>
      </c>
      <c r="G18" s="5" t="s">
        <v>403</v>
      </c>
      <c r="H18" s="5">
        <v>1000</v>
      </c>
      <c r="I18" s="7">
        <v>0.30299999999999999</v>
      </c>
      <c r="J18" s="7">
        <v>0.94499999999999995</v>
      </c>
      <c r="K18" s="5" t="s">
        <v>408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407</v>
      </c>
    </row>
    <row r="19" spans="1:28" s="12" customFormat="1" ht="25.05" customHeight="1" x14ac:dyDescent="0.3">
      <c r="A19" s="5">
        <v>17</v>
      </c>
      <c r="B19" s="10" t="s">
        <v>405</v>
      </c>
      <c r="C19" s="5" t="s">
        <v>81</v>
      </c>
      <c r="D19" s="5" t="s">
        <v>404</v>
      </c>
      <c r="E19" s="5" t="s">
        <v>27</v>
      </c>
      <c r="F19" s="5">
        <v>262821</v>
      </c>
      <c r="G19" s="5" t="s">
        <v>403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406</v>
      </c>
    </row>
    <row r="20" spans="1:28" s="12" customFormat="1" ht="25.05" customHeight="1" x14ac:dyDescent="0.3">
      <c r="A20" s="5">
        <v>18</v>
      </c>
      <c r="B20" s="10" t="s">
        <v>405</v>
      </c>
      <c r="C20" s="5" t="s">
        <v>81</v>
      </c>
      <c r="D20" s="5" t="s">
        <v>404</v>
      </c>
      <c r="E20" s="5" t="s">
        <v>27</v>
      </c>
      <c r="F20" s="5">
        <v>262822</v>
      </c>
      <c r="G20" s="5" t="s">
        <v>403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402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54" t="s">
        <v>478</v>
      </c>
      <c r="B1" s="154" t="s">
        <v>27</v>
      </c>
      <c r="C1" s="154" t="s">
        <v>27</v>
      </c>
      <c r="D1" s="154" t="s">
        <v>27</v>
      </c>
      <c r="E1" s="154" t="s">
        <v>27</v>
      </c>
      <c r="F1" s="154" t="s">
        <v>27</v>
      </c>
      <c r="G1" s="154" t="s">
        <v>27</v>
      </c>
      <c r="H1" s="154" t="s">
        <v>27</v>
      </c>
      <c r="I1" s="154" t="s">
        <v>27</v>
      </c>
      <c r="J1" s="154" t="s">
        <v>27</v>
      </c>
      <c r="K1" s="154" t="s">
        <v>27</v>
      </c>
      <c r="L1" s="154" t="s">
        <v>27</v>
      </c>
      <c r="M1" s="154" t="s">
        <v>27</v>
      </c>
      <c r="N1" s="154" t="s">
        <v>27</v>
      </c>
      <c r="O1" s="154" t="s">
        <v>27</v>
      </c>
      <c r="P1" s="154" t="s">
        <v>27</v>
      </c>
      <c r="Q1" s="154" t="s">
        <v>27</v>
      </c>
      <c r="R1" s="154" t="s">
        <v>27</v>
      </c>
      <c r="S1" s="154" t="s">
        <v>27</v>
      </c>
      <c r="T1" s="154" t="s">
        <v>27</v>
      </c>
      <c r="U1" s="154" t="s">
        <v>27</v>
      </c>
      <c r="V1" s="154" t="s">
        <v>27</v>
      </c>
      <c r="W1" s="154" t="s">
        <v>27</v>
      </c>
      <c r="X1" s="154" t="s">
        <v>27</v>
      </c>
      <c r="Y1" s="154" t="s">
        <v>27</v>
      </c>
      <c r="Z1" s="154" t="s">
        <v>27</v>
      </c>
      <c r="AA1" s="154" t="s">
        <v>27</v>
      </c>
      <c r="AB1" s="154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472</v>
      </c>
      <c r="C4" s="100" t="s">
        <v>35</v>
      </c>
      <c r="D4" s="100" t="s">
        <v>466</v>
      </c>
      <c r="E4" s="100" t="s">
        <v>27</v>
      </c>
      <c r="F4" s="100">
        <v>262800</v>
      </c>
      <c r="G4" s="100" t="s">
        <v>471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477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472</v>
      </c>
      <c r="C6" s="100" t="s">
        <v>35</v>
      </c>
      <c r="D6" s="107">
        <v>46297</v>
      </c>
      <c r="E6" s="100"/>
      <c r="F6" s="100">
        <v>262827</v>
      </c>
      <c r="G6" s="100" t="s">
        <v>493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494</v>
      </c>
    </row>
    <row r="7" spans="1:28" s="106" customFormat="1" ht="25.05" customHeight="1" x14ac:dyDescent="0.3">
      <c r="A7" s="100">
        <v>5</v>
      </c>
      <c r="B7" s="101" t="s">
        <v>467</v>
      </c>
      <c r="C7" s="100" t="s">
        <v>35</v>
      </c>
      <c r="D7" s="100" t="s">
        <v>466</v>
      </c>
      <c r="E7" s="100" t="s">
        <v>27</v>
      </c>
      <c r="F7" s="100">
        <v>262802</v>
      </c>
      <c r="G7" s="100" t="s">
        <v>465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476</v>
      </c>
    </row>
    <row r="8" spans="1:28" s="148" customFormat="1" ht="25.05" customHeight="1" x14ac:dyDescent="0.3">
      <c r="A8" s="142">
        <v>6</v>
      </c>
      <c r="B8" s="143" t="s">
        <v>463</v>
      </c>
      <c r="C8" s="142" t="s">
        <v>35</v>
      </c>
      <c r="D8" s="142" t="s">
        <v>404</v>
      </c>
      <c r="E8" s="142" t="s">
        <v>27</v>
      </c>
      <c r="F8" s="142">
        <v>262794</v>
      </c>
      <c r="G8" s="142" t="s">
        <v>462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475</v>
      </c>
    </row>
    <row r="9" spans="1:28" s="106" customFormat="1" ht="25.05" customHeight="1" x14ac:dyDescent="0.3">
      <c r="A9" s="100">
        <v>7</v>
      </c>
      <c r="B9" s="101" t="s">
        <v>467</v>
      </c>
      <c r="C9" s="100" t="s">
        <v>35</v>
      </c>
      <c r="D9" s="100" t="s">
        <v>466</v>
      </c>
      <c r="E9" s="100" t="s">
        <v>27</v>
      </c>
      <c r="F9" s="100">
        <v>262804</v>
      </c>
      <c r="G9" s="100" t="s">
        <v>465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472</v>
      </c>
      <c r="C10" s="100" t="s">
        <v>35</v>
      </c>
      <c r="D10" s="100" t="s">
        <v>466</v>
      </c>
      <c r="E10" s="100" t="s">
        <v>27</v>
      </c>
      <c r="F10" s="100">
        <v>262799</v>
      </c>
      <c r="G10" s="100" t="s">
        <v>471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474</v>
      </c>
    </row>
    <row r="11" spans="1:28" s="148" customFormat="1" ht="25.05" customHeight="1" x14ac:dyDescent="0.3">
      <c r="A11" s="142">
        <v>9</v>
      </c>
      <c r="B11" s="143" t="s">
        <v>463</v>
      </c>
      <c r="C11" s="142" t="s">
        <v>35</v>
      </c>
      <c r="D11" s="142" t="s">
        <v>404</v>
      </c>
      <c r="E11" s="142" t="s">
        <v>27</v>
      </c>
      <c r="F11" s="142">
        <v>262795</v>
      </c>
      <c r="G11" s="142" t="s">
        <v>462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473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472</v>
      </c>
      <c r="C13" s="100" t="s">
        <v>35</v>
      </c>
      <c r="D13" s="100" t="s">
        <v>466</v>
      </c>
      <c r="E13" s="100" t="s">
        <v>27</v>
      </c>
      <c r="F13" s="100">
        <v>262798</v>
      </c>
      <c r="G13" s="100" t="s">
        <v>471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470</v>
      </c>
    </row>
    <row r="14" spans="1:28" s="106" customFormat="1" ht="25.05" customHeight="1" x14ac:dyDescent="0.3">
      <c r="A14" s="100">
        <v>12</v>
      </c>
      <c r="B14" s="101" t="s">
        <v>467</v>
      </c>
      <c r="C14" s="100" t="s">
        <v>35</v>
      </c>
      <c r="D14" s="100" t="s">
        <v>466</v>
      </c>
      <c r="E14" s="100" t="s">
        <v>27</v>
      </c>
      <c r="F14" s="100">
        <v>262803</v>
      </c>
      <c r="G14" s="100" t="s">
        <v>465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469</v>
      </c>
    </row>
    <row r="15" spans="1:28" s="148" customFormat="1" ht="25.05" customHeight="1" x14ac:dyDescent="0.3">
      <c r="A15" s="142">
        <v>13</v>
      </c>
      <c r="B15" s="143" t="s">
        <v>463</v>
      </c>
      <c r="C15" s="142" t="s">
        <v>35</v>
      </c>
      <c r="D15" s="142" t="s">
        <v>404</v>
      </c>
      <c r="E15" s="142" t="s">
        <v>27</v>
      </c>
      <c r="F15" s="142">
        <v>262797</v>
      </c>
      <c r="G15" s="142" t="s">
        <v>462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468</v>
      </c>
    </row>
    <row r="16" spans="1:28" s="106" customFormat="1" ht="25.05" customHeight="1" x14ac:dyDescent="0.3">
      <c r="A16" s="100">
        <v>14</v>
      </c>
      <c r="B16" s="101" t="s">
        <v>467</v>
      </c>
      <c r="C16" s="100" t="s">
        <v>35</v>
      </c>
      <c r="D16" s="100" t="s">
        <v>466</v>
      </c>
      <c r="E16" s="100" t="s">
        <v>27</v>
      </c>
      <c r="F16" s="100">
        <v>262801</v>
      </c>
      <c r="G16" s="100" t="s">
        <v>465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464</v>
      </c>
    </row>
    <row r="17" spans="1:28" s="148" customFormat="1" ht="25.05" customHeight="1" x14ac:dyDescent="0.3">
      <c r="A17" s="142">
        <v>15</v>
      </c>
      <c r="B17" s="143" t="s">
        <v>463</v>
      </c>
      <c r="C17" s="142" t="s">
        <v>35</v>
      </c>
      <c r="D17" s="142" t="s">
        <v>404</v>
      </c>
      <c r="E17" s="142" t="s">
        <v>27</v>
      </c>
      <c r="F17" s="142">
        <v>262796</v>
      </c>
      <c r="G17" s="142" t="s">
        <v>462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461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472</v>
      </c>
      <c r="C20" s="100" t="s">
        <v>35</v>
      </c>
      <c r="D20" s="107">
        <v>46296</v>
      </c>
      <c r="E20" s="100"/>
      <c r="F20" s="100">
        <v>262826</v>
      </c>
      <c r="G20" s="100" t="s">
        <v>491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492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55" t="s">
        <v>459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404</v>
      </c>
      <c r="E3" s="53" t="s">
        <v>27</v>
      </c>
      <c r="F3" s="53">
        <v>262787</v>
      </c>
      <c r="G3" s="53" t="s">
        <v>456</v>
      </c>
      <c r="H3" s="53">
        <v>650</v>
      </c>
      <c r="I3" s="55">
        <v>0.51200000000000001</v>
      </c>
      <c r="J3" s="55">
        <v>1.5620000000000001</v>
      </c>
      <c r="K3" s="53" t="s">
        <v>458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457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404</v>
      </c>
      <c r="E4" s="53" t="s">
        <v>27</v>
      </c>
      <c r="F4" s="53">
        <v>262785</v>
      </c>
      <c r="G4" s="53" t="s">
        <v>452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404</v>
      </c>
      <c r="E5" s="53" t="s">
        <v>27</v>
      </c>
      <c r="F5" s="53">
        <v>262784</v>
      </c>
      <c r="G5" s="53" t="s">
        <v>452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404</v>
      </c>
      <c r="E6" s="53" t="s">
        <v>27</v>
      </c>
      <c r="F6" s="53">
        <v>262786</v>
      </c>
      <c r="G6" s="53" t="s">
        <v>456</v>
      </c>
      <c r="H6" s="53">
        <v>1000</v>
      </c>
      <c r="I6" s="55">
        <v>0.41899999999999998</v>
      </c>
      <c r="J6" s="55">
        <v>1.3879999999999999</v>
      </c>
      <c r="K6" s="53" t="s">
        <v>455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454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404</v>
      </c>
      <c r="E7" s="53" t="s">
        <v>27</v>
      </c>
      <c r="F7" s="53">
        <v>262783</v>
      </c>
      <c r="G7" s="53" t="s">
        <v>452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453</v>
      </c>
    </row>
    <row r="8" spans="1:28" s="59" customFormat="1" x14ac:dyDescent="0.3">
      <c r="A8" s="53">
        <v>6</v>
      </c>
      <c r="B8" s="54" t="s">
        <v>460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404</v>
      </c>
      <c r="E9" s="53" t="s">
        <v>27</v>
      </c>
      <c r="F9" s="53">
        <v>262782</v>
      </c>
      <c r="G9" s="53" t="s">
        <v>452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13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55" t="s">
        <v>396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380</v>
      </c>
      <c r="E3" s="45" t="s">
        <v>27</v>
      </c>
      <c r="F3" s="45">
        <v>262736</v>
      </c>
      <c r="G3" s="45" t="s">
        <v>389</v>
      </c>
      <c r="H3" s="45">
        <v>150</v>
      </c>
      <c r="I3" s="47">
        <v>1.498</v>
      </c>
      <c r="J3" s="47">
        <v>1.6830000000000001</v>
      </c>
      <c r="K3" s="45" t="s">
        <v>395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394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380</v>
      </c>
      <c r="E4" s="45" t="s">
        <v>27</v>
      </c>
      <c r="F4" s="45">
        <v>262735</v>
      </c>
      <c r="G4" s="45" t="s">
        <v>389</v>
      </c>
      <c r="H4" s="45">
        <v>150</v>
      </c>
      <c r="I4" s="47">
        <v>1.488</v>
      </c>
      <c r="J4" s="47">
        <v>2.0830000000000002</v>
      </c>
      <c r="K4" s="45" t="s">
        <v>393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392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483</v>
      </c>
      <c r="E5" s="130" t="s">
        <v>27</v>
      </c>
      <c r="F5" s="130">
        <v>262837</v>
      </c>
      <c r="G5" s="130" t="s">
        <v>512</v>
      </c>
      <c r="H5" s="130">
        <v>140</v>
      </c>
      <c r="I5" s="132">
        <v>1.494</v>
      </c>
      <c r="J5" s="132">
        <v>2.2309999999999999</v>
      </c>
      <c r="K5" s="130" t="s">
        <v>511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510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380</v>
      </c>
      <c r="E6" s="45" t="s">
        <v>27</v>
      </c>
      <c r="F6" s="45">
        <v>262733</v>
      </c>
      <c r="G6" s="45" t="s">
        <v>389</v>
      </c>
      <c r="H6" s="45">
        <v>150</v>
      </c>
      <c r="I6" s="47">
        <v>1.478</v>
      </c>
      <c r="J6" s="47">
        <v>2.0030000000000001</v>
      </c>
      <c r="K6" s="45" t="s">
        <v>391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390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380</v>
      </c>
      <c r="E7" s="45" t="s">
        <v>27</v>
      </c>
      <c r="F7" s="45">
        <v>262734</v>
      </c>
      <c r="G7" s="45" t="s">
        <v>389</v>
      </c>
      <c r="H7" s="45">
        <v>150</v>
      </c>
      <c r="I7" s="47">
        <v>1.3380000000000001</v>
      </c>
      <c r="J7" s="47">
        <v>2.0830000000000002</v>
      </c>
      <c r="K7" s="45" t="s">
        <v>388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387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380</v>
      </c>
      <c r="E8" s="45" t="s">
        <v>27</v>
      </c>
      <c r="F8" s="45">
        <v>262731</v>
      </c>
      <c r="G8" s="45" t="s">
        <v>386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385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380</v>
      </c>
      <c r="E9" s="45" t="s">
        <v>27</v>
      </c>
      <c r="F9" s="45">
        <v>262732</v>
      </c>
      <c r="G9" s="45" t="s">
        <v>386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385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572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483</v>
      </c>
      <c r="E11" s="130" t="s">
        <v>27</v>
      </c>
      <c r="F11" s="130">
        <v>262839</v>
      </c>
      <c r="G11" s="130" t="s">
        <v>515</v>
      </c>
      <c r="H11" s="130">
        <v>150</v>
      </c>
      <c r="I11" s="132">
        <v>1.3160000000000001</v>
      </c>
      <c r="J11" s="132">
        <v>1.244</v>
      </c>
      <c r="K11" s="130" t="s">
        <v>514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513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483</v>
      </c>
      <c r="E12" s="130" t="s">
        <v>27</v>
      </c>
      <c r="F12" s="130">
        <v>262835</v>
      </c>
      <c r="G12" s="130" t="s">
        <v>518</v>
      </c>
      <c r="H12" s="130">
        <v>500</v>
      </c>
      <c r="I12" s="132">
        <v>0.6</v>
      </c>
      <c r="J12" s="132">
        <v>2.367</v>
      </c>
      <c r="K12" s="130" t="s">
        <v>517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516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483</v>
      </c>
      <c r="E13" s="130" t="s">
        <v>27</v>
      </c>
      <c r="F13" s="130">
        <v>262834</v>
      </c>
      <c r="G13" s="130" t="s">
        <v>521</v>
      </c>
      <c r="H13" s="130">
        <v>200</v>
      </c>
      <c r="I13" s="132">
        <v>1.1100000000000001</v>
      </c>
      <c r="J13" s="132">
        <v>2.3029999999999999</v>
      </c>
      <c r="K13" s="130" t="s">
        <v>520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519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483</v>
      </c>
      <c r="E14" s="130" t="s">
        <v>27</v>
      </c>
      <c r="F14" s="130">
        <v>262838</v>
      </c>
      <c r="G14" s="130" t="s">
        <v>524</v>
      </c>
      <c r="H14" s="130">
        <v>1200</v>
      </c>
      <c r="I14" s="132">
        <v>0.99299999999999999</v>
      </c>
      <c r="J14" s="132">
        <v>0.627</v>
      </c>
      <c r="K14" s="130" t="s">
        <v>523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522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483</v>
      </c>
      <c r="E15" s="130" t="s">
        <v>27</v>
      </c>
      <c r="F15" s="130">
        <v>262836</v>
      </c>
      <c r="G15" s="130" t="s">
        <v>526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525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380</v>
      </c>
      <c r="E16" s="45" t="s">
        <v>27</v>
      </c>
      <c r="F16" s="45">
        <v>262737</v>
      </c>
      <c r="G16" s="45" t="s">
        <v>379</v>
      </c>
      <c r="H16" s="45">
        <v>600</v>
      </c>
      <c r="I16" s="47">
        <v>0.47</v>
      </c>
      <c r="J16" s="47">
        <v>1.7869999999999999</v>
      </c>
      <c r="K16" s="45" t="s">
        <v>384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383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380</v>
      </c>
      <c r="E17" s="45" t="s">
        <v>27</v>
      </c>
      <c r="F17" s="45">
        <v>262739</v>
      </c>
      <c r="G17" s="45" t="s">
        <v>379</v>
      </c>
      <c r="H17" s="45">
        <v>300</v>
      </c>
      <c r="I17" s="47">
        <v>0.86</v>
      </c>
      <c r="J17" s="47">
        <v>1.8029999999999999</v>
      </c>
      <c r="K17" s="45" t="s">
        <v>382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381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380</v>
      </c>
      <c r="E18" s="45" t="s">
        <v>27</v>
      </c>
      <c r="F18" s="45">
        <v>262738</v>
      </c>
      <c r="G18" s="45" t="s">
        <v>379</v>
      </c>
      <c r="H18" s="45">
        <v>600</v>
      </c>
      <c r="I18" s="47">
        <v>0.39</v>
      </c>
      <c r="J18" s="47">
        <v>1.7829999999999999</v>
      </c>
      <c r="K18" s="45" t="s">
        <v>378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377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zoomScale="190" zoomScaleNormal="190" workbookViewId="0">
      <selection activeCell="AB23" sqref="AB23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51" t="s">
        <v>376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54" t="s">
        <v>364</v>
      </c>
      <c r="B1" s="154" t="s">
        <v>27</v>
      </c>
      <c r="C1" s="154" t="s">
        <v>27</v>
      </c>
      <c r="D1" s="154" t="s">
        <v>27</v>
      </c>
      <c r="E1" s="154" t="s">
        <v>27</v>
      </c>
      <c r="F1" s="154" t="s">
        <v>27</v>
      </c>
      <c r="G1" s="154" t="s">
        <v>27</v>
      </c>
      <c r="H1" s="154" t="s">
        <v>27</v>
      </c>
      <c r="I1" s="154" t="s">
        <v>27</v>
      </c>
      <c r="J1" s="154" t="s">
        <v>27</v>
      </c>
      <c r="K1" s="154" t="s">
        <v>27</v>
      </c>
      <c r="L1" s="154" t="s">
        <v>27</v>
      </c>
      <c r="M1" s="154" t="s">
        <v>27</v>
      </c>
      <c r="N1" s="154" t="s">
        <v>27</v>
      </c>
      <c r="O1" s="154" t="s">
        <v>27</v>
      </c>
      <c r="P1" s="154" t="s">
        <v>27</v>
      </c>
      <c r="Q1" s="154" t="s">
        <v>27</v>
      </c>
      <c r="R1" s="154" t="s">
        <v>27</v>
      </c>
      <c r="S1" s="154" t="s">
        <v>27</v>
      </c>
      <c r="T1" s="154" t="s">
        <v>27</v>
      </c>
      <c r="U1" s="154" t="s">
        <v>27</v>
      </c>
      <c r="V1" s="154" t="s">
        <v>27</v>
      </c>
      <c r="W1" s="154" t="s">
        <v>27</v>
      </c>
      <c r="X1" s="154" t="s">
        <v>27</v>
      </c>
      <c r="Y1" s="154" t="s">
        <v>27</v>
      </c>
      <c r="Z1" s="154" t="s">
        <v>27</v>
      </c>
      <c r="AA1" s="154" t="s">
        <v>27</v>
      </c>
      <c r="AB1" s="154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55" t="s">
        <v>321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workbookViewId="0">
      <selection sqref="A1:AB11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55" t="s">
        <v>296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sqref="A1:AB7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55" t="s">
        <v>278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55" t="s">
        <v>264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51" t="s">
        <v>247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172" zoomScaleNormal="172" workbookViewId="0">
      <selection activeCell="S19" sqref="S19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55" t="s">
        <v>234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444</v>
      </c>
      <c r="E3" s="91" t="s">
        <v>27</v>
      </c>
      <c r="F3" s="91">
        <v>262778</v>
      </c>
      <c r="G3" s="91" t="s">
        <v>443</v>
      </c>
      <c r="H3" s="91">
        <v>430</v>
      </c>
      <c r="I3" s="93">
        <v>0.752</v>
      </c>
      <c r="J3" s="93">
        <v>1.64</v>
      </c>
      <c r="K3" s="91" t="s">
        <v>451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450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444</v>
      </c>
      <c r="E4" s="91" t="s">
        <v>27</v>
      </c>
      <c r="F4" s="91">
        <v>262777</v>
      </c>
      <c r="G4" s="91" t="s">
        <v>449</v>
      </c>
      <c r="H4" s="91">
        <v>450</v>
      </c>
      <c r="I4" s="93">
        <v>0.73299999999999998</v>
      </c>
      <c r="J4" s="93">
        <v>2.11</v>
      </c>
      <c r="K4" s="91" t="s">
        <v>448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447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380</v>
      </c>
      <c r="E5" s="91" t="s">
        <v>27</v>
      </c>
      <c r="F5" s="91">
        <v>262774</v>
      </c>
      <c r="G5" s="91" t="s">
        <v>398</v>
      </c>
      <c r="H5" s="91">
        <v>550</v>
      </c>
      <c r="I5" s="93">
        <v>0.70699999999999996</v>
      </c>
      <c r="J5" s="93">
        <v>1.4990000000000001</v>
      </c>
      <c r="K5" s="91" t="s">
        <v>397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446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380</v>
      </c>
      <c r="E6" s="91" t="s">
        <v>27</v>
      </c>
      <c r="F6" s="91">
        <v>262775</v>
      </c>
      <c r="G6" s="91" t="s">
        <v>398</v>
      </c>
      <c r="H6" s="91">
        <v>385</v>
      </c>
      <c r="I6" s="93">
        <v>0.71299999999999997</v>
      </c>
      <c r="J6" s="93">
        <v>2.0990000000000002</v>
      </c>
      <c r="K6" s="91" t="s">
        <v>400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399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445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380</v>
      </c>
      <c r="E10" s="91" t="s">
        <v>27</v>
      </c>
      <c r="F10" s="91">
        <v>262776</v>
      </c>
      <c r="G10" s="91" t="s">
        <v>398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401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444</v>
      </c>
      <c r="E11" s="91" t="s">
        <v>27</v>
      </c>
      <c r="F11" s="91">
        <v>262779</v>
      </c>
      <c r="G11" s="91" t="s">
        <v>443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442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441</v>
      </c>
      <c r="E12" s="91" t="s">
        <v>27</v>
      </c>
      <c r="F12" s="91">
        <v>262772</v>
      </c>
      <c r="G12" s="91" t="s">
        <v>440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441</v>
      </c>
      <c r="E13" s="91" t="s">
        <v>27</v>
      </c>
      <c r="F13" s="91">
        <v>262773</v>
      </c>
      <c r="G13" s="91" t="s">
        <v>440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8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55" t="s">
        <v>228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55" t="s">
        <v>218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55" t="s">
        <v>235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50" t="s">
        <v>181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50" t="s">
        <v>173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55" t="s">
        <v>143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55" t="s">
        <v>139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54" t="s">
        <v>123</v>
      </c>
      <c r="B1" s="154" t="s">
        <v>27</v>
      </c>
      <c r="C1" s="154" t="s">
        <v>27</v>
      </c>
      <c r="D1" s="154" t="s">
        <v>27</v>
      </c>
      <c r="E1" s="154" t="s">
        <v>27</v>
      </c>
      <c r="F1" s="154" t="s">
        <v>27</v>
      </c>
      <c r="G1" s="154" t="s">
        <v>27</v>
      </c>
      <c r="H1" s="154" t="s">
        <v>27</v>
      </c>
      <c r="I1" s="154" t="s">
        <v>27</v>
      </c>
      <c r="J1" s="154" t="s">
        <v>27</v>
      </c>
      <c r="K1" s="154" t="s">
        <v>27</v>
      </c>
      <c r="L1" s="154" t="s">
        <v>27</v>
      </c>
      <c r="M1" s="154" t="s">
        <v>27</v>
      </c>
      <c r="N1" s="154" t="s">
        <v>27</v>
      </c>
      <c r="O1" s="154" t="s">
        <v>27</v>
      </c>
      <c r="P1" s="154" t="s">
        <v>27</v>
      </c>
      <c r="Q1" s="154" t="s">
        <v>27</v>
      </c>
      <c r="R1" s="154" t="s">
        <v>27</v>
      </c>
      <c r="S1" s="154" t="s">
        <v>27</v>
      </c>
      <c r="T1" s="154" t="s">
        <v>27</v>
      </c>
      <c r="U1" s="154" t="s">
        <v>27</v>
      </c>
      <c r="V1" s="154" t="s">
        <v>27</v>
      </c>
      <c r="W1" s="154" t="s">
        <v>27</v>
      </c>
      <c r="X1" s="154" t="s">
        <v>27</v>
      </c>
      <c r="Y1" s="154" t="s">
        <v>27</v>
      </c>
      <c r="Z1" s="154" t="s">
        <v>27</v>
      </c>
      <c r="AA1" s="154" t="s">
        <v>27</v>
      </c>
      <c r="AB1" s="154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56" t="s">
        <v>105</v>
      </c>
      <c r="B1" s="156" t="s">
        <v>27</v>
      </c>
      <c r="C1" s="156" t="s">
        <v>27</v>
      </c>
      <c r="D1" s="156" t="s">
        <v>27</v>
      </c>
      <c r="E1" s="156" t="s">
        <v>27</v>
      </c>
      <c r="F1" s="156" t="s">
        <v>27</v>
      </c>
      <c r="G1" s="156" t="s">
        <v>27</v>
      </c>
      <c r="H1" s="156" t="s">
        <v>27</v>
      </c>
      <c r="I1" s="156" t="s">
        <v>27</v>
      </c>
      <c r="J1" s="156" t="s">
        <v>27</v>
      </c>
      <c r="K1" s="156" t="s">
        <v>27</v>
      </c>
      <c r="L1" s="156" t="s">
        <v>27</v>
      </c>
      <c r="M1" s="156" t="s">
        <v>27</v>
      </c>
      <c r="N1" s="156" t="s">
        <v>27</v>
      </c>
      <c r="O1" s="156" t="s">
        <v>27</v>
      </c>
      <c r="P1" s="156" t="s">
        <v>27</v>
      </c>
      <c r="Q1" s="156" t="s">
        <v>27</v>
      </c>
      <c r="R1" s="156" t="s">
        <v>27</v>
      </c>
      <c r="S1" s="156" t="s">
        <v>27</v>
      </c>
      <c r="T1" s="156" t="s">
        <v>27</v>
      </c>
      <c r="U1" s="156" t="s">
        <v>27</v>
      </c>
      <c r="V1" s="156" t="s">
        <v>27</v>
      </c>
      <c r="W1" s="156" t="s">
        <v>27</v>
      </c>
      <c r="X1" s="156" t="s">
        <v>27</v>
      </c>
      <c r="Y1" s="156" t="s">
        <v>27</v>
      </c>
      <c r="Z1" s="156" t="s">
        <v>27</v>
      </c>
      <c r="AA1" s="156" t="s">
        <v>27</v>
      </c>
      <c r="AB1" s="156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57" t="s">
        <v>80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30</vt:i4>
      </vt:variant>
    </vt:vector>
  </HeadingPairs>
  <TitlesOfParts>
    <vt:vector size="30" baseType="lpstr">
      <vt:lpstr>IPE EMBALAGENS LTDA 1254</vt:lpstr>
      <vt:lpstr>RR STELLA 1253</vt:lpstr>
      <vt:lpstr>FAVINCO EMBALAGENS 1252</vt:lpstr>
      <vt:lpstr>DR EMBALAGENS 1250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2026-10-05T17:41:27Z</cp:lastPrinted>
  <dcterms:created xsi:type="dcterms:W3CDTF">2026-07-02T17:42:15Z</dcterms:created>
  <dcterms:modified xsi:type="dcterms:W3CDTF">2026-10-05T17:50:49Z</dcterms:modified>
</cp:coreProperties>
</file>