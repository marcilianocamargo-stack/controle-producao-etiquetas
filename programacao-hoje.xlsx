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8DA1775-30B5-4802-8DD2-D56CF376098F}" xr6:coauthVersionLast="47" xr6:coauthVersionMax="47" xr10:uidLastSave="{00000000-0000-0000-0000-000000000000}"/>
  <bookViews>
    <workbookView xWindow="-21720" yWindow="-120" windowWidth="21840" windowHeight="13020" firstSheet="1" activeTab="1" xr2:uid="{00000000-000D-0000-FFFF-FFFF00000000}"/>
  </bookViews>
  <sheets>
    <sheet name="ABAPEL 1213" sheetId="159" r:id="rId1"/>
    <sheet name="IPE - PCBOX 1212" sheetId="158" r:id="rId2"/>
    <sheet name="Z4A EMBALAGENS LTDA 1210" sheetId="157" r:id="rId3"/>
    <sheet name="RM Embalagens 1209" sheetId="156" r:id="rId4"/>
    <sheet name="IPE - PC BOX 1203P" sheetId="154" r:id="rId5"/>
    <sheet name="ABAPEL 1201" sheetId="153" r:id="rId6"/>
    <sheet name="HARMONY EMBALAGENS 1200" sheetId="152" r:id="rId7"/>
    <sheet name="HARMONY EMBALAGENS 1199" sheetId="151" r:id="rId8"/>
    <sheet name="FAVINCO EMBALAGENS 1197 P" sheetId="150" r:id="rId9"/>
    <sheet name="ABAPEL 1196" sheetId="149" r:id="rId10"/>
    <sheet name="CARPELL LTDA 1195 P" sheetId="147" r:id="rId11"/>
    <sheet name="Renovapel 1192 P" sheetId="146" r:id="rId12"/>
    <sheet name="DR EMBALAGENS 1189  P" sheetId="144" r:id="rId13"/>
    <sheet name="FAVINCO EMBALAGENS 1188 R" sheetId="143" r:id="rId14"/>
    <sheet name="PCBOX - IPE 1187 P" sheetId="142" r:id="rId15"/>
    <sheet name="RM Embalagens 1184 P" sheetId="141" r:id="rId16"/>
    <sheet name="CARTOMIL EMBALAGENS LTDA 1183 P" sheetId="140" r:id="rId17"/>
    <sheet name="Z4A EMBALAGENS LTDA 1182" sheetId="139" r:id="rId18"/>
    <sheet name="HARMONY EMBALAGENS 1180 P" sheetId="137" r:id="rId19"/>
    <sheet name="RM Embalagens 1179 P" sheetId="136" r:id="rId20"/>
    <sheet name="Tolecaixas 1181 P" sheetId="138" r:id="rId21"/>
    <sheet name="ABAPEL 1178 P" sheetId="135" r:id="rId22"/>
    <sheet name="FAVINCO EMBALAGENS 1177 P" sheetId="134" r:id="rId23"/>
    <sheet name="IPE EMBALAGENS 1176 P" sheetId="133" r:id="rId24"/>
    <sheet name="PCBOX EMBALAGENS 1175 P" sheetId="132" r:id="rId25"/>
    <sheet name="ABAPEL 1174 P" sheetId="131" r:id="rId26"/>
    <sheet name="PCBOX EMBALAGENS 1171 P" sheetId="127" r:id="rId27"/>
    <sheet name="HARMONY EMBALAGENS 1169 P" sheetId="125" r:id="rId28"/>
    <sheet name="DR EMBALAGEM 1167 P" sheetId="124" r:id="rId29"/>
    <sheet name="Z4A EMBALAGENS  1166 P" sheetId="123" r:id="rId30"/>
    <sheet name="RM Embalagens 1165 P" sheetId="122" r:id="rId31"/>
    <sheet name="Carpel 1158 P" sheetId="119" r:id="rId32"/>
    <sheet name="ABAPEL 1155 P" sheetId="118" r:id="rId33"/>
    <sheet name="IPE - PCBOX 1154 P" sheetId="117" r:id="rId34"/>
    <sheet name="ABAPEL 1143 P" sheetId="109" r:id="rId35"/>
    <sheet name="HARMONY EMBALAGENS 1138 P" sheetId="102" r:id="rId36"/>
    <sheet name="ABAPEL 1127 P" sheetId="97" r:id="rId37"/>
    <sheet name="ABAPEL 1105 P" sheetId="85" r:id="rId38"/>
    <sheet name="IVAIR SILVA 1122 P" sheetId="91" r:id="rId39"/>
    <sheet name="RENOVAPEL 1115 P" sheetId="88" r:id="rId4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58" l="1"/>
  <c r="H9" i="158"/>
  <c r="P17" i="150"/>
  <c r="H17" i="150"/>
  <c r="H17" i="135"/>
  <c r="P6" i="143" l="1"/>
  <c r="H6" i="143"/>
  <c r="P8" i="134"/>
  <c r="H8" i="134"/>
  <c r="P17" i="135"/>
</calcChain>
</file>

<file path=xl/sharedStrings.xml><?xml version="1.0" encoding="utf-8"?>
<sst xmlns="http://schemas.openxmlformats.org/spreadsheetml/2006/main" count="7382" uniqueCount="790">
  <si>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</si>
  <si>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</si>
  <si>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</si>
  <si>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</si>
  <si>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</si>
  <si>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</si>
  <si>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</si>
  <si>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</si>
  <si>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</si>
  <si>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</si>
  <si>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</si>
  <si>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</si>
  <si>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</si>
  <si>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</si>
  <si>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</si>
  <si>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</si>
  <si>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</si>
  <si>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</si>
  <si>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</si>
  <si>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</si>
  <si>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</si>
  <si>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</si>
  <si>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</si>
  <si>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</si>
  <si>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</si>
  <si>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</si>
  <si>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</si>
  <si>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</si>
  <si>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</si>
  <si>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</si>
  <si>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</si>
  <si>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</si>
  <si>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</si>
  <si>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</si>
  <si>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</si>
  <si>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</si>
  <si>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</si>
  <si>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</si>
  <si>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</si>
  <si>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</si>
  <si>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</si>
  <si>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</si>
  <si>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</si>
  <si>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</si>
  <si>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</si>
  <si>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</si>
  <si>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</si>
  <si>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</si>
  <si>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</si>
  <si>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</si>
  <si>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</si>
  <si>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</si>
  <si>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</si>
  <si>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</si>
  <si>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</si>
  <si>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</si>
  <si>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</si>
  <si>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</si>
  <si>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</si>
  <si>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</si>
  <si>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</si>
  <si>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</si>
  <si>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</si>
  <si>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</si>
  <si>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</si>
  <si>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</si>
  <si>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</si>
  <si>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</si>
  <si>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</si>
  <si>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</si>
  <si>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</si>
  <si>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</si>
  <si>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</si>
  <si>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</si>
  <si>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</si>
  <si>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</si>
  <si>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</si>
  <si>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</si>
  <si>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</si>
  <si>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</si>
  <si>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</si>
  <si>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</si>
  <si>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</si>
  <si>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</si>
  <si>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</si>
  <si>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</si>
  <si>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</si>
  <si>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</si>
  <si>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</si>
  <si>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</si>
  <si>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</si>
  <si>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</si>
  <si>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</si>
  <si>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</si>
  <si>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</si>
  <si>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</si>
  <si>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</si>
  <si>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</si>
  <si>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</si>
  <si>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</si>
  <si>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</si>
  <si>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</si>
  <si>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</si>
  <si>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</si>
  <si>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</si>
  <si>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</si>
  <si>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</si>
  <si>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</si>
  <si>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</si>
  <si>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</si>
  <si>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</si>
  <si>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</si>
  <si>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</si>
  <si>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</si>
  <si>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</si>
  <si>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</si>
  <si>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</si>
  <si>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</si>
  <si>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</si>
  <si>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</si>
  <si>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</si>
  <si>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</si>
  <si>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</si>
  <si>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</si>
  <si>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</si>
  <si>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</si>
  <si>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</si>
  <si>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</si>
  <si>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</si>
  <si>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</si>
  <si>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</si>
  <si>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</si>
  <si>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</si>
  <si>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</si>
  <si>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</si>
  <si>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</si>
  <si>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</si>
  <si>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</si>
  <si>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</si>
  <si>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</si>
  <si>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</si>
  <si>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</si>
  <si>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</si>
  <si>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</si>
  <si>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</si>
  <si>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</si>
  <si>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</si>
  <si>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</si>
  <si>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</si>
  <si>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</si>
  <si>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</si>
  <si>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</si>
  <si>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</si>
  <si>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</si>
  <si>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</si>
  <si>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</si>
  <si>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</si>
  <si>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</si>
  <si>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</si>
  <si>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</si>
  <si>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</si>
  <si>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</si>
  <si>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</si>
  <si>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</si>
  <si>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</si>
  <si>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</si>
  <si>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</si>
  <si>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</si>
  <si>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</si>
  <si>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</si>
  <si>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</si>
  <si>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</si>
  <si>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</si>
  <si>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</si>
  <si>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</si>
  <si>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</si>
  <si>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</si>
  <si>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</si>
  <si>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</si>
  <si>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</si>
  <si>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</si>
  <si>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</si>
  <si>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</si>
  <si>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</si>
  <si>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</si>
  <si>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</si>
  <si>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</si>
  <si>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</si>
  <si>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</si>
  <si>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</si>
  <si>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</si>
  <si>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</si>
  <si>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</si>
  <si>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</si>
  <si>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</si>
  <si>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</si>
  <si>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</si>
  <si>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</si>
  <si>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</si>
  <si>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</si>
  <si>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</si>
  <si>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</si>
  <si>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</si>
  <si>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</si>
  <si>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</si>
  <si>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</si>
  <si>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</si>
  <si>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</si>
  <si>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</si>
  <si>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</si>
  <si>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</si>
  <si>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</si>
  <si>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</si>
  <si>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</si>
  <si>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</si>
  <si>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</si>
  <si>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</si>
  <si>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</si>
  <si>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</si>
  <si>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</si>
  <si>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</si>
  <si>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</si>
  <si>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</si>
  <si>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</si>
  <si>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</si>
  <si>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</si>
  <si>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</si>
  <si>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</si>
  <si>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</si>
  <si>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</si>
  <si>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</si>
  <si>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</si>
  <si>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</si>
  <si>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</si>
  <si>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</si>
  <si>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</si>
  <si>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</si>
  <si>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</si>
  <si>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</si>
  <si>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</si>
  <si>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</si>
  <si>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</si>
  <si>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</si>
  <si>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</si>
  <si>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</si>
  <si>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</si>
  <si>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</si>
  <si>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</si>
  <si>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</si>
  <si>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</si>
  <si>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</si>
  <si>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</si>
  <si>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</si>
  <si>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</si>
  <si>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</si>
  <si>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</si>
  <si>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</si>
  <si>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</si>
  <si>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</si>
  <si>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</si>
  <si>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</si>
  <si>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</si>
  <si>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</si>
  <si>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</si>
  <si>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</si>
  <si>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</si>
  <si>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</si>
  <si>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</si>
  <si>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</si>
  <si>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</si>
  <si>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</si>
  <si>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</si>
  <si>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</si>
  <si>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</si>
  <si>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</si>
  <si>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</si>
  <si>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</si>
  <si>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</si>
  <si>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</si>
  <si>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</si>
  <si>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</si>
  <si>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</si>
  <si>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</si>
  <si>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</si>
  <si>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</si>
  <si>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</si>
  <si>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</si>
  <si>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</si>
  <si>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</si>
  <si>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</si>
  <si>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</si>
  <si>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</si>
  <si>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</si>
  <si>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</si>
  <si>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</si>
  <si>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</si>
  <si>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</si>
  <si>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</si>
  <si>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</si>
  <si>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</si>
  <si>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</si>
  <si>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</si>
  <si>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</si>
  <si>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</si>
  <si>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</si>
  <si>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</si>
  <si>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</si>
  <si>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</si>
  <si>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</si>
  <si>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</si>
  <si>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</si>
  <si>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</si>
  <si>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</si>
  <si>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</si>
  <si>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</si>
  <si>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</si>
  <si>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</si>
  <si>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</si>
  <si>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</si>
  <si>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</si>
  <si>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</si>
  <si>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</si>
  <si>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</si>
  <si>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</si>
  <si>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</si>
  <si>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</si>
  <si>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</si>
  <si>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</si>
  <si>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</si>
  <si>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</si>
  <si>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</si>
  <si>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</si>
  <si>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</si>
  <si>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</si>
  <si>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</si>
  <si>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</si>
  <si>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</si>
  <si>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</si>
  <si>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</si>
  <si>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</si>
  <si>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</si>
  <si>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</si>
  <si>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</si>
  <si>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</si>
  <si>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</si>
  <si>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</si>
  <si>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</si>
  <si>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</si>
  <si>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</si>
  <si>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</si>
  <si>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</si>
  <si>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</si>
  <si>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</si>
  <si>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</si>
  <si>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</si>
  <si>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</si>
  <si>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</si>
  <si>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</si>
  <si>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</si>
  <si>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</si>
  <si>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</si>
  <si>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</si>
  <si>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</si>
  <si>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</si>
  <si>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</si>
  <si>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</si>
  <si>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</si>
  <si>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</si>
  <si>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</si>
  <si>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</si>
  <si>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</si>
  <si>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</si>
  <si>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</si>
  <si>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</si>
  <si>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</si>
  <si>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</si>
  <si>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</si>
  <si>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</si>
  <si>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</si>
  <si>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</si>
  <si>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</si>
  <si>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</si>
  <si>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</si>
  <si>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</si>
  <si>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</si>
  <si>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</si>
  <si>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</si>
  <si>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</si>
  <si>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</si>
  <si>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</si>
  <si>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</si>
  <si>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</si>
  <si>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</si>
  <si>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</si>
  <si>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</si>
  <si>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</si>
  <si>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</si>
  <si>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</si>
  <si>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</si>
  <si>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</si>
  <si>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</si>
  <si>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</si>
  <si>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</si>
  <si>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</si>
  <si>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</si>
  <si>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</si>
  <si>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</si>
  <si>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</si>
  <si>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</si>
  <si>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</si>
  <si>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</si>
  <si>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</si>
  <si>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</si>
  <si>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</si>
  <si>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</si>
  <si>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</si>
  <si>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</si>
  <si>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</si>
  <si>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</si>
  <si>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</si>
  <si>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</si>
  <si>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</si>
  <si>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</si>
  <si>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</si>
  <si>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</si>
  <si>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</si>
  <si>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</si>
  <si>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</si>
  <si>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</si>
  <si>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</si>
  <si>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</si>
  <si>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</si>
  <si>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</si>
  <si>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</si>
  <si>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</si>
  <si>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</si>
  <si>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</si>
  <si>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</si>
  <si>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</si>
  <si>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</si>
  <si>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</si>
  <si>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</si>
  <si>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</si>
  <si>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</si>
  <si>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</si>
  <si>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</si>
  <si>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</si>
  <si>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</si>
  <si>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</si>
  <si>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</si>
  <si>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</si>
  <si>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</si>
  <si>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</si>
  <si>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</si>
  <si>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</si>
  <si>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</si>
  <si>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</si>
  <si>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</si>
  <si>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</si>
  <si>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</si>
  <si>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</si>
  <si>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</si>
  <si>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</si>
  <si>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</si>
  <si>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</si>
  <si>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</si>
  <si>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</si>
  <si>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</si>
  <si>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</si>
  <si>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</si>
  <si>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</si>
  <si>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</si>
  <si>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</si>
  <si>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</si>
  <si>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</si>
  <si>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</si>
  <si>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</si>
  <si>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</si>
  <si>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</si>
  <si>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</si>
  <si>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</si>
  <si>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</si>
  <si>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</si>
  <si>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</si>
  <si>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</si>
  <si>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</si>
  <si>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</si>
  <si>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</si>
  <si>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</si>
  <si>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</si>
  <si>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</si>
  <si>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</si>
  <si>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</si>
  <si>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</si>
  <si>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</si>
  <si>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</si>
  <si>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</si>
  <si>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</si>
  <si>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</si>
  <si>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</si>
  <si>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</si>
  <si>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</si>
  <si>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</si>
  <si>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</si>
  <si>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</si>
  <si>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</si>
  <si>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</si>
  <si>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</si>
  <si>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</si>
  <si>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</si>
  <si>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</si>
  <si>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</si>
  <si>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</si>
  <si>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</si>
  <si>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</si>
  <si>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</si>
  <si>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</si>
  <si>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</si>
  <si>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</si>
  <si>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</si>
  <si>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</si>
  <si>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</si>
  <si>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</si>
  <si>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</si>
  <si>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</si>
  <si>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</si>
  <si>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</si>
  <si>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</si>
  <si>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</si>
  <si>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</si>
  <si>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</si>
  <si>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</si>
  <si>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</si>
  <si>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</si>
  <si>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</si>
  <si>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</si>
  <si>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</si>
  <si>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</si>
  <si>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</si>
  <si>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</si>
  <si>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</si>
  <si>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</si>
  <si>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</si>
  <si>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</si>
  <si>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</si>
  <si>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</si>
  <si>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</si>
  <si>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</si>
  <si>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</si>
  <si>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</si>
  <si>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</si>
  <si>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</si>
  <si>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</si>
  <si>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</si>
  <si>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</si>
  <si>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</si>
  <si>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</si>
  <si>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</si>
  <si>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</si>
  <si>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</si>
  <si>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</si>
  <si>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</si>
  <si>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</si>
  <si>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</si>
  <si>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</si>
  <si>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</si>
  <si>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</si>
  <si>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</si>
  <si>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</si>
  <si>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</si>
  <si>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</si>
  <si>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</si>
  <si>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</si>
  <si>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</si>
  <si>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</si>
  <si>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</si>
  <si>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</si>
  <si>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</si>
  <si>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</si>
  <si>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</si>
  <si>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</si>
  <si>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</si>
  <si>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</si>
  <si>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</si>
  <si>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</si>
  <si>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</si>
  <si>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</si>
  <si>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</si>
  <si>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</si>
  <si>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</si>
  <si>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</si>
  <si>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</si>
  <si>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</si>
  <si>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</si>
  <si>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</si>
  <si>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</si>
  <si>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</si>
  <si>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</si>
  <si>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</si>
  <si>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</si>
  <si>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</si>
  <si>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</si>
  <si>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</si>
  <si>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</si>
  <si>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</si>
  <si>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</si>
  <si>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</si>
  <si>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</si>
  <si>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</si>
  <si>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</si>
  <si>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</si>
  <si>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</si>
  <si>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</si>
  <si>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</si>
  <si>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</si>
  <si>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</si>
  <si>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</si>
  <si>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</si>
  <si>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</si>
  <si>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</si>
  <si>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</si>
  <si>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</si>
  <si>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</si>
  <si>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</si>
  <si>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</si>
  <si>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</si>
  <si>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</si>
  <si>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</si>
  <si>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</si>
  <si>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</si>
  <si>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</si>
  <si>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</si>
  <si>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</si>
  <si>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</si>
  <si>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</si>
  <si>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</si>
  <si>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</si>
  <si>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</si>
  <si>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</si>
  <si>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</si>
  <si>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</si>
  <si>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</si>
  <si>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</si>
  <si>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</si>
  <si>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</si>
  <si>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</si>
  <si>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</si>
  <si>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</si>
  <si>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</si>
  <si>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</si>
  <si>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</si>
  <si>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</si>
  <si>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</si>
  <si>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</si>
  <si>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</si>
  <si>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</si>
  <si>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</si>
  <si>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</si>
  <si>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</si>
  <si>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</si>
  <si>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</si>
  <si>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</si>
  <si>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</si>
  <si>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</si>
  <si>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</si>
  <si>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</si>
  <si>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</si>
  <si>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</si>
  <si>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</si>
  <si>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</si>
  <si>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</si>
  <si>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</si>
  <si>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</si>
  <si>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</si>
  <si>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</si>
  <si>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</si>
  <si>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</si>
  <si>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</si>
  <si>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</si>
  <si>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</si>
  <si>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</si>
  <si>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</si>
  <si>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</si>
  <si>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</si>
  <si>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</si>
  <si>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</si>
  <si>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</si>
  <si>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</si>
  <si>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</si>
  <si>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</si>
  <si>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</si>
  <si>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</si>
  <si>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</si>
  <si>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</si>
  <si>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</si>
  <si>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</si>
  <si>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</si>
  <si>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</si>
  <si>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</si>
  <si>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</si>
  <si>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</si>
  <si>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</si>
  <si>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</si>
  <si>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</si>
  <si>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</si>
  <si>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</si>
  <si>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</si>
  <si>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</si>
  <si>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</si>
  <si>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</si>
  <si>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</si>
  <si>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</si>
  <si>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</si>
  <si>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</si>
  <si>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</si>
  <si>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</si>
  <si>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</si>
  <si>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</si>
  <si>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</si>
  <si>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</si>
  <si>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</si>
  <si>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</si>
  <si>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</si>
  <si>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</si>
  <si>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</si>
  <si>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</si>
  <si>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</si>
  <si>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</si>
  <si>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</si>
  <si>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</si>
  <si>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</si>
  <si>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</si>
  <si>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</si>
  <si>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</si>
  <si>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</si>
  <si>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</si>
  <si>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</si>
  <si>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</si>
  <si>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</si>
  <si>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</si>
  <si>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RM Embalagens (Daiane Marques Canossa ME)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</si>
  <si>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</si>
  <si>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</si>
  <si>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</si>
  <si>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</si>
  <si>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</si>
  <si>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</si>
  <si>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</si>
  <si>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</si>
  <si>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</si>
  <si>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</si>
  <si>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</si>
  <si>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</si>
  <si>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</si>
  <si>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</si>
  <si>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</si>
  <si>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</si>
  <si>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</si>
  <si>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PROGRAMAÇÃO ONDULADEIRA - RM Embalagens (Daiane Marques Canossa ME)  —  OF: 001209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</si>
  <si>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</si>
  <si>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</si>
  <si>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</si>
  <si>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</si>
  <si>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</si>
  <si>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</si>
  <si>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</si>
  <si>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</si>
  <si>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</si>
  <si>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</si>
  <si>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</si>
  <si>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</si>
  <si>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87x364x87</t>
  </si>
  <si>
    <t>1746</t>
  </si>
  <si>
    <t>17/09/2026</t>
  </si>
  <si>
    <t>1741</t>
  </si>
  <si>
    <t>1152x1483</t>
  </si>
  <si>
    <t>182x202x182</t>
  </si>
  <si>
    <t>1745</t>
  </si>
  <si>
    <t>694x1543</t>
  </si>
  <si>
    <t>135x404x135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</si>
  <si>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</si>
  <si>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</si>
  <si>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</si>
  <si>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</si>
  <si>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</si>
  <si>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</si>
  <si>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</si>
  <si>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752x1694</t>
  </si>
  <si>
    <t>186x360x186</t>
  </si>
  <si>
    <t>PROGRAMAÇÃO ONDULADEIRA - ABAPEL COMERCIO DE EMBALAGENS LTDA  —  OF: 001213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</si>
</sst>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9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18" fillId="5" borderId="0" xfId="3" applyFill="1" applyAlignment="1">
      <alignment horizont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  <xf numFmtId="0" fontId="21" fillId="0" borderId="0" xfId="3" applyFont="1"/>
    <xf numFmtId="0" fontId="8" fillId="0" borderId="0" xfId="1" applyFont="1"/>
    <xf numFmtId="0" fontId="2" fillId="0" borderId="0" xfId="1" applyFont="1"/>
    <xf numFmtId="0" fontId="8" fillId="0" borderId="0" xfId="3" applyFont="1"/>
    <xf numFmtId="0" fontId="8" fillId="0" borderId="0" xfId="3" applyFont="1" applyAlignment="1">
      <alignment horizontal="center" vertical="center"/>
    </xf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6"/>
  <sheetViews>
    <sheetView workbookViewId="0">
      <selection activeCell="P12" sqref="P12"/>
    </sheetView>
  </sheetViews>
  <sheetFormatPr defaultRowHeight="14.4" x14ac:dyDescent="0.3"/>
  <cols>
    <col min="1" max="1" width="4.5546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8.109375" style="108" customWidth="1"/>
    <col min="6" max="6" width="7.21875" style="108" customWidth="1"/>
    <col min="7" max="7" width="5" style="108" customWidth="1"/>
    <col min="8" max="8" width="6.33203125" style="108" customWidth="1"/>
    <col min="9" max="9" width="6.44140625" style="108" customWidth="1"/>
    <col min="10" max="10" width="6.21875" style="108" customWidth="1"/>
    <col min="11" max="11" width="12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33203125" style="108" customWidth="1"/>
    <col min="17" max="17" width="4.77734375" style="108" customWidth="1"/>
    <col min="18" max="18" width="6.218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8.109375" style="108" customWidth="1"/>
    <col min="24" max="24" width="7.44140625" style="108" customWidth="1"/>
    <col min="25" max="25" width="7.21875" style="108" customWidth="1"/>
    <col min="26" max="26" width="6.88671875" style="108" customWidth="1"/>
    <col min="27" max="27" width="4.886718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789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2.8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x14ac:dyDescent="0.3">
      <c r="A3" s="150">
        <v>1</v>
      </c>
      <c r="B3" s="151" t="s">
        <v>63</v>
      </c>
      <c r="C3" s="150" t="s">
        <v>65</v>
      </c>
      <c r="D3" s="150" t="s">
        <v>773</v>
      </c>
      <c r="E3" s="150" t="s">
        <v>27</v>
      </c>
      <c r="F3" s="150">
        <v>262640</v>
      </c>
      <c r="G3" s="150" t="s">
        <v>784</v>
      </c>
      <c r="H3" s="150">
        <v>800</v>
      </c>
      <c r="I3" s="152">
        <v>0.73199999999999998</v>
      </c>
      <c r="J3" s="152">
        <v>1.6739999999999999</v>
      </c>
      <c r="K3" s="150" t="s">
        <v>788</v>
      </c>
      <c r="L3" s="152">
        <v>980.29399999999998</v>
      </c>
      <c r="M3" s="153">
        <v>669.6</v>
      </c>
      <c r="N3" s="154">
        <v>9.2999999999999999E-2</v>
      </c>
      <c r="O3" s="155">
        <v>5.58</v>
      </c>
      <c r="P3" s="150">
        <v>317.60000000000002</v>
      </c>
      <c r="Q3" s="150">
        <v>2</v>
      </c>
      <c r="R3" s="150">
        <v>1500</v>
      </c>
      <c r="S3" s="152">
        <v>1.464</v>
      </c>
      <c r="T3" s="150">
        <v>36</v>
      </c>
      <c r="U3" s="154">
        <v>2.4E-2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30</v>
      </c>
      <c r="AB3" s="150" t="s">
        <v>787</v>
      </c>
    </row>
    <row r="4" spans="1:28" s="156" customFormat="1" x14ac:dyDescent="0.3">
      <c r="A4" s="150">
        <v>2</v>
      </c>
      <c r="B4" s="151" t="s">
        <v>63</v>
      </c>
      <c r="C4" s="150" t="s">
        <v>65</v>
      </c>
      <c r="D4" s="150" t="s">
        <v>773</v>
      </c>
      <c r="E4" s="150" t="s">
        <v>27</v>
      </c>
      <c r="F4" s="150">
        <v>262641</v>
      </c>
      <c r="G4" s="150" t="s">
        <v>784</v>
      </c>
      <c r="H4" s="150">
        <v>1150</v>
      </c>
      <c r="I4" s="152">
        <v>0.54700000000000004</v>
      </c>
      <c r="J4" s="152">
        <v>1.44</v>
      </c>
      <c r="K4" s="150" t="s">
        <v>786</v>
      </c>
      <c r="L4" s="152">
        <v>905.83199999999999</v>
      </c>
      <c r="M4" s="153">
        <v>828</v>
      </c>
      <c r="N4" s="154">
        <v>0.115</v>
      </c>
      <c r="O4" s="155">
        <v>6.9</v>
      </c>
      <c r="P4" s="150">
        <v>293.5</v>
      </c>
      <c r="Q4" s="150">
        <v>2</v>
      </c>
      <c r="R4" s="150">
        <v>1150</v>
      </c>
      <c r="S4" s="152">
        <v>1.0940000000000001</v>
      </c>
      <c r="T4" s="150">
        <v>56</v>
      </c>
      <c r="U4" s="154">
        <v>4.87E-2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33</v>
      </c>
      <c r="AB4" s="150" t="s">
        <v>785</v>
      </c>
    </row>
    <row r="5" spans="1:28" s="156" customFormat="1" x14ac:dyDescent="0.3">
      <c r="A5" s="150">
        <v>3</v>
      </c>
      <c r="B5" s="151" t="s">
        <v>63</v>
      </c>
      <c r="C5" s="150" t="s">
        <v>36</v>
      </c>
      <c r="D5" s="150" t="s">
        <v>773</v>
      </c>
      <c r="E5" s="150" t="s">
        <v>27</v>
      </c>
      <c r="F5" s="150">
        <v>262642</v>
      </c>
      <c r="G5" s="150" t="s">
        <v>784</v>
      </c>
      <c r="H5" s="150">
        <v>1000</v>
      </c>
      <c r="I5" s="152">
        <v>0.58099999999999996</v>
      </c>
      <c r="J5" s="152">
        <v>1.58</v>
      </c>
      <c r="K5" s="150" t="s">
        <v>783</v>
      </c>
      <c r="L5" s="152">
        <v>917.98</v>
      </c>
      <c r="M5" s="153">
        <v>790</v>
      </c>
      <c r="N5" s="154">
        <v>0.10970000000000001</v>
      </c>
      <c r="O5" s="155">
        <v>6.58</v>
      </c>
      <c r="P5" s="150">
        <v>289.2</v>
      </c>
      <c r="Q5" s="150">
        <v>2</v>
      </c>
      <c r="R5" s="150">
        <v>1200</v>
      </c>
      <c r="S5" s="152">
        <v>1.1619999999999999</v>
      </c>
      <c r="T5" s="150">
        <v>38</v>
      </c>
      <c r="U5" s="154">
        <v>3.1699999999999999E-2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33</v>
      </c>
      <c r="AB5" s="150" t="s">
        <v>782</v>
      </c>
    </row>
    <row r="6" spans="1:28" s="156" customForma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2950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900.3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dimension ref="A1:AB9"/>
  <sheetViews>
    <sheetView tabSelected="1" workbookViewId="0">
      <selection activeCell="AA14" sqref="AA14"/>
    </sheetView>
  </sheetViews>
  <sheetFormatPr defaultRowHeight="14.4" x14ac:dyDescent="0.3"/>
  <cols>
    <col min="1" max="1" width="3.332031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7.109375" style="108" customWidth="1"/>
    <col min="7" max="7" width="5.77734375" style="108" customWidth="1"/>
    <col min="8" max="8" width="6" style="108" customWidth="1"/>
    <col min="9" max="9" width="7.21875" style="108" customWidth="1"/>
    <col min="10" max="10" width="6.5546875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4.21875" style="108" customWidth="1"/>
    <col min="18" max="18" width="6.44140625" style="108" customWidth="1"/>
    <col min="19" max="19" width="5.777343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3" width="7.6640625" style="108" customWidth="1"/>
    <col min="24" max="24" width="7.44140625" style="108" customWidth="1"/>
    <col min="25" max="25" width="7.77734375" style="108" customWidth="1"/>
    <col min="26" max="26" width="7.44140625" style="108" customWidth="1"/>
    <col min="27" max="27" width="4.88671875" style="108" customWidth="1"/>
    <col min="28" max="28" width="11.33203125" style="108" customWidth="1"/>
    <col min="29" max="16384" width="8.88671875" style="108"/>
  </cols>
  <sheetData>
    <row r="1" spans="1:28" ht="18" customHeight="1" x14ac:dyDescent="0.35">
      <c r="A1" s="218" t="s">
        <v>781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2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444</v>
      </c>
      <c r="C3" s="116" t="s">
        <v>45</v>
      </c>
      <c r="D3" s="116" t="s">
        <v>773</v>
      </c>
      <c r="E3" s="116" t="s">
        <v>27</v>
      </c>
      <c r="F3" s="116">
        <v>262639</v>
      </c>
      <c r="G3" s="116" t="s">
        <v>780</v>
      </c>
      <c r="H3" s="116">
        <v>300</v>
      </c>
      <c r="I3" s="117">
        <v>0.67400000000000004</v>
      </c>
      <c r="J3" s="117">
        <v>1.5229999999999999</v>
      </c>
      <c r="K3" s="116" t="s">
        <v>779</v>
      </c>
      <c r="L3" s="113">
        <v>307.95100000000002</v>
      </c>
      <c r="M3" s="115">
        <v>228.4</v>
      </c>
      <c r="N3" s="112">
        <v>3.1699999999999999E-2</v>
      </c>
      <c r="O3" s="114">
        <v>1.9</v>
      </c>
      <c r="P3" s="111">
        <v>174.9</v>
      </c>
      <c r="Q3" s="111">
        <v>2</v>
      </c>
      <c r="R3" s="111">
        <v>1400</v>
      </c>
      <c r="S3" s="113">
        <v>1.3480000000000001</v>
      </c>
      <c r="T3" s="111">
        <v>52</v>
      </c>
      <c r="U3" s="112">
        <v>3.7100000000000001E-2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778</v>
      </c>
    </row>
    <row r="4" spans="1:28" ht="25.05" customHeight="1" x14ac:dyDescent="0.3">
      <c r="A4" s="116">
        <v>2</v>
      </c>
      <c r="B4" s="118" t="s">
        <v>444</v>
      </c>
      <c r="C4" s="116" t="s">
        <v>45</v>
      </c>
      <c r="D4" s="116" t="s">
        <v>773</v>
      </c>
      <c r="E4" s="116" t="s">
        <v>27</v>
      </c>
      <c r="F4" s="116">
        <v>262637</v>
      </c>
      <c r="G4" s="116" t="s">
        <v>777</v>
      </c>
      <c r="H4" s="116">
        <v>500</v>
      </c>
      <c r="I4" s="117">
        <v>0.56599999999999995</v>
      </c>
      <c r="J4" s="117">
        <v>1.4630000000000001</v>
      </c>
      <c r="K4" s="116" t="s">
        <v>776</v>
      </c>
      <c r="L4" s="113">
        <v>414.029</v>
      </c>
      <c r="M4" s="115">
        <v>365.8</v>
      </c>
      <c r="N4" s="112">
        <v>5.0799999999999998E-2</v>
      </c>
      <c r="O4" s="114">
        <v>3.05</v>
      </c>
      <c r="P4" s="111">
        <v>235.2</v>
      </c>
      <c r="Q4" s="111">
        <v>2</v>
      </c>
      <c r="R4" s="111">
        <v>1200</v>
      </c>
      <c r="S4" s="113">
        <v>1.1319999999999999</v>
      </c>
      <c r="T4" s="111">
        <v>68</v>
      </c>
      <c r="U4" s="112">
        <v>5.67E-2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775</v>
      </c>
    </row>
    <row r="5" spans="1:28" ht="25.05" customHeight="1" x14ac:dyDescent="0.3">
      <c r="A5" s="116">
        <v>3</v>
      </c>
      <c r="B5" s="118" t="s">
        <v>448</v>
      </c>
      <c r="C5" s="116" t="s">
        <v>45</v>
      </c>
      <c r="D5" s="116" t="s">
        <v>773</v>
      </c>
      <c r="E5" s="116" t="s">
        <v>27</v>
      </c>
      <c r="F5" s="116">
        <v>262635</v>
      </c>
      <c r="G5" s="116" t="s">
        <v>774</v>
      </c>
      <c r="H5" s="116">
        <v>5000</v>
      </c>
      <c r="I5" s="117">
        <v>0.55900000000000005</v>
      </c>
      <c r="J5" s="117">
        <v>1.389</v>
      </c>
      <c r="K5" s="116" t="s">
        <v>446</v>
      </c>
      <c r="L5" s="113">
        <v>3882.2550000000001</v>
      </c>
      <c r="M5" s="115">
        <v>3472.5</v>
      </c>
      <c r="N5" s="112">
        <v>0.48230000000000001</v>
      </c>
      <c r="O5" s="114">
        <v>28.94</v>
      </c>
      <c r="P5" s="111">
        <v>2205.1</v>
      </c>
      <c r="Q5" s="111">
        <v>2</v>
      </c>
      <c r="R5" s="111">
        <v>1150</v>
      </c>
      <c r="S5" s="113">
        <v>1.1180000000000001</v>
      </c>
      <c r="T5" s="111">
        <v>32</v>
      </c>
      <c r="U5" s="112">
        <v>2.7799999999999998E-2</v>
      </c>
      <c r="V5" s="111" t="s">
        <v>35</v>
      </c>
      <c r="W5" s="111" t="s">
        <v>40</v>
      </c>
      <c r="X5" s="111" t="s">
        <v>35</v>
      </c>
      <c r="Y5" s="111" t="s">
        <v>35</v>
      </c>
      <c r="Z5" s="111" t="s">
        <v>35</v>
      </c>
      <c r="AA5" s="111" t="s">
        <v>73</v>
      </c>
      <c r="AB5" s="111" t="s">
        <v>445</v>
      </c>
    </row>
    <row r="6" spans="1:28" ht="25.05" customHeight="1" x14ac:dyDescent="0.3">
      <c r="A6" s="116">
        <v>4</v>
      </c>
      <c r="B6" s="118" t="s">
        <v>448</v>
      </c>
      <c r="C6" s="116" t="s">
        <v>45</v>
      </c>
      <c r="D6" s="116" t="s">
        <v>773</v>
      </c>
      <c r="E6" s="116" t="s">
        <v>27</v>
      </c>
      <c r="F6" s="116">
        <v>262636</v>
      </c>
      <c r="G6" s="116" t="s">
        <v>774</v>
      </c>
      <c r="H6" s="116">
        <v>5000</v>
      </c>
      <c r="I6" s="117">
        <v>0.55900000000000005</v>
      </c>
      <c r="J6" s="117">
        <v>1.389</v>
      </c>
      <c r="K6" s="116" t="s">
        <v>446</v>
      </c>
      <c r="L6" s="113">
        <v>3882.2550000000001</v>
      </c>
      <c r="M6" s="115">
        <v>3472.5</v>
      </c>
      <c r="N6" s="112">
        <v>0.48230000000000001</v>
      </c>
      <c r="O6" s="114">
        <v>28.94</v>
      </c>
      <c r="P6" s="111">
        <v>2205.1</v>
      </c>
      <c r="Q6" s="111">
        <v>2</v>
      </c>
      <c r="R6" s="111">
        <v>1150</v>
      </c>
      <c r="S6" s="113">
        <v>1.1180000000000001</v>
      </c>
      <c r="T6" s="111">
        <v>32</v>
      </c>
      <c r="U6" s="112">
        <v>2.7799999999999998E-2</v>
      </c>
      <c r="V6" s="111" t="s">
        <v>35</v>
      </c>
      <c r="W6" s="111" t="s">
        <v>40</v>
      </c>
      <c r="X6" s="111" t="s">
        <v>35</v>
      </c>
      <c r="Y6" s="111" t="s">
        <v>35</v>
      </c>
      <c r="Z6" s="111" t="s">
        <v>35</v>
      </c>
      <c r="AA6" s="111" t="s">
        <v>73</v>
      </c>
      <c r="AB6" s="111" t="s">
        <v>445</v>
      </c>
    </row>
    <row r="7" spans="1:28" ht="25.05" customHeight="1" x14ac:dyDescent="0.3">
      <c r="A7" s="116">
        <v>5</v>
      </c>
      <c r="B7" s="118" t="s">
        <v>444</v>
      </c>
      <c r="C7" s="116" t="s">
        <v>26</v>
      </c>
      <c r="D7" s="116" t="s">
        <v>773</v>
      </c>
      <c r="E7" s="116" t="s">
        <v>27</v>
      </c>
      <c r="F7" s="116">
        <v>262638</v>
      </c>
      <c r="G7" s="116" t="s">
        <v>772</v>
      </c>
      <c r="H7" s="116">
        <v>200</v>
      </c>
      <c r="I7" s="117">
        <v>0.53800000000000003</v>
      </c>
      <c r="J7" s="117">
        <v>1.423</v>
      </c>
      <c r="K7" s="116" t="s">
        <v>771</v>
      </c>
      <c r="L7" s="113">
        <v>153.11500000000001</v>
      </c>
      <c r="M7" s="115">
        <v>142.30000000000001</v>
      </c>
      <c r="N7" s="112">
        <v>1.9800000000000002E-2</v>
      </c>
      <c r="O7" s="114">
        <v>1.19</v>
      </c>
      <c r="P7" s="111">
        <v>82.4</v>
      </c>
      <c r="Q7" s="111">
        <v>2</v>
      </c>
      <c r="R7" s="111">
        <v>1100</v>
      </c>
      <c r="S7" s="113">
        <v>1.0760000000000001</v>
      </c>
      <c r="T7" s="111">
        <v>24</v>
      </c>
      <c r="U7" s="112">
        <v>2.18E-2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39</v>
      </c>
      <c r="AB7" s="111" t="s">
        <v>770</v>
      </c>
    </row>
    <row r="8" spans="1:28" ht="25.05" customHeight="1" x14ac:dyDescent="0.3">
      <c r="A8" s="116"/>
      <c r="B8" s="118" t="s">
        <v>444</v>
      </c>
      <c r="C8" s="116" t="s">
        <v>36</v>
      </c>
      <c r="D8" s="228">
        <v>46282</v>
      </c>
      <c r="E8" s="116"/>
      <c r="F8" s="116">
        <v>262643</v>
      </c>
      <c r="G8" s="116">
        <v>1748</v>
      </c>
      <c r="H8" s="116">
        <v>600</v>
      </c>
      <c r="I8" s="117">
        <v>0.94899999999999995</v>
      </c>
      <c r="J8" s="117">
        <v>1.536</v>
      </c>
      <c r="K8" s="116" t="s">
        <v>587</v>
      </c>
      <c r="L8" s="113">
        <v>874.59799999999996</v>
      </c>
      <c r="M8" s="115">
        <v>921.6</v>
      </c>
      <c r="N8" s="112">
        <v>0.25600000000000001</v>
      </c>
      <c r="O8" s="114">
        <v>15.36</v>
      </c>
      <c r="P8" s="111">
        <v>275.5</v>
      </c>
      <c r="Q8" s="111">
        <v>1</v>
      </c>
      <c r="R8" s="111">
        <v>1000</v>
      </c>
      <c r="S8" s="113">
        <v>0.94899999999999995</v>
      </c>
      <c r="T8" s="111">
        <v>51</v>
      </c>
      <c r="U8" s="112">
        <v>5.0999999999999997E-2</v>
      </c>
      <c r="V8" s="111" t="s">
        <v>28</v>
      </c>
      <c r="W8" s="111" t="s">
        <v>28</v>
      </c>
      <c r="X8" s="111" t="s">
        <v>28</v>
      </c>
      <c r="Y8" s="111"/>
      <c r="Z8" s="111"/>
      <c r="AA8" s="111">
        <v>2</v>
      </c>
      <c r="AB8" s="111" t="s">
        <v>586</v>
      </c>
    </row>
    <row r="9" spans="1:28" ht="25.05" customHeight="1" x14ac:dyDescent="0.3">
      <c r="A9" s="110" t="s">
        <v>27</v>
      </c>
      <c r="B9" s="110" t="s">
        <v>27</v>
      </c>
      <c r="C9" s="110" t="s">
        <v>27</v>
      </c>
      <c r="D9" s="110" t="s">
        <v>27</v>
      </c>
      <c r="E9" s="110" t="s">
        <v>27</v>
      </c>
      <c r="F9" s="110" t="s">
        <v>27</v>
      </c>
      <c r="G9" s="110" t="s">
        <v>27</v>
      </c>
      <c r="H9" s="110">
        <f>SUM(H3:H8)</f>
        <v>11600</v>
      </c>
      <c r="I9" s="110" t="s">
        <v>27</v>
      </c>
      <c r="J9" s="110" t="s">
        <v>27</v>
      </c>
      <c r="K9" s="110" t="s">
        <v>27</v>
      </c>
      <c r="L9" s="109" t="s">
        <v>27</v>
      </c>
      <c r="M9" s="109" t="s">
        <v>27</v>
      </c>
      <c r="N9" s="109" t="s">
        <v>27</v>
      </c>
      <c r="O9" s="109" t="s">
        <v>27</v>
      </c>
      <c r="P9" s="109">
        <f>SUM(P3:P8)</f>
        <v>5178.1999999999989</v>
      </c>
      <c r="Q9" s="109" t="s">
        <v>27</v>
      </c>
      <c r="R9" s="109" t="s">
        <v>27</v>
      </c>
      <c r="S9" s="109" t="s">
        <v>27</v>
      </c>
      <c r="T9" s="109" t="s">
        <v>27</v>
      </c>
      <c r="U9" s="109" t="s">
        <v>27</v>
      </c>
      <c r="V9" s="109" t="s">
        <v>27</v>
      </c>
      <c r="W9" s="109" t="s">
        <v>27</v>
      </c>
      <c r="X9" s="109" t="s">
        <v>27</v>
      </c>
      <c r="Y9" s="109" t="s">
        <v>27</v>
      </c>
      <c r="Z9" s="109" t="s">
        <v>27</v>
      </c>
      <c r="AA9" s="109" t="s">
        <v>27</v>
      </c>
      <c r="AB9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dimension ref="A1:AB7"/>
  <sheetViews>
    <sheetView workbookViewId="0">
      <selection activeCell="AH9" sqref="AH9"/>
    </sheetView>
  </sheetViews>
  <sheetFormatPr defaultRowHeight="14.4" x14ac:dyDescent="0.3"/>
  <cols>
    <col min="1" max="1" width="2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8.77734375" style="108" customWidth="1"/>
    <col min="6" max="6" width="7.109375" style="108" customWidth="1"/>
    <col min="7" max="8" width="6.21875" style="108" customWidth="1"/>
    <col min="9" max="10" width="6" style="108" customWidth="1"/>
    <col min="11" max="11" width="13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88671875" style="108" customWidth="1"/>
    <col min="17" max="17" width="3.88671875" style="108" customWidth="1"/>
    <col min="18" max="18" width="5.88671875" style="108" customWidth="1"/>
    <col min="19" max="19" width="6.109375" style="108" customWidth="1"/>
    <col min="20" max="20" width="11.77734375" style="108" hidden="1" customWidth="1"/>
    <col min="21" max="21" width="8.77734375" style="108" hidden="1" customWidth="1"/>
    <col min="22" max="22" width="7.21875" style="108" customWidth="1"/>
    <col min="23" max="23" width="7.77734375" style="108" customWidth="1"/>
    <col min="24" max="24" width="7.109375" style="108" customWidth="1"/>
    <col min="25" max="25" width="7.5546875" style="108" customWidth="1"/>
    <col min="26" max="26" width="8" style="108" customWidth="1"/>
    <col min="27" max="27" width="4.109375" style="108" customWidth="1"/>
    <col min="28" max="28" width="9.44140625" style="108" customWidth="1"/>
    <col min="29" max="16384" width="8.88671875" style="108"/>
  </cols>
  <sheetData>
    <row r="1" spans="1:28" ht="18" customHeight="1" x14ac:dyDescent="0.35">
      <c r="A1" s="218" t="s">
        <v>768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6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326</v>
      </c>
      <c r="C3" s="116" t="s">
        <v>46</v>
      </c>
      <c r="D3" s="116" t="s">
        <v>489</v>
      </c>
      <c r="E3" s="116" t="s">
        <v>27</v>
      </c>
      <c r="F3" s="116">
        <v>262633</v>
      </c>
      <c r="G3" s="116" t="s">
        <v>767</v>
      </c>
      <c r="H3" s="116">
        <v>7200</v>
      </c>
      <c r="I3" s="117">
        <v>0.64600000000000002</v>
      </c>
      <c r="J3" s="117">
        <v>1.843</v>
      </c>
      <c r="K3" s="116" t="s">
        <v>766</v>
      </c>
      <c r="L3" s="113">
        <v>8572.1620000000003</v>
      </c>
      <c r="M3" s="115">
        <v>6634.8</v>
      </c>
      <c r="N3" s="112">
        <v>0.92149999999999999</v>
      </c>
      <c r="O3" s="114">
        <v>55.29</v>
      </c>
      <c r="P3" s="111">
        <v>3771.8</v>
      </c>
      <c r="Q3" s="111">
        <v>2</v>
      </c>
      <c r="R3" s="111">
        <v>1350</v>
      </c>
      <c r="S3" s="113">
        <v>1.292</v>
      </c>
      <c r="T3" s="111">
        <v>58</v>
      </c>
      <c r="U3" s="112">
        <v>4.2999999999999997E-2</v>
      </c>
      <c r="V3" s="111" t="s">
        <v>42</v>
      </c>
      <c r="W3" s="111" t="s">
        <v>42</v>
      </c>
      <c r="X3" s="111" t="s">
        <v>42</v>
      </c>
      <c r="Y3" s="111" t="s">
        <v>27</v>
      </c>
      <c r="Z3" s="111" t="s">
        <v>27</v>
      </c>
      <c r="AA3" s="111" t="s">
        <v>765</v>
      </c>
      <c r="AB3" s="111" t="s">
        <v>764</v>
      </c>
    </row>
    <row r="4" spans="1:28" x14ac:dyDescent="0.3">
      <c r="A4" s="116">
        <v>2</v>
      </c>
      <c r="B4" s="118" t="s">
        <v>326</v>
      </c>
      <c r="C4" s="116" t="s">
        <v>46</v>
      </c>
      <c r="D4" s="116" t="s">
        <v>422</v>
      </c>
      <c r="E4" s="116" t="s">
        <v>27</v>
      </c>
      <c r="F4" s="116">
        <v>262630</v>
      </c>
      <c r="G4" s="116" t="s">
        <v>763</v>
      </c>
      <c r="H4" s="116">
        <v>11100</v>
      </c>
      <c r="I4" s="117">
        <v>0.622</v>
      </c>
      <c r="J4" s="117">
        <v>1.8089999999999999</v>
      </c>
      <c r="K4" s="116" t="s">
        <v>61</v>
      </c>
      <c r="L4" s="113">
        <v>12489.698</v>
      </c>
      <c r="M4" s="115">
        <v>10039.9</v>
      </c>
      <c r="N4" s="112">
        <v>1.3944000000000001</v>
      </c>
      <c r="O4" s="114">
        <v>83.67</v>
      </c>
      <c r="P4" s="111">
        <v>5495.5</v>
      </c>
      <c r="Q4" s="111">
        <v>2</v>
      </c>
      <c r="R4" s="111">
        <v>1300</v>
      </c>
      <c r="S4" s="113">
        <v>1.244</v>
      </c>
      <c r="T4" s="111">
        <v>56</v>
      </c>
      <c r="U4" s="112">
        <v>4.3099999999999999E-2</v>
      </c>
      <c r="V4" s="111" t="s">
        <v>42</v>
      </c>
      <c r="W4" s="111" t="s">
        <v>42</v>
      </c>
      <c r="X4" s="111" t="s">
        <v>42</v>
      </c>
      <c r="Y4" s="111" t="s">
        <v>27</v>
      </c>
      <c r="Z4" s="111" t="s">
        <v>27</v>
      </c>
      <c r="AA4" s="111" t="s">
        <v>762</v>
      </c>
      <c r="AB4" s="111" t="s">
        <v>47</v>
      </c>
    </row>
    <row r="5" spans="1:28" x14ac:dyDescent="0.3">
      <c r="A5" s="116">
        <v>3</v>
      </c>
      <c r="B5" s="118" t="s">
        <v>326</v>
      </c>
      <c r="C5" s="116" t="s">
        <v>46</v>
      </c>
      <c r="D5" s="116" t="s">
        <v>489</v>
      </c>
      <c r="E5" s="116" t="s">
        <v>27</v>
      </c>
      <c r="F5" s="116">
        <v>262632</v>
      </c>
      <c r="G5" s="116" t="s">
        <v>761</v>
      </c>
      <c r="H5" s="116">
        <v>3600</v>
      </c>
      <c r="I5" s="117">
        <v>0.33500000000000002</v>
      </c>
      <c r="J5" s="117">
        <v>0.88</v>
      </c>
      <c r="K5" s="116" t="s">
        <v>34</v>
      </c>
      <c r="L5" s="113">
        <v>1061.28</v>
      </c>
      <c r="M5" s="115">
        <v>1056</v>
      </c>
      <c r="N5" s="112">
        <v>9.7799999999999998E-2</v>
      </c>
      <c r="O5" s="114">
        <v>5.87</v>
      </c>
      <c r="P5" s="111">
        <v>467</v>
      </c>
      <c r="Q5" s="111">
        <v>3</v>
      </c>
      <c r="R5" s="111">
        <v>1050</v>
      </c>
      <c r="S5" s="113">
        <v>1.0049999999999999</v>
      </c>
      <c r="T5" s="111">
        <v>45</v>
      </c>
      <c r="U5" s="112">
        <v>4.2900000000000001E-2</v>
      </c>
      <c r="V5" s="111" t="s">
        <v>42</v>
      </c>
      <c r="W5" s="111" t="s">
        <v>42</v>
      </c>
      <c r="X5" s="111" t="s">
        <v>42</v>
      </c>
      <c r="Y5" s="111" t="s">
        <v>27</v>
      </c>
      <c r="Z5" s="111" t="s">
        <v>27</v>
      </c>
      <c r="AA5" s="111" t="s">
        <v>33</v>
      </c>
      <c r="AB5" s="111" t="s">
        <v>760</v>
      </c>
    </row>
    <row r="6" spans="1:28" x14ac:dyDescent="0.3">
      <c r="A6" s="116">
        <v>4</v>
      </c>
      <c r="B6" s="118" t="s">
        <v>326</v>
      </c>
      <c r="C6" s="116" t="s">
        <v>46</v>
      </c>
      <c r="D6" s="116" t="s">
        <v>422</v>
      </c>
      <c r="E6" s="116" t="s">
        <v>27</v>
      </c>
      <c r="F6" s="116">
        <v>262631</v>
      </c>
      <c r="G6" s="116" t="s">
        <v>759</v>
      </c>
      <c r="H6" s="116">
        <v>5550</v>
      </c>
      <c r="I6" s="117">
        <v>0.32</v>
      </c>
      <c r="J6" s="117">
        <v>0.86599999999999999</v>
      </c>
      <c r="K6" s="116" t="s">
        <v>34</v>
      </c>
      <c r="L6" s="113">
        <v>1538.0160000000001</v>
      </c>
      <c r="M6" s="115">
        <v>1602.1</v>
      </c>
      <c r="N6" s="112">
        <v>0.14829999999999999</v>
      </c>
      <c r="O6" s="114">
        <v>8.9</v>
      </c>
      <c r="P6" s="111">
        <v>676.7</v>
      </c>
      <c r="Q6" s="111">
        <v>3</v>
      </c>
      <c r="R6" s="111">
        <v>1000</v>
      </c>
      <c r="S6" s="113">
        <v>0.96</v>
      </c>
      <c r="T6" s="111">
        <v>40</v>
      </c>
      <c r="U6" s="112">
        <v>0.04</v>
      </c>
      <c r="V6" s="111" t="s">
        <v>42</v>
      </c>
      <c r="W6" s="111" t="s">
        <v>42</v>
      </c>
      <c r="X6" s="111" t="s">
        <v>42</v>
      </c>
      <c r="Y6" s="111" t="s">
        <v>27</v>
      </c>
      <c r="Z6" s="111" t="s">
        <v>27</v>
      </c>
      <c r="AA6" s="111" t="s">
        <v>30</v>
      </c>
      <c r="AB6" s="111" t="s">
        <v>48</v>
      </c>
    </row>
    <row r="7" spans="1:28" x14ac:dyDescent="0.3">
      <c r="A7" s="110" t="s">
        <v>27</v>
      </c>
      <c r="B7" s="110" t="s">
        <v>27</v>
      </c>
      <c r="C7" s="110" t="s">
        <v>27</v>
      </c>
      <c r="D7" s="110" t="s">
        <v>27</v>
      </c>
      <c r="E7" s="110" t="s">
        <v>27</v>
      </c>
      <c r="F7" s="110" t="s">
        <v>27</v>
      </c>
      <c r="G7" s="110" t="s">
        <v>27</v>
      </c>
      <c r="H7" s="110">
        <v>27450</v>
      </c>
      <c r="I7" s="110" t="s">
        <v>27</v>
      </c>
      <c r="J7" s="110" t="s">
        <v>27</v>
      </c>
      <c r="K7" s="110" t="s">
        <v>27</v>
      </c>
      <c r="L7" s="109" t="s">
        <v>27</v>
      </c>
      <c r="M7" s="109" t="s">
        <v>27</v>
      </c>
      <c r="N7" s="109" t="s">
        <v>27</v>
      </c>
      <c r="O7" s="109" t="s">
        <v>27</v>
      </c>
      <c r="P7" s="109">
        <v>10410.9</v>
      </c>
      <c r="Q7" s="109" t="s">
        <v>27</v>
      </c>
      <c r="R7" s="109" t="s">
        <v>27</v>
      </c>
      <c r="S7" s="109" t="s">
        <v>27</v>
      </c>
      <c r="T7" s="109" t="s">
        <v>27</v>
      </c>
      <c r="U7" s="109" t="s">
        <v>27</v>
      </c>
      <c r="V7" s="109" t="s">
        <v>27</v>
      </c>
      <c r="W7" s="109" t="s">
        <v>27</v>
      </c>
      <c r="X7" s="109" t="s">
        <v>27</v>
      </c>
      <c r="Y7" s="109" t="s">
        <v>27</v>
      </c>
      <c r="Z7" s="109" t="s">
        <v>27</v>
      </c>
      <c r="AA7" s="109" t="s">
        <v>27</v>
      </c>
      <c r="AB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dimension ref="A1:AB13"/>
  <sheetViews>
    <sheetView workbookViewId="0">
      <selection activeCell="AG2" sqref="AG2"/>
    </sheetView>
  </sheetViews>
  <sheetFormatPr defaultRowHeight="14.4" x14ac:dyDescent="0.3"/>
  <cols>
    <col min="1" max="1" width="4.88671875" style="108" customWidth="1"/>
    <col min="2" max="2" width="20.77734375" style="108" hidden="1" customWidth="1"/>
    <col min="3" max="3" width="5.88671875" style="108" customWidth="1"/>
    <col min="4" max="4" width="11.77734375" style="108" hidden="1" customWidth="1"/>
    <col min="5" max="5" width="9.21875" style="108" customWidth="1"/>
    <col min="6" max="6" width="7.44140625" style="108" customWidth="1"/>
    <col min="7" max="7" width="3.21875" style="108" customWidth="1"/>
    <col min="8" max="8" width="5.88671875" style="108" customWidth="1"/>
    <col min="9" max="9" width="6.88671875" style="108" customWidth="1"/>
    <col min="10" max="10" width="6.33203125" style="108" customWidth="1"/>
    <col min="11" max="11" width="13.21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" style="108" customWidth="1"/>
    <col min="17" max="17" width="4" style="108" customWidth="1"/>
    <col min="18" max="18" width="6.5546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8.33203125" style="108" customWidth="1"/>
    <col min="23" max="23" width="8.21875" style="108" customWidth="1"/>
    <col min="24" max="25" width="7.6640625" style="108" customWidth="1"/>
    <col min="26" max="26" width="7.88671875" style="108" customWidth="1"/>
    <col min="27" max="27" width="3.88671875" style="108" customWidth="1"/>
    <col min="28" max="28" width="11" style="108" customWidth="1"/>
    <col min="29" max="16384" width="8.88671875" style="108"/>
  </cols>
  <sheetData>
    <row r="1" spans="1:28" ht="18" customHeight="1" x14ac:dyDescent="0.35">
      <c r="A1" s="218" t="s">
        <v>758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740</v>
      </c>
      <c r="C3" s="116" t="s">
        <v>26</v>
      </c>
      <c r="D3" s="116" t="s">
        <v>625</v>
      </c>
      <c r="E3" s="116" t="s">
        <v>27</v>
      </c>
      <c r="F3" s="116">
        <v>262624</v>
      </c>
      <c r="G3" s="116" t="s">
        <v>32</v>
      </c>
      <c r="H3" s="116">
        <v>2000</v>
      </c>
      <c r="I3" s="117">
        <v>0.67900000000000005</v>
      </c>
      <c r="J3" s="117">
        <v>1.35</v>
      </c>
      <c r="K3" s="116" t="s">
        <v>757</v>
      </c>
      <c r="L3" s="113">
        <v>1833.3</v>
      </c>
      <c r="M3" s="115">
        <v>1350</v>
      </c>
      <c r="N3" s="112">
        <v>0.1875</v>
      </c>
      <c r="O3" s="114">
        <v>11.25</v>
      </c>
      <c r="P3" s="111">
        <v>986.3</v>
      </c>
      <c r="Q3" s="111">
        <v>2</v>
      </c>
      <c r="R3" s="111">
        <v>1400</v>
      </c>
      <c r="S3" s="113">
        <v>1.3580000000000001</v>
      </c>
      <c r="T3" s="111">
        <v>42</v>
      </c>
      <c r="U3" s="112">
        <v>0.03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72</v>
      </c>
      <c r="AB3" s="111" t="s">
        <v>756</v>
      </c>
    </row>
    <row r="4" spans="1:28" ht="25.05" customHeight="1" x14ac:dyDescent="0.3">
      <c r="A4" s="116">
        <v>2</v>
      </c>
      <c r="B4" s="118" t="s">
        <v>740</v>
      </c>
      <c r="C4" s="116" t="s">
        <v>26</v>
      </c>
      <c r="D4" s="116" t="s">
        <v>625</v>
      </c>
      <c r="E4" s="116" t="s">
        <v>27</v>
      </c>
      <c r="F4" s="116">
        <v>262629</v>
      </c>
      <c r="G4" s="116" t="s">
        <v>32</v>
      </c>
      <c r="H4" s="116">
        <v>300</v>
      </c>
      <c r="I4" s="117">
        <v>1.3480000000000001</v>
      </c>
      <c r="J4" s="117">
        <v>1.496</v>
      </c>
      <c r="K4" s="116" t="s">
        <v>34</v>
      </c>
      <c r="L4" s="113">
        <v>604.98199999999997</v>
      </c>
      <c r="M4" s="115">
        <v>448.8</v>
      </c>
      <c r="N4" s="112">
        <v>0.12470000000000001</v>
      </c>
      <c r="O4" s="114">
        <v>7.48</v>
      </c>
      <c r="P4" s="111">
        <v>325.5</v>
      </c>
      <c r="Q4" s="111">
        <v>1</v>
      </c>
      <c r="R4" s="111">
        <v>1400</v>
      </c>
      <c r="S4" s="113">
        <v>1.3480000000000001</v>
      </c>
      <c r="T4" s="111">
        <v>52</v>
      </c>
      <c r="U4" s="112">
        <v>3.7100000000000001E-2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33</v>
      </c>
      <c r="AB4" s="111" t="s">
        <v>755</v>
      </c>
    </row>
    <row r="5" spans="1:28" ht="25.05" customHeight="1" x14ac:dyDescent="0.3">
      <c r="A5" s="116">
        <v>3</v>
      </c>
      <c r="B5" s="118" t="s">
        <v>740</v>
      </c>
      <c r="C5" s="116" t="s">
        <v>26</v>
      </c>
      <c r="D5" s="116" t="s">
        <v>625</v>
      </c>
      <c r="E5" s="116" t="s">
        <v>27</v>
      </c>
      <c r="F5" s="116">
        <v>262627</v>
      </c>
      <c r="G5" s="116" t="s">
        <v>32</v>
      </c>
      <c r="H5" s="116">
        <v>250</v>
      </c>
      <c r="I5" s="117">
        <v>0.94799999999999995</v>
      </c>
      <c r="J5" s="117">
        <v>2.36</v>
      </c>
      <c r="K5" s="116" t="s">
        <v>754</v>
      </c>
      <c r="L5" s="113">
        <v>559.32000000000005</v>
      </c>
      <c r="M5" s="115">
        <v>590</v>
      </c>
      <c r="N5" s="112">
        <v>0.16389999999999999</v>
      </c>
      <c r="O5" s="114">
        <v>9.83</v>
      </c>
      <c r="P5" s="111">
        <v>300.89999999999998</v>
      </c>
      <c r="Q5" s="111">
        <v>1</v>
      </c>
      <c r="R5" s="111">
        <v>1000</v>
      </c>
      <c r="S5" s="113">
        <v>0.94799999999999995</v>
      </c>
      <c r="T5" s="111">
        <v>52</v>
      </c>
      <c r="U5" s="112">
        <v>5.1999999999999998E-2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33</v>
      </c>
      <c r="AB5" s="111" t="s">
        <v>753</v>
      </c>
    </row>
    <row r="6" spans="1:28" ht="25.05" customHeight="1" x14ac:dyDescent="0.3">
      <c r="A6" s="116">
        <v>4</v>
      </c>
      <c r="B6" s="118" t="s">
        <v>740</v>
      </c>
      <c r="C6" s="116" t="s">
        <v>26</v>
      </c>
      <c r="D6" s="116" t="s">
        <v>625</v>
      </c>
      <c r="E6" s="116" t="s">
        <v>27</v>
      </c>
      <c r="F6" s="116">
        <v>262628</v>
      </c>
      <c r="G6" s="116" t="s">
        <v>32</v>
      </c>
      <c r="H6" s="116">
        <v>320</v>
      </c>
      <c r="I6" s="117">
        <v>0.83599999999999997</v>
      </c>
      <c r="J6" s="117">
        <v>2.1</v>
      </c>
      <c r="K6" s="116" t="s">
        <v>752</v>
      </c>
      <c r="L6" s="113">
        <v>561.79200000000003</v>
      </c>
      <c r="M6" s="115">
        <v>672</v>
      </c>
      <c r="N6" s="112">
        <v>0.1867</v>
      </c>
      <c r="O6" s="114">
        <v>11.2</v>
      </c>
      <c r="P6" s="111">
        <v>302.2</v>
      </c>
      <c r="Q6" s="111">
        <v>1</v>
      </c>
      <c r="R6" s="111">
        <v>900</v>
      </c>
      <c r="S6" s="113">
        <v>0.83599999999999997</v>
      </c>
      <c r="T6" s="111">
        <v>64</v>
      </c>
      <c r="U6" s="112">
        <v>7.1099999999999997E-2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33</v>
      </c>
      <c r="AB6" s="111" t="s">
        <v>751</v>
      </c>
    </row>
    <row r="7" spans="1:28" ht="25.05" customHeight="1" x14ac:dyDescent="0.3">
      <c r="A7" s="116">
        <v>5</v>
      </c>
      <c r="B7" s="118" t="s">
        <v>740</v>
      </c>
      <c r="C7" s="116" t="s">
        <v>36</v>
      </c>
      <c r="D7" s="116" t="s">
        <v>625</v>
      </c>
      <c r="E7" s="116" t="s">
        <v>27</v>
      </c>
      <c r="F7" s="116">
        <v>262621</v>
      </c>
      <c r="G7" s="116" t="s">
        <v>32</v>
      </c>
      <c r="H7" s="116">
        <v>1000</v>
      </c>
      <c r="I7" s="117">
        <v>0.71</v>
      </c>
      <c r="J7" s="117">
        <v>0.96</v>
      </c>
      <c r="K7" s="116" t="s">
        <v>750</v>
      </c>
      <c r="L7" s="113">
        <v>681.6</v>
      </c>
      <c r="M7" s="115">
        <v>480</v>
      </c>
      <c r="N7" s="112">
        <v>6.6699999999999995E-2</v>
      </c>
      <c r="O7" s="114">
        <v>4</v>
      </c>
      <c r="P7" s="111">
        <v>214.7</v>
      </c>
      <c r="Q7" s="111">
        <v>2</v>
      </c>
      <c r="R7" s="111">
        <v>1450</v>
      </c>
      <c r="S7" s="113">
        <v>1.42</v>
      </c>
      <c r="T7" s="111">
        <v>30</v>
      </c>
      <c r="U7" s="112">
        <v>2.07E-2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39</v>
      </c>
      <c r="AB7" s="111" t="s">
        <v>749</v>
      </c>
    </row>
    <row r="8" spans="1:28" ht="25.05" customHeight="1" x14ac:dyDescent="0.3">
      <c r="A8" s="116">
        <v>6</v>
      </c>
      <c r="B8" s="118" t="s">
        <v>740</v>
      </c>
      <c r="C8" s="116" t="s">
        <v>36</v>
      </c>
      <c r="D8" s="116" t="s">
        <v>625</v>
      </c>
      <c r="E8" s="116" t="s">
        <v>27</v>
      </c>
      <c r="F8" s="116">
        <v>262622</v>
      </c>
      <c r="G8" s="116" t="s">
        <v>32</v>
      </c>
      <c r="H8" s="116">
        <v>550</v>
      </c>
      <c r="I8" s="117">
        <v>1.18</v>
      </c>
      <c r="J8" s="117">
        <v>1.44</v>
      </c>
      <c r="K8" s="116" t="s">
        <v>748</v>
      </c>
      <c r="L8" s="113">
        <v>934.56</v>
      </c>
      <c r="M8" s="115">
        <v>792</v>
      </c>
      <c r="N8" s="112">
        <v>0.22</v>
      </c>
      <c r="O8" s="114">
        <v>13.2</v>
      </c>
      <c r="P8" s="111">
        <v>294.39999999999998</v>
      </c>
      <c r="Q8" s="111">
        <v>1</v>
      </c>
      <c r="R8" s="111">
        <v>1200</v>
      </c>
      <c r="S8" s="113">
        <v>1.18</v>
      </c>
      <c r="T8" s="111">
        <v>20</v>
      </c>
      <c r="U8" s="112">
        <v>1.67E-2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33</v>
      </c>
      <c r="AB8" s="111" t="s">
        <v>747</v>
      </c>
    </row>
    <row r="9" spans="1:28" ht="25.05" customHeight="1" x14ac:dyDescent="0.3">
      <c r="A9" s="116">
        <v>7</v>
      </c>
      <c r="B9" s="118" t="s">
        <v>740</v>
      </c>
      <c r="C9" s="116" t="s">
        <v>296</v>
      </c>
      <c r="D9" s="116" t="s">
        <v>625</v>
      </c>
      <c r="E9" s="116" t="s">
        <v>27</v>
      </c>
      <c r="F9" s="116">
        <v>262626</v>
      </c>
      <c r="G9" s="116" t="s">
        <v>32</v>
      </c>
      <c r="H9" s="116">
        <v>5500</v>
      </c>
      <c r="I9" s="117">
        <v>0.54500000000000004</v>
      </c>
      <c r="J9" s="117">
        <v>1.8</v>
      </c>
      <c r="K9" s="116" t="s">
        <v>746</v>
      </c>
      <c r="L9" s="113">
        <v>5395.5</v>
      </c>
      <c r="M9" s="115">
        <v>4950</v>
      </c>
      <c r="N9" s="112">
        <v>0.6875</v>
      </c>
      <c r="O9" s="114">
        <v>41.25</v>
      </c>
      <c r="P9" s="111">
        <v>1969.4</v>
      </c>
      <c r="Q9" s="111">
        <v>2</v>
      </c>
      <c r="R9" s="111">
        <v>1150</v>
      </c>
      <c r="S9" s="113">
        <v>1.0900000000000001</v>
      </c>
      <c r="T9" s="111">
        <v>60</v>
      </c>
      <c r="U9" s="112">
        <v>5.2200000000000003E-2</v>
      </c>
      <c r="V9" s="111" t="s">
        <v>42</v>
      </c>
      <c r="W9" s="111" t="s">
        <v>29</v>
      </c>
      <c r="X9" s="111" t="s">
        <v>28</v>
      </c>
      <c r="Y9" s="111" t="s">
        <v>27</v>
      </c>
      <c r="Z9" s="111" t="s">
        <v>27</v>
      </c>
      <c r="AA9" s="111" t="s">
        <v>57</v>
      </c>
      <c r="AB9" s="111" t="s">
        <v>745</v>
      </c>
    </row>
    <row r="10" spans="1:28" ht="25.05" customHeight="1" x14ac:dyDescent="0.3">
      <c r="A10" s="116">
        <v>8</v>
      </c>
      <c r="B10" s="118" t="s">
        <v>740</v>
      </c>
      <c r="C10" s="116" t="s">
        <v>296</v>
      </c>
      <c r="D10" s="116" t="s">
        <v>625</v>
      </c>
      <c r="E10" s="116" t="s">
        <v>27</v>
      </c>
      <c r="F10" s="116">
        <v>262620</v>
      </c>
      <c r="G10" s="116" t="s">
        <v>32</v>
      </c>
      <c r="H10" s="116">
        <v>5000</v>
      </c>
      <c r="I10" s="117">
        <v>0.52100000000000002</v>
      </c>
      <c r="J10" s="117">
        <v>1.03</v>
      </c>
      <c r="K10" s="116" t="s">
        <v>744</v>
      </c>
      <c r="L10" s="113">
        <v>2683.15</v>
      </c>
      <c r="M10" s="115">
        <v>2575</v>
      </c>
      <c r="N10" s="112">
        <v>0.35759999999999997</v>
      </c>
      <c r="O10" s="114">
        <v>21.46</v>
      </c>
      <c r="P10" s="111">
        <v>979.3</v>
      </c>
      <c r="Q10" s="111">
        <v>2</v>
      </c>
      <c r="R10" s="111">
        <v>1100</v>
      </c>
      <c r="S10" s="113">
        <v>1.042</v>
      </c>
      <c r="T10" s="111">
        <v>58</v>
      </c>
      <c r="U10" s="112">
        <v>5.2699999999999997E-2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32</v>
      </c>
      <c r="AB10" s="111" t="s">
        <v>743</v>
      </c>
    </row>
    <row r="11" spans="1:28" ht="25.05" customHeight="1" x14ac:dyDescent="0.3">
      <c r="A11" s="116">
        <v>9</v>
      </c>
      <c r="B11" s="118" t="s">
        <v>740</v>
      </c>
      <c r="C11" s="116" t="s">
        <v>36</v>
      </c>
      <c r="D11" s="116" t="s">
        <v>625</v>
      </c>
      <c r="E11" s="116" t="s">
        <v>27</v>
      </c>
      <c r="F11" s="116">
        <v>262623</v>
      </c>
      <c r="G11" s="116" t="s">
        <v>32</v>
      </c>
      <c r="H11" s="116">
        <v>700</v>
      </c>
      <c r="I11" s="117">
        <v>0.97</v>
      </c>
      <c r="J11" s="117">
        <v>1.42</v>
      </c>
      <c r="K11" s="116" t="s">
        <v>742</v>
      </c>
      <c r="L11" s="113">
        <v>964.18</v>
      </c>
      <c r="M11" s="115">
        <v>994</v>
      </c>
      <c r="N11" s="112">
        <v>0.27610000000000001</v>
      </c>
      <c r="O11" s="114">
        <v>16.57</v>
      </c>
      <c r="P11" s="111">
        <v>303.7</v>
      </c>
      <c r="Q11" s="111">
        <v>1</v>
      </c>
      <c r="R11" s="111">
        <v>1000</v>
      </c>
      <c r="S11" s="113">
        <v>0.97</v>
      </c>
      <c r="T11" s="111">
        <v>30</v>
      </c>
      <c r="U11" s="112">
        <v>0.03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33</v>
      </c>
      <c r="AB11" s="111" t="s">
        <v>741</v>
      </c>
    </row>
    <row r="12" spans="1:28" ht="25.05" customHeight="1" x14ac:dyDescent="0.3">
      <c r="A12" s="116">
        <v>10</v>
      </c>
      <c r="B12" s="118" t="s">
        <v>740</v>
      </c>
      <c r="C12" s="116" t="s">
        <v>36</v>
      </c>
      <c r="D12" s="116" t="s">
        <v>625</v>
      </c>
      <c r="E12" s="116" t="s">
        <v>27</v>
      </c>
      <c r="F12" s="116">
        <v>262625</v>
      </c>
      <c r="G12" s="116" t="s">
        <v>32</v>
      </c>
      <c r="H12" s="116">
        <v>4000</v>
      </c>
      <c r="I12" s="117">
        <v>0.30399999999999999</v>
      </c>
      <c r="J12" s="117">
        <v>0.98</v>
      </c>
      <c r="K12" s="116" t="s">
        <v>319</v>
      </c>
      <c r="L12" s="113">
        <v>1191.68</v>
      </c>
      <c r="M12" s="115">
        <v>1960</v>
      </c>
      <c r="N12" s="112">
        <v>0.2722</v>
      </c>
      <c r="O12" s="114">
        <v>16.329999999999998</v>
      </c>
      <c r="P12" s="111">
        <v>375.4</v>
      </c>
      <c r="Q12" s="111">
        <v>2</v>
      </c>
      <c r="R12" s="111">
        <v>650</v>
      </c>
      <c r="S12" s="113">
        <v>0.60799999999999998</v>
      </c>
      <c r="T12" s="111">
        <v>42</v>
      </c>
      <c r="U12" s="112">
        <v>6.4600000000000005E-2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318</v>
      </c>
    </row>
    <row r="13" spans="1:28" ht="25.05" customHeight="1" x14ac:dyDescent="0.3">
      <c r="A13" s="110" t="s">
        <v>27</v>
      </c>
      <c r="B13" s="110" t="s">
        <v>27</v>
      </c>
      <c r="C13" s="110" t="s">
        <v>27</v>
      </c>
      <c r="D13" s="110" t="s">
        <v>27</v>
      </c>
      <c r="E13" s="110" t="s">
        <v>27</v>
      </c>
      <c r="F13" s="110" t="s">
        <v>27</v>
      </c>
      <c r="G13" s="110" t="s">
        <v>27</v>
      </c>
      <c r="H13" s="110">
        <v>19620</v>
      </c>
      <c r="I13" s="110" t="s">
        <v>27</v>
      </c>
      <c r="J13" s="110" t="s">
        <v>27</v>
      </c>
      <c r="K13" s="110" t="s">
        <v>27</v>
      </c>
      <c r="L13" s="109" t="s">
        <v>27</v>
      </c>
      <c r="M13" s="109" t="s">
        <v>27</v>
      </c>
      <c r="N13" s="109" t="s">
        <v>27</v>
      </c>
      <c r="O13" s="109" t="s">
        <v>27</v>
      </c>
      <c r="P13" s="109">
        <v>6051.8</v>
      </c>
      <c r="Q13" s="109" t="s">
        <v>27</v>
      </c>
      <c r="R13" s="109" t="s">
        <v>27</v>
      </c>
      <c r="S13" s="109" t="s">
        <v>27</v>
      </c>
      <c r="T13" s="109" t="s">
        <v>27</v>
      </c>
      <c r="U13" s="109" t="s">
        <v>27</v>
      </c>
      <c r="V13" s="109" t="s">
        <v>27</v>
      </c>
      <c r="W13" s="109" t="s">
        <v>27</v>
      </c>
      <c r="X13" s="109" t="s">
        <v>27</v>
      </c>
      <c r="Y13" s="109" t="s">
        <v>27</v>
      </c>
      <c r="Z13" s="109" t="s">
        <v>27</v>
      </c>
      <c r="AA13" s="109" t="s">
        <v>27</v>
      </c>
      <c r="AB13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sheetPr>
    <pageSetUpPr fitToPage="1"/>
  </sheetPr>
  <dimension ref="A1:AB7"/>
  <sheetViews>
    <sheetView workbookViewId="0">
      <selection activeCell="AD9" sqref="AD9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 x14ac:dyDescent="0.35">
      <c r="A1" s="219" t="s">
        <v>723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 x14ac:dyDescent="0.3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03" customFormat="1" ht="25.05" customHeight="1" x14ac:dyDescent="0.3">
      <c r="A6" s="185">
        <v>5</v>
      </c>
      <c r="B6" s="186" t="s">
        <v>448</v>
      </c>
      <c r="C6" s="185" t="s">
        <v>36</v>
      </c>
      <c r="D6" s="185" t="s">
        <v>716</v>
      </c>
      <c r="E6" s="185" t="s">
        <v>27</v>
      </c>
      <c r="F6" s="185">
        <v>262604</v>
      </c>
      <c r="G6" s="185" t="s">
        <v>715</v>
      </c>
      <c r="H6" s="185">
        <v>3000</v>
      </c>
      <c r="I6" s="187">
        <v>0.45600000000000002</v>
      </c>
      <c r="J6" s="187">
        <v>1.5609999999999999</v>
      </c>
      <c r="K6" s="185" t="s">
        <v>714</v>
      </c>
      <c r="L6" s="187">
        <v>2135.4479999999999</v>
      </c>
      <c r="M6" s="188">
        <v>2341.5</v>
      </c>
      <c r="N6" s="189">
        <v>0.32519999999999999</v>
      </c>
      <c r="O6" s="190">
        <v>19.510000000000002</v>
      </c>
      <c r="P6" s="185">
        <v>672.7</v>
      </c>
      <c r="Q6" s="185">
        <v>2</v>
      </c>
      <c r="R6" s="185">
        <v>950</v>
      </c>
      <c r="S6" s="187">
        <v>0.91200000000000003</v>
      </c>
      <c r="T6" s="185">
        <v>38</v>
      </c>
      <c r="U6" s="189">
        <v>0.04</v>
      </c>
      <c r="V6" s="185" t="s">
        <v>28</v>
      </c>
      <c r="W6" s="185" t="s">
        <v>28</v>
      </c>
      <c r="X6" s="185" t="s">
        <v>28</v>
      </c>
      <c r="Y6" s="185" t="s">
        <v>27</v>
      </c>
      <c r="Z6" s="185" t="s">
        <v>27</v>
      </c>
      <c r="AA6" s="185" t="s">
        <v>32</v>
      </c>
      <c r="AB6" s="185" t="s">
        <v>713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28000000000000003" right="0.2" top="1.74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AC18" sqref="AC1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20" t="s">
        <v>710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5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zoomScale="77" zoomScaleNormal="77" workbookViewId="0">
      <selection activeCell="AD3" sqref="AD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20" t="s">
        <v>702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199" customFormat="1" ht="25.05" customHeight="1" x14ac:dyDescent="0.3">
      <c r="A4" s="200">
        <v>2</v>
      </c>
      <c r="B4" s="205" t="s">
        <v>66</v>
      </c>
      <c r="C4" s="200" t="s">
        <v>62</v>
      </c>
      <c r="D4" s="200" t="s">
        <v>680</v>
      </c>
      <c r="E4" s="200" t="s">
        <v>27</v>
      </c>
      <c r="F4" s="200">
        <v>262597</v>
      </c>
      <c r="G4" s="200" t="s">
        <v>700</v>
      </c>
      <c r="H4" s="200">
        <v>600</v>
      </c>
      <c r="I4" s="202">
        <v>1.236</v>
      </c>
      <c r="J4" s="202">
        <v>2.5910000000000002</v>
      </c>
      <c r="K4" s="200" t="s">
        <v>522</v>
      </c>
      <c r="L4" s="202">
        <v>1921.4860000000001</v>
      </c>
      <c r="M4" s="204">
        <v>1554.6</v>
      </c>
      <c r="N4" s="201">
        <v>0.43180000000000002</v>
      </c>
      <c r="O4" s="203">
        <v>25.91</v>
      </c>
      <c r="P4" s="200">
        <v>1214.4000000000001</v>
      </c>
      <c r="Q4" s="200">
        <v>1</v>
      </c>
      <c r="R4" s="200">
        <v>1300</v>
      </c>
      <c r="S4" s="202">
        <v>1.236</v>
      </c>
      <c r="T4" s="200">
        <v>64</v>
      </c>
      <c r="U4" s="201">
        <v>4.9200000000000001E-2</v>
      </c>
      <c r="V4" s="200" t="s">
        <v>29</v>
      </c>
      <c r="W4" s="200" t="s">
        <v>40</v>
      </c>
      <c r="X4" s="200" t="s">
        <v>28</v>
      </c>
      <c r="Y4" s="200" t="s">
        <v>28</v>
      </c>
      <c r="Z4" s="200" t="s">
        <v>29</v>
      </c>
      <c r="AA4" s="200" t="s">
        <v>32</v>
      </c>
      <c r="AB4" s="200" t="s">
        <v>521</v>
      </c>
    </row>
    <row r="5" spans="1:28" s="199" customFormat="1" ht="25.05" customHeight="1" x14ac:dyDescent="0.3">
      <c r="A5" s="200">
        <v>3</v>
      </c>
      <c r="B5" s="205" t="s">
        <v>66</v>
      </c>
      <c r="C5" s="200" t="s">
        <v>62</v>
      </c>
      <c r="D5" s="200" t="s">
        <v>680</v>
      </c>
      <c r="E5" s="200" t="s">
        <v>27</v>
      </c>
      <c r="F5" s="200">
        <v>262596</v>
      </c>
      <c r="G5" s="200" t="s">
        <v>700</v>
      </c>
      <c r="H5" s="200">
        <v>2000</v>
      </c>
      <c r="I5" s="202">
        <v>1.196</v>
      </c>
      <c r="J5" s="202">
        <v>1.6910000000000001</v>
      </c>
      <c r="K5" s="200" t="s">
        <v>519</v>
      </c>
      <c r="L5" s="202">
        <v>4044.8719999999998</v>
      </c>
      <c r="M5" s="204">
        <v>3382</v>
      </c>
      <c r="N5" s="201">
        <v>0.93940000000000001</v>
      </c>
      <c r="O5" s="203">
        <v>56.37</v>
      </c>
      <c r="P5" s="200">
        <v>2556.4</v>
      </c>
      <c r="Q5" s="200">
        <v>1</v>
      </c>
      <c r="R5" s="200">
        <v>1250</v>
      </c>
      <c r="S5" s="202">
        <v>1.196</v>
      </c>
      <c r="T5" s="200">
        <v>54</v>
      </c>
      <c r="U5" s="201">
        <v>4.3200000000000002E-2</v>
      </c>
      <c r="V5" s="200" t="s">
        <v>29</v>
      </c>
      <c r="W5" s="200" t="s">
        <v>40</v>
      </c>
      <c r="X5" s="200" t="s">
        <v>28</v>
      </c>
      <c r="Y5" s="200" t="s">
        <v>28</v>
      </c>
      <c r="Z5" s="200" t="s">
        <v>29</v>
      </c>
      <c r="AA5" s="200" t="s">
        <v>72</v>
      </c>
      <c r="AB5" s="200" t="s">
        <v>518</v>
      </c>
    </row>
    <row r="6" spans="1:28" s="199" customFormat="1" ht="25.05" customHeight="1" x14ac:dyDescent="0.3">
      <c r="A6" s="200">
        <v>4</v>
      </c>
      <c r="B6" s="205" t="s">
        <v>66</v>
      </c>
      <c r="C6" s="200" t="s">
        <v>45</v>
      </c>
      <c r="D6" s="200" t="s">
        <v>680</v>
      </c>
      <c r="E6" s="200" t="s">
        <v>27</v>
      </c>
      <c r="F6" s="200">
        <v>262595</v>
      </c>
      <c r="G6" s="200" t="s">
        <v>700</v>
      </c>
      <c r="H6" s="200">
        <v>1400</v>
      </c>
      <c r="I6" s="202">
        <v>1.2050000000000001</v>
      </c>
      <c r="J6" s="202">
        <v>2.5910000000000002</v>
      </c>
      <c r="K6" s="200" t="s">
        <v>53</v>
      </c>
      <c r="L6" s="202">
        <v>4371.0169999999998</v>
      </c>
      <c r="M6" s="204">
        <v>3627.4</v>
      </c>
      <c r="N6" s="201">
        <v>1.0076000000000001</v>
      </c>
      <c r="O6" s="203">
        <v>60.46</v>
      </c>
      <c r="P6" s="200">
        <v>2482.6999999999998</v>
      </c>
      <c r="Q6" s="200">
        <v>1</v>
      </c>
      <c r="R6" s="200">
        <v>1250</v>
      </c>
      <c r="S6" s="202">
        <v>1.2050000000000001</v>
      </c>
      <c r="T6" s="200">
        <v>45</v>
      </c>
      <c r="U6" s="201">
        <v>3.5999999999999997E-2</v>
      </c>
      <c r="V6" s="200" t="s">
        <v>35</v>
      </c>
      <c r="W6" s="200" t="s">
        <v>40</v>
      </c>
      <c r="X6" s="200" t="s">
        <v>35</v>
      </c>
      <c r="Y6" s="200" t="s">
        <v>35</v>
      </c>
      <c r="Z6" s="200" t="s">
        <v>35</v>
      </c>
      <c r="AA6" s="200" t="s">
        <v>55</v>
      </c>
      <c r="AB6" s="200" t="s">
        <v>54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 x14ac:dyDescent="0.3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 x14ac:dyDescent="0.3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 x14ac:dyDescent="0.3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 x14ac:dyDescent="0.3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 x14ac:dyDescent="0.3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 x14ac:dyDescent="0.3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 x14ac:dyDescent="0.3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 x14ac:dyDescent="0.3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Z22" sqref="Z22"/>
    </sheetView>
  </sheetViews>
  <sheetFormatPr defaultRowHeight="14.4" x14ac:dyDescent="0.3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 x14ac:dyDescent="0.35">
      <c r="A1" s="218" t="s">
        <v>681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0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 x14ac:dyDescent="0.3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 x14ac:dyDescent="0.3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221" t="s">
        <v>669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1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 ht="25.05" customHeight="1" x14ac:dyDescent="0.3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 ht="25.05" customHeight="1" x14ac:dyDescent="0.3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262577</v>
      </c>
      <c r="G5" s="161">
        <v>69</v>
      </c>
      <c r="H5" s="161">
        <v>1000</v>
      </c>
      <c r="I5" s="163">
        <v>0.52500000000000002</v>
      </c>
      <c r="J5" s="163">
        <v>1.29</v>
      </c>
      <c r="K5" s="161" t="s">
        <v>672</v>
      </c>
      <c r="L5" s="163">
        <v>677.25</v>
      </c>
      <c r="M5" s="164">
        <v>645</v>
      </c>
      <c r="N5" s="165">
        <v>8.9599999999999999E-2</v>
      </c>
      <c r="O5" s="166">
        <v>5.38</v>
      </c>
      <c r="P5" s="161">
        <v>262.8</v>
      </c>
      <c r="Q5" s="161">
        <v>2</v>
      </c>
      <c r="R5" s="161">
        <v>1100</v>
      </c>
      <c r="S5" s="163">
        <v>1.05</v>
      </c>
      <c r="T5" s="161">
        <v>50</v>
      </c>
      <c r="U5" s="165">
        <v>4.5499999999999999E-2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2</v>
      </c>
      <c r="AB5" s="161" t="s">
        <v>673</v>
      </c>
    </row>
    <row r="6" spans="1:28" s="167" customFormat="1" ht="25.05" customHeight="1" x14ac:dyDescent="0.3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262576</v>
      </c>
      <c r="G6" s="161">
        <v>69</v>
      </c>
      <c r="H6" s="161">
        <v>500</v>
      </c>
      <c r="I6" s="163">
        <v>0.45</v>
      </c>
      <c r="J6" s="163">
        <v>1.59</v>
      </c>
      <c r="K6" s="161" t="s">
        <v>671</v>
      </c>
      <c r="L6" s="163">
        <v>357.75</v>
      </c>
      <c r="M6" s="164">
        <v>397.5</v>
      </c>
      <c r="N6" s="165">
        <v>5.5199999999999999E-2</v>
      </c>
      <c r="O6" s="166">
        <v>3.31</v>
      </c>
      <c r="P6" s="161">
        <v>138.80000000000001</v>
      </c>
      <c r="Q6" s="161">
        <v>2</v>
      </c>
      <c r="R6" s="161">
        <v>1150</v>
      </c>
      <c r="S6" s="163">
        <v>0.9</v>
      </c>
      <c r="T6" s="161">
        <v>250</v>
      </c>
      <c r="U6" s="165">
        <v>0.21740000000000001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666</v>
      </c>
    </row>
    <row r="7" spans="1:28" s="167" customFormat="1" ht="25.05" customHeight="1" x14ac:dyDescent="0.3">
      <c r="A7" s="161">
        <v>5</v>
      </c>
      <c r="B7" s="162" t="s">
        <v>480</v>
      </c>
      <c r="C7" s="161" t="s">
        <v>670</v>
      </c>
      <c r="D7" s="191">
        <v>46279</v>
      </c>
      <c r="E7" s="161"/>
      <c r="F7" s="161">
        <v>262578</v>
      </c>
      <c r="G7" s="161">
        <v>69</v>
      </c>
      <c r="H7" s="161">
        <v>600</v>
      </c>
      <c r="I7" s="163">
        <v>0.54600000000000004</v>
      </c>
      <c r="J7" s="163">
        <v>1.41</v>
      </c>
      <c r="K7" s="161" t="s">
        <v>674</v>
      </c>
      <c r="L7" s="163">
        <v>461.916</v>
      </c>
      <c r="M7" s="164">
        <v>423</v>
      </c>
      <c r="N7" s="165">
        <v>5.8700000000000002E-2</v>
      </c>
      <c r="O7" s="166">
        <v>3.52</v>
      </c>
      <c r="P7" s="161">
        <v>179.2</v>
      </c>
      <c r="Q7" s="161">
        <v>2</v>
      </c>
      <c r="R7" s="161">
        <v>1150</v>
      </c>
      <c r="S7" s="163">
        <v>1.0920000000000001</v>
      </c>
      <c r="T7" s="161">
        <v>58</v>
      </c>
      <c r="U7" s="165">
        <v>5.04E-2</v>
      </c>
      <c r="V7" s="161" t="s">
        <v>40</v>
      </c>
      <c r="W7" s="161" t="s">
        <v>29</v>
      </c>
      <c r="X7" s="161" t="s">
        <v>29</v>
      </c>
      <c r="Y7" s="161"/>
      <c r="Z7" s="161"/>
      <c r="AA7" s="161">
        <v>1</v>
      </c>
      <c r="AB7" s="161" t="s">
        <v>675</v>
      </c>
    </row>
    <row r="8" spans="1:28" s="167" customFormat="1" ht="25.05" customHeight="1" x14ac:dyDescent="0.3">
      <c r="A8" s="161">
        <v>6</v>
      </c>
      <c r="B8" s="162" t="s">
        <v>480</v>
      </c>
      <c r="C8" s="161" t="s">
        <v>36</v>
      </c>
      <c r="D8" s="191">
        <v>46282</v>
      </c>
      <c r="E8" s="161"/>
      <c r="F8" s="161">
        <v>262634</v>
      </c>
      <c r="G8" s="161">
        <v>74</v>
      </c>
      <c r="H8" s="161">
        <v>5000</v>
      </c>
      <c r="I8" s="163">
        <v>0.76</v>
      </c>
      <c r="J8" s="163">
        <v>0.9</v>
      </c>
      <c r="K8" s="161" t="s">
        <v>34</v>
      </c>
      <c r="L8" s="163">
        <v>3420</v>
      </c>
      <c r="M8" s="164">
        <v>2250</v>
      </c>
      <c r="N8" s="165">
        <v>0.3125</v>
      </c>
      <c r="O8" s="166">
        <v>18.75</v>
      </c>
      <c r="P8" s="161">
        <v>1077.3</v>
      </c>
      <c r="Q8" s="161">
        <v>2</v>
      </c>
      <c r="R8" s="161">
        <v>1550</v>
      </c>
      <c r="S8" s="163">
        <v>1.52</v>
      </c>
      <c r="T8" s="161">
        <v>30</v>
      </c>
      <c r="U8" s="165">
        <v>1.9400000000000001E-2</v>
      </c>
      <c r="V8" s="161" t="s">
        <v>28</v>
      </c>
      <c r="W8" s="161" t="s">
        <v>28</v>
      </c>
      <c r="X8" s="161" t="s">
        <v>28</v>
      </c>
      <c r="Y8" s="161"/>
      <c r="Z8" s="161"/>
      <c r="AA8" s="161">
        <v>7</v>
      </c>
      <c r="AB8" s="161" t="s">
        <v>769</v>
      </c>
    </row>
    <row r="9" spans="1:28" s="167" customFormat="1" ht="25.05" customHeight="1" x14ac:dyDescent="0.3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262603</v>
      </c>
      <c r="G9" s="161">
        <v>70</v>
      </c>
      <c r="H9" s="161">
        <v>600</v>
      </c>
      <c r="I9" s="163">
        <v>0.69</v>
      </c>
      <c r="J9" s="163">
        <v>1</v>
      </c>
      <c r="K9" s="161" t="s">
        <v>34</v>
      </c>
      <c r="L9" s="163">
        <v>414</v>
      </c>
      <c r="M9" s="164">
        <v>300</v>
      </c>
      <c r="N9" s="165">
        <v>4.1700000000000001E-2</v>
      </c>
      <c r="O9" s="166">
        <v>2.5</v>
      </c>
      <c r="P9" s="161">
        <v>130.4</v>
      </c>
      <c r="Q9" s="161">
        <v>2</v>
      </c>
      <c r="R9" s="161">
        <v>1400</v>
      </c>
      <c r="S9" s="163">
        <v>1.38</v>
      </c>
      <c r="T9" s="161">
        <v>20</v>
      </c>
      <c r="U9" s="165">
        <v>1.43E-2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712</v>
      </c>
    </row>
    <row r="10" spans="1:28" s="167" customFormat="1" ht="25.05" customHeight="1" x14ac:dyDescent="0.3">
      <c r="A10" s="161">
        <v>8</v>
      </c>
      <c r="B10" s="162" t="s">
        <v>480</v>
      </c>
      <c r="C10" s="161" t="s">
        <v>36</v>
      </c>
      <c r="D10" s="191">
        <v>46281</v>
      </c>
      <c r="E10" s="161"/>
      <c r="F10" s="161">
        <v>262616</v>
      </c>
      <c r="G10" s="161">
        <v>72</v>
      </c>
      <c r="H10" s="161">
        <v>1000</v>
      </c>
      <c r="I10" s="163">
        <v>0.35</v>
      </c>
      <c r="J10" s="163">
        <v>0.88</v>
      </c>
      <c r="K10" s="161" t="s">
        <v>34</v>
      </c>
      <c r="L10" s="163">
        <v>308</v>
      </c>
      <c r="M10" s="164">
        <v>293.3</v>
      </c>
      <c r="N10" s="165">
        <v>2.7199999999999998E-2</v>
      </c>
      <c r="O10" s="166">
        <v>1.63</v>
      </c>
      <c r="P10" s="161">
        <v>97</v>
      </c>
      <c r="Q10" s="161">
        <v>3</v>
      </c>
      <c r="R10" s="161">
        <v>1100</v>
      </c>
      <c r="S10" s="163">
        <v>1.05</v>
      </c>
      <c r="T10" s="161">
        <v>50</v>
      </c>
      <c r="U10" s="165">
        <v>4.5499999999999999E-2</v>
      </c>
      <c r="V10" s="161" t="s">
        <v>28</v>
      </c>
      <c r="W10" s="161" t="s">
        <v>28</v>
      </c>
      <c r="X10" s="161" t="s">
        <v>28</v>
      </c>
      <c r="Y10" s="161"/>
      <c r="Z10" s="161"/>
      <c r="AA10" s="161">
        <v>1</v>
      </c>
      <c r="AB10" s="161" t="s">
        <v>734</v>
      </c>
    </row>
    <row r="11" spans="1:28" s="167" customFormat="1" ht="25.05" customHeight="1" x14ac:dyDescent="0.3">
      <c r="A11" s="161">
        <v>9</v>
      </c>
      <c r="B11" s="162" t="s">
        <v>480</v>
      </c>
      <c r="C11" s="161" t="s">
        <v>36</v>
      </c>
      <c r="D11" s="191">
        <v>46280</v>
      </c>
      <c r="E11" s="161"/>
      <c r="F11" s="161">
        <v>262602</v>
      </c>
      <c r="G11" s="161">
        <v>70</v>
      </c>
      <c r="H11" s="161">
        <v>1250</v>
      </c>
      <c r="I11" s="163">
        <v>0.54</v>
      </c>
      <c r="J11" s="163">
        <v>1</v>
      </c>
      <c r="K11" s="161" t="s">
        <v>34</v>
      </c>
      <c r="L11" s="163">
        <v>675</v>
      </c>
      <c r="M11" s="164">
        <v>625</v>
      </c>
      <c r="N11" s="165">
        <v>8.6800000000000002E-2</v>
      </c>
      <c r="O11" s="166">
        <v>5.21</v>
      </c>
      <c r="P11" s="161">
        <v>212.6</v>
      </c>
      <c r="Q11" s="161">
        <v>2</v>
      </c>
      <c r="R11" s="161">
        <v>1100</v>
      </c>
      <c r="S11" s="163">
        <v>1.08</v>
      </c>
      <c r="T11" s="161">
        <v>20</v>
      </c>
      <c r="U11" s="165">
        <v>1.8200000000000001E-2</v>
      </c>
      <c r="V11" s="161" t="s">
        <v>28</v>
      </c>
      <c r="W11" s="161" t="s">
        <v>28</v>
      </c>
      <c r="X11" s="161" t="s">
        <v>28</v>
      </c>
      <c r="Y11" s="161"/>
      <c r="Z11" s="161"/>
      <c r="AA11" s="161">
        <v>1</v>
      </c>
      <c r="AB11" s="161" t="s">
        <v>711</v>
      </c>
    </row>
    <row r="12" spans="1:28" s="167" customFormat="1" ht="25.05" customHeight="1" x14ac:dyDescent="0.3">
      <c r="A12" s="161">
        <v>10</v>
      </c>
      <c r="B12" s="162" t="s">
        <v>480</v>
      </c>
      <c r="C12" s="161" t="s">
        <v>36</v>
      </c>
      <c r="D12" s="191">
        <v>46281</v>
      </c>
      <c r="E12" s="161"/>
      <c r="F12" s="161">
        <v>262615</v>
      </c>
      <c r="G12" s="161">
        <v>71</v>
      </c>
      <c r="H12" s="161">
        <v>3000</v>
      </c>
      <c r="I12" s="163">
        <v>0.51400000000000001</v>
      </c>
      <c r="J12" s="163">
        <v>1.3420000000000001</v>
      </c>
      <c r="K12" s="161" t="s">
        <v>732</v>
      </c>
      <c r="L12" s="163">
        <v>1379.576</v>
      </c>
      <c r="M12" s="164">
        <v>1342</v>
      </c>
      <c r="N12" s="165">
        <v>0.18640000000000001</v>
      </c>
      <c r="O12" s="166">
        <v>11.18</v>
      </c>
      <c r="P12" s="161">
        <v>434.6</v>
      </c>
      <c r="Q12" s="161">
        <v>2</v>
      </c>
      <c r="R12" s="161">
        <v>1050</v>
      </c>
      <c r="S12" s="163">
        <v>1.028</v>
      </c>
      <c r="T12" s="161">
        <v>22</v>
      </c>
      <c r="U12" s="165">
        <v>2.1000000000000001E-2</v>
      </c>
      <c r="V12" s="161" t="s">
        <v>28</v>
      </c>
      <c r="W12" s="161" t="s">
        <v>28</v>
      </c>
      <c r="X12" s="161" t="s">
        <v>28</v>
      </c>
      <c r="Y12" s="161"/>
      <c r="Z12" s="161"/>
      <c r="AA12" s="161">
        <v>3</v>
      </c>
      <c r="AB12" s="161" t="s">
        <v>733</v>
      </c>
    </row>
    <row r="13" spans="1:28" s="167" customFormat="1" ht="25.05" customHeight="1" x14ac:dyDescent="0.3">
      <c r="A13" s="161">
        <v>11</v>
      </c>
      <c r="B13" s="162" t="s">
        <v>480</v>
      </c>
      <c r="C13" s="161" t="s">
        <v>36</v>
      </c>
      <c r="D13" s="191">
        <v>46281</v>
      </c>
      <c r="E13" s="161"/>
      <c r="F13" s="161">
        <v>262617</v>
      </c>
      <c r="G13" s="161">
        <v>72</v>
      </c>
      <c r="H13" s="161">
        <v>3200</v>
      </c>
      <c r="I13" s="163">
        <v>0.32500000000000001</v>
      </c>
      <c r="J13" s="163">
        <v>0.8</v>
      </c>
      <c r="K13" s="161" t="s">
        <v>34</v>
      </c>
      <c r="L13" s="163">
        <v>832</v>
      </c>
      <c r="M13" s="164">
        <v>853.3</v>
      </c>
      <c r="N13" s="165">
        <v>7.9000000000000001E-2</v>
      </c>
      <c r="O13" s="166">
        <v>4.74</v>
      </c>
      <c r="P13" s="161">
        <v>262.10000000000002</v>
      </c>
      <c r="Q13" s="161">
        <v>3</v>
      </c>
      <c r="R13" s="161">
        <v>1000</v>
      </c>
      <c r="S13" s="163">
        <v>0.97499999999999998</v>
      </c>
      <c r="T13" s="161">
        <v>25</v>
      </c>
      <c r="U13" s="165">
        <v>2.5000000000000001E-2</v>
      </c>
      <c r="V13" s="161" t="s">
        <v>28</v>
      </c>
      <c r="W13" s="161" t="s">
        <v>28</v>
      </c>
      <c r="X13" s="161" t="s">
        <v>28</v>
      </c>
      <c r="Y13" s="161"/>
      <c r="Z13" s="161"/>
      <c r="AA13" s="161">
        <v>2</v>
      </c>
      <c r="AB13" s="161" t="s">
        <v>735</v>
      </c>
    </row>
    <row r="14" spans="1:28" s="167" customFormat="1" ht="25.05" customHeight="1" x14ac:dyDescent="0.3">
      <c r="A14" s="161">
        <v>12</v>
      </c>
      <c r="B14" s="162" t="s">
        <v>480</v>
      </c>
      <c r="C14" s="161" t="s">
        <v>36</v>
      </c>
      <c r="D14" s="191">
        <v>46281</v>
      </c>
      <c r="E14" s="161"/>
      <c r="F14" s="161">
        <v>262618</v>
      </c>
      <c r="G14" s="161">
        <v>73</v>
      </c>
      <c r="H14" s="161">
        <v>2000</v>
      </c>
      <c r="I14" s="163">
        <v>0.27900000000000003</v>
      </c>
      <c r="J14" s="163">
        <v>1.002</v>
      </c>
      <c r="K14" s="161" t="s">
        <v>736</v>
      </c>
      <c r="L14" s="163">
        <v>559.11599999999999</v>
      </c>
      <c r="M14" s="164">
        <v>1002</v>
      </c>
      <c r="N14" s="165">
        <v>0.13919999999999999</v>
      </c>
      <c r="O14" s="166">
        <v>8.35</v>
      </c>
      <c r="P14" s="161">
        <v>176.1</v>
      </c>
      <c r="Q14" s="161">
        <v>2</v>
      </c>
      <c r="R14" s="161">
        <v>600</v>
      </c>
      <c r="S14" s="163">
        <v>0.55800000000000005</v>
      </c>
      <c r="T14" s="161">
        <v>42</v>
      </c>
      <c r="U14" s="165">
        <v>7.0000000000000007E-2</v>
      </c>
      <c r="V14" s="161" t="s">
        <v>28</v>
      </c>
      <c r="W14" s="161" t="s">
        <v>28</v>
      </c>
      <c r="X14" s="161" t="s">
        <v>28</v>
      </c>
      <c r="Y14" s="161"/>
      <c r="Z14" s="161"/>
      <c r="AA14" s="161">
        <v>1</v>
      </c>
      <c r="AB14" s="161" t="s">
        <v>737</v>
      </c>
    </row>
    <row r="15" spans="1:28" s="167" customFormat="1" ht="25.05" customHeight="1" x14ac:dyDescent="0.3">
      <c r="A15" s="161">
        <v>13</v>
      </c>
      <c r="B15" s="162" t="s">
        <v>480</v>
      </c>
      <c r="C15" s="161" t="s">
        <v>36</v>
      </c>
      <c r="D15" s="191">
        <v>46281</v>
      </c>
      <c r="E15" s="161"/>
      <c r="F15" s="161">
        <v>262619</v>
      </c>
      <c r="G15" s="161">
        <v>73</v>
      </c>
      <c r="H15" s="161">
        <v>6000</v>
      </c>
      <c r="I15" s="163">
        <v>0.36499999999999999</v>
      </c>
      <c r="J15" s="163">
        <v>1.04</v>
      </c>
      <c r="K15" s="161" t="s">
        <v>738</v>
      </c>
      <c r="L15" s="163">
        <v>2277.6</v>
      </c>
      <c r="M15" s="164">
        <v>3120</v>
      </c>
      <c r="N15" s="165">
        <v>0.43330000000000002</v>
      </c>
      <c r="O15" s="166">
        <v>26</v>
      </c>
      <c r="P15" s="161">
        <v>717.4</v>
      </c>
      <c r="Q15" s="161">
        <v>2</v>
      </c>
      <c r="R15" s="161">
        <v>750</v>
      </c>
      <c r="S15" s="163">
        <v>0.73</v>
      </c>
      <c r="T15" s="161">
        <v>20</v>
      </c>
      <c r="U15" s="165">
        <v>2.6700000000000002E-2</v>
      </c>
      <c r="V15" s="161" t="s">
        <v>28</v>
      </c>
      <c r="W15" s="161" t="s">
        <v>28</v>
      </c>
      <c r="X15" s="161" t="s">
        <v>28</v>
      </c>
      <c r="Y15" s="161"/>
      <c r="Z15" s="161"/>
      <c r="AA15" s="161">
        <v>3</v>
      </c>
      <c r="AB15" s="161" t="s">
        <v>739</v>
      </c>
    </row>
    <row r="16" spans="1:28" s="156" customFormat="1" ht="25.05" customHeight="1" x14ac:dyDescent="0.3">
      <c r="A16" s="161">
        <v>14</v>
      </c>
      <c r="B16" s="151" t="s">
        <v>621</v>
      </c>
      <c r="C16" s="150" t="s">
        <v>36</v>
      </c>
      <c r="D16" s="177">
        <v>46275</v>
      </c>
      <c r="E16" s="150"/>
      <c r="F16" s="150">
        <v>252541</v>
      </c>
      <c r="G16" s="150">
        <v>67</v>
      </c>
      <c r="H16" s="150">
        <v>3000</v>
      </c>
      <c r="I16" s="152">
        <v>0.27900000000000003</v>
      </c>
      <c r="J16" s="152">
        <v>1.004</v>
      </c>
      <c r="K16" s="150" t="s">
        <v>736</v>
      </c>
      <c r="L16" s="152">
        <v>840.34799999999996</v>
      </c>
      <c r="M16" s="153">
        <v>1004</v>
      </c>
      <c r="N16" s="154">
        <v>9.2999999999999999E-2</v>
      </c>
      <c r="O16" s="155">
        <v>5.58</v>
      </c>
      <c r="P16" s="150">
        <v>289.89999999999998</v>
      </c>
      <c r="Q16" s="150">
        <v>3</v>
      </c>
      <c r="R16" s="150">
        <v>900</v>
      </c>
      <c r="S16" s="152">
        <v>0.83699999999999997</v>
      </c>
      <c r="T16" s="150">
        <v>63</v>
      </c>
      <c r="U16" s="154">
        <v>7.0000000000000007E-2</v>
      </c>
      <c r="V16" s="150" t="s">
        <v>28</v>
      </c>
      <c r="W16" s="150" t="s">
        <v>28</v>
      </c>
      <c r="X16" s="150" t="s">
        <v>28</v>
      </c>
      <c r="Y16" s="150"/>
      <c r="Z16" s="150"/>
      <c r="AA16" s="150">
        <v>1</v>
      </c>
      <c r="AB16" s="150" t="s">
        <v>622</v>
      </c>
    </row>
    <row r="17" spans="1:28" s="167" customFormat="1" ht="25.05" customHeight="1" x14ac:dyDescent="0.3">
      <c r="A17" s="168" t="s">
        <v>27</v>
      </c>
      <c r="B17" s="168" t="s">
        <v>27</v>
      </c>
      <c r="C17" s="168" t="s">
        <v>27</v>
      </c>
      <c r="D17" s="168" t="s">
        <v>27</v>
      </c>
      <c r="E17" s="168" t="s">
        <v>27</v>
      </c>
      <c r="F17" s="168" t="s">
        <v>27</v>
      </c>
      <c r="G17" s="168" t="s">
        <v>27</v>
      </c>
      <c r="H17" s="168">
        <f>SUM(H3:H16)</f>
        <v>28050</v>
      </c>
      <c r="I17" s="168" t="s">
        <v>27</v>
      </c>
      <c r="J17" s="168" t="s">
        <v>27</v>
      </c>
      <c r="K17" s="168" t="s">
        <v>27</v>
      </c>
      <c r="L17" s="168" t="s">
        <v>27</v>
      </c>
      <c r="M17" s="168" t="s">
        <v>27</v>
      </c>
      <c r="N17" s="168" t="s">
        <v>27</v>
      </c>
      <c r="O17" s="168" t="s">
        <v>27</v>
      </c>
      <c r="P17" s="168">
        <f>SUM(P3:P16)</f>
        <v>4675.6999999999989</v>
      </c>
      <c r="Q17" s="168" t="s">
        <v>27</v>
      </c>
      <c r="R17" s="168" t="s">
        <v>27</v>
      </c>
      <c r="S17" s="168" t="s">
        <v>27</v>
      </c>
      <c r="T17" s="168" t="s">
        <v>27</v>
      </c>
      <c r="U17" s="168" t="s">
        <v>27</v>
      </c>
      <c r="V17" s="168" t="s">
        <v>27</v>
      </c>
      <c r="W17" s="168" t="s">
        <v>27</v>
      </c>
      <c r="X17" s="168" t="s">
        <v>27</v>
      </c>
      <c r="Y17" s="168" t="s">
        <v>27</v>
      </c>
      <c r="Z17" s="168" t="s">
        <v>27</v>
      </c>
      <c r="AA17" s="168" t="s">
        <v>27</v>
      </c>
      <c r="AB17" s="168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S19" sqref="S19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218" t="s">
        <v>665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opLeftCell="A14" workbookViewId="0">
      <selection activeCell="H29" sqref="H29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 x14ac:dyDescent="0.35">
      <c r="A1" s="221" t="s">
        <v>652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21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 x14ac:dyDescent="0.3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 x14ac:dyDescent="0.3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 x14ac:dyDescent="0.3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 x14ac:dyDescent="0.3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 x14ac:dyDescent="0.3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 x14ac:dyDescent="0.3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 x14ac:dyDescent="0.3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 x14ac:dyDescent="0.3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 x14ac:dyDescent="0.3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 x14ac:dyDescent="0.3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 x14ac:dyDescent="0.3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 x14ac:dyDescent="0.3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 x14ac:dyDescent="0.3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 x14ac:dyDescent="0.3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 x14ac:dyDescent="0.3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 x14ac:dyDescent="0.3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 x14ac:dyDescent="0.3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 x14ac:dyDescent="0.3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 x14ac:dyDescent="0.3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1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 x14ac:dyDescent="0.3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 x14ac:dyDescent="0.3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 x14ac:dyDescent="0.3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 x14ac:dyDescent="0.3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 x14ac:dyDescent="0.3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 x14ac:dyDescent="0.3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 x14ac:dyDescent="0.3">
      <c r="B29" s="20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221" t="s">
        <v>618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221" t="s">
        <v>606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A5" sqref="A5:XFD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221" t="s">
        <v>599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>
        <v>3</v>
      </c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736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219" t="s">
        <v>592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4" workbookViewId="0">
      <selection activeCell="AE9" sqref="AE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">
      <c r="A1" s="222" t="s">
        <v>554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92" customFormat="1" ht="25.05" customHeight="1" x14ac:dyDescent="0.3">
      <c r="A3" s="193">
        <v>1</v>
      </c>
      <c r="B3" s="194" t="s">
        <v>135</v>
      </c>
      <c r="C3" s="193" t="s">
        <v>26</v>
      </c>
      <c r="D3" s="193" t="s">
        <v>543</v>
      </c>
      <c r="E3" s="193" t="s">
        <v>27</v>
      </c>
      <c r="F3" s="193">
        <v>262497</v>
      </c>
      <c r="G3" s="193" t="s">
        <v>542</v>
      </c>
      <c r="H3" s="193">
        <v>225</v>
      </c>
      <c r="I3" s="195">
        <v>1.548</v>
      </c>
      <c r="J3" s="195">
        <v>1.62</v>
      </c>
      <c r="K3" s="193" t="s">
        <v>34</v>
      </c>
      <c r="L3" s="195">
        <v>564.24599999999998</v>
      </c>
      <c r="M3" s="196">
        <v>364.5</v>
      </c>
      <c r="N3" s="197">
        <v>0.1013</v>
      </c>
      <c r="O3" s="198">
        <v>6.08</v>
      </c>
      <c r="P3" s="193">
        <v>334.6</v>
      </c>
      <c r="Q3" s="193">
        <v>1</v>
      </c>
      <c r="R3" s="193">
        <v>1600</v>
      </c>
      <c r="S3" s="195">
        <v>1.548</v>
      </c>
      <c r="T3" s="193">
        <v>52</v>
      </c>
      <c r="U3" s="197">
        <v>3.2500000000000001E-2</v>
      </c>
      <c r="V3" s="193" t="s">
        <v>28</v>
      </c>
      <c r="W3" s="193" t="s">
        <v>29</v>
      </c>
      <c r="X3" s="193" t="s">
        <v>28</v>
      </c>
      <c r="Y3" s="193" t="s">
        <v>28</v>
      </c>
      <c r="Z3" s="193" t="s">
        <v>28</v>
      </c>
      <c r="AA3" s="193" t="s">
        <v>33</v>
      </c>
      <c r="AB3" s="193" t="s">
        <v>553</v>
      </c>
    </row>
    <row r="4" spans="1:28" s="167" customFormat="1" ht="25.05" customHeight="1" x14ac:dyDescent="0.3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192" customFormat="1" ht="25.05" customHeight="1" x14ac:dyDescent="0.3">
      <c r="A5" s="193">
        <v>3</v>
      </c>
      <c r="B5" s="194" t="s">
        <v>135</v>
      </c>
      <c r="C5" s="193" t="s">
        <v>26</v>
      </c>
      <c r="D5" s="193" t="s">
        <v>543</v>
      </c>
      <c r="E5" s="193" t="s">
        <v>27</v>
      </c>
      <c r="F5" s="193">
        <v>262495</v>
      </c>
      <c r="G5" s="193" t="s">
        <v>542</v>
      </c>
      <c r="H5" s="193">
        <v>395</v>
      </c>
      <c r="I5" s="195">
        <v>0.69</v>
      </c>
      <c r="J5" s="195">
        <v>2.0699999999999998</v>
      </c>
      <c r="K5" s="193" t="s">
        <v>34</v>
      </c>
      <c r="L5" s="195">
        <v>564.178</v>
      </c>
      <c r="M5" s="196">
        <v>408.8</v>
      </c>
      <c r="N5" s="197">
        <v>5.6800000000000003E-2</v>
      </c>
      <c r="O5" s="198">
        <v>3.41</v>
      </c>
      <c r="P5" s="193">
        <v>334.6</v>
      </c>
      <c r="Q5" s="193">
        <v>2</v>
      </c>
      <c r="R5" s="193">
        <v>1400</v>
      </c>
      <c r="S5" s="195">
        <v>1.38</v>
      </c>
      <c r="T5" s="193">
        <v>20</v>
      </c>
      <c r="U5" s="197">
        <v>1.43E-2</v>
      </c>
      <c r="V5" s="193" t="s">
        <v>28</v>
      </c>
      <c r="W5" s="193" t="s">
        <v>29</v>
      </c>
      <c r="X5" s="193" t="s">
        <v>28</v>
      </c>
      <c r="Y5" s="193" t="s">
        <v>28</v>
      </c>
      <c r="Z5" s="193" t="s">
        <v>28</v>
      </c>
      <c r="AA5" s="193" t="s">
        <v>30</v>
      </c>
      <c r="AB5" s="193" t="s">
        <v>552</v>
      </c>
    </row>
    <row r="6" spans="1:28" s="192" customFormat="1" ht="25.05" customHeight="1" x14ac:dyDescent="0.3">
      <c r="A6" s="193">
        <v>4</v>
      </c>
      <c r="B6" s="194" t="s">
        <v>135</v>
      </c>
      <c r="C6" s="193" t="s">
        <v>26</v>
      </c>
      <c r="D6" s="193" t="s">
        <v>543</v>
      </c>
      <c r="E6" s="193" t="s">
        <v>27</v>
      </c>
      <c r="F6" s="193">
        <v>262496</v>
      </c>
      <c r="G6" s="193" t="s">
        <v>542</v>
      </c>
      <c r="H6" s="193">
        <v>610</v>
      </c>
      <c r="I6" s="195">
        <v>1.29</v>
      </c>
      <c r="J6" s="195">
        <v>1.59</v>
      </c>
      <c r="K6" s="193" t="s">
        <v>34</v>
      </c>
      <c r="L6" s="195">
        <v>1251.171</v>
      </c>
      <c r="M6" s="196">
        <v>969.9</v>
      </c>
      <c r="N6" s="197">
        <v>0.26939999999999997</v>
      </c>
      <c r="O6" s="198">
        <v>16.170000000000002</v>
      </c>
      <c r="P6" s="193">
        <v>741.9</v>
      </c>
      <c r="Q6" s="193">
        <v>1</v>
      </c>
      <c r="R6" s="193">
        <v>1350</v>
      </c>
      <c r="S6" s="195">
        <v>1.29</v>
      </c>
      <c r="T6" s="193">
        <v>60</v>
      </c>
      <c r="U6" s="197">
        <v>4.4400000000000002E-2</v>
      </c>
      <c r="V6" s="193" t="s">
        <v>28</v>
      </c>
      <c r="W6" s="193" t="s">
        <v>29</v>
      </c>
      <c r="X6" s="193" t="s">
        <v>28</v>
      </c>
      <c r="Y6" s="193" t="s">
        <v>28</v>
      </c>
      <c r="Z6" s="193" t="s">
        <v>28</v>
      </c>
      <c r="AA6" s="193" t="s">
        <v>32</v>
      </c>
      <c r="AB6" s="193" t="s">
        <v>551</v>
      </c>
    </row>
    <row r="7" spans="1:28" s="192" customFormat="1" ht="25.05" customHeight="1" x14ac:dyDescent="0.3">
      <c r="A7" s="193">
        <v>5</v>
      </c>
      <c r="B7" s="194" t="s">
        <v>135</v>
      </c>
      <c r="C7" s="193" t="s">
        <v>26</v>
      </c>
      <c r="D7" s="193" t="s">
        <v>543</v>
      </c>
      <c r="E7" s="193" t="s">
        <v>27</v>
      </c>
      <c r="F7" s="193">
        <v>262494</v>
      </c>
      <c r="G7" s="193" t="s">
        <v>542</v>
      </c>
      <c r="H7" s="193">
        <v>700</v>
      </c>
      <c r="I7" s="195">
        <v>1.0740000000000001</v>
      </c>
      <c r="J7" s="195">
        <v>1.27</v>
      </c>
      <c r="K7" s="193" t="s">
        <v>34</v>
      </c>
      <c r="L7" s="195">
        <v>954.78599999999994</v>
      </c>
      <c r="M7" s="196">
        <v>889</v>
      </c>
      <c r="N7" s="197">
        <v>0.24690000000000001</v>
      </c>
      <c r="O7" s="198">
        <v>14.82</v>
      </c>
      <c r="P7" s="193">
        <v>566.20000000000005</v>
      </c>
      <c r="Q7" s="193">
        <v>1</v>
      </c>
      <c r="R7" s="193">
        <v>1100</v>
      </c>
      <c r="S7" s="195">
        <v>1.0740000000000001</v>
      </c>
      <c r="T7" s="193">
        <v>26</v>
      </c>
      <c r="U7" s="197">
        <v>2.3599999999999999E-2</v>
      </c>
      <c r="V7" s="193" t="s">
        <v>28</v>
      </c>
      <c r="W7" s="193" t="s">
        <v>29</v>
      </c>
      <c r="X7" s="193" t="s">
        <v>28</v>
      </c>
      <c r="Y7" s="193" t="s">
        <v>28</v>
      </c>
      <c r="Z7" s="193" t="s">
        <v>28</v>
      </c>
      <c r="AA7" s="193" t="s">
        <v>32</v>
      </c>
      <c r="AB7" s="193" t="s">
        <v>550</v>
      </c>
    </row>
    <row r="8" spans="1:28" s="167" customFormat="1" ht="25.05" customHeight="1" x14ac:dyDescent="0.3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 x14ac:dyDescent="0.3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 x14ac:dyDescent="0.3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 x14ac:dyDescent="0.3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 x14ac:dyDescent="0.3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 x14ac:dyDescent="0.3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 x14ac:dyDescent="0.3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 x14ac:dyDescent="0.3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219" t="s">
        <v>539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X17" sqref="X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220" t="s">
        <v>535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3" t="s">
        <v>523</v>
      </c>
      <c r="B1" s="223" t="s">
        <v>27</v>
      </c>
      <c r="C1" s="223" t="s">
        <v>27</v>
      </c>
      <c r="D1" s="223" t="s">
        <v>27</v>
      </c>
      <c r="E1" s="223" t="s">
        <v>27</v>
      </c>
      <c r="F1" s="223" t="s">
        <v>27</v>
      </c>
      <c r="G1" s="223" t="s">
        <v>27</v>
      </c>
      <c r="H1" s="223" t="s">
        <v>27</v>
      </c>
      <c r="I1" s="223" t="s">
        <v>27</v>
      </c>
      <c r="J1" s="223" t="s">
        <v>27</v>
      </c>
      <c r="K1" s="223" t="s">
        <v>27</v>
      </c>
      <c r="L1" s="223" t="s">
        <v>27</v>
      </c>
      <c r="M1" s="223" t="s">
        <v>27</v>
      </c>
      <c r="N1" s="223" t="s">
        <v>27</v>
      </c>
      <c r="O1" s="223" t="s">
        <v>27</v>
      </c>
      <c r="P1" s="223" t="s">
        <v>27</v>
      </c>
      <c r="Q1" s="223" t="s">
        <v>27</v>
      </c>
      <c r="R1" s="223" t="s">
        <v>27</v>
      </c>
      <c r="S1" s="223" t="s">
        <v>27</v>
      </c>
      <c r="T1" s="223" t="s">
        <v>27</v>
      </c>
      <c r="U1" s="223" t="s">
        <v>27</v>
      </c>
      <c r="V1" s="223" t="s">
        <v>27</v>
      </c>
      <c r="W1" s="223" t="s">
        <v>27</v>
      </c>
      <c r="X1" s="223" t="s">
        <v>27</v>
      </c>
      <c r="Y1" s="223" t="s">
        <v>27</v>
      </c>
      <c r="Z1" s="223" t="s">
        <v>27</v>
      </c>
      <c r="AA1" s="223" t="s">
        <v>27</v>
      </c>
      <c r="AB1" s="223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224" t="s">
        <v>512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221" t="s">
        <v>531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219" t="s">
        <v>496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14" customFormat="1" ht="25.05" customHeight="1" x14ac:dyDescent="0.3">
      <c r="A6" s="207">
        <v>4</v>
      </c>
      <c r="B6" s="208" t="s">
        <v>63</v>
      </c>
      <c r="C6" s="207" t="s">
        <v>26</v>
      </c>
      <c r="D6" s="209">
        <v>46274</v>
      </c>
      <c r="E6" s="207"/>
      <c r="F6" s="207">
        <v>262613</v>
      </c>
      <c r="G6" s="207">
        <v>8223</v>
      </c>
      <c r="H6" s="207">
        <v>700</v>
      </c>
      <c r="I6" s="210">
        <v>0.64200000000000002</v>
      </c>
      <c r="J6" s="210">
        <v>2.0790000000000002</v>
      </c>
      <c r="K6" s="207" t="s">
        <v>129</v>
      </c>
      <c r="L6" s="210">
        <v>934.303</v>
      </c>
      <c r="M6" s="211">
        <v>727.7</v>
      </c>
      <c r="N6" s="212">
        <v>0.1011</v>
      </c>
      <c r="O6" s="213">
        <v>6.06</v>
      </c>
      <c r="P6" s="207">
        <v>502.7</v>
      </c>
      <c r="Q6" s="207">
        <v>2</v>
      </c>
      <c r="R6" s="207">
        <v>1350</v>
      </c>
      <c r="S6" s="210">
        <v>1.284</v>
      </c>
      <c r="T6" s="207">
        <v>66</v>
      </c>
      <c r="U6" s="212">
        <v>4.8899999999999999E-2</v>
      </c>
      <c r="V6" s="207" t="s">
        <v>28</v>
      </c>
      <c r="W6" s="207" t="s">
        <v>29</v>
      </c>
      <c r="X6" s="207" t="s">
        <v>28</v>
      </c>
      <c r="Y6" s="207" t="s">
        <v>28</v>
      </c>
      <c r="Z6" s="207" t="s">
        <v>28</v>
      </c>
      <c r="AA6" s="207">
        <v>4</v>
      </c>
      <c r="AB6" s="207" t="s">
        <v>729</v>
      </c>
    </row>
    <row r="7" spans="1:28" s="214" customFormat="1" ht="25.05" customHeight="1" x14ac:dyDescent="0.3">
      <c r="A7" s="207">
        <v>5</v>
      </c>
      <c r="B7" s="208" t="s">
        <v>63</v>
      </c>
      <c r="C7" s="207" t="s">
        <v>26</v>
      </c>
      <c r="D7" s="209">
        <v>46279</v>
      </c>
      <c r="E7" s="207"/>
      <c r="F7" s="207">
        <v>262610</v>
      </c>
      <c r="G7" s="207">
        <v>8235</v>
      </c>
      <c r="H7" s="207">
        <v>1000</v>
      </c>
      <c r="I7" s="210">
        <v>0.64500000000000002</v>
      </c>
      <c r="J7" s="210">
        <v>1.526</v>
      </c>
      <c r="K7" s="207" t="s">
        <v>726</v>
      </c>
      <c r="L7" s="210">
        <v>984.27</v>
      </c>
      <c r="M7" s="211">
        <v>763</v>
      </c>
      <c r="N7" s="212">
        <v>0.106</v>
      </c>
      <c r="O7" s="213">
        <v>6.36</v>
      </c>
      <c r="P7" s="207">
        <v>529.5</v>
      </c>
      <c r="Q7" s="207">
        <v>2</v>
      </c>
      <c r="R7" s="207">
        <v>1350</v>
      </c>
      <c r="S7" s="210">
        <v>1.29</v>
      </c>
      <c r="T7" s="207">
        <v>60</v>
      </c>
      <c r="U7" s="212">
        <v>4.4400000000000002E-2</v>
      </c>
      <c r="V7" s="207" t="s">
        <v>28</v>
      </c>
      <c r="W7" s="207" t="s">
        <v>29</v>
      </c>
      <c r="X7" s="207" t="s">
        <v>28</v>
      </c>
      <c r="Y7" s="207" t="s">
        <v>28</v>
      </c>
      <c r="Z7" s="207" t="s">
        <v>28</v>
      </c>
      <c r="AA7" s="207">
        <v>6</v>
      </c>
      <c r="AB7" s="207" t="s">
        <v>727</v>
      </c>
    </row>
    <row r="8" spans="1:28" s="12" customFormat="1" ht="25.05" customHeight="1" x14ac:dyDescent="0.3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 x14ac:dyDescent="0.3">
      <c r="A9" s="207">
        <v>7</v>
      </c>
      <c r="B9" s="186" t="s">
        <v>63</v>
      </c>
      <c r="C9" s="185" t="s">
        <v>26</v>
      </c>
      <c r="D9" s="21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 x14ac:dyDescent="0.3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 x14ac:dyDescent="0.3">
      <c r="A11" s="207">
        <v>9</v>
      </c>
      <c r="B11" s="186" t="s">
        <v>63</v>
      </c>
      <c r="C11" s="185" t="s">
        <v>26</v>
      </c>
      <c r="D11" s="21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 x14ac:dyDescent="0.3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 x14ac:dyDescent="0.3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 x14ac:dyDescent="0.3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 x14ac:dyDescent="0.3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 x14ac:dyDescent="0.3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 x14ac:dyDescent="0.3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219" t="s">
        <v>486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9" t="s">
        <v>475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219" t="s">
        <v>454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219" t="s">
        <v>440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219" t="s">
        <v>403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 x14ac:dyDescent="0.3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225" t="s">
        <v>380</v>
      </c>
      <c r="B1" s="225" t="s">
        <v>27</v>
      </c>
      <c r="C1" s="225" t="s">
        <v>27</v>
      </c>
      <c r="D1" s="225" t="s">
        <v>27</v>
      </c>
      <c r="E1" s="225" t="s">
        <v>27</v>
      </c>
      <c r="F1" s="225" t="s">
        <v>27</v>
      </c>
      <c r="G1" s="225" t="s">
        <v>27</v>
      </c>
      <c r="H1" s="225" t="s">
        <v>27</v>
      </c>
      <c r="I1" s="225" t="s">
        <v>27</v>
      </c>
      <c r="J1" s="225" t="s">
        <v>27</v>
      </c>
      <c r="K1" s="225" t="s">
        <v>27</v>
      </c>
      <c r="L1" s="225" t="s">
        <v>27</v>
      </c>
      <c r="M1" s="225" t="s">
        <v>27</v>
      </c>
      <c r="N1" s="225" t="s">
        <v>27</v>
      </c>
      <c r="O1" s="225" t="s">
        <v>27</v>
      </c>
      <c r="P1" s="225" t="s">
        <v>27</v>
      </c>
      <c r="Q1" s="225" t="s">
        <v>27</v>
      </c>
      <c r="R1" s="225" t="s">
        <v>27</v>
      </c>
      <c r="S1" s="225" t="s">
        <v>27</v>
      </c>
      <c r="T1" s="225" t="s">
        <v>27</v>
      </c>
      <c r="U1" s="225" t="s">
        <v>27</v>
      </c>
      <c r="V1" s="225" t="s">
        <v>27</v>
      </c>
      <c r="W1" s="225" t="s">
        <v>27</v>
      </c>
      <c r="X1" s="225" t="s">
        <v>27</v>
      </c>
      <c r="Y1" s="225" t="s">
        <v>27</v>
      </c>
      <c r="Z1" s="225" t="s">
        <v>27</v>
      </c>
      <c r="AA1" s="225" t="s">
        <v>27</v>
      </c>
      <c r="AB1" s="225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224" t="s">
        <v>332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9" t="s">
        <v>329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324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4" t="s">
        <v>281</v>
      </c>
      <c r="B1" s="224" t="s">
        <v>27</v>
      </c>
      <c r="C1" s="224" t="s">
        <v>27</v>
      </c>
      <c r="D1" s="224" t="s">
        <v>27</v>
      </c>
      <c r="E1" s="224" t="s">
        <v>27</v>
      </c>
      <c r="F1" s="224" t="s">
        <v>27</v>
      </c>
      <c r="G1" s="224" t="s">
        <v>27</v>
      </c>
      <c r="H1" s="224" t="s">
        <v>27</v>
      </c>
      <c r="I1" s="224" t="s">
        <v>27</v>
      </c>
      <c r="J1" s="224" t="s">
        <v>27</v>
      </c>
      <c r="K1" s="224" t="s">
        <v>27</v>
      </c>
      <c r="L1" s="224" t="s">
        <v>27</v>
      </c>
      <c r="M1" s="224" t="s">
        <v>27</v>
      </c>
      <c r="N1" s="224" t="s">
        <v>27</v>
      </c>
      <c r="O1" s="224" t="s">
        <v>27</v>
      </c>
      <c r="P1" s="224" t="s">
        <v>27</v>
      </c>
      <c r="Q1" s="224" t="s">
        <v>27</v>
      </c>
      <c r="R1" s="224" t="s">
        <v>27</v>
      </c>
      <c r="S1" s="224" t="s">
        <v>27</v>
      </c>
      <c r="T1" s="224" t="s">
        <v>27</v>
      </c>
      <c r="U1" s="224" t="s">
        <v>27</v>
      </c>
      <c r="V1" s="224" t="s">
        <v>27</v>
      </c>
      <c r="W1" s="224" t="s">
        <v>27</v>
      </c>
      <c r="X1" s="224" t="s">
        <v>27</v>
      </c>
      <c r="Y1" s="224" t="s">
        <v>27</v>
      </c>
      <c r="Z1" s="224" t="s">
        <v>27</v>
      </c>
      <c r="AA1" s="224" t="s">
        <v>27</v>
      </c>
      <c r="AB1" s="224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topLeftCell="A4"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219" t="s">
        <v>258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219" t="s">
        <v>240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9" t="s">
        <v>202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219" t="s">
        <v>192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226" t="s">
        <v>155</v>
      </c>
      <c r="B1" s="226" t="s">
        <v>27</v>
      </c>
      <c r="C1" s="226" t="s">
        <v>27</v>
      </c>
      <c r="D1" s="226" t="s">
        <v>27</v>
      </c>
      <c r="E1" s="226" t="s">
        <v>27</v>
      </c>
      <c r="F1" s="226" t="s">
        <v>27</v>
      </c>
      <c r="G1" s="226" t="s">
        <v>27</v>
      </c>
      <c r="H1" s="226" t="s">
        <v>27</v>
      </c>
      <c r="I1" s="226" t="s">
        <v>27</v>
      </c>
      <c r="J1" s="226" t="s">
        <v>27</v>
      </c>
      <c r="K1" s="226" t="s">
        <v>27</v>
      </c>
      <c r="L1" s="226" t="s">
        <v>27</v>
      </c>
      <c r="M1" s="226" t="s">
        <v>27</v>
      </c>
      <c r="N1" s="226" t="s">
        <v>27</v>
      </c>
      <c r="O1" s="226" t="s">
        <v>27</v>
      </c>
      <c r="P1" s="226" t="s">
        <v>27</v>
      </c>
      <c r="Q1" s="226" t="s">
        <v>27</v>
      </c>
      <c r="R1" s="226" t="s">
        <v>27</v>
      </c>
      <c r="S1" s="226" t="s">
        <v>27</v>
      </c>
      <c r="T1" s="226" t="s">
        <v>27</v>
      </c>
      <c r="U1" s="226" t="s">
        <v>27</v>
      </c>
      <c r="V1" s="226" t="s">
        <v>27</v>
      </c>
      <c r="W1" s="226" t="s">
        <v>27</v>
      </c>
      <c r="X1" s="226" t="s">
        <v>27</v>
      </c>
      <c r="Y1" s="226" t="s">
        <v>27</v>
      </c>
      <c r="Z1" s="226" t="s">
        <v>27</v>
      </c>
      <c r="AA1" s="226" t="s">
        <v>27</v>
      </c>
      <c r="AB1" s="226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219" t="s">
        <v>79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219" t="s">
        <v>134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227" t="s">
        <v>109</v>
      </c>
      <c r="B1" s="227" t="s">
        <v>27</v>
      </c>
      <c r="C1" s="227" t="s">
        <v>27</v>
      </c>
      <c r="D1" s="227" t="s">
        <v>27</v>
      </c>
      <c r="E1" s="227" t="s">
        <v>27</v>
      </c>
      <c r="F1" s="227" t="s">
        <v>27</v>
      </c>
      <c r="G1" s="227" t="s">
        <v>27</v>
      </c>
      <c r="H1" s="227" t="s">
        <v>27</v>
      </c>
      <c r="I1" s="227" t="s">
        <v>27</v>
      </c>
      <c r="J1" s="227" t="s">
        <v>27</v>
      </c>
      <c r="K1" s="227" t="s">
        <v>27</v>
      </c>
      <c r="L1" s="227" t="s">
        <v>27</v>
      </c>
      <c r="M1" s="227" t="s">
        <v>27</v>
      </c>
      <c r="N1" s="227" t="s">
        <v>27</v>
      </c>
      <c r="O1" s="227" t="s">
        <v>27</v>
      </c>
      <c r="P1" s="227" t="s">
        <v>27</v>
      </c>
      <c r="Q1" s="227" t="s">
        <v>27</v>
      </c>
      <c r="R1" s="227" t="s">
        <v>27</v>
      </c>
      <c r="S1" s="227" t="s">
        <v>27</v>
      </c>
      <c r="T1" s="227" t="s">
        <v>27</v>
      </c>
      <c r="U1" s="227" t="s">
        <v>27</v>
      </c>
      <c r="V1" s="227" t="s">
        <v>27</v>
      </c>
      <c r="W1" s="227" t="s">
        <v>27</v>
      </c>
      <c r="X1" s="227" t="s">
        <v>27</v>
      </c>
      <c r="Y1" s="227" t="s">
        <v>27</v>
      </c>
      <c r="Z1" s="227" t="s">
        <v>27</v>
      </c>
      <c r="AA1" s="227" t="s">
        <v>27</v>
      </c>
      <c r="AB1" s="227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ABAPEL 1213</vt:lpstr>
      <vt:lpstr>IPE - PCBOX 1212</vt:lpstr>
      <vt:lpstr>Z4A EMBALAGENS LTDA 1210</vt:lpstr>
      <vt:lpstr>RM Embalagens 1209</vt:lpstr>
      <vt:lpstr>IPE - PC BOX 1203P</vt:lpstr>
      <vt:lpstr>ABAPEL 1201</vt:lpstr>
      <vt:lpstr>HARMONY EMBALAGENS 1200</vt:lpstr>
      <vt:lpstr>HARMONY EMBALAGENS 1199</vt:lpstr>
      <vt:lpstr>FAVINCO EMBALAGENS 1197 P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2026-09-17T19:18:36Z</cp:lastPrinted>
  <dcterms:created xsi:type="dcterms:W3CDTF">2026-07-02T17:42:15Z</dcterms:created>
  <dcterms:modified xsi:type="dcterms:W3CDTF">2026-09-18T12:29:47Z</dcterms:modified>
</cp:coreProperties>
</file>