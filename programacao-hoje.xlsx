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017282D-B05A-431E-9090-B49FB0540838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HARMONY EMBALAGENS 1260" sheetId="187" r:id="rId1"/>
    <sheet name="IPE EMBALAGENS LTDA 1259" sheetId="186" r:id="rId2"/>
    <sheet name="CARTOMIL EMBALAGENS LTDA 1258 P" sheetId="185" r:id="rId3"/>
    <sheet name="CARPEL 1257 P" sheetId="184" r:id="rId4"/>
    <sheet name="FAVINCO EMBALAGENS 1256 P" sheetId="183" r:id="rId5"/>
    <sheet name="RR STELLA 1253" sheetId="181" r:id="rId6"/>
    <sheet name="FAVINCO EMBALAGENS 1252" sheetId="180" r:id="rId7"/>
    <sheet name="DR EMBALAGENS 1250" sheetId="179" r:id="rId8"/>
    <sheet name="HARMONY EMBALAGENS 1249 P" sheetId="178" r:id="rId9"/>
    <sheet name="FAVINCO 1248 AMOSTRA" sheetId="177" r:id="rId10"/>
    <sheet name="ABAPEL 1246 P" sheetId="176" r:id="rId11"/>
    <sheet name="FAVINCO 1243 P" sheetId="175" r:id="rId12"/>
    <sheet name="Renovapel 1242 P" sheetId="174" r:id="rId13"/>
    <sheet name="Tole. DR EMB. VO CH S. M 1241 P" sheetId="173" r:id="rId14"/>
    <sheet name="FAVINCO 1239 P" sheetId="172" r:id="rId15"/>
    <sheet name="PCBOX EMBALAGENS 1233 P" sheetId="170" r:id="rId16"/>
    <sheet name="RM Embalagens 1232 P" sheetId="169" r:id="rId17"/>
    <sheet name="HARMONY EMBALAGENS 1231 P" sheetId="168" r:id="rId18"/>
    <sheet name="RM Embalagens P" sheetId="166" r:id="rId19"/>
    <sheet name="PCBOX EMBALAGENS LTDA 1222 P" sheetId="164" r:id="rId20"/>
    <sheet name="FORBOX 1220 P" sheetId="163" r:id="rId21"/>
    <sheet name="HARMONY EMBALAGENS 1217 P" sheetId="162" r:id="rId22"/>
    <sheet name="Z4A EMBALAGENS LTDA 1216" sheetId="161" r:id="rId23"/>
    <sheet name="ABAPEL 1213 P" sheetId="159" r:id="rId24"/>
    <sheet name="IPE - PCBOX 1212 P" sheetId="158" r:id="rId25"/>
    <sheet name="Z4A EMBALAGENS LTDA 1210 P" sheetId="157" r:id="rId26"/>
    <sheet name="RM Embalagens 1209 P" sheetId="156" r:id="rId27"/>
    <sheet name="ABAPEL 1201 P" sheetId="153" r:id="rId28"/>
    <sheet name="HARMONY EMBALAGENS 1200 P" sheetId="152" r:id="rId29"/>
    <sheet name="FAVINCO EMBALAGENS 1197 P" sheetId="150" r:id="rId30"/>
    <sheet name="ABAPEL 1196 P" sheetId="149" r:id="rId31"/>
    <sheet name="RM Embalagens 1184 P" sheetId="141" r:id="rId32"/>
    <sheet name="HARMONY EMBALAGENS 1180 P" sheetId="137" r:id="rId33"/>
    <sheet name="Carpel 1158 P" sheetId="119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80" l="1"/>
  <c r="H6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<sst xmlns="http://schemas.openxmlformats.org/spreadsheetml/2006/main" count="6331" uniqueCount="633">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</sst>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8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25" fillId="0" borderId="0" xfId="1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7" fillId="0" borderId="0" xfId="3" applyFont="1"/>
    <xf numFmtId="0" fontId="11" fillId="0" borderId="0" xfId="1" applyFont="1"/>
    <xf numFmtId="0" fontId="6" fillId="0" borderId="0" xfId="2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7"/>
  <sheetViews>
    <sheetView workbookViewId="0">
      <selection activeCell="E14" sqref="E14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7" t="s">
        <v>629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262888</v>
      </c>
      <c r="G4" s="45" t="s">
        <v>624</v>
      </c>
      <c r="H4" s="45">
        <v>1250</v>
      </c>
      <c r="I4" s="47">
        <v>0.49</v>
      </c>
      <c r="J4" s="47">
        <v>1.5489999999999999</v>
      </c>
      <c r="K4" s="45" t="s">
        <v>33</v>
      </c>
      <c r="L4" s="47">
        <v>948.76199999999994</v>
      </c>
      <c r="M4" s="48">
        <v>645.4</v>
      </c>
      <c r="N4" s="49">
        <v>5.9799999999999999E-2</v>
      </c>
      <c r="O4" s="50">
        <v>3.59</v>
      </c>
      <c r="P4" s="45">
        <v>510.4</v>
      </c>
      <c r="Q4" s="45">
        <v>3</v>
      </c>
      <c r="R4" s="45">
        <v>1500</v>
      </c>
      <c r="S4" s="47">
        <v>1.47</v>
      </c>
      <c r="T4" s="45">
        <v>30</v>
      </c>
      <c r="U4" s="49">
        <v>0.02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31</v>
      </c>
      <c r="AB4" s="45" t="s">
        <v>172</v>
      </c>
    </row>
    <row r="5" spans="1:28" s="51" customFormat="1" ht="25.05" customHeight="1" x14ac:dyDescent="0.3">
      <c r="A5" s="45"/>
      <c r="B5" s="46" t="s">
        <v>60</v>
      </c>
      <c r="C5" s="45" t="s">
        <v>26</v>
      </c>
      <c r="D5" s="45" t="s">
        <v>588</v>
      </c>
      <c r="E5" s="45" t="s">
        <v>27</v>
      </c>
      <c r="F5" s="45">
        <v>262889</v>
      </c>
      <c r="G5" s="45" t="s">
        <v>624</v>
      </c>
      <c r="H5" s="45">
        <v>2500</v>
      </c>
      <c r="I5" s="47">
        <v>0.434</v>
      </c>
      <c r="J5" s="47">
        <v>1.4990000000000001</v>
      </c>
      <c r="K5" s="45" t="s">
        <v>626</v>
      </c>
      <c r="L5" s="47">
        <v>1626.415</v>
      </c>
      <c r="M5" s="48">
        <v>1249.2</v>
      </c>
      <c r="N5" s="49">
        <v>0.1157</v>
      </c>
      <c r="O5" s="50">
        <v>6.94</v>
      </c>
      <c r="P5" s="45">
        <v>875</v>
      </c>
      <c r="Q5" s="45">
        <v>3</v>
      </c>
      <c r="R5" s="45">
        <v>1350</v>
      </c>
      <c r="S5" s="47">
        <v>1.302</v>
      </c>
      <c r="T5" s="45">
        <v>48</v>
      </c>
      <c r="U5" s="49">
        <v>3.56E-2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54</v>
      </c>
      <c r="AB5" s="45" t="s">
        <v>625</v>
      </c>
    </row>
    <row r="6" spans="1:28" s="51" customFormat="1" ht="25.05" customHeight="1" x14ac:dyDescent="0.3">
      <c r="A6" s="45"/>
      <c r="B6" s="46" t="s">
        <v>60</v>
      </c>
      <c r="C6" s="45" t="s">
        <v>42</v>
      </c>
      <c r="D6" s="45" t="s">
        <v>588</v>
      </c>
      <c r="E6" s="45" t="s">
        <v>27</v>
      </c>
      <c r="F6" s="45">
        <v>262886</v>
      </c>
      <c r="G6" s="45" t="s">
        <v>624</v>
      </c>
      <c r="H6" s="45">
        <v>600</v>
      </c>
      <c r="I6" s="47">
        <v>0.84499999999999997</v>
      </c>
      <c r="J6" s="47">
        <v>1.589</v>
      </c>
      <c r="K6" s="45" t="s">
        <v>623</v>
      </c>
      <c r="L6" s="47">
        <v>805.62300000000005</v>
      </c>
      <c r="M6" s="48">
        <v>953.4</v>
      </c>
      <c r="N6" s="49">
        <v>0.26479999999999998</v>
      </c>
      <c r="O6" s="50">
        <v>15.89</v>
      </c>
      <c r="P6" s="45">
        <v>277.89999999999998</v>
      </c>
      <c r="Q6" s="45">
        <v>1</v>
      </c>
      <c r="R6" s="45">
        <v>900</v>
      </c>
      <c r="S6" s="47">
        <v>0.84499999999999997</v>
      </c>
      <c r="T6" s="45">
        <v>55</v>
      </c>
      <c r="U6" s="49">
        <v>6.1100000000000002E-2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622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4900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1856.7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6"/>
  <sheetViews>
    <sheetView tabSelected="1" workbookViewId="0">
      <selection activeCell="G23" sqref="G23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67" t="s">
        <v>621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601</v>
      </c>
      <c r="E3" s="41" t="s">
        <v>27</v>
      </c>
      <c r="F3" s="41">
        <v>262884</v>
      </c>
      <c r="G3" s="41" t="s">
        <v>620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619</v>
      </c>
    </row>
    <row r="4" spans="1:28" s="1" customFormat="1" ht="25.05" customHeight="1" x14ac:dyDescent="0.3">
      <c r="A4" s="126">
        <v>1</v>
      </c>
      <c r="B4" s="128" t="s">
        <v>92</v>
      </c>
      <c r="C4" s="126" t="s">
        <v>35</v>
      </c>
      <c r="D4" s="126" t="s">
        <v>588</v>
      </c>
      <c r="E4" s="126" t="s">
        <v>27</v>
      </c>
      <c r="F4" s="126">
        <v>262870</v>
      </c>
      <c r="G4" s="126" t="s">
        <v>587</v>
      </c>
      <c r="H4" s="126">
        <v>200</v>
      </c>
      <c r="I4" s="127">
        <v>0.93600000000000005</v>
      </c>
      <c r="J4" s="127">
        <v>1.829</v>
      </c>
      <c r="K4" s="126" t="s">
        <v>33</v>
      </c>
      <c r="L4" s="123">
        <v>342.38900000000001</v>
      </c>
      <c r="M4" s="125">
        <v>365.8</v>
      </c>
      <c r="N4" s="122">
        <v>0.1016</v>
      </c>
      <c r="O4" s="124">
        <v>6.1</v>
      </c>
      <c r="P4" s="121">
        <v>107.9</v>
      </c>
      <c r="Q4" s="121">
        <v>1</v>
      </c>
      <c r="R4" s="121">
        <v>1000</v>
      </c>
      <c r="S4" s="123">
        <v>0.93600000000000005</v>
      </c>
      <c r="T4" s="121">
        <v>64</v>
      </c>
      <c r="U4" s="122">
        <v>6.4000000000000001E-2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586</v>
      </c>
    </row>
    <row r="5" spans="1:28" ht="25.05" customHeight="1" x14ac:dyDescent="0.3">
      <c r="A5" s="41">
        <v>2</v>
      </c>
      <c r="B5" s="43" t="s">
        <v>92</v>
      </c>
      <c r="C5" s="41" t="s">
        <v>42</v>
      </c>
      <c r="D5" s="41" t="s">
        <v>601</v>
      </c>
      <c r="E5" s="41" t="s">
        <v>27</v>
      </c>
      <c r="F5" s="41">
        <v>262885</v>
      </c>
      <c r="G5" s="41" t="s">
        <v>618</v>
      </c>
      <c r="H5" s="41">
        <v>200</v>
      </c>
      <c r="I5" s="42">
        <v>0.88300000000000001</v>
      </c>
      <c r="J5" s="42">
        <v>1.5349999999999999</v>
      </c>
      <c r="K5" s="41" t="s">
        <v>33</v>
      </c>
      <c r="L5" s="38">
        <v>271.08100000000002</v>
      </c>
      <c r="M5" s="40">
        <v>307</v>
      </c>
      <c r="N5" s="37">
        <v>8.5300000000000001E-2</v>
      </c>
      <c r="O5" s="39">
        <v>5.12</v>
      </c>
      <c r="P5" s="36">
        <v>93.5</v>
      </c>
      <c r="Q5" s="36">
        <v>1</v>
      </c>
      <c r="R5" s="36">
        <v>950</v>
      </c>
      <c r="S5" s="38">
        <v>0.88300000000000001</v>
      </c>
      <c r="T5" s="36">
        <v>67</v>
      </c>
      <c r="U5" s="37">
        <v>7.0499999999999993E-2</v>
      </c>
      <c r="V5" s="36" t="s">
        <v>29</v>
      </c>
      <c r="W5" s="36" t="s">
        <v>29</v>
      </c>
      <c r="X5" s="36" t="s">
        <v>28</v>
      </c>
      <c r="Y5" s="36" t="s">
        <v>27</v>
      </c>
      <c r="Z5" s="36" t="s">
        <v>27</v>
      </c>
      <c r="AA5" s="36" t="s">
        <v>38</v>
      </c>
      <c r="AB5" s="36" t="s">
        <v>617</v>
      </c>
    </row>
    <row r="6" spans="1:28" ht="25.05" customHeight="1" x14ac:dyDescent="0.3">
      <c r="A6" s="35" t="s">
        <v>27</v>
      </c>
      <c r="B6" s="35" t="s">
        <v>27</v>
      </c>
      <c r="C6" s="35" t="s">
        <v>27</v>
      </c>
      <c r="D6" s="35" t="s">
        <v>27</v>
      </c>
      <c r="E6" s="35" t="s">
        <v>27</v>
      </c>
      <c r="F6" s="35" t="s">
        <v>27</v>
      </c>
      <c r="G6" s="35" t="s">
        <v>27</v>
      </c>
      <c r="H6" s="35">
        <v>400</v>
      </c>
      <c r="I6" s="35" t="s">
        <v>27</v>
      </c>
      <c r="J6" s="35" t="s">
        <v>27</v>
      </c>
      <c r="K6" s="35" t="s">
        <v>27</v>
      </c>
      <c r="L6" s="34" t="s">
        <v>27</v>
      </c>
      <c r="M6" s="34" t="s">
        <v>27</v>
      </c>
      <c r="N6" s="34" t="s">
        <v>27</v>
      </c>
      <c r="O6" s="34" t="s">
        <v>27</v>
      </c>
      <c r="P6" s="34">
        <v>268.2</v>
      </c>
      <c r="Q6" s="34" t="s">
        <v>27</v>
      </c>
      <c r="R6" s="34" t="s">
        <v>27</v>
      </c>
      <c r="S6" s="34" t="s">
        <v>27</v>
      </c>
      <c r="T6" s="34" t="s">
        <v>27</v>
      </c>
      <c r="U6" s="34" t="s">
        <v>27</v>
      </c>
      <c r="V6" s="34" t="s">
        <v>27</v>
      </c>
      <c r="W6" s="34" t="s">
        <v>27</v>
      </c>
      <c r="X6" s="34" t="s">
        <v>27</v>
      </c>
      <c r="Y6" s="34" t="s">
        <v>27</v>
      </c>
      <c r="Z6" s="34" t="s">
        <v>27</v>
      </c>
      <c r="AA6" s="34" t="s">
        <v>27</v>
      </c>
      <c r="AB6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616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64" t="s">
        <v>608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2" t="s">
        <v>597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63" t="s">
        <v>585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6"/>
  <sheetViews>
    <sheetView zoomScale="220" zoomScaleNormal="220" workbookViewId="0">
      <selection activeCell="K10" sqref="K1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7" style="1" customWidth="1"/>
    <col min="26" max="26" width="7.55468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63" t="s">
        <v>578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9" customFormat="1" x14ac:dyDescent="0.3">
      <c r="A3" s="170"/>
      <c r="B3" s="171" t="s">
        <v>93</v>
      </c>
      <c r="C3" s="170" t="s">
        <v>35</v>
      </c>
      <c r="D3" s="170" t="s">
        <v>576</v>
      </c>
      <c r="E3" s="170" t="s">
        <v>27</v>
      </c>
      <c r="F3" s="170">
        <v>262865</v>
      </c>
      <c r="G3" s="170" t="s">
        <v>575</v>
      </c>
      <c r="H3" s="170">
        <v>1400</v>
      </c>
      <c r="I3" s="172">
        <v>0.44500000000000001</v>
      </c>
      <c r="J3" s="172">
        <v>0.83</v>
      </c>
      <c r="K3" s="170" t="s">
        <v>577</v>
      </c>
      <c r="L3" s="172">
        <v>517.09</v>
      </c>
      <c r="M3" s="173">
        <v>387.3</v>
      </c>
      <c r="N3" s="174">
        <v>3.5900000000000001E-2</v>
      </c>
      <c r="O3" s="175">
        <v>2.15</v>
      </c>
      <c r="P3" s="170">
        <v>162.9</v>
      </c>
      <c r="Q3" s="170">
        <v>3</v>
      </c>
      <c r="R3" s="170">
        <v>1400</v>
      </c>
      <c r="S3" s="172">
        <v>1.335</v>
      </c>
      <c r="T3" s="170">
        <v>65</v>
      </c>
      <c r="U3" s="174">
        <v>4.6399999999999997E-2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38</v>
      </c>
      <c r="AB3" s="170" t="s">
        <v>574</v>
      </c>
    </row>
    <row r="4" spans="1:28" s="129" customFormat="1" x14ac:dyDescent="0.3">
      <c r="A4" s="170"/>
      <c r="B4" s="171" t="s">
        <v>93</v>
      </c>
      <c r="C4" s="170" t="s">
        <v>35</v>
      </c>
      <c r="D4" s="170" t="s">
        <v>576</v>
      </c>
      <c r="E4" s="170" t="s">
        <v>27</v>
      </c>
      <c r="F4" s="170">
        <v>262866</v>
      </c>
      <c r="G4" s="170">
        <v>83</v>
      </c>
      <c r="H4" s="170">
        <v>1000</v>
      </c>
      <c r="I4" s="172">
        <v>0.63</v>
      </c>
      <c r="J4" s="172">
        <v>1</v>
      </c>
      <c r="K4" s="170" t="s">
        <v>33</v>
      </c>
      <c r="L4" s="172">
        <v>630</v>
      </c>
      <c r="M4" s="173">
        <v>500</v>
      </c>
      <c r="N4" s="174">
        <v>6.9400000000000003E-2</v>
      </c>
      <c r="O4" s="175">
        <v>4.17</v>
      </c>
      <c r="P4" s="170">
        <v>198.4</v>
      </c>
      <c r="Q4" s="170">
        <v>2</v>
      </c>
      <c r="R4" s="170">
        <v>1300</v>
      </c>
      <c r="S4" s="172">
        <v>1.26</v>
      </c>
      <c r="T4" s="170">
        <v>40</v>
      </c>
      <c r="U4" s="174">
        <v>3.0800000000000001E-2</v>
      </c>
      <c r="V4" s="170" t="s">
        <v>28</v>
      </c>
      <c r="W4" s="170" t="s">
        <v>28</v>
      </c>
      <c r="X4" s="170" t="s">
        <v>28</v>
      </c>
      <c r="Y4" s="170" t="s">
        <v>27</v>
      </c>
      <c r="Z4" s="170" t="s">
        <v>27</v>
      </c>
      <c r="AA4" s="170" t="s">
        <v>38</v>
      </c>
      <c r="AB4" s="170" t="s">
        <v>574</v>
      </c>
    </row>
    <row r="5" spans="1:28" s="182" customFormat="1" x14ac:dyDescent="0.3">
      <c r="A5" s="176"/>
      <c r="B5" s="177" t="s">
        <v>126</v>
      </c>
      <c r="C5" s="176" t="s">
        <v>49</v>
      </c>
      <c r="D5" s="176" t="s">
        <v>601</v>
      </c>
      <c r="E5" s="176" t="s">
        <v>27</v>
      </c>
      <c r="F5" s="176">
        <v>262890</v>
      </c>
      <c r="G5" s="176" t="s">
        <v>632</v>
      </c>
      <c r="H5" s="176">
        <v>1000</v>
      </c>
      <c r="I5" s="178">
        <v>0.55000000000000004</v>
      </c>
      <c r="J5" s="178">
        <v>1.45</v>
      </c>
      <c r="K5" s="176" t="s">
        <v>630</v>
      </c>
      <c r="L5" s="178">
        <v>797.5</v>
      </c>
      <c r="M5" s="179">
        <v>725</v>
      </c>
      <c r="N5" s="180">
        <v>0.1007</v>
      </c>
      <c r="O5" s="181">
        <v>6.04</v>
      </c>
      <c r="P5" s="176">
        <v>283.10000000000002</v>
      </c>
      <c r="Q5" s="176">
        <v>2</v>
      </c>
      <c r="R5" s="176">
        <v>1150</v>
      </c>
      <c r="S5" s="178">
        <v>1.1000000000000001</v>
      </c>
      <c r="T5" s="176">
        <v>50</v>
      </c>
      <c r="U5" s="180">
        <v>4.3499999999999997E-2</v>
      </c>
      <c r="V5" s="176" t="s">
        <v>29</v>
      </c>
      <c r="W5" s="176" t="s">
        <v>28</v>
      </c>
      <c r="X5" s="176" t="s">
        <v>29</v>
      </c>
      <c r="Y5" s="176" t="s">
        <v>27</v>
      </c>
      <c r="Z5" s="176" t="s">
        <v>27</v>
      </c>
      <c r="AA5" s="176" t="s">
        <v>32</v>
      </c>
      <c r="AB5" s="176" t="s">
        <v>631</v>
      </c>
    </row>
    <row r="6" spans="1:28" s="129" customFormat="1" x14ac:dyDescent="0.3">
      <c r="A6" s="183" t="s">
        <v>27</v>
      </c>
      <c r="B6" s="183" t="s">
        <v>27</v>
      </c>
      <c r="C6" s="183" t="s">
        <v>27</v>
      </c>
      <c r="D6" s="183" t="s">
        <v>27</v>
      </c>
      <c r="E6" s="183" t="s">
        <v>27</v>
      </c>
      <c r="F6" s="183" t="s">
        <v>27</v>
      </c>
      <c r="G6" s="183" t="s">
        <v>27</v>
      </c>
      <c r="H6" s="183">
        <f>SUM(H3:H5)</f>
        <v>3400</v>
      </c>
      <c r="I6" s="183" t="s">
        <v>27</v>
      </c>
      <c r="J6" s="183" t="s">
        <v>27</v>
      </c>
      <c r="K6" s="183" t="s">
        <v>27</v>
      </c>
      <c r="L6" s="183" t="s">
        <v>27</v>
      </c>
      <c r="M6" s="183" t="s">
        <v>27</v>
      </c>
      <c r="N6" s="183" t="s">
        <v>27</v>
      </c>
      <c r="O6" s="183" t="s">
        <v>27</v>
      </c>
      <c r="P6" s="183">
        <f>SUM(P3:P5)</f>
        <v>644.40000000000009</v>
      </c>
      <c r="Q6" s="183" t="s">
        <v>27</v>
      </c>
      <c r="R6" s="183" t="s">
        <v>27</v>
      </c>
      <c r="S6" s="183" t="s">
        <v>27</v>
      </c>
      <c r="T6" s="183" t="s">
        <v>27</v>
      </c>
      <c r="U6" s="183" t="s">
        <v>27</v>
      </c>
      <c r="V6" s="183" t="s">
        <v>27</v>
      </c>
      <c r="W6" s="183" t="s">
        <v>27</v>
      </c>
      <c r="X6" s="183" t="s">
        <v>27</v>
      </c>
      <c r="Y6" s="183" t="s">
        <v>27</v>
      </c>
      <c r="Z6" s="183" t="s">
        <v>27</v>
      </c>
      <c r="AA6" s="183" t="s">
        <v>27</v>
      </c>
      <c r="AB6" s="183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573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64" t="s">
        <v>528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64" t="s">
        <v>508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5" t="s">
        <v>489</v>
      </c>
      <c r="B1" s="165" t="s">
        <v>27</v>
      </c>
      <c r="C1" s="165" t="s">
        <v>27</v>
      </c>
      <c r="D1" s="165" t="s">
        <v>27</v>
      </c>
      <c r="E1" s="165" t="s">
        <v>27</v>
      </c>
      <c r="F1" s="165" t="s">
        <v>27</v>
      </c>
      <c r="G1" s="165" t="s">
        <v>27</v>
      </c>
      <c r="H1" s="165" t="s">
        <v>27</v>
      </c>
      <c r="I1" s="165" t="s">
        <v>27</v>
      </c>
      <c r="J1" s="165" t="s">
        <v>27</v>
      </c>
      <c r="K1" s="165" t="s">
        <v>27</v>
      </c>
      <c r="L1" s="165" t="s">
        <v>27</v>
      </c>
      <c r="M1" s="165" t="s">
        <v>27</v>
      </c>
      <c r="N1" s="165" t="s">
        <v>27</v>
      </c>
      <c r="O1" s="165" t="s">
        <v>27</v>
      </c>
      <c r="P1" s="165" t="s">
        <v>27</v>
      </c>
      <c r="Q1" s="165" t="s">
        <v>27</v>
      </c>
      <c r="R1" s="165" t="s">
        <v>27</v>
      </c>
      <c r="S1" s="165" t="s">
        <v>27</v>
      </c>
      <c r="T1" s="165" t="s">
        <v>27</v>
      </c>
      <c r="U1" s="165" t="s">
        <v>27</v>
      </c>
      <c r="V1" s="165" t="s">
        <v>27</v>
      </c>
      <c r="W1" s="165" t="s">
        <v>27</v>
      </c>
      <c r="X1" s="165" t="s">
        <v>27</v>
      </c>
      <c r="Y1" s="165" t="s">
        <v>27</v>
      </c>
      <c r="Z1" s="165" t="s">
        <v>27</v>
      </c>
      <c r="AA1" s="165" t="s">
        <v>27</v>
      </c>
      <c r="AB1" s="1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64" t="s">
        <v>478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6" t="s">
        <v>477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A3" sqref="A3:XFD10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2" t="s">
        <v>595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6" t="s">
        <v>364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7" t="s">
        <v>247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64" t="s">
        <v>181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173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6" t="s">
        <v>123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8" t="s">
        <v>105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9" t="s">
        <v>80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34</vt:i4>
      </vt:variant>
    </vt:vector>
  </HeadingPairs>
  <TitlesOfParts>
    <vt:vector size="34" baseType="lpstr"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2026-10-06T13:23:07Z</cp:lastPrinted>
  <dcterms:created xsi:type="dcterms:W3CDTF">2026-07-02T17:42:15Z</dcterms:created>
  <dcterms:modified xsi:type="dcterms:W3CDTF">2026-10-06T20:21:54Z</dcterms:modified>
</cp:coreProperties>
</file>