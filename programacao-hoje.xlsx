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23E0A92-AAB2-43CF-A09D-D030E939D9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ARMONY EMBALAGENS 1200" sheetId="152" r:id="rId1"/>
    <sheet name="HARMONY EMBALAGENS 1199" sheetId="151" r:id="rId2"/>
    <sheet name="FAVINCO EMBALAGENS 1197" sheetId="150" r:id="rId3"/>
    <sheet name="ABAPEL 1196" sheetId="149" r:id="rId4"/>
    <sheet name="CARPELL LTDA 1195" sheetId="147" r:id="rId5"/>
    <sheet name="Renovapel 1192 P" sheetId="146" r:id="rId6"/>
    <sheet name="DR EMBALAGENS 1189  P" sheetId="144" r:id="rId7"/>
    <sheet name="FAVINCO EMBALAGENS 1188 R" sheetId="143" r:id="rId8"/>
    <sheet name="PCBOX - IPE 1187 P" sheetId="142" r:id="rId9"/>
    <sheet name="RM Embalagens 1184 P" sheetId="141" r:id="rId10"/>
    <sheet name="CARTOMIL EMBALAGENS LTDA 1183 P" sheetId="140" r:id="rId11"/>
    <sheet name="Z4A EMBALAGENS LTDA 1182" sheetId="139" r:id="rId12"/>
    <sheet name="Tolecaixas 1181 P" sheetId="138" r:id="rId13"/>
    <sheet name="HARMONY EMBALAGENS 1180 P" sheetId="137" r:id="rId14"/>
    <sheet name="RM Embalagens 1179 P" sheetId="136" r:id="rId15"/>
    <sheet name="ABAPEL 1178" sheetId="135" r:id="rId16"/>
    <sheet name="FAVINCO EMBALAGENS 1177 P" sheetId="134" r:id="rId17"/>
    <sheet name="IPE EMBALAGENS 1176 P" sheetId="133" r:id="rId18"/>
    <sheet name="PCBOX EMBALAGENS 1175 P" sheetId="132" r:id="rId19"/>
    <sheet name="ABAPEL 1174 P" sheetId="131" r:id="rId20"/>
    <sheet name="PCBOX EMBALAGENS 1171 P" sheetId="127" r:id="rId21"/>
    <sheet name="HARMONY EMBALAGENS 1169 P" sheetId="125" r:id="rId22"/>
    <sheet name="DR EMBALAGEM 1167 P" sheetId="124" r:id="rId23"/>
    <sheet name="Z4A EMBALAGENS  1166 P" sheetId="123" r:id="rId24"/>
    <sheet name="RM Embalagens 1165 P" sheetId="122" r:id="rId25"/>
    <sheet name="Carpel 1158 P" sheetId="119" r:id="rId26"/>
    <sheet name="ABAPEL 1155 P" sheetId="118" r:id="rId27"/>
    <sheet name="IPE - PCBOX 1154 P" sheetId="117" r:id="rId28"/>
    <sheet name="ABAPEL 1143 P" sheetId="109" r:id="rId29"/>
    <sheet name="HARMONY EMBALAGENS 1138 P" sheetId="102" r:id="rId30"/>
    <sheet name="ABAPEL 1127 P" sheetId="97" r:id="rId31"/>
    <sheet name="ABAPEL 1105 P" sheetId="85" r:id="rId32"/>
    <sheet name="IVAIR SILVA 1122 P" sheetId="91" r:id="rId33"/>
    <sheet name="RENOVAPEL 1115 P" sheetId="88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43" l="1"/>
  <c r="H6" i="143"/>
  <c r="P8" i="150"/>
  <c r="H8" i="150"/>
  <c r="P8" i="134"/>
  <c r="H8" i="134"/>
  <c r="P13" i="135"/>
  <c r="H13" i="135"/>
</calcChain>
</file>

<file path=xl/sharedStrings.xml><?xml version="1.0" encoding="utf-8"?>
<sst xmlns="http://schemas.openxmlformats.org/spreadsheetml/2006/main" count="6386" uniqueCount="703">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</sst>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1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abSelected="1" workbookViewId="0">
      <selection activeCell="AF13" sqref="AF1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09" customFormat="1" ht="25.05" customHeight="1">
      <c r="A4" s="210">
        <v>2</v>
      </c>
      <c r="B4" s="215" t="s">
        <v>66</v>
      </c>
      <c r="C4" s="210" t="s">
        <v>62</v>
      </c>
      <c r="D4" s="210" t="s">
        <v>680</v>
      </c>
      <c r="E4" s="210" t="s">
        <v>27</v>
      </c>
      <c r="F4" s="210">
        <v>262597</v>
      </c>
      <c r="G4" s="210" t="s">
        <v>700</v>
      </c>
      <c r="H4" s="210">
        <v>600</v>
      </c>
      <c r="I4" s="212">
        <v>1.236</v>
      </c>
      <c r="J4" s="212">
        <v>2.5910000000000002</v>
      </c>
      <c r="K4" s="210" t="s">
        <v>522</v>
      </c>
      <c r="L4" s="212">
        <v>1921.4860000000001</v>
      </c>
      <c r="M4" s="214">
        <v>1554.6</v>
      </c>
      <c r="N4" s="211">
        <v>0.43180000000000002</v>
      </c>
      <c r="O4" s="213">
        <v>25.91</v>
      </c>
      <c r="P4" s="210">
        <v>1214.4000000000001</v>
      </c>
      <c r="Q4" s="210">
        <v>1</v>
      </c>
      <c r="R4" s="210">
        <v>1300</v>
      </c>
      <c r="S4" s="212">
        <v>1.236</v>
      </c>
      <c r="T4" s="210">
        <v>64</v>
      </c>
      <c r="U4" s="211">
        <v>4.9200000000000001E-2</v>
      </c>
      <c r="V4" s="210" t="s">
        <v>29</v>
      </c>
      <c r="W4" s="210" t="s">
        <v>40</v>
      </c>
      <c r="X4" s="210" t="s">
        <v>28</v>
      </c>
      <c r="Y4" s="210" t="s">
        <v>28</v>
      </c>
      <c r="Z4" s="210" t="s">
        <v>29</v>
      </c>
      <c r="AA4" s="210" t="s">
        <v>32</v>
      </c>
      <c r="AB4" s="210" t="s">
        <v>521</v>
      </c>
    </row>
    <row r="5" spans="1:28" s="209" customFormat="1" ht="25.05" customHeight="1">
      <c r="A5" s="210">
        <v>3</v>
      </c>
      <c r="B5" s="215" t="s">
        <v>66</v>
      </c>
      <c r="C5" s="210" t="s">
        <v>62</v>
      </c>
      <c r="D5" s="210" t="s">
        <v>680</v>
      </c>
      <c r="E5" s="210" t="s">
        <v>27</v>
      </c>
      <c r="F5" s="210">
        <v>262596</v>
      </c>
      <c r="G5" s="210" t="s">
        <v>700</v>
      </c>
      <c r="H5" s="210">
        <v>2000</v>
      </c>
      <c r="I5" s="212">
        <v>1.196</v>
      </c>
      <c r="J5" s="212">
        <v>1.6910000000000001</v>
      </c>
      <c r="K5" s="210" t="s">
        <v>519</v>
      </c>
      <c r="L5" s="212">
        <v>4044.8719999999998</v>
      </c>
      <c r="M5" s="214">
        <v>3382</v>
      </c>
      <c r="N5" s="211">
        <v>0.93940000000000001</v>
      </c>
      <c r="O5" s="213">
        <v>56.37</v>
      </c>
      <c r="P5" s="210">
        <v>2556.4</v>
      </c>
      <c r="Q5" s="210">
        <v>1</v>
      </c>
      <c r="R5" s="210">
        <v>1250</v>
      </c>
      <c r="S5" s="212">
        <v>1.196</v>
      </c>
      <c r="T5" s="210">
        <v>54</v>
      </c>
      <c r="U5" s="211">
        <v>4.3200000000000002E-2</v>
      </c>
      <c r="V5" s="210" t="s">
        <v>29</v>
      </c>
      <c r="W5" s="210" t="s">
        <v>40</v>
      </c>
      <c r="X5" s="210" t="s">
        <v>28</v>
      </c>
      <c r="Y5" s="210" t="s">
        <v>28</v>
      </c>
      <c r="Z5" s="210" t="s">
        <v>29</v>
      </c>
      <c r="AA5" s="210" t="s">
        <v>72</v>
      </c>
      <c r="AB5" s="210" t="s">
        <v>518</v>
      </c>
    </row>
    <row r="6" spans="1:28" s="209" customFormat="1" ht="25.05" customHeight="1">
      <c r="A6" s="210">
        <v>4</v>
      </c>
      <c r="B6" s="215" t="s">
        <v>66</v>
      </c>
      <c r="C6" s="210" t="s">
        <v>45</v>
      </c>
      <c r="D6" s="210" t="s">
        <v>680</v>
      </c>
      <c r="E6" s="210" t="s">
        <v>27</v>
      </c>
      <c r="F6" s="210">
        <v>262595</v>
      </c>
      <c r="G6" s="210" t="s">
        <v>700</v>
      </c>
      <c r="H6" s="210">
        <v>1400</v>
      </c>
      <c r="I6" s="212">
        <v>1.2050000000000001</v>
      </c>
      <c r="J6" s="212">
        <v>2.5910000000000002</v>
      </c>
      <c r="K6" s="210" t="s">
        <v>53</v>
      </c>
      <c r="L6" s="212">
        <v>4371.0169999999998</v>
      </c>
      <c r="M6" s="214">
        <v>3627.4</v>
      </c>
      <c r="N6" s="211">
        <v>1.0076000000000001</v>
      </c>
      <c r="O6" s="213">
        <v>60.46</v>
      </c>
      <c r="P6" s="210">
        <v>2482.6999999999998</v>
      </c>
      <c r="Q6" s="210">
        <v>1</v>
      </c>
      <c r="R6" s="210">
        <v>1250</v>
      </c>
      <c r="S6" s="212">
        <v>1.2050000000000001</v>
      </c>
      <c r="T6" s="210">
        <v>45</v>
      </c>
      <c r="U6" s="211">
        <v>3.5999999999999997E-2</v>
      </c>
      <c r="V6" s="210" t="s">
        <v>35</v>
      </c>
      <c r="W6" s="210" t="s">
        <v>40</v>
      </c>
      <c r="X6" s="210" t="s">
        <v>35</v>
      </c>
      <c r="Y6" s="210" t="s">
        <v>35</v>
      </c>
      <c r="Z6" s="210" t="s">
        <v>35</v>
      </c>
      <c r="AA6" s="210" t="s">
        <v>55</v>
      </c>
      <c r="AB6" s="21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8"/>
  <sheetViews>
    <sheetView workbookViewId="0">
      <selection activeCell="C3" sqref="C3:C7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5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2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3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4</v>
      </c>
      <c r="B7" s="162" t="s">
        <v>480</v>
      </c>
      <c r="C7" s="161" t="s">
        <v>670</v>
      </c>
      <c r="D7" s="191">
        <v>46279</v>
      </c>
      <c r="E7" s="161"/>
      <c r="F7" s="161">
        <v>262577</v>
      </c>
      <c r="G7" s="161">
        <v>69</v>
      </c>
      <c r="H7" s="161">
        <v>1000</v>
      </c>
      <c r="I7" s="163">
        <v>0.52500000000000002</v>
      </c>
      <c r="J7" s="163">
        <v>1.29</v>
      </c>
      <c r="K7" s="161" t="s">
        <v>672</v>
      </c>
      <c r="L7" s="163">
        <v>677.25</v>
      </c>
      <c r="M7" s="164">
        <v>645</v>
      </c>
      <c r="N7" s="165">
        <v>8.9599999999999999E-2</v>
      </c>
      <c r="O7" s="166">
        <v>5.38</v>
      </c>
      <c r="P7" s="161">
        <v>262.8</v>
      </c>
      <c r="Q7" s="161">
        <v>2</v>
      </c>
      <c r="R7" s="161">
        <v>1100</v>
      </c>
      <c r="S7" s="163">
        <v>1.05</v>
      </c>
      <c r="T7" s="161">
        <v>50</v>
      </c>
      <c r="U7" s="165">
        <v>4.5499999999999999E-2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2</v>
      </c>
      <c r="AB7" s="161" t="s">
        <v>673</v>
      </c>
    </row>
    <row r="8" spans="1:28" s="167" customFormat="1">
      <c r="A8" s="168" t="s">
        <v>27</v>
      </c>
      <c r="B8" s="168" t="s">
        <v>27</v>
      </c>
      <c r="C8" s="168" t="s">
        <v>27</v>
      </c>
      <c r="D8" s="168" t="s">
        <v>27</v>
      </c>
      <c r="E8" s="168" t="s">
        <v>27</v>
      </c>
      <c r="F8" s="168" t="s">
        <v>27</v>
      </c>
      <c r="G8" s="168" t="s">
        <v>27</v>
      </c>
      <c r="H8" s="168">
        <f>SUM(H3:H7)</f>
        <v>3000</v>
      </c>
      <c r="I8" s="168" t="s">
        <v>27</v>
      </c>
      <c r="J8" s="168" t="s">
        <v>27</v>
      </c>
      <c r="K8" s="168" t="s">
        <v>27</v>
      </c>
      <c r="L8" s="168" t="s">
        <v>27</v>
      </c>
      <c r="M8" s="168" t="s">
        <v>27</v>
      </c>
      <c r="N8" s="168" t="s">
        <v>27</v>
      </c>
      <c r="O8" s="168" t="s">
        <v>27</v>
      </c>
      <c r="P8" s="168">
        <f>SUM(P3:P7)</f>
        <v>1278.3</v>
      </c>
      <c r="Q8" s="168" t="s">
        <v>27</v>
      </c>
      <c r="R8" s="168" t="s">
        <v>27</v>
      </c>
      <c r="S8" s="168" t="s">
        <v>27</v>
      </c>
      <c r="T8" s="168" t="s">
        <v>27</v>
      </c>
      <c r="U8" s="168" t="s">
        <v>27</v>
      </c>
      <c r="V8" s="168" t="s">
        <v>27</v>
      </c>
      <c r="W8" s="168" t="s">
        <v>27</v>
      </c>
      <c r="X8" s="168" t="s">
        <v>27</v>
      </c>
      <c r="Y8" s="168" t="s">
        <v>27</v>
      </c>
      <c r="Z8" s="168" t="s">
        <v>27</v>
      </c>
      <c r="AA8" s="168" t="s">
        <v>27</v>
      </c>
      <c r="AB8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workbookViewId="0">
      <selection activeCell="AB30" sqref="AB30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500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02" t="s">
        <v>554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1" customFormat="1" ht="25.05" customHeight="1">
      <c r="A3" s="203">
        <v>1</v>
      </c>
      <c r="B3" s="204" t="s">
        <v>135</v>
      </c>
      <c r="C3" s="203" t="s">
        <v>26</v>
      </c>
      <c r="D3" s="203" t="s">
        <v>543</v>
      </c>
      <c r="E3" s="203" t="s">
        <v>27</v>
      </c>
      <c r="F3" s="203">
        <v>262497</v>
      </c>
      <c r="G3" s="203" t="s">
        <v>542</v>
      </c>
      <c r="H3" s="203">
        <v>225</v>
      </c>
      <c r="I3" s="205">
        <v>1.548</v>
      </c>
      <c r="J3" s="205">
        <v>1.62</v>
      </c>
      <c r="K3" s="203" t="s">
        <v>34</v>
      </c>
      <c r="L3" s="205">
        <v>564.24599999999998</v>
      </c>
      <c r="M3" s="206">
        <v>364.5</v>
      </c>
      <c r="N3" s="207">
        <v>0.1013</v>
      </c>
      <c r="O3" s="208">
        <v>6.08</v>
      </c>
      <c r="P3" s="203">
        <v>334.6</v>
      </c>
      <c r="Q3" s="203">
        <v>1</v>
      </c>
      <c r="R3" s="203">
        <v>1600</v>
      </c>
      <c r="S3" s="205">
        <v>1.548</v>
      </c>
      <c r="T3" s="203">
        <v>52</v>
      </c>
      <c r="U3" s="207">
        <v>3.2500000000000001E-2</v>
      </c>
      <c r="V3" s="203" t="s">
        <v>28</v>
      </c>
      <c r="W3" s="203" t="s">
        <v>29</v>
      </c>
      <c r="X3" s="203" t="s">
        <v>28</v>
      </c>
      <c r="Y3" s="203" t="s">
        <v>28</v>
      </c>
      <c r="Z3" s="203" t="s">
        <v>28</v>
      </c>
      <c r="AA3" s="203" t="s">
        <v>33</v>
      </c>
      <c r="AB3" s="20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1" customFormat="1" ht="25.05" customHeight="1">
      <c r="A5" s="203">
        <v>3</v>
      </c>
      <c r="B5" s="204" t="s">
        <v>135</v>
      </c>
      <c r="C5" s="203" t="s">
        <v>26</v>
      </c>
      <c r="D5" s="203" t="s">
        <v>543</v>
      </c>
      <c r="E5" s="203" t="s">
        <v>27</v>
      </c>
      <c r="F5" s="203">
        <v>262495</v>
      </c>
      <c r="G5" s="203" t="s">
        <v>542</v>
      </c>
      <c r="H5" s="203">
        <v>395</v>
      </c>
      <c r="I5" s="205">
        <v>0.69</v>
      </c>
      <c r="J5" s="205">
        <v>2.0699999999999998</v>
      </c>
      <c r="K5" s="203" t="s">
        <v>34</v>
      </c>
      <c r="L5" s="205">
        <v>564.178</v>
      </c>
      <c r="M5" s="206">
        <v>408.8</v>
      </c>
      <c r="N5" s="207">
        <v>5.6800000000000003E-2</v>
      </c>
      <c r="O5" s="208">
        <v>3.41</v>
      </c>
      <c r="P5" s="203">
        <v>334.6</v>
      </c>
      <c r="Q5" s="203">
        <v>2</v>
      </c>
      <c r="R5" s="203">
        <v>1400</v>
      </c>
      <c r="S5" s="205">
        <v>1.38</v>
      </c>
      <c r="T5" s="203">
        <v>20</v>
      </c>
      <c r="U5" s="207">
        <v>1.43E-2</v>
      </c>
      <c r="V5" s="203" t="s">
        <v>28</v>
      </c>
      <c r="W5" s="203" t="s">
        <v>29</v>
      </c>
      <c r="X5" s="203" t="s">
        <v>28</v>
      </c>
      <c r="Y5" s="203" t="s">
        <v>28</v>
      </c>
      <c r="Z5" s="203" t="s">
        <v>28</v>
      </c>
      <c r="AA5" s="203" t="s">
        <v>30</v>
      </c>
      <c r="AB5" s="203" t="s">
        <v>552</v>
      </c>
    </row>
    <row r="6" spans="1:28" s="201" customFormat="1" ht="25.05" customHeight="1">
      <c r="A6" s="203">
        <v>4</v>
      </c>
      <c r="B6" s="204" t="s">
        <v>135</v>
      </c>
      <c r="C6" s="203" t="s">
        <v>26</v>
      </c>
      <c r="D6" s="203" t="s">
        <v>543</v>
      </c>
      <c r="E6" s="203" t="s">
        <v>27</v>
      </c>
      <c r="F6" s="203">
        <v>262496</v>
      </c>
      <c r="G6" s="203" t="s">
        <v>542</v>
      </c>
      <c r="H6" s="203">
        <v>610</v>
      </c>
      <c r="I6" s="205">
        <v>1.29</v>
      </c>
      <c r="J6" s="205">
        <v>1.59</v>
      </c>
      <c r="K6" s="203" t="s">
        <v>34</v>
      </c>
      <c r="L6" s="205">
        <v>1251.171</v>
      </c>
      <c r="M6" s="206">
        <v>969.9</v>
      </c>
      <c r="N6" s="207">
        <v>0.26939999999999997</v>
      </c>
      <c r="O6" s="208">
        <v>16.170000000000002</v>
      </c>
      <c r="P6" s="203">
        <v>741.9</v>
      </c>
      <c r="Q6" s="203">
        <v>1</v>
      </c>
      <c r="R6" s="203">
        <v>1350</v>
      </c>
      <c r="S6" s="205">
        <v>1.29</v>
      </c>
      <c r="T6" s="203">
        <v>60</v>
      </c>
      <c r="U6" s="207">
        <v>4.4400000000000002E-2</v>
      </c>
      <c r="V6" s="203" t="s">
        <v>28</v>
      </c>
      <c r="W6" s="203" t="s">
        <v>29</v>
      </c>
      <c r="X6" s="203" t="s">
        <v>28</v>
      </c>
      <c r="Y6" s="203" t="s">
        <v>28</v>
      </c>
      <c r="Z6" s="203" t="s">
        <v>28</v>
      </c>
      <c r="AA6" s="203" t="s">
        <v>32</v>
      </c>
      <c r="AB6" s="203" t="s">
        <v>551</v>
      </c>
    </row>
    <row r="7" spans="1:28" s="201" customFormat="1" ht="25.05" customHeight="1">
      <c r="A7" s="203">
        <v>5</v>
      </c>
      <c r="B7" s="204" t="s">
        <v>135</v>
      </c>
      <c r="C7" s="203" t="s">
        <v>26</v>
      </c>
      <c r="D7" s="203" t="s">
        <v>543</v>
      </c>
      <c r="E7" s="203" t="s">
        <v>27</v>
      </c>
      <c r="F7" s="203">
        <v>262494</v>
      </c>
      <c r="G7" s="203" t="s">
        <v>542</v>
      </c>
      <c r="H7" s="203">
        <v>700</v>
      </c>
      <c r="I7" s="205">
        <v>1.0740000000000001</v>
      </c>
      <c r="J7" s="205">
        <v>1.27</v>
      </c>
      <c r="K7" s="203" t="s">
        <v>34</v>
      </c>
      <c r="L7" s="205">
        <v>954.78599999999994</v>
      </c>
      <c r="M7" s="206">
        <v>889</v>
      </c>
      <c r="N7" s="207">
        <v>0.24690000000000001</v>
      </c>
      <c r="O7" s="208">
        <v>14.82</v>
      </c>
      <c r="P7" s="203">
        <v>566.20000000000005</v>
      </c>
      <c r="Q7" s="203">
        <v>1</v>
      </c>
      <c r="R7" s="203">
        <v>1100</v>
      </c>
      <c r="S7" s="205">
        <v>1.0740000000000001</v>
      </c>
      <c r="T7" s="203">
        <v>26</v>
      </c>
      <c r="U7" s="207">
        <v>2.3599999999999999E-2</v>
      </c>
      <c r="V7" s="203" t="s">
        <v>28</v>
      </c>
      <c r="W7" s="203" t="s">
        <v>29</v>
      </c>
      <c r="X7" s="203" t="s">
        <v>28</v>
      </c>
      <c r="Y7" s="203" t="s">
        <v>28</v>
      </c>
      <c r="Z7" s="203" t="s">
        <v>28</v>
      </c>
      <c r="AA7" s="203" t="s">
        <v>32</v>
      </c>
      <c r="AB7" s="20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195" t="s">
        <v>496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34</vt:i4>
      </vt:variant>
    </vt:vector>
  </HeadingPairs>
  <TitlesOfParts>
    <vt:vector size="34" baseType="lpstr"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2026-09-15T12:51:33Z</cp:lastPrinted>
  <dcterms:created xsi:type="dcterms:W3CDTF">2026-07-02T17:42:15Z</dcterms:created>
  <dcterms:modified xsi:type="dcterms:W3CDTF">2026-09-15T13:20:23Z</dcterms:modified>
</cp:coreProperties>
</file>