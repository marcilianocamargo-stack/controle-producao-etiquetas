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0C92CA42-DCF1-4A0C-94DB-396167B9BF73}" xr6:coauthVersionLast="47" xr6:coauthVersionMax="47" xr10:uidLastSave="{00000000-0000-0000-0000-000000000000}"/>
  <bookViews>
    <workbookView xWindow="-38510" yWindow="-10830" windowWidth="38620" windowHeight="21100" firstSheet="18" activeTab="23" xr2:uid="{00000000-000D-0000-FFFF-FFFF00000000}"/>
  </bookViews>
  <sheets>
    <sheet name="IPE EMBALAGENS 1291" sheetId="206" r:id="rId1"/>
    <sheet name="FORBOX 1289" sheetId="205" r:id="rId2"/>
    <sheet name="SÃO MIGUEL 1288" sheetId="204" r:id="rId3"/>
    <sheet name="RENOVAPEL 1286 P" sheetId="203" r:id="rId4"/>
    <sheet name="HARMONY EMBALAGENS 1285" sheetId="202" r:id="rId5"/>
    <sheet name="DR EMBALAGENS 1282 P" sheetId="201" r:id="rId6"/>
    <sheet name="J FER 1281 P" sheetId="200" r:id="rId7"/>
    <sheet name="VÔ CHICO 1280 P" sheetId="199" r:id="rId8"/>
    <sheet name="PCBOX EMBALAGENS 1278 P" sheetId="198" r:id="rId9"/>
    <sheet name="RM EMBALAGENS 1277" sheetId="197" r:id="rId10"/>
    <sheet name="RM Embalagens 1275 P" sheetId="196" r:id="rId11"/>
    <sheet name="FAVINCO EMBALAGENS 1273 P" sheetId="195" r:id="rId12"/>
    <sheet name="ABAPEL 1272 P" sheetId="194" r:id="rId13"/>
    <sheet name="RM Embalagens 1271 P" sheetId="193" r:id="rId14"/>
    <sheet name="IPE -PC BOX 1270 P" sheetId="192" r:id="rId15"/>
    <sheet name="PCBOX  - IPE 1266 P" sheetId="191" r:id="rId16"/>
    <sheet name="Tolecaixas 1264 P" sheetId="190" r:id="rId17"/>
    <sheet name="RM Embalagens 1263 P" sheetId="189" r:id="rId18"/>
    <sheet name="HARMONY EMBALAGENS 1262 P" sheetId="188" r:id="rId19"/>
    <sheet name="HARMONY EMBALAGENS 1260 P" sheetId="187" r:id="rId20"/>
    <sheet name="CARTOMIL EMBALAGENS LTDA 1258 P" sheetId="185" r:id="rId21"/>
    <sheet name="CARPEL 1257 P" sheetId="184" r:id="rId22"/>
    <sheet name="FAVINCO EMBALAGENS 1256 P" sheetId="183" r:id="rId23"/>
    <sheet name="RR STELLA 1253 P" sheetId="181" r:id="rId24"/>
    <sheet name="FAVINCO EMBALAGENS 1252 P" sheetId="180" r:id="rId25"/>
    <sheet name="DR EMBALAGENS 1250 P" sheetId="179" r:id="rId26"/>
    <sheet name="HARMONY EMBALAGENS 1249 P" sheetId="178" r:id="rId27"/>
    <sheet name="FAVINCO 1248 AMOSTRA" sheetId="177" r:id="rId28"/>
    <sheet name="ABAPEL 1246 P" sheetId="176" r:id="rId29"/>
    <sheet name="FAVINCO 1243 P" sheetId="175" r:id="rId30"/>
    <sheet name="Renovapel 1242 P" sheetId="174" r:id="rId31"/>
    <sheet name="Tole. DR EMB. VO CH S. M 1241 P" sheetId="173" r:id="rId32"/>
    <sheet name="FAVINCO 1239 P" sheetId="172" r:id="rId33"/>
    <sheet name="PCBOX EMBALAGENS 1233 P" sheetId="170" r:id="rId34"/>
    <sheet name="RM Embalagens 1232 P" sheetId="169" r:id="rId35"/>
    <sheet name="HARMONY EMBALAGENS 1231 P" sheetId="168" r:id="rId36"/>
    <sheet name="RM Embalagens P" sheetId="166" r:id="rId37"/>
    <sheet name="PCBOX EMBALAGENS LTDA 1222 P" sheetId="164" r:id="rId38"/>
    <sheet name="FORBOX 1220 P" sheetId="163" r:id="rId39"/>
    <sheet name="HARMONY EMBALAGENS 1217 P" sheetId="162" r:id="rId40"/>
    <sheet name="Z4A EMBALAGENS LTDA 1216" sheetId="161" r:id="rId41"/>
    <sheet name="ABAPEL 1213 P" sheetId="159" r:id="rId42"/>
    <sheet name="IPE - PCBOX 1212 P" sheetId="158" r:id="rId43"/>
    <sheet name="Z4A EMBALAGENS LTDA 1210 P" sheetId="157" r:id="rId44"/>
    <sheet name="RM Embalagens 1209 P" sheetId="156" r:id="rId45"/>
    <sheet name="ABAPEL 1201 P" sheetId="153" r:id="rId46"/>
    <sheet name="HARMONY EMBALAGENS 1200 P" sheetId="152" r:id="rId47"/>
    <sheet name="FAVINCO EMBALAGENS 1197 P" sheetId="150" r:id="rId48"/>
    <sheet name="ABAPEL 1196 P" sheetId="149" r:id="rId49"/>
    <sheet name="RM Embalagens 1184 P" sheetId="141" r:id="rId50"/>
    <sheet name="HARMONY EMBALAGENS 1180 P" sheetId="137" r:id="rId51"/>
    <sheet name="Carpel 1158 P" sheetId="119" r:id="rId52"/>
  </sheets>
  <definedNames>
    <definedName name="_xlnm.Print_Area" localSheetId="11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" i="181" l="1"/>
  <c r="G8" i="181"/>
  <c r="Q9" i="201"/>
  <c r="G9" i="201"/>
  <c r="Q9" i="195"/>
  <c r="G9" i="195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<sst xmlns="http://schemas.openxmlformats.org/spreadsheetml/2006/main" count="9498" uniqueCount="840">
  <si>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</si>
  <si>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</si>
  <si>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</si>
  <si>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</si>
  <si>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</si>
  <si>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</si>
  <si>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</si>
  <si>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</si>
  <si>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</si>
  <si>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</si>
  <si>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</si>
  <si>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</si>
  <si>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</si>
  <si>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</si>
  <si>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</si>
  <si>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</si>
  <si>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</si>
  <si>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</si>
  <si>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</si>
  <si>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</si>
  <si>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</si>
  <si>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</si>
  <si>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</si>
  <si>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</si>
  <si>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</si>
  <si>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</si>
  <si>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</si>
  <si>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</si>
  <si>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</si>
  <si>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</si>
  <si>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</si>
  <si>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</si>
  <si>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</si>
  <si>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</si>
  <si>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</si>
  <si>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</si>
  <si>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</si>
  <si>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</si>
  <si>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</si>
  <si>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</si>
  <si>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</si>
  <si>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</si>
  <si>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</si>
  <si>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</si>
  <si>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</si>
  <si>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</si>
  <si>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</si>
  <si>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</si>
  <si>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</si>
  <si>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</si>
  <si>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</si>
  <si>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</si>
  <si>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</si>
  <si>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</si>
  <si>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</si>
  <si>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</si>
  <si>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</si>
  <si>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</si>
  <si>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</si>
  <si>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</si>
  <si>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</si>
  <si>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</si>
  <si>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</si>
  <si>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</si>
  <si>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</si>
  <si>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</si>
  <si>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</si>
  <si>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</si>
  <si>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</si>
  <si>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</si>
  <si>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</si>
  <si>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</si>
  <si>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</si>
  <si>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</si>
  <si>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</si>
  <si>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</si>
  <si>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</si>
  <si>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</si>
  <si>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</si>
  <si>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</si>
  <si>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</si>
  <si>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</si>
  <si>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</si>
  <si>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</si>
  <si>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</si>
  <si>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</si>
  <si>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</si>
  <si>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</si>
  <si>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</si>
  <si>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</si>
  <si>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</si>
  <si>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</si>
  <si>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</si>
  <si>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</si>
  <si>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</si>
  <si>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</si>
  <si>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</si>
  <si>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</si>
  <si>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</si>
  <si>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</si>
  <si>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</si>
  <si>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</si>
  <si>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</si>
  <si>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</si>
  <si>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</si>
  <si>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</si>
  <si>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</si>
  <si>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</si>
  <si>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</si>
  <si>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</si>
  <si>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</si>
  <si>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</si>
  <si>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</si>
  <si>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</si>
  <si>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</si>
  <si>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</si>
  <si>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</si>
  <si>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</si>
  <si>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</si>
  <si>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</si>
  <si>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</si>
  <si>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</si>
  <si>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</si>
  <si>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</si>
  <si>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</si>
  <si>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</si>
  <si>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</si>
  <si>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</si>
  <si>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</si>
  <si>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</si>
  <si>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</si>
  <si>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</si>
  <si>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</si>
  <si>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</si>
  <si>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</si>
  <si>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</si>
  <si>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</si>
  <si>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</si>
  <si>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</si>
  <si>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</si>
  <si>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</si>
  <si>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</si>
  <si>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</si>
  <si>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</si>
  <si>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</si>
  <si>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</si>
  <si>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</si>
  <si>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</si>
  <si>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</si>
  <si>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</si>
  <si>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</si>
  <si>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</si>
  <si>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</si>
  <si>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</si>
  <si>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</si>
  <si>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</si>
  <si>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</si>
  <si>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</si>
  <si>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</si>
  <si>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</si>
  <si>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</si>
  <si>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</si>
  <si>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</si>
  <si>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</si>
  <si>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</si>
  <si>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</si>
  <si>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</si>
  <si>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</si>
  <si>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</si>
  <si>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</si>
  <si>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</si>
  <si>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</si>
  <si>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</si>
  <si>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</si>
  <si>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</si>
  <si>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</si>
  <si>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</si>
  <si>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</si>
  <si>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</si>
  <si>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</si>
  <si>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</si>
  <si>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</si>
  <si>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</si>
  <si>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</si>
  <si>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</si>
  <si>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</si>
  <si>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</si>
  <si>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</si>
  <si>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</si>
  <si>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</si>
  <si>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</si>
  <si>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</si>
  <si>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</si>
  <si>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</si>
  <si>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</si>
  <si>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</si>
  <si>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</si>
  <si>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</si>
  <si>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</si>
  <si>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</si>
  <si>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</si>
  <si>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</si>
  <si>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</si>
  <si>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</si>
  <si>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</si>
  <si>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</si>
  <si>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</si>
  <si>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</si>
  <si>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</si>
  <si>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</si>
  <si>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</si>
  <si>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</si>
  <si>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</si>
  <si>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</si>
  <si>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</si>
  <si>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</si>
  <si>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</si>
  <si>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</si>
  <si>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</si>
  <si>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</si>
  <si>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</si>
  <si>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</si>
  <si>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</si>
  <si>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</si>
  <si>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</si>
  <si>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</si>
  <si>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</si>
  <si>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</si>
  <si>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</si>
  <si>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</si>
  <si>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</si>
  <si>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</si>
  <si>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</si>
  <si>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</si>
  <si>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</si>
  <si>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</si>
  <si>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</si>
  <si>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</si>
  <si>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</si>
  <si>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</si>
  <si>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</si>
  <si>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</si>
  <si>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</si>
  <si>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</si>
  <si>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</si>
  <si>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</si>
  <si>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</si>
  <si>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</si>
  <si>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</si>
  <si>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</si>
  <si>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</si>
  <si>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</si>
  <si>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</si>
  <si>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</si>
  <si>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</si>
  <si>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</si>
  <si>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</si>
  <si>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</si>
  <si>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</si>
  <si>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</si>
  <si>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</si>
  <si>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</si>
  <si>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</si>
  <si>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</si>
  <si>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</si>
  <si>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</si>
  <si>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</si>
  <si>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</si>
  <si>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</si>
  <si>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</si>
  <si>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</si>
  <si>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</si>
  <si>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</si>
  <si>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</si>
  <si>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</si>
  <si>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</si>
  <si>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</si>
  <si>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</si>
  <si>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</si>
  <si>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</si>
  <si>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</si>
  <si>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</si>
  <si>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</si>
  <si>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</si>
  <si>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</si>
  <si>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</si>
  <si>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</si>
  <si>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</si>
  <si>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</si>
  <si>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</si>
  <si>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</si>
  <si>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</si>
  <si>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</si>
  <si>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</si>
  <si>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</si>
  <si>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</si>
  <si>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</si>
  <si>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</si>
  <si>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</si>
  <si>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</si>
  <si>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</si>
  <si>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</si>
  <si>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</si>
  <si>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</si>
  <si>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</si>
  <si>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</si>
  <si>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</si>
  <si>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</si>
  <si>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</si>
  <si>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</si>
  <si>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</si>
  <si>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</si>
  <si>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</si>
  <si>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</si>
  <si>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</si>
  <si>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</si>
  <si>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</si>
  <si>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</si>
  <si>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</si>
  <si>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</si>
  <si>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</si>
  <si>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</si>
  <si>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</si>
  <si>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</si>
  <si>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</si>
  <si>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</si>
  <si>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</si>
  <si>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</si>
  <si>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</si>
  <si>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</si>
  <si>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</si>
  <si>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</si>
  <si>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</si>
  <si>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</si>
  <si>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</si>
  <si>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</si>
  <si>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</si>
  <si>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</si>
  <si>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</si>
  <si>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</si>
  <si>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</si>
  <si>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</si>
  <si>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</si>
  <si>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</si>
  <si>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</si>
  <si>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</si>
  <si>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</si>
  <si>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</si>
  <si>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</si>
  <si>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</si>
  <si>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</si>
  <si>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</si>
  <si>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</si>
  <si>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</si>
  <si>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</si>
  <si>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</si>
  <si>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</si>
  <si>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</si>
  <si>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</si>
  <si>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</si>
  <si>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</si>
  <si>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</si>
  <si>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</si>
  <si>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</si>
  <si>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</si>
  <si>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</si>
  <si>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</si>
  <si>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</si>
  <si>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</si>
  <si>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</si>
  <si>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</si>
  <si>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</si>
  <si>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</si>
  <si>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</si>
  <si>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</si>
  <si>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</si>
  <si>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</si>
  <si>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</si>
  <si>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</si>
  <si>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</si>
  <si>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</si>
  <si>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</si>
  <si>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</si>
  <si>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</si>
  <si>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</si>
  <si>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</si>
  <si>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</si>
  <si>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</si>
  <si>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</si>
  <si>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</si>
  <si>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</si>
  <si>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</si>
  <si>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</si>
  <si>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</si>
  <si>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</si>
  <si>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</si>
  <si>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</si>
  <si>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</si>
  <si>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</si>
  <si>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</si>
  <si>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</si>
  <si>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</si>
  <si>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</si>
  <si>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</si>
  <si>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</si>
  <si>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</si>
  <si>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</si>
  <si>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</si>
  <si>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</si>
  <si>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</si>
  <si>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</si>
  <si>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</si>
  <si>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</si>
  <si>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</si>
  <si>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</si>
  <si>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</si>
  <si>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</si>
  <si>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</si>
  <si>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</si>
  <si>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</si>
  <si>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</si>
  <si>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</si>
  <si>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</si>
  <si>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</si>
  <si>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</si>
  <si>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</si>
  <si>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</si>
  <si>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</si>
  <si>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</si>
  <si>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</si>
  <si>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</si>
  <si>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</si>
  <si>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</si>
  <si>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</si>
  <si>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</si>
  <si>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</si>
  <si>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</si>
  <si>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</si>
  <si>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</si>
  <si>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</si>
  <si>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</si>
  <si>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</si>
  <si>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</si>
  <si>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</si>
  <si>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</si>
  <si>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</si>
  <si>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</si>
  <si>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</si>
  <si>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</si>
  <si>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</si>
  <si>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</si>
  <si>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</si>
  <si>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</si>
  <si>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</si>
  <si>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</si>
  <si>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</si>
  <si>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</si>
  <si>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</si>
  <si>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</si>
  <si>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</si>
  <si>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</si>
  <si>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</si>
  <si>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</si>
  <si>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</si>
  <si>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</si>
  <si>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</si>
  <si>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</si>
  <si>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</si>
  <si>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</si>
  <si>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</si>
  <si>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</si>
  <si>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</si>
  <si>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</si>
  <si>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</si>
  <si>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</si>
  <si>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</si>
  <si>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</si>
  <si>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</si>
  <si>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</si>
  <si>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</si>
  <si>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</si>
  <si>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</si>
  <si>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</si>
  <si>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</si>
  <si>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</si>
  <si>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</si>
  <si>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</si>
  <si>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</si>
  <si>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</si>
  <si>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</si>
  <si>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</si>
  <si>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</si>
  <si>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</si>
  <si>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</si>
  <si>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</si>
  <si>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</si>
  <si>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</si>
  <si>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</si>
  <si>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</si>
  <si>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</si>
  <si>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</si>
  <si>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</si>
  <si>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</si>
  <si>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</si>
  <si>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</si>
  <si>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</si>
  <si>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</si>
  <si>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</si>
  <si>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</si>
  <si>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</si>
  <si>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</si>
  <si>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</si>
  <si>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</si>
  <si>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</si>
  <si>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</si>
  <si>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</si>
  <si>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</si>
  <si>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</si>
  <si>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</si>
  <si>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</si>
  <si>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</si>
  <si>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</si>
  <si>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</si>
  <si>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</si>
  <si>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</si>
  <si>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</si>
  <si>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</si>
  <si>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</si>
  <si>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</si>
  <si>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</si>
  <si>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</si>
  <si>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</si>
  <si>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</si>
  <si>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</si>
  <si>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</si>
  <si>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</si>
  <si>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</si>
  <si>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</si>
  <si>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</si>
  <si>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</si>
  <si>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</si>
  <si>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</si>
  <si>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</si>
  <si>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</si>
  <si>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</si>
  <si>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</si>
  <si>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</si>
  <si>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</si>
  <si>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</si>
  <si>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</si>
  <si>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</si>
  <si>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</si>
  <si>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</si>
  <si>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</si>
  <si>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</si>
  <si>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</si>
  <si>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</si>
  <si>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</si>
  <si>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</si>
  <si>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</si>
  <si>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</si>
  <si>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</si>
  <si>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</si>
  <si>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</si>
  <si>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</si>
  <si>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</si>
  <si>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</si>
  <si>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</si>
  <si>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</si>
  <si>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</si>
  <si>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</si>
  <si>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</si>
  <si>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</si>
  <si>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</si>
  <si>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</si>
  <si>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</si>
  <si>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</si>
  <si>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</si>
  <si>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</si>
  <si>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</si>
  <si>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</si>
  <si>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</si>
  <si>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</si>
  <si>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</si>
  <si>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</si>
  <si>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</si>
  <si>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</si>
  <si>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</si>
  <si>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</si>
  <si>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</si>
  <si>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</si>
  <si>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</si>
  <si>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</si>
  <si>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</si>
  <si>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</si>
  <si>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</si>
  <si>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</si>
  <si>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</si>
  <si>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</si>
  <si>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</si>
  <si>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</si>
  <si>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</si>
  <si>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</si>
  <si>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</si>
  <si>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</si>
  <si>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</si>
  <si>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</si>
  <si>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</si>
  <si>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</si>
  <si>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</si>
  <si>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</si>
  <si>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</si>
  <si>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</si>
  <si>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</si>
  <si>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</si>
  <si>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</si>
  <si>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</si>
  <si>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</si>
  <si>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</si>
  <si>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</si>
  <si>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</si>
  <si>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</si>
  <si>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</si>
  <si>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</si>
  <si>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</si>
  <si>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</si>
  <si>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</si>
  <si>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</si>
  <si>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</si>
  <si>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</si>
  <si>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</si>
  <si>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</si>
  <si>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</si>
  <si>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</si>
  <si>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</si>
  <si>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</si>
  <si>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</si>
  <si>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</si>
  <si>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</si>
  <si>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</si>
  <si>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</si>
  <si>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</si>
  <si>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</si>
  <si>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</si>
  <si>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</si>
  <si>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</si>
  <si>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</si>
  <si>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</si>
  <si>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</si>
  <si>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</si>
  <si>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</si>
  <si>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</si>
  <si>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</si>
  <si>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</si>
  <si>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</si>
  <si>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</si>
  <si>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</si>
  <si>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</si>
  <si>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</si>
  <si>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</si>
  <si>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</si>
  <si>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</si>
  <si>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</si>
  <si>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</si>
  <si>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</si>
  <si>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</si>
  <si>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</si>
  <si>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</si>
  <si>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</si>
  <si>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</si>
  <si>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</si>
  <si>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</si>
  <si>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</si>
  <si>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</si>
  <si>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</si>
  <si>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</si>
  <si>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</si>
  <si>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</si>
  <si>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</si>
  <si>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</si>
  <si>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</si>
  <si>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</si>
  <si>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</si>
  <si>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</si>
  <si>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</si>
  <si>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</si>
  <si>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</si>
  <si>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</si>
  <si>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</si>
  <si>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</si>
  <si>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</si>
  <si>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</si>
  <si>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</si>
  <si>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</si>
  <si>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</si>
  <si>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</si>
  <si>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</si>
  <si>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</si>
  <si>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</si>
  <si>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</si>
  <si>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</si>
  <si>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</si>
  <si>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</si>
  <si>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</si>
  <si>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</si>
  <si>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</si>
  <si>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</si>
  <si>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</si>
  <si>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</si>
  <si>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</si>
  <si>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</si>
  <si>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</si>
  <si>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</si>
  <si>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</si>
  <si>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</si>
  <si>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</si>
  <si>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</si>
  <si>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</si>
  <si>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</si>
  <si>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</si>
  <si>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</si>
  <si>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</si>
  <si>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</si>
  <si>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</si>
  <si>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</si>
  <si>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</si>
  <si>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</si>
  <si>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</si>
  <si>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</si>
  <si>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</si>
  <si>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</si>
  <si>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</si>
  <si>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</si>
  <si>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</si>
  <si>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</si>
  <si>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</si>
  <si>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</si>
  <si>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</si>
  <si>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</si>
  <si>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</si>
  <si>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</si>
  <si>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</si>
  <si>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</si>
  <si>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</si>
  <si>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</si>
  <si>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</si>
  <si>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</si>
  <si>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</si>
  <si>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</si>
  <si>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</si>
  <si>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</si>
  <si>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</si>
  <si>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</si>
  <si>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</si>
  <si>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</si>
  <si>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</si>
  <si>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</si>
  <si>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</si>
  <si>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</si>
  <si>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</si>
  <si>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</si>
  <si>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</si>
  <si>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</si>
  <si>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</si>
  <si>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</si>
  <si>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</si>
  <si>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</si>
  <si>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</si>
  <si>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</si>
  <si>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</si>
  <si>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</si>
  <si>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</si>
  <si>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</si>
  <si>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</si>
  <si>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</si>
  <si>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</si>
  <si>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</si>
  <si>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</si>
  <si>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</si>
  <si>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</si>
  <si>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</si>
  <si>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</si>
  <si>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</si>
  <si>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</si>
  <si>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</si>
  <si>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</si>
  <si>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</si>
  <si>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</si>
  <si>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</si>
  <si>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</si>
  <si>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</si>
  <si>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</si>
  <si>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</si>
  <si>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</si>
  <si>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</si>
  <si>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</si>
  <si>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</si>
  <si>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</si>
  <si>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</si>
  <si>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</si>
  <si>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</si>
  <si>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</si>
  <si>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</si>
  <si>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</si>
  <si>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</si>
  <si>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</si>
  <si>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</si>
  <si>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</si>
  <si>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</si>
  <si>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</si>
  <si>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</si>
  <si>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</si>
  <si>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</si>
  <si>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</si>
  <si>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</si>
  <si>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</si>
  <si>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</si>
  <si>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</si>
  <si>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</si>
  <si>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</si>
  <si>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</si>
  <si>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</si>
  <si>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</si>
  <si>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</si>
  <si>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</si>
  <si>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</si>
  <si>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</si>
  <si>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</si>
  <si>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</si>
  <si>
    <t>1198x1979</t>
  </si>
  <si>
    <t>193x792x193</t>
  </si>
  <si>
    <t>1827</t>
  </si>
  <si>
    <t>IPE EMBALAGENS</t>
  </si>
  <si>
    <t>1215x2073</t>
  </si>
  <si>
    <t>238x719x238</t>
  </si>
  <si>
    <t>PROGRAMAÇÃO ONDULADEIRA - IPE EMBALAGENS  —  OF: 001291</t>
  </si>
  <si>
    <t>1020x2000</t>
  </si>
  <si>
    <t>1138</t>
  </si>
  <si>
    <t>755x1490</t>
  </si>
  <si>
    <t>1139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</si>
</sst>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0"/>
    <xf numFmtId="0" fontId="6" fillId="0" borderId="0"/>
    <xf numFmtId="0" fontId="16" fillId="0" borderId="0"/>
    <xf numFmtId="0" fontId="27" fillId="0" borderId="0"/>
    <xf numFmtId="0" fontId="28" fillId="0" borderId="0"/>
  </cellStyleXfs>
  <cellXfs count="332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1" fillId="2" borderId="1" xfId="2" applyFont="1" applyFill="1" applyBorder="1" applyAlignment="1">
      <alignment horizontal="right"/>
    </xf>
    <xf numFmtId="0" fontId="11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1" fillId="3" borderId="1" xfId="2" applyFont="1" applyFill="1" applyBorder="1" applyAlignment="1">
      <alignment horizontal="left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2" fillId="4" borderId="1" xfId="1" applyFont="1" applyFill="1" applyBorder="1" applyAlignment="1">
      <alignment horizontal="center" vertical="center" wrapText="1"/>
    </xf>
    <xf numFmtId="0" fontId="16" fillId="0" borderId="0" xfId="3"/>
    <xf numFmtId="0" fontId="17" fillId="2" borderId="1" xfId="3" applyFont="1" applyFill="1" applyBorder="1" applyAlignment="1">
      <alignment horizontal="right"/>
    </xf>
    <xf numFmtId="0" fontId="17" fillId="2" borderId="1" xfId="3" applyFont="1" applyFill="1" applyBorder="1" applyAlignment="1">
      <alignment horizontal="left"/>
    </xf>
    <xf numFmtId="0" fontId="16" fillId="3" borderId="1" xfId="3" applyFill="1" applyBorder="1" applyAlignment="1">
      <alignment horizontal="right"/>
    </xf>
    <xf numFmtId="166" fontId="16" fillId="3" borderId="1" xfId="3" applyNumberFormat="1" applyFill="1" applyBorder="1" applyAlignment="1">
      <alignment horizontal="right"/>
    </xf>
    <xf numFmtId="164" fontId="16" fillId="3" borderId="1" xfId="3" applyNumberFormat="1" applyFill="1" applyBorder="1" applyAlignment="1">
      <alignment horizontal="right"/>
    </xf>
    <xf numFmtId="2" fontId="16" fillId="3" borderId="1" xfId="3" applyNumberFormat="1" applyFill="1" applyBorder="1" applyAlignment="1">
      <alignment horizontal="right"/>
    </xf>
    <xf numFmtId="165" fontId="16" fillId="3" borderId="1" xfId="3" applyNumberFormat="1" applyFill="1" applyBorder="1" applyAlignment="1">
      <alignment horizontal="right"/>
    </xf>
    <xf numFmtId="0" fontId="16" fillId="3" borderId="1" xfId="3" applyFill="1" applyBorder="1" applyAlignment="1">
      <alignment horizontal="left"/>
    </xf>
    <xf numFmtId="164" fontId="16" fillId="3" borderId="1" xfId="3" applyNumberFormat="1" applyFill="1" applyBorder="1" applyAlignment="1">
      <alignment horizontal="left"/>
    </xf>
    <xf numFmtId="0" fontId="17" fillId="3" borderId="1" xfId="3" applyFont="1" applyFill="1" applyBorder="1" applyAlignment="1">
      <alignment horizontal="left"/>
    </xf>
    <xf numFmtId="0" fontId="18" fillId="4" borderId="1" xfId="3" applyFont="1" applyFill="1" applyBorder="1" applyAlignment="1">
      <alignment horizontal="center" vertical="center" wrapText="1"/>
    </xf>
    <xf numFmtId="0" fontId="16" fillId="3" borderId="1" xfId="3" applyFill="1" applyBorder="1" applyAlignment="1">
      <alignment horizontal="center" vertical="center"/>
    </xf>
    <xf numFmtId="0" fontId="17" fillId="3" borderId="1" xfId="3" applyFont="1" applyFill="1" applyBorder="1" applyAlignment="1">
      <alignment horizontal="center" vertical="center"/>
    </xf>
    <xf numFmtId="164" fontId="16" fillId="3" borderId="1" xfId="3" applyNumberFormat="1" applyFill="1" applyBorder="1" applyAlignment="1">
      <alignment horizontal="center" vertical="center"/>
    </xf>
    <xf numFmtId="165" fontId="16" fillId="3" borderId="1" xfId="3" applyNumberFormat="1" applyFill="1" applyBorder="1" applyAlignment="1">
      <alignment horizontal="center" vertical="center"/>
    </xf>
    <xf numFmtId="166" fontId="16" fillId="3" borderId="1" xfId="3" applyNumberFormat="1" applyFill="1" applyBorder="1" applyAlignment="1">
      <alignment horizontal="center" vertical="center"/>
    </xf>
    <xf numFmtId="2" fontId="16" fillId="3" borderId="1" xfId="3" applyNumberFormat="1" applyFill="1" applyBorder="1" applyAlignment="1">
      <alignment horizontal="center" vertical="center"/>
    </xf>
    <xf numFmtId="0" fontId="16" fillId="0" borderId="0" xfId="3" applyAlignment="1">
      <alignment horizontal="center" vertical="center"/>
    </xf>
    <xf numFmtId="0" fontId="17" fillId="2" borderId="1" xfId="3" applyFont="1" applyFill="1" applyBorder="1" applyAlignment="1">
      <alignment horizontal="center" vertical="center"/>
    </xf>
    <xf numFmtId="0" fontId="16" fillId="3" borderId="1" xfId="3" applyFill="1" applyBorder="1" applyAlignment="1">
      <alignment horizontal="center"/>
    </xf>
    <xf numFmtId="0" fontId="17" fillId="3" borderId="1" xfId="3" applyFont="1" applyFill="1" applyBorder="1" applyAlignment="1">
      <alignment horizontal="center"/>
    </xf>
    <xf numFmtId="164" fontId="16" fillId="3" borderId="1" xfId="3" applyNumberFormat="1" applyFill="1" applyBorder="1" applyAlignment="1">
      <alignment horizontal="center"/>
    </xf>
    <xf numFmtId="165" fontId="16" fillId="3" borderId="1" xfId="3" applyNumberFormat="1" applyFill="1" applyBorder="1" applyAlignment="1">
      <alignment horizontal="center"/>
    </xf>
    <xf numFmtId="166" fontId="16" fillId="3" borderId="1" xfId="3" applyNumberFormat="1" applyFill="1" applyBorder="1" applyAlignment="1">
      <alignment horizontal="center"/>
    </xf>
    <xf numFmtId="2" fontId="16" fillId="3" borderId="1" xfId="3" applyNumberFormat="1" applyFill="1" applyBorder="1" applyAlignment="1">
      <alignment horizontal="center"/>
    </xf>
    <xf numFmtId="0" fontId="16" fillId="0" borderId="0" xfId="3" applyAlignment="1">
      <alignment horizontal="center"/>
    </xf>
    <xf numFmtId="0" fontId="17" fillId="2" borderId="1" xfId="3" applyFont="1" applyFill="1" applyBorder="1" applyAlignment="1">
      <alignment horizontal="center"/>
    </xf>
    <xf numFmtId="14" fontId="16" fillId="3" borderId="1" xfId="3" applyNumberFormat="1" applyFill="1" applyBorder="1" applyAlignment="1">
      <alignment horizontal="center" vertical="center"/>
    </xf>
    <xf numFmtId="0" fontId="16" fillId="6" borderId="1" xfId="3" applyFill="1" applyBorder="1" applyAlignment="1">
      <alignment horizontal="center"/>
    </xf>
    <xf numFmtId="0" fontId="17" fillId="6" borderId="1" xfId="3" applyFont="1" applyFill="1" applyBorder="1" applyAlignment="1">
      <alignment horizontal="center"/>
    </xf>
    <xf numFmtId="164" fontId="16" fillId="6" borderId="1" xfId="3" applyNumberFormat="1" applyFill="1" applyBorder="1" applyAlignment="1">
      <alignment horizontal="center"/>
    </xf>
    <xf numFmtId="165" fontId="16" fillId="6" borderId="1" xfId="3" applyNumberFormat="1" applyFill="1" applyBorder="1" applyAlignment="1">
      <alignment horizontal="center"/>
    </xf>
    <xf numFmtId="166" fontId="16" fillId="6" borderId="1" xfId="3" applyNumberFormat="1" applyFill="1" applyBorder="1" applyAlignment="1">
      <alignment horizontal="center"/>
    </xf>
    <xf numFmtId="2" fontId="16" fillId="6" borderId="1" xfId="3" applyNumberFormat="1" applyFill="1" applyBorder="1" applyAlignment="1">
      <alignment horizontal="center"/>
    </xf>
    <xf numFmtId="0" fontId="16" fillId="6" borderId="0" xfId="3" applyFill="1" applyAlignment="1">
      <alignment horizontal="center"/>
    </xf>
    <xf numFmtId="14" fontId="16" fillId="3" borderId="1" xfId="3" applyNumberFormat="1" applyFill="1" applyBorder="1" applyAlignment="1">
      <alignment horizontal="center"/>
    </xf>
    <xf numFmtId="0" fontId="16" fillId="5" borderId="0" xfId="3" applyFill="1" applyAlignment="1">
      <alignment horizontal="center"/>
    </xf>
    <xf numFmtId="0" fontId="16" fillId="5" borderId="1" xfId="3" applyFill="1" applyBorder="1" applyAlignment="1">
      <alignment horizontal="center" vertical="center"/>
    </xf>
    <xf numFmtId="0" fontId="17" fillId="5" borderId="1" xfId="3" applyFont="1" applyFill="1" applyBorder="1" applyAlignment="1">
      <alignment horizontal="center" vertical="center"/>
    </xf>
    <xf numFmtId="164" fontId="16" fillId="5" borderId="1" xfId="3" applyNumberFormat="1" applyFill="1" applyBorder="1" applyAlignment="1">
      <alignment horizontal="center" vertical="center"/>
    </xf>
    <xf numFmtId="165" fontId="16" fillId="5" borderId="1" xfId="3" applyNumberFormat="1" applyFill="1" applyBorder="1" applyAlignment="1">
      <alignment horizontal="center" vertical="center"/>
    </xf>
    <xf numFmtId="166" fontId="16" fillId="5" borderId="1" xfId="3" applyNumberFormat="1" applyFill="1" applyBorder="1" applyAlignment="1">
      <alignment horizontal="center" vertical="center"/>
    </xf>
    <xf numFmtId="2" fontId="16" fillId="5" borderId="1" xfId="3" applyNumberFormat="1" applyFill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166" fontId="14" fillId="3" borderId="1" xfId="1" applyNumberFormat="1" applyFont="1" applyFill="1" applyBorder="1" applyAlignment="1">
      <alignment horizontal="center" vertical="center"/>
    </xf>
    <xf numFmtId="164" fontId="14" fillId="3" borderId="1" xfId="1" applyNumberFormat="1" applyFont="1" applyFill="1" applyBorder="1" applyAlignment="1">
      <alignment horizontal="center" vertical="center"/>
    </xf>
    <xf numFmtId="2" fontId="14" fillId="3" borderId="1" xfId="1" applyNumberFormat="1" applyFont="1" applyFill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20" fillId="3" borderId="1" xfId="1" applyFont="1" applyFill="1" applyBorder="1" applyAlignment="1">
      <alignment horizontal="center" vertical="center"/>
    </xf>
    <xf numFmtId="14" fontId="16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14" fontId="16" fillId="6" borderId="1" xfId="3" applyNumberFormat="1" applyFill="1" applyBorder="1" applyAlignment="1">
      <alignment horizontal="center"/>
    </xf>
    <xf numFmtId="0" fontId="14" fillId="3" borderId="1" xfId="3" applyFont="1" applyFill="1" applyBorder="1" applyAlignment="1">
      <alignment horizontal="center" vertical="center"/>
    </xf>
    <xf numFmtId="0" fontId="0" fillId="0" borderId="0" xfId="0"/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164" fontId="16" fillId="3" borderId="1" xfId="0" applyNumberFormat="1" applyFont="1" applyFill="1" applyBorder="1" applyAlignment="1">
      <alignment horizontal="center" vertical="center"/>
    </xf>
    <xf numFmtId="165" fontId="16" fillId="3" borderId="1" xfId="0" applyNumberFormat="1" applyFont="1" applyFill="1" applyBorder="1" applyAlignment="1">
      <alignment horizontal="center" vertical="center"/>
    </xf>
    <xf numFmtId="166" fontId="16" fillId="3" borderId="1" xfId="0" applyNumberFormat="1" applyFont="1" applyFill="1" applyBorder="1" applyAlignment="1">
      <alignment horizontal="center" vertical="center"/>
    </xf>
    <xf numFmtId="2" fontId="16" fillId="3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6" fillId="0" borderId="1" xfId="3" applyFill="1" applyBorder="1" applyAlignment="1">
      <alignment horizontal="center" vertical="center"/>
    </xf>
    <xf numFmtId="0" fontId="17" fillId="0" borderId="1" xfId="3" applyFont="1" applyFill="1" applyBorder="1" applyAlignment="1">
      <alignment horizontal="center" vertical="center"/>
    </xf>
    <xf numFmtId="164" fontId="16" fillId="0" borderId="1" xfId="3" applyNumberFormat="1" applyFill="1" applyBorder="1" applyAlignment="1">
      <alignment horizontal="center" vertical="center"/>
    </xf>
    <xf numFmtId="165" fontId="16" fillId="0" borderId="1" xfId="3" applyNumberFormat="1" applyFill="1" applyBorder="1" applyAlignment="1">
      <alignment horizontal="center" vertical="center"/>
    </xf>
    <xf numFmtId="166" fontId="16" fillId="0" borderId="1" xfId="3" applyNumberFormat="1" applyFill="1" applyBorder="1" applyAlignment="1">
      <alignment horizontal="center" vertical="center"/>
    </xf>
    <xf numFmtId="2" fontId="16" fillId="0" borderId="1" xfId="3" applyNumberFormat="1" applyFill="1" applyBorder="1" applyAlignment="1">
      <alignment horizontal="center" vertical="center"/>
    </xf>
    <xf numFmtId="0" fontId="16" fillId="0" borderId="0" xfId="3" applyFill="1"/>
    <xf numFmtId="14" fontId="16" fillId="0" borderId="1" xfId="3" applyNumberFormat="1" applyFill="1" applyBorder="1" applyAlignment="1">
      <alignment horizontal="center" vertical="center"/>
    </xf>
    <xf numFmtId="0" fontId="23" fillId="4" borderId="1" xfId="3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164" fontId="26" fillId="3" borderId="1" xfId="3" applyNumberFormat="1" applyFont="1" applyFill="1" applyBorder="1" applyAlignment="1">
      <alignment horizontal="center" vertical="center"/>
    </xf>
    <xf numFmtId="165" fontId="26" fillId="3" borderId="1" xfId="3" applyNumberFormat="1" applyFont="1" applyFill="1" applyBorder="1" applyAlignment="1">
      <alignment horizontal="center" vertical="center"/>
    </xf>
    <xf numFmtId="166" fontId="26" fillId="3" borderId="1" xfId="3" applyNumberFormat="1" applyFont="1" applyFill="1" applyBorder="1" applyAlignment="1">
      <alignment horizontal="center" vertical="center"/>
    </xf>
    <xf numFmtId="2" fontId="26" fillId="3" borderId="1" xfId="3" applyNumberFormat="1" applyFont="1" applyFill="1" applyBorder="1" applyAlignment="1">
      <alignment horizontal="center" vertical="center"/>
    </xf>
    <xf numFmtId="14" fontId="26" fillId="3" borderId="1" xfId="3" applyNumberFormat="1" applyFont="1" applyFill="1" applyBorder="1" applyAlignment="1">
      <alignment horizontal="center" vertical="center"/>
    </xf>
    <xf numFmtId="0" fontId="25" fillId="2" borderId="1" xfId="3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4" fillId="0" borderId="0" xfId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0" fillId="3" borderId="1" xfId="3" applyFont="1" applyFill="1" applyBorder="1" applyAlignment="1">
      <alignment horizontal="center" vertical="center"/>
    </xf>
    <xf numFmtId="164" fontId="14" fillId="3" borderId="1" xfId="3" applyNumberFormat="1" applyFont="1" applyFill="1" applyBorder="1" applyAlignment="1">
      <alignment horizontal="center" vertical="center"/>
    </xf>
    <xf numFmtId="165" fontId="14" fillId="3" borderId="1" xfId="3" applyNumberFormat="1" applyFont="1" applyFill="1" applyBorder="1" applyAlignment="1">
      <alignment horizontal="center" vertical="center"/>
    </xf>
    <xf numFmtId="166" fontId="14" fillId="3" borderId="1" xfId="3" applyNumberFormat="1" applyFont="1" applyFill="1" applyBorder="1" applyAlignment="1">
      <alignment horizontal="center" vertical="center"/>
    </xf>
    <xf numFmtId="2" fontId="14" fillId="3" borderId="1" xfId="3" applyNumberFormat="1" applyFont="1" applyFill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16" fillId="7" borderId="1" xfId="3" applyFill="1" applyBorder="1" applyAlignment="1">
      <alignment horizontal="center" vertical="center"/>
    </xf>
    <xf numFmtId="0" fontId="17" fillId="7" borderId="1" xfId="3" applyFont="1" applyFill="1" applyBorder="1" applyAlignment="1">
      <alignment horizontal="center" vertical="center"/>
    </xf>
    <xf numFmtId="164" fontId="16" fillId="7" borderId="1" xfId="3" applyNumberFormat="1" applyFill="1" applyBorder="1" applyAlignment="1">
      <alignment horizontal="center" vertical="center"/>
    </xf>
    <xf numFmtId="165" fontId="16" fillId="7" borderId="1" xfId="3" applyNumberFormat="1" applyFill="1" applyBorder="1" applyAlignment="1">
      <alignment horizontal="center" vertical="center"/>
    </xf>
    <xf numFmtId="166" fontId="16" fillId="7" borderId="1" xfId="3" applyNumberFormat="1" applyFill="1" applyBorder="1" applyAlignment="1">
      <alignment horizontal="center" vertical="center"/>
    </xf>
    <xf numFmtId="2" fontId="16" fillId="7" borderId="1" xfId="3" applyNumberFormat="1" applyFill="1" applyBorder="1" applyAlignment="1">
      <alignment horizontal="center" vertical="center"/>
    </xf>
    <xf numFmtId="0" fontId="16" fillId="7" borderId="0" xfId="3" applyFill="1"/>
    <xf numFmtId="164" fontId="24" fillId="0" borderId="0" xfId="0" applyNumberFormat="1" applyFont="1" applyAlignment="1">
      <alignment horizontal="center" vertical="center"/>
    </xf>
    <xf numFmtId="0" fontId="14" fillId="0" borderId="0" xfId="3" applyFont="1"/>
    <xf numFmtId="0" fontId="5" fillId="2" borderId="1" xfId="3" applyFont="1" applyFill="1" applyBorder="1" applyAlignment="1">
      <alignment horizontal="right"/>
    </xf>
    <xf numFmtId="0" fontId="5" fillId="2" borderId="1" xfId="3" applyFont="1" applyFill="1" applyBorder="1" applyAlignment="1">
      <alignment horizontal="left"/>
    </xf>
    <xf numFmtId="0" fontId="4" fillId="3" borderId="1" xfId="3" applyFont="1" applyFill="1" applyBorder="1" applyAlignment="1">
      <alignment horizontal="right"/>
    </xf>
    <xf numFmtId="166" fontId="4" fillId="3" borderId="1" xfId="3" applyNumberFormat="1" applyFont="1" applyFill="1" applyBorder="1" applyAlignment="1">
      <alignment horizontal="right"/>
    </xf>
    <xf numFmtId="164" fontId="4" fillId="3" borderId="1" xfId="3" applyNumberFormat="1" applyFont="1" applyFill="1" applyBorder="1" applyAlignment="1">
      <alignment horizontal="right"/>
    </xf>
    <xf numFmtId="2" fontId="4" fillId="3" borderId="1" xfId="3" applyNumberFormat="1" applyFont="1" applyFill="1" applyBorder="1" applyAlignment="1">
      <alignment horizontal="right"/>
    </xf>
    <xf numFmtId="165" fontId="4" fillId="3" borderId="1" xfId="3" applyNumberFormat="1" applyFont="1" applyFill="1" applyBorder="1" applyAlignment="1">
      <alignment horizontal="right"/>
    </xf>
    <xf numFmtId="0" fontId="4" fillId="3" borderId="1" xfId="3" applyFont="1" applyFill="1" applyBorder="1" applyAlignment="1">
      <alignment horizontal="left"/>
    </xf>
    <xf numFmtId="164" fontId="4" fillId="3" borderId="1" xfId="3" applyNumberFormat="1" applyFont="1" applyFill="1" applyBorder="1" applyAlignment="1">
      <alignment horizontal="left"/>
    </xf>
    <xf numFmtId="0" fontId="5" fillId="3" borderId="1" xfId="3" applyFont="1" applyFill="1" applyBorder="1" applyAlignment="1">
      <alignment horizontal="left"/>
    </xf>
    <xf numFmtId="0" fontId="3" fillId="4" borderId="1" xfId="3" applyFont="1" applyFill="1" applyBorder="1" applyAlignment="1">
      <alignment horizontal="center" vertical="center" wrapText="1"/>
    </xf>
    <xf numFmtId="0" fontId="16" fillId="6" borderId="1" xfId="3" applyFill="1" applyBorder="1" applyAlignment="1">
      <alignment horizontal="center" vertical="center"/>
    </xf>
    <xf numFmtId="0" fontId="17" fillId="6" borderId="1" xfId="3" applyFont="1" applyFill="1" applyBorder="1" applyAlignment="1">
      <alignment horizontal="center" vertical="center"/>
    </xf>
    <xf numFmtId="164" fontId="16" fillId="6" borderId="1" xfId="3" applyNumberFormat="1" applyFill="1" applyBorder="1" applyAlignment="1">
      <alignment horizontal="center" vertical="center"/>
    </xf>
    <xf numFmtId="165" fontId="16" fillId="6" borderId="1" xfId="3" applyNumberFormat="1" applyFill="1" applyBorder="1" applyAlignment="1">
      <alignment horizontal="center" vertical="center"/>
    </xf>
    <xf numFmtId="166" fontId="16" fillId="6" borderId="1" xfId="3" applyNumberFormat="1" applyFill="1" applyBorder="1" applyAlignment="1">
      <alignment horizontal="center" vertical="center"/>
    </xf>
    <xf numFmtId="2" fontId="16" fillId="6" borderId="1" xfId="3" applyNumberFormat="1" applyFill="1" applyBorder="1" applyAlignment="1">
      <alignment horizontal="center" vertical="center"/>
    </xf>
    <xf numFmtId="1" fontId="4" fillId="0" borderId="0" xfId="1" applyNumberFormat="1"/>
    <xf numFmtId="1" fontId="3" fillId="4" borderId="1" xfId="1" applyNumberFormat="1" applyFont="1" applyFill="1" applyBorder="1" applyAlignment="1">
      <alignment horizontal="center" vertical="center" wrapText="1"/>
    </xf>
    <xf numFmtId="0" fontId="16" fillId="6" borderId="0" xfId="3" applyFill="1" applyAlignment="1">
      <alignment horizontal="center" vertical="center"/>
    </xf>
    <xf numFmtId="0" fontId="18" fillId="4" borderId="3" xfId="3" applyFont="1" applyFill="1" applyBorder="1" applyAlignment="1">
      <alignment horizontal="center" vertical="center" wrapText="1"/>
    </xf>
    <xf numFmtId="0" fontId="17" fillId="2" borderId="4" xfId="3" applyFont="1" applyFill="1" applyBorder="1" applyAlignment="1">
      <alignment horizontal="center" vertical="center"/>
    </xf>
    <xf numFmtId="0" fontId="16" fillId="6" borderId="2" xfId="3" applyFill="1" applyBorder="1" applyAlignment="1">
      <alignment horizontal="center" vertical="center"/>
    </xf>
    <xf numFmtId="0" fontId="17" fillId="6" borderId="2" xfId="3" applyFont="1" applyFill="1" applyBorder="1" applyAlignment="1">
      <alignment horizontal="center" vertical="center"/>
    </xf>
    <xf numFmtId="164" fontId="16" fillId="6" borderId="2" xfId="3" applyNumberFormat="1" applyFill="1" applyBorder="1" applyAlignment="1">
      <alignment horizontal="center" vertical="center"/>
    </xf>
    <xf numFmtId="165" fontId="16" fillId="6" borderId="2" xfId="3" applyNumberFormat="1" applyFill="1" applyBorder="1" applyAlignment="1">
      <alignment horizontal="center" vertical="center"/>
    </xf>
    <xf numFmtId="166" fontId="16" fillId="6" borderId="2" xfId="3" applyNumberFormat="1" applyFill="1" applyBorder="1" applyAlignment="1">
      <alignment horizontal="center" vertical="center"/>
    </xf>
    <xf numFmtId="2" fontId="16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4" fillId="6" borderId="2" xfId="1" applyFill="1" applyBorder="1" applyAlignment="1">
      <alignment horizontal="center" vertical="center"/>
    </xf>
    <xf numFmtId="0" fontId="5" fillId="6" borderId="2" xfId="1" applyFont="1" applyFill="1" applyBorder="1" applyAlignment="1">
      <alignment horizontal="center" vertical="center"/>
    </xf>
    <xf numFmtId="164" fontId="4" fillId="6" borderId="2" xfId="1" applyNumberFormat="1" applyFill="1" applyBorder="1" applyAlignment="1">
      <alignment horizontal="center" vertical="center"/>
    </xf>
    <xf numFmtId="165" fontId="4" fillId="6" borderId="2" xfId="1" applyNumberFormat="1" applyFill="1" applyBorder="1" applyAlignment="1">
      <alignment horizontal="center" vertical="center"/>
    </xf>
    <xf numFmtId="166" fontId="4" fillId="6" borderId="2" xfId="1" applyNumberFormat="1" applyFill="1" applyBorder="1" applyAlignment="1">
      <alignment horizontal="center" vertical="center"/>
    </xf>
    <xf numFmtId="2" fontId="4" fillId="6" borderId="2" xfId="1" applyNumberForma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166" fontId="16" fillId="5" borderId="1" xfId="0" applyNumberFormat="1" applyFont="1" applyFill="1" applyBorder="1" applyAlignment="1">
      <alignment horizontal="center" vertical="center"/>
    </xf>
    <xf numFmtId="2" fontId="16" fillId="5" borderId="1" xfId="0" applyNumberFormat="1" applyFont="1" applyFill="1" applyBorder="1" applyAlignment="1">
      <alignment horizontal="center" vertic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4" fillId="0" borderId="0" xfId="1" applyAlignment="1">
      <alignment wrapText="1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" fontId="4" fillId="6" borderId="1" xfId="1" applyNumberForma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6" fontId="16" fillId="6" borderId="1" xfId="0" applyNumberFormat="1" applyFont="1" applyFill="1" applyBorder="1" applyAlignment="1">
      <alignment horizontal="center" vertical="center"/>
    </xf>
    <xf numFmtId="2" fontId="16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5" fillId="2" borderId="1" xfId="1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164" fontId="16" fillId="3" borderId="1" xfId="0" applyNumberFormat="1" applyFont="1" applyFill="1" applyBorder="1" applyAlignment="1">
      <alignment horizontal="center"/>
    </xf>
    <xf numFmtId="165" fontId="16" fillId="3" borderId="1" xfId="0" applyNumberFormat="1" applyFont="1" applyFill="1" applyBorder="1" applyAlignment="1">
      <alignment horizontal="center"/>
    </xf>
    <xf numFmtId="166" fontId="16" fillId="3" borderId="1" xfId="0" applyNumberFormat="1" applyFont="1" applyFill="1" applyBorder="1" applyAlignment="1">
      <alignment horizontal="center"/>
    </xf>
    <xf numFmtId="2" fontId="16" fillId="3" borderId="1" xfId="0" applyNumberFormat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 wrapText="1"/>
    </xf>
    <xf numFmtId="0" fontId="4" fillId="3" borderId="1" xfId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4" fontId="4" fillId="3" borderId="1" xfId="1" applyNumberFormat="1" applyFill="1" applyBorder="1" applyAlignment="1">
      <alignment horizontal="center"/>
    </xf>
    <xf numFmtId="165" fontId="4" fillId="3" borderId="1" xfId="1" applyNumberFormat="1" applyFill="1" applyBorder="1" applyAlignment="1">
      <alignment horizontal="center"/>
    </xf>
    <xf numFmtId="166" fontId="4" fillId="3" borderId="1" xfId="1" applyNumberFormat="1" applyFill="1" applyBorder="1" applyAlignment="1">
      <alignment horizontal="center"/>
    </xf>
    <xf numFmtId="2" fontId="4" fillId="3" borderId="1" xfId="1" applyNumberForma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164" fontId="4" fillId="3" borderId="1" xfId="3" applyNumberFormat="1" applyFont="1" applyFill="1" applyBorder="1" applyAlignment="1">
      <alignment horizontal="center"/>
    </xf>
    <xf numFmtId="165" fontId="4" fillId="3" borderId="1" xfId="3" applyNumberFormat="1" applyFont="1" applyFill="1" applyBorder="1" applyAlignment="1">
      <alignment horizontal="center"/>
    </xf>
    <xf numFmtId="166" fontId="4" fillId="3" borderId="1" xfId="3" applyNumberFormat="1" applyFont="1" applyFill="1" applyBorder="1" applyAlignment="1">
      <alignment horizontal="center"/>
    </xf>
    <xf numFmtId="2" fontId="4" fillId="3" borderId="1" xfId="3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  <xf numFmtId="165" fontId="2" fillId="0" borderId="0" xfId="0" applyNumberFormat="1" applyFont="1" applyAlignment="1">
      <alignment vertical="center" wrapText="1"/>
    </xf>
    <xf numFmtId="166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vertical="center" wrapText="1"/>
    </xf>
    <xf numFmtId="0" fontId="28" fillId="0" borderId="0" xfId="5"/>
    <xf numFmtId="0" fontId="30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4" fillId="3" borderId="1" xfId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right"/>
    </xf>
    <xf numFmtId="165" fontId="4" fillId="3" borderId="1" xfId="1" applyNumberFormat="1" applyFont="1" applyFill="1" applyBorder="1" applyAlignment="1">
      <alignment horizontal="right"/>
    </xf>
    <xf numFmtId="166" fontId="4" fillId="3" borderId="1" xfId="1" applyNumberFormat="1" applyFont="1" applyFill="1" applyBorder="1" applyAlignment="1">
      <alignment horizontal="right"/>
    </xf>
    <xf numFmtId="2" fontId="4" fillId="3" borderId="1" xfId="1" applyNumberFormat="1" applyFont="1" applyFill="1" applyBorder="1" applyAlignment="1">
      <alignment horizontal="right"/>
    </xf>
    <xf numFmtId="0" fontId="4" fillId="3" borderId="1" xfId="1" applyFont="1" applyFill="1" applyBorder="1" applyAlignment="1">
      <alignment horizontal="right"/>
    </xf>
    <xf numFmtId="0" fontId="4" fillId="0" borderId="0" xfId="1" applyFont="1"/>
    <xf numFmtId="0" fontId="28" fillId="3" borderId="1" xfId="5" applyFill="1" applyBorder="1" applyAlignment="1">
      <alignment horizontal="center" vertical="center"/>
    </xf>
    <xf numFmtId="0" fontId="29" fillId="3" borderId="1" xfId="5" applyFont="1" applyFill="1" applyBorder="1" applyAlignment="1">
      <alignment horizontal="center" vertical="center"/>
    </xf>
    <xf numFmtId="164" fontId="28" fillId="3" borderId="1" xfId="5" applyNumberFormat="1" applyFill="1" applyBorder="1" applyAlignment="1">
      <alignment horizontal="center" vertical="center"/>
    </xf>
    <xf numFmtId="165" fontId="28" fillId="3" borderId="1" xfId="5" applyNumberFormat="1" applyFill="1" applyBorder="1" applyAlignment="1">
      <alignment horizontal="center" vertical="center"/>
    </xf>
    <xf numFmtId="166" fontId="28" fillId="3" borderId="1" xfId="5" applyNumberFormat="1" applyFill="1" applyBorder="1" applyAlignment="1">
      <alignment horizontal="center" vertical="center"/>
    </xf>
    <xf numFmtId="2" fontId="28" fillId="3" borderId="1" xfId="5" applyNumberFormat="1" applyFill="1" applyBorder="1" applyAlignment="1">
      <alignment horizontal="center" vertical="center"/>
    </xf>
    <xf numFmtId="0" fontId="28" fillId="0" borderId="0" xfId="5" applyAlignment="1">
      <alignment horizontal="center" vertical="center"/>
    </xf>
    <xf numFmtId="0" fontId="29" fillId="2" borderId="1" xfId="5" applyFont="1" applyFill="1" applyBorder="1" applyAlignment="1">
      <alignment horizontal="center" vertical="center"/>
    </xf>
    <xf numFmtId="0" fontId="30" fillId="4" borderId="3" xfId="5" applyFont="1" applyFill="1" applyBorder="1" applyAlignment="1">
      <alignment horizontal="center" vertical="center" wrapText="1"/>
    </xf>
    <xf numFmtId="0" fontId="29" fillId="2" borderId="4" xfId="5" applyFont="1" applyFill="1" applyBorder="1" applyAlignment="1">
      <alignment horizontal="left"/>
    </xf>
    <xf numFmtId="0" fontId="29" fillId="2" borderId="4" xfId="5" applyFont="1" applyFill="1" applyBorder="1" applyAlignment="1">
      <alignment horizontal="right"/>
    </xf>
    <xf numFmtId="0" fontId="28" fillId="3" borderId="2" xfId="5" applyFill="1" applyBorder="1" applyAlignment="1">
      <alignment horizontal="center" vertical="center"/>
    </xf>
    <xf numFmtId="0" fontId="29" fillId="3" borderId="2" xfId="5" applyFont="1" applyFill="1" applyBorder="1" applyAlignment="1">
      <alignment horizontal="center" vertical="center"/>
    </xf>
    <xf numFmtId="164" fontId="28" fillId="3" borderId="2" xfId="5" applyNumberFormat="1" applyFill="1" applyBorder="1" applyAlignment="1">
      <alignment horizontal="center" vertical="center"/>
    </xf>
    <xf numFmtId="165" fontId="28" fillId="3" borderId="2" xfId="5" applyNumberFormat="1" applyFill="1" applyBorder="1" applyAlignment="1">
      <alignment horizontal="center" vertical="center"/>
    </xf>
    <xf numFmtId="166" fontId="28" fillId="3" borderId="2" xfId="5" applyNumberFormat="1" applyFill="1" applyBorder="1" applyAlignment="1">
      <alignment horizontal="center" vertical="center"/>
    </xf>
    <xf numFmtId="2" fontId="28" fillId="3" borderId="2" xfId="5" applyNumberFormat="1" applyFill="1" applyBorder="1" applyAlignment="1">
      <alignment horizontal="center" vertical="center"/>
    </xf>
    <xf numFmtId="0" fontId="2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1" fillId="0" borderId="2" xfId="0" applyNumberFormat="1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164" fontId="1" fillId="0" borderId="2" xfId="0" applyNumberFormat="1" applyFont="1" applyBorder="1" applyAlignment="1">
      <alignment horizontal="center" wrapText="1"/>
    </xf>
    <xf numFmtId="165" fontId="1" fillId="0" borderId="2" xfId="0" applyNumberFormat="1" applyFont="1" applyBorder="1" applyAlignment="1">
      <alignment horizontal="center" wrapText="1"/>
    </xf>
    <xf numFmtId="166" fontId="1" fillId="0" borderId="2" xfId="0" applyNumberFormat="1" applyFont="1" applyBorder="1" applyAlignment="1">
      <alignment horizontal="center" wrapText="1"/>
    </xf>
    <xf numFmtId="2" fontId="1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8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0" fillId="4" borderId="2" xfId="5" applyFont="1" applyFill="1" applyBorder="1" applyAlignment="1">
      <alignment horizontal="center" vertical="center" wrapText="1"/>
    </xf>
    <xf numFmtId="0" fontId="29" fillId="2" borderId="2" xfId="5" applyFont="1" applyFill="1" applyBorder="1" applyAlignment="1">
      <alignment horizontal="center" vertical="center"/>
    </xf>
    <xf numFmtId="0" fontId="29" fillId="2" borderId="1" xfId="5" applyFont="1" applyFill="1" applyBorder="1" applyAlignment="1">
      <alignment horizontal="right"/>
    </xf>
    <xf numFmtId="0" fontId="29" fillId="2" borderId="1" xfId="5" applyFont="1" applyFill="1" applyBorder="1" applyAlignment="1">
      <alignment horizontal="left"/>
    </xf>
    <xf numFmtId="0" fontId="28" fillId="3" borderId="1" xfId="5" applyFill="1" applyBorder="1" applyAlignment="1">
      <alignment horizontal="right"/>
    </xf>
    <xf numFmtId="166" fontId="28" fillId="3" borderId="1" xfId="5" applyNumberFormat="1" applyFill="1" applyBorder="1" applyAlignment="1">
      <alignment horizontal="right"/>
    </xf>
    <xf numFmtId="164" fontId="28" fillId="3" borderId="1" xfId="5" applyNumberFormat="1" applyFill="1" applyBorder="1" applyAlignment="1">
      <alignment horizontal="right"/>
    </xf>
    <xf numFmtId="2" fontId="28" fillId="3" borderId="1" xfId="5" applyNumberFormat="1" applyFill="1" applyBorder="1" applyAlignment="1">
      <alignment horizontal="right"/>
    </xf>
    <xf numFmtId="165" fontId="28" fillId="3" borderId="1" xfId="5" applyNumberFormat="1" applyFill="1" applyBorder="1" applyAlignment="1">
      <alignment horizontal="right"/>
    </xf>
    <xf numFmtId="0" fontId="28" fillId="3" borderId="1" xfId="5" applyFill="1" applyBorder="1" applyAlignment="1">
      <alignment horizontal="left"/>
    </xf>
    <xf numFmtId="164" fontId="28" fillId="3" borderId="1" xfId="5" applyNumberFormat="1" applyFill="1" applyBorder="1" applyAlignment="1">
      <alignment horizontal="left"/>
    </xf>
    <xf numFmtId="0" fontId="29" fillId="3" borderId="1" xfId="5" applyFont="1" applyFill="1" applyBorder="1" applyAlignment="1">
      <alignment horizontal="left"/>
    </xf>
    <xf numFmtId="0" fontId="28" fillId="3" borderId="1" xfId="5" applyFill="1" applyBorder="1" applyAlignment="1">
      <alignment horizontal="center"/>
    </xf>
    <xf numFmtId="0" fontId="29" fillId="3" borderId="1" xfId="5" applyFont="1" applyFill="1" applyBorder="1" applyAlignment="1">
      <alignment horizontal="center"/>
    </xf>
    <xf numFmtId="164" fontId="28" fillId="3" borderId="1" xfId="5" applyNumberFormat="1" applyFill="1" applyBorder="1" applyAlignment="1">
      <alignment horizontal="center"/>
    </xf>
    <xf numFmtId="165" fontId="28" fillId="3" borderId="1" xfId="5" applyNumberFormat="1" applyFill="1" applyBorder="1" applyAlignment="1">
      <alignment horizontal="center"/>
    </xf>
    <xf numFmtId="166" fontId="28" fillId="3" borderId="1" xfId="5" applyNumberFormat="1" applyFill="1" applyBorder="1" applyAlignment="1">
      <alignment horizontal="center"/>
    </xf>
    <xf numFmtId="2" fontId="28" fillId="3" borderId="1" xfId="5" applyNumberFormat="1" applyFill="1" applyBorder="1" applyAlignment="1">
      <alignment horizontal="center"/>
    </xf>
    <xf numFmtId="0" fontId="28" fillId="0" borderId="0" xfId="5" applyAlignment="1">
      <alignment horizontal="center"/>
    </xf>
    <xf numFmtId="0" fontId="29" fillId="2" borderId="1" xfId="5" applyFont="1" applyFill="1" applyBorder="1" applyAlignment="1">
      <alignment horizontal="center"/>
    </xf>
    <xf numFmtId="0" fontId="31" fillId="0" borderId="0" xfId="5" applyFont="1"/>
    <xf numFmtId="0" fontId="8" fillId="0" borderId="0" xfId="5" applyFont="1"/>
    <xf numFmtId="0" fontId="8" fillId="0" borderId="2" xfId="5" applyFont="1" applyBorder="1"/>
    <xf numFmtId="0" fontId="8" fillId="0" borderId="0" xfId="1" applyFont="1"/>
    <xf numFmtId="0" fontId="8" fillId="0" borderId="0" xfId="1" applyFont="1" applyAlignment="1">
      <alignment horizontal="center" vertical="center"/>
    </xf>
    <xf numFmtId="0" fontId="8" fillId="0" borderId="0" xfId="3" applyFont="1"/>
    <xf numFmtId="0" fontId="8" fillId="0" borderId="0" xfId="1" applyFont="1" applyAlignment="1">
      <alignment horizontal="center"/>
    </xf>
    <xf numFmtId="0" fontId="22" fillId="0" borderId="0" xfId="3" applyFont="1"/>
    <xf numFmtId="0" fontId="8" fillId="0" borderId="0" xfId="3" applyFont="1" applyAlignment="1">
      <alignment horizontal="center" vertical="center"/>
    </xf>
    <xf numFmtId="0" fontId="19" fillId="0" borderId="0" xfId="3" applyFont="1"/>
    <xf numFmtId="0" fontId="13" fillId="0" borderId="0" xfId="1" applyFont="1"/>
    <xf numFmtId="0" fontId="8" fillId="0" borderId="0" xfId="2" applyFont="1"/>
    <xf numFmtId="0" fontId="28" fillId="3" borderId="1" xfId="0" applyFont="1" applyFill="1" applyBorder="1" applyAlignment="1">
      <alignment horizontal="right"/>
    </xf>
    <xf numFmtId="166" fontId="28" fillId="3" borderId="1" xfId="0" applyNumberFormat="1" applyFont="1" applyFill="1" applyBorder="1" applyAlignment="1">
      <alignment horizontal="right"/>
    </xf>
    <xf numFmtId="164" fontId="28" fillId="3" borderId="1" xfId="0" applyNumberFormat="1" applyFont="1" applyFill="1" applyBorder="1" applyAlignment="1">
      <alignment horizontal="right"/>
    </xf>
    <xf numFmtId="2" fontId="28" fillId="3" borderId="1" xfId="0" applyNumberFormat="1" applyFont="1" applyFill="1" applyBorder="1" applyAlignment="1">
      <alignment horizontal="right"/>
    </xf>
    <xf numFmtId="165" fontId="28" fillId="3" borderId="1" xfId="0" applyNumberFormat="1" applyFont="1" applyFill="1" applyBorder="1" applyAlignment="1">
      <alignment horizontal="right"/>
    </xf>
    <xf numFmtId="0" fontId="28" fillId="3" borderId="1" xfId="0" applyFont="1" applyFill="1" applyBorder="1" applyAlignment="1">
      <alignment horizontal="left"/>
    </xf>
    <xf numFmtId="164" fontId="28" fillId="3" borderId="1" xfId="0" applyNumberFormat="1" applyFont="1" applyFill="1" applyBorder="1" applyAlignment="1">
      <alignment horizontal="left"/>
    </xf>
    <xf numFmtId="0" fontId="29" fillId="3" borderId="1" xfId="0" applyFont="1" applyFill="1" applyBorder="1" applyAlignment="1">
      <alignment horizontal="left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9D21-AEF9-4957-9AEA-ED790CD3EE3A}">
  <dimension ref="A1:AC5"/>
  <sheetViews>
    <sheetView zoomScale="144" zoomScaleNormal="144" workbookViewId="0">
      <selection activeCell="J10" sqref="J10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6.33203125" style="242" customWidth="1"/>
    <col min="4" max="4" width="11.77734375" style="242" hidden="1" customWidth="1"/>
    <col min="5" max="5" width="7.21875" style="242" customWidth="1"/>
    <col min="6" max="6" width="5.88671875" style="242" customWidth="1"/>
    <col min="7" max="7" width="4.88671875" style="242" customWidth="1"/>
    <col min="8" max="8" width="6.6640625" style="242" customWidth="1"/>
    <col min="9" max="10" width="6.88671875" style="242" customWidth="1"/>
    <col min="11" max="11" width="13.33203125" style="242" customWidth="1"/>
    <col min="12" max="12" width="7.5546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21875" style="242" customWidth="1"/>
    <col min="18" max="18" width="4.33203125" style="242" customWidth="1"/>
    <col min="19" max="19" width="6.4414062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88671875" style="242" customWidth="1"/>
    <col min="24" max="24" width="7.5546875" style="242" customWidth="1"/>
    <col min="25" max="25" width="7.6640625" style="242" customWidth="1"/>
    <col min="26" max="26" width="7.5546875" style="242" customWidth="1"/>
    <col min="27" max="27" width="7.886718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312" t="s">
        <v>835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1.4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x14ac:dyDescent="0.3">
      <c r="A3" s="258">
        <v>1</v>
      </c>
      <c r="B3" s="259" t="s">
        <v>832</v>
      </c>
      <c r="C3" s="258" t="s">
        <v>35</v>
      </c>
      <c r="D3" s="258" t="s">
        <v>783</v>
      </c>
      <c r="E3" s="258">
        <v>263011</v>
      </c>
      <c r="F3" s="258" t="s">
        <v>831</v>
      </c>
      <c r="G3" s="258">
        <v>500</v>
      </c>
      <c r="H3" s="260">
        <v>1.1950000000000001</v>
      </c>
      <c r="I3" s="260">
        <v>2.0529999999999999</v>
      </c>
      <c r="J3" s="258" t="s">
        <v>27</v>
      </c>
      <c r="K3" s="258" t="s">
        <v>834</v>
      </c>
      <c r="L3" s="258" t="s">
        <v>27</v>
      </c>
      <c r="M3" s="260">
        <v>1226.6679999999999</v>
      </c>
      <c r="N3" s="261">
        <v>1026.5</v>
      </c>
      <c r="O3" s="262">
        <v>0.28510000000000002</v>
      </c>
      <c r="P3" s="263">
        <v>17.11</v>
      </c>
      <c r="Q3" s="258">
        <v>392.5</v>
      </c>
      <c r="R3" s="258">
        <v>1</v>
      </c>
      <c r="S3" s="258">
        <v>1250</v>
      </c>
      <c r="T3" s="260">
        <v>1.1950000000000001</v>
      </c>
      <c r="U3" s="258">
        <v>55</v>
      </c>
      <c r="V3" s="262">
        <v>4.3999999999999997E-2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833</v>
      </c>
    </row>
    <row r="4" spans="1:29" s="264" customFormat="1" x14ac:dyDescent="0.3">
      <c r="A4" s="258">
        <v>2</v>
      </c>
      <c r="B4" s="259" t="s">
        <v>832</v>
      </c>
      <c r="C4" s="258" t="s">
        <v>35</v>
      </c>
      <c r="D4" s="258" t="s">
        <v>783</v>
      </c>
      <c r="E4" s="258">
        <v>263012</v>
      </c>
      <c r="F4" s="258" t="s">
        <v>831</v>
      </c>
      <c r="G4" s="258">
        <v>500</v>
      </c>
      <c r="H4" s="260">
        <v>1.1779999999999999</v>
      </c>
      <c r="I4" s="260">
        <v>1.9590000000000001</v>
      </c>
      <c r="J4" s="258" t="s">
        <v>27</v>
      </c>
      <c r="K4" s="258" t="s">
        <v>830</v>
      </c>
      <c r="L4" s="258" t="s">
        <v>27</v>
      </c>
      <c r="M4" s="260">
        <v>1153.8510000000001</v>
      </c>
      <c r="N4" s="261">
        <v>979.5</v>
      </c>
      <c r="O4" s="262">
        <v>0.27210000000000001</v>
      </c>
      <c r="P4" s="263">
        <v>16.32</v>
      </c>
      <c r="Q4" s="258">
        <v>369.2</v>
      </c>
      <c r="R4" s="258">
        <v>1</v>
      </c>
      <c r="S4" s="258">
        <v>1200</v>
      </c>
      <c r="T4" s="260">
        <v>1.1779999999999999</v>
      </c>
      <c r="U4" s="258">
        <v>22</v>
      </c>
      <c r="V4" s="262">
        <v>1.83E-2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829</v>
      </c>
    </row>
    <row r="5" spans="1:29" s="264" customForma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1000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761.8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 x14ac:dyDescent="0.3"/>
  <cols>
    <col min="1" max="1" width="4.4414062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5546875" style="242" customWidth="1"/>
    <col min="6" max="6" width="5.109375" style="242" customWidth="1"/>
    <col min="7" max="7" width="6.33203125" style="242" customWidth="1"/>
    <col min="8" max="8" width="6.6640625" style="242" customWidth="1"/>
    <col min="9" max="9" width="6.44140625" style="242" customWidth="1"/>
    <col min="10" max="10" width="9" style="242" customWidth="1"/>
    <col min="11" max="11" width="14.21875" style="242" customWidth="1"/>
    <col min="12" max="12" width="9.441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44140625" style="242" customWidth="1"/>
    <col min="19" max="19" width="7.44140625" style="242" customWidth="1"/>
    <col min="20" max="20" width="7.33203125" style="242" customWidth="1"/>
    <col min="21" max="21" width="11.77734375" style="242" hidden="1" customWidth="1"/>
    <col min="22" max="22" width="8.77734375" style="242" hidden="1" customWidth="1"/>
    <col min="23" max="25" width="8.21875" style="242" customWidth="1"/>
    <col min="26" max="26" width="8.33203125" style="242" customWidth="1"/>
    <col min="27" max="27" width="8" style="242" customWidth="1"/>
    <col min="28" max="28" width="4.10937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312" t="s">
        <v>824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2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310" customFormat="1" x14ac:dyDescent="0.3">
      <c r="A3" s="304">
        <v>1</v>
      </c>
      <c r="B3" s="305" t="s">
        <v>821</v>
      </c>
      <c r="C3" s="304" t="s">
        <v>44</v>
      </c>
      <c r="D3" s="304" t="s">
        <v>761</v>
      </c>
      <c r="E3" s="304">
        <v>263008</v>
      </c>
      <c r="F3" s="304" t="s">
        <v>271</v>
      </c>
      <c r="G3" s="304">
        <v>3300</v>
      </c>
      <c r="H3" s="306">
        <v>0.497</v>
      </c>
      <c r="I3" s="306">
        <v>0.97</v>
      </c>
      <c r="J3" s="304" t="s">
        <v>27</v>
      </c>
      <c r="K3" s="304" t="s">
        <v>823</v>
      </c>
      <c r="L3" s="304" t="s">
        <v>27</v>
      </c>
      <c r="M3" s="306">
        <v>1590.8969999999999</v>
      </c>
      <c r="N3" s="307">
        <v>1067</v>
      </c>
      <c r="O3" s="308">
        <v>9.8799999999999999E-2</v>
      </c>
      <c r="P3" s="309">
        <v>5.93</v>
      </c>
      <c r="Q3" s="304">
        <v>903.6</v>
      </c>
      <c r="R3" s="304">
        <v>3</v>
      </c>
      <c r="S3" s="304">
        <v>1550</v>
      </c>
      <c r="T3" s="306">
        <v>1.4910000000000001</v>
      </c>
      <c r="U3" s="304">
        <v>59</v>
      </c>
      <c r="V3" s="308">
        <v>3.8100000000000002E-2</v>
      </c>
      <c r="W3" s="304" t="s">
        <v>34</v>
      </c>
      <c r="X3" s="304" t="s">
        <v>39</v>
      </c>
      <c r="Y3" s="304" t="s">
        <v>34</v>
      </c>
      <c r="Z3" s="304" t="s">
        <v>34</v>
      </c>
      <c r="AA3" s="304" t="s">
        <v>34</v>
      </c>
      <c r="AB3" s="304" t="s">
        <v>48</v>
      </c>
      <c r="AC3" s="304" t="s">
        <v>822</v>
      </c>
    </row>
    <row r="4" spans="1:29" s="310" customFormat="1" x14ac:dyDescent="0.3">
      <c r="A4" s="304">
        <v>2</v>
      </c>
      <c r="B4" s="305" t="s">
        <v>821</v>
      </c>
      <c r="C4" s="304" t="s">
        <v>44</v>
      </c>
      <c r="D4" s="304" t="s">
        <v>761</v>
      </c>
      <c r="E4" s="304">
        <v>263009</v>
      </c>
      <c r="F4" s="304" t="s">
        <v>271</v>
      </c>
      <c r="G4" s="304">
        <v>1395</v>
      </c>
      <c r="H4" s="306">
        <v>0.879</v>
      </c>
      <c r="I4" s="306">
        <v>1.48</v>
      </c>
      <c r="J4" s="304" t="s">
        <v>27</v>
      </c>
      <c r="K4" s="304" t="s">
        <v>270</v>
      </c>
      <c r="L4" s="304" t="s">
        <v>27</v>
      </c>
      <c r="M4" s="306">
        <v>1814.7829999999999</v>
      </c>
      <c r="N4" s="307">
        <v>2064.6</v>
      </c>
      <c r="O4" s="308">
        <v>0.57350000000000001</v>
      </c>
      <c r="P4" s="309">
        <v>34.409999999999997</v>
      </c>
      <c r="Q4" s="304">
        <v>1030.8</v>
      </c>
      <c r="R4" s="304">
        <v>1</v>
      </c>
      <c r="S4" s="304">
        <v>900</v>
      </c>
      <c r="T4" s="306">
        <v>0.879</v>
      </c>
      <c r="U4" s="304">
        <v>21</v>
      </c>
      <c r="V4" s="308">
        <v>2.3300000000000001E-2</v>
      </c>
      <c r="W4" s="304" t="s">
        <v>34</v>
      </c>
      <c r="X4" s="304" t="s">
        <v>39</v>
      </c>
      <c r="Y4" s="304" t="s">
        <v>34</v>
      </c>
      <c r="Z4" s="304" t="s">
        <v>34</v>
      </c>
      <c r="AA4" s="304" t="s">
        <v>34</v>
      </c>
      <c r="AB4" s="304" t="s">
        <v>52</v>
      </c>
      <c r="AC4" s="304" t="s">
        <v>268</v>
      </c>
    </row>
    <row r="5" spans="1:29" s="310" customFormat="1" x14ac:dyDescent="0.3">
      <c r="A5" s="304">
        <v>3</v>
      </c>
      <c r="B5" s="305" t="s">
        <v>821</v>
      </c>
      <c r="C5" s="304" t="s">
        <v>44</v>
      </c>
      <c r="D5" s="304" t="s">
        <v>761</v>
      </c>
      <c r="E5" s="304">
        <v>263007</v>
      </c>
      <c r="F5" s="304" t="s">
        <v>271</v>
      </c>
      <c r="G5" s="304">
        <v>770</v>
      </c>
      <c r="H5" s="306">
        <v>0.79900000000000004</v>
      </c>
      <c r="I5" s="306">
        <v>1.0900000000000001</v>
      </c>
      <c r="J5" s="304" t="s">
        <v>27</v>
      </c>
      <c r="K5" s="304" t="s">
        <v>820</v>
      </c>
      <c r="L5" s="304" t="s">
        <v>27</v>
      </c>
      <c r="M5" s="306">
        <v>670.601</v>
      </c>
      <c r="N5" s="307">
        <v>839.3</v>
      </c>
      <c r="O5" s="308">
        <v>0.2331</v>
      </c>
      <c r="P5" s="309">
        <v>13.99</v>
      </c>
      <c r="Q5" s="304">
        <v>380.9</v>
      </c>
      <c r="R5" s="304">
        <v>1</v>
      </c>
      <c r="S5" s="304">
        <v>850</v>
      </c>
      <c r="T5" s="306">
        <v>0.79900000000000004</v>
      </c>
      <c r="U5" s="304">
        <v>51</v>
      </c>
      <c r="V5" s="308">
        <v>0.06</v>
      </c>
      <c r="W5" s="304" t="s">
        <v>34</v>
      </c>
      <c r="X5" s="304" t="s">
        <v>39</v>
      </c>
      <c r="Y5" s="304" t="s">
        <v>34</v>
      </c>
      <c r="Z5" s="304" t="s">
        <v>34</v>
      </c>
      <c r="AA5" s="304" t="s">
        <v>34</v>
      </c>
      <c r="AB5" s="304" t="s">
        <v>32</v>
      </c>
      <c r="AC5" s="304" t="s">
        <v>819</v>
      </c>
    </row>
    <row r="6" spans="1:29" s="310" customFormat="1" x14ac:dyDescent="0.3">
      <c r="A6" s="311" t="s">
        <v>27</v>
      </c>
      <c r="B6" s="311" t="s">
        <v>27</v>
      </c>
      <c r="C6" s="311" t="s">
        <v>27</v>
      </c>
      <c r="D6" s="311" t="s">
        <v>27</v>
      </c>
      <c r="E6" s="311" t="s">
        <v>27</v>
      </c>
      <c r="F6" s="311" t="s">
        <v>27</v>
      </c>
      <c r="G6" s="311">
        <v>5465</v>
      </c>
      <c r="H6" s="311" t="s">
        <v>27</v>
      </c>
      <c r="I6" s="311" t="s">
        <v>27</v>
      </c>
      <c r="J6" s="311" t="s">
        <v>27</v>
      </c>
      <c r="K6" s="311" t="s">
        <v>27</v>
      </c>
      <c r="L6" s="311" t="s">
        <v>27</v>
      </c>
      <c r="M6" s="311" t="s">
        <v>27</v>
      </c>
      <c r="N6" s="311" t="s">
        <v>27</v>
      </c>
      <c r="O6" s="311" t="s">
        <v>27</v>
      </c>
      <c r="P6" s="311" t="s">
        <v>27</v>
      </c>
      <c r="Q6" s="311">
        <v>2315.3000000000002</v>
      </c>
      <c r="R6" s="311" t="s">
        <v>27</v>
      </c>
      <c r="S6" s="311" t="s">
        <v>27</v>
      </c>
      <c r="T6" s="311" t="s">
        <v>27</v>
      </c>
      <c r="U6" s="311" t="s">
        <v>27</v>
      </c>
      <c r="V6" s="311" t="s">
        <v>27</v>
      </c>
      <c r="W6" s="311" t="s">
        <v>27</v>
      </c>
      <c r="X6" s="311" t="s">
        <v>27</v>
      </c>
      <c r="Y6" s="311" t="s">
        <v>27</v>
      </c>
      <c r="Z6" s="311" t="s">
        <v>27</v>
      </c>
      <c r="AA6" s="311" t="s">
        <v>27</v>
      </c>
      <c r="AB6" s="311" t="s">
        <v>27</v>
      </c>
      <c r="AC6" s="3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dimension ref="A1:AC7"/>
  <sheetViews>
    <sheetView workbookViewId="0">
      <selection activeCell="G28" sqref="G28"/>
    </sheetView>
  </sheetViews>
  <sheetFormatPr defaultRowHeight="14.4" x14ac:dyDescent="0.3"/>
  <cols>
    <col min="1" max="1" width="4.33203125" style="242" customWidth="1"/>
    <col min="2" max="2" width="20.77734375" style="242" hidden="1" customWidth="1"/>
    <col min="3" max="3" width="5.44140625" style="242" customWidth="1"/>
    <col min="4" max="4" width="11.77734375" style="242" hidden="1" customWidth="1"/>
    <col min="5" max="5" width="7.109375" style="242" customWidth="1"/>
    <col min="6" max="6" width="7.77734375" style="242" customWidth="1"/>
    <col min="7" max="7" width="5.88671875" style="242" customWidth="1"/>
    <col min="8" max="8" width="6.33203125" style="242" customWidth="1"/>
    <col min="9" max="9" width="6.109375" style="242" customWidth="1"/>
    <col min="10" max="10" width="7.5546875" style="242" customWidth="1"/>
    <col min="11" max="11" width="7.664062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" style="242" customWidth="1"/>
    <col min="18" max="18" width="3.5546875" style="242" customWidth="1"/>
    <col min="19" max="19" width="6.88671875" style="242" customWidth="1"/>
    <col min="20" max="20" width="6.77734375" style="242" customWidth="1"/>
    <col min="21" max="21" width="11.77734375" style="242" hidden="1" customWidth="1"/>
    <col min="22" max="22" width="8.77734375" style="242" hidden="1" customWidth="1"/>
    <col min="23" max="23" width="7.44140625" style="242" customWidth="1"/>
    <col min="24" max="24" width="7.77734375" style="242" customWidth="1"/>
    <col min="25" max="25" width="7.109375" style="242" customWidth="1"/>
    <col min="26" max="26" width="8" style="242" customWidth="1"/>
    <col min="27" max="27" width="8.6640625" style="242" customWidth="1"/>
    <col min="28" max="28" width="4" style="242" customWidth="1"/>
    <col min="29" max="29" width="10.33203125" style="242" customWidth="1"/>
    <col min="30" max="16384" width="8.88671875" style="242"/>
  </cols>
  <sheetData>
    <row r="1" spans="1:29" ht="18" customHeight="1" x14ac:dyDescent="0.35">
      <c r="A1" s="312" t="s">
        <v>818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51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ht="25.05" customHeight="1" x14ac:dyDescent="0.3">
      <c r="A3" s="301">
        <v>1</v>
      </c>
      <c r="B3" s="303" t="s">
        <v>466</v>
      </c>
      <c r="C3" s="301" t="s">
        <v>35</v>
      </c>
      <c r="D3" s="301" t="s">
        <v>783</v>
      </c>
      <c r="E3" s="301">
        <v>263004</v>
      </c>
      <c r="F3" s="301" t="s">
        <v>814</v>
      </c>
      <c r="G3" s="301">
        <v>3000</v>
      </c>
      <c r="H3" s="302">
        <v>0.37</v>
      </c>
      <c r="I3" s="302">
        <v>0.7</v>
      </c>
      <c r="J3" s="301" t="s">
        <v>27</v>
      </c>
      <c r="K3" s="301" t="s">
        <v>33</v>
      </c>
      <c r="L3" s="301" t="s">
        <v>27</v>
      </c>
      <c r="M3" s="298">
        <v>777</v>
      </c>
      <c r="N3" s="300">
        <v>525</v>
      </c>
      <c r="O3" s="297">
        <v>3.6499999999999998E-2</v>
      </c>
      <c r="P3" s="299">
        <v>2.19</v>
      </c>
      <c r="Q3" s="296">
        <v>248.6</v>
      </c>
      <c r="R3" s="296">
        <v>4</v>
      </c>
      <c r="S3" s="296">
        <v>1500</v>
      </c>
      <c r="T3" s="298">
        <v>1.48</v>
      </c>
      <c r="U3" s="296">
        <v>20</v>
      </c>
      <c r="V3" s="297">
        <v>1.3299999999999999E-2</v>
      </c>
      <c r="W3" s="296" t="s">
        <v>28</v>
      </c>
      <c r="X3" s="296" t="s">
        <v>28</v>
      </c>
      <c r="Y3" s="296" t="s">
        <v>28</v>
      </c>
      <c r="Z3" s="296" t="s">
        <v>27</v>
      </c>
      <c r="AA3" s="296" t="s">
        <v>27</v>
      </c>
      <c r="AB3" s="296" t="s">
        <v>38</v>
      </c>
      <c r="AC3" s="296" t="s">
        <v>817</v>
      </c>
    </row>
    <row r="4" spans="1:29" ht="25.05" customHeight="1" x14ac:dyDescent="0.3">
      <c r="A4" s="301">
        <v>2</v>
      </c>
      <c r="B4" s="303" t="s">
        <v>466</v>
      </c>
      <c r="C4" s="301" t="s">
        <v>35</v>
      </c>
      <c r="D4" s="301" t="s">
        <v>783</v>
      </c>
      <c r="E4" s="301">
        <v>263006</v>
      </c>
      <c r="F4" s="301" t="s">
        <v>814</v>
      </c>
      <c r="G4" s="301">
        <v>800</v>
      </c>
      <c r="H4" s="302">
        <v>0.73</v>
      </c>
      <c r="I4" s="302">
        <v>0.59</v>
      </c>
      <c r="J4" s="301" t="s">
        <v>27</v>
      </c>
      <c r="K4" s="301" t="s">
        <v>33</v>
      </c>
      <c r="L4" s="301" t="s">
        <v>27</v>
      </c>
      <c r="M4" s="298">
        <v>344.56</v>
      </c>
      <c r="N4" s="300">
        <v>236</v>
      </c>
      <c r="O4" s="297">
        <v>3.2800000000000003E-2</v>
      </c>
      <c r="P4" s="299">
        <v>1.97</v>
      </c>
      <c r="Q4" s="296">
        <v>110.3</v>
      </c>
      <c r="R4" s="296">
        <v>2</v>
      </c>
      <c r="S4" s="296">
        <v>1500</v>
      </c>
      <c r="T4" s="298">
        <v>1.46</v>
      </c>
      <c r="U4" s="296">
        <v>40</v>
      </c>
      <c r="V4" s="297">
        <v>2.6700000000000002E-2</v>
      </c>
      <c r="W4" s="296" t="s">
        <v>28</v>
      </c>
      <c r="X4" s="296" t="s">
        <v>28</v>
      </c>
      <c r="Y4" s="296" t="s">
        <v>28</v>
      </c>
      <c r="Z4" s="296" t="s">
        <v>27</v>
      </c>
      <c r="AA4" s="296" t="s">
        <v>27</v>
      </c>
      <c r="AB4" s="296" t="s">
        <v>38</v>
      </c>
      <c r="AC4" s="296" t="s">
        <v>816</v>
      </c>
    </row>
    <row r="5" spans="1:29" ht="25.05" customHeight="1" x14ac:dyDescent="0.3">
      <c r="A5" s="301">
        <v>3</v>
      </c>
      <c r="B5" s="303" t="s">
        <v>466</v>
      </c>
      <c r="C5" s="301" t="s">
        <v>35</v>
      </c>
      <c r="D5" s="301" t="s">
        <v>783</v>
      </c>
      <c r="E5" s="301">
        <v>263003</v>
      </c>
      <c r="F5" s="301" t="s">
        <v>814</v>
      </c>
      <c r="G5" s="301">
        <v>3000</v>
      </c>
      <c r="H5" s="302">
        <v>0.41</v>
      </c>
      <c r="I5" s="302">
        <v>0.8</v>
      </c>
      <c r="J5" s="301" t="s">
        <v>27</v>
      </c>
      <c r="K5" s="301" t="s">
        <v>33</v>
      </c>
      <c r="L5" s="301" t="s">
        <v>27</v>
      </c>
      <c r="M5" s="298">
        <v>984</v>
      </c>
      <c r="N5" s="300">
        <v>800</v>
      </c>
      <c r="O5" s="297">
        <v>7.4099999999999999E-2</v>
      </c>
      <c r="P5" s="299">
        <v>4.4400000000000004</v>
      </c>
      <c r="Q5" s="296">
        <v>314.89999999999998</v>
      </c>
      <c r="R5" s="296">
        <v>3</v>
      </c>
      <c r="S5" s="296">
        <v>1250</v>
      </c>
      <c r="T5" s="298">
        <v>1.23</v>
      </c>
      <c r="U5" s="296">
        <v>20</v>
      </c>
      <c r="V5" s="297">
        <v>1.6E-2</v>
      </c>
      <c r="W5" s="296" t="s">
        <v>28</v>
      </c>
      <c r="X5" s="296" t="s">
        <v>28</v>
      </c>
      <c r="Y5" s="296" t="s">
        <v>28</v>
      </c>
      <c r="Z5" s="296" t="s">
        <v>27</v>
      </c>
      <c r="AA5" s="296" t="s">
        <v>27</v>
      </c>
      <c r="AB5" s="296" t="s">
        <v>32</v>
      </c>
      <c r="AC5" s="296" t="s">
        <v>815</v>
      </c>
    </row>
    <row r="6" spans="1:29" ht="25.05" customHeight="1" x14ac:dyDescent="0.3">
      <c r="A6" s="301">
        <v>4</v>
      </c>
      <c r="B6" s="303" t="s">
        <v>466</v>
      </c>
      <c r="C6" s="301" t="s">
        <v>35</v>
      </c>
      <c r="D6" s="301" t="s">
        <v>783</v>
      </c>
      <c r="E6" s="301">
        <v>263005</v>
      </c>
      <c r="F6" s="301" t="s">
        <v>814</v>
      </c>
      <c r="G6" s="301">
        <v>3000</v>
      </c>
      <c r="H6" s="302">
        <v>0.55000000000000004</v>
      </c>
      <c r="I6" s="302">
        <v>1.1000000000000001</v>
      </c>
      <c r="J6" s="301" t="s">
        <v>27</v>
      </c>
      <c r="K6" s="301" t="s">
        <v>33</v>
      </c>
      <c r="L6" s="301" t="s">
        <v>27</v>
      </c>
      <c r="M6" s="298">
        <v>1815</v>
      </c>
      <c r="N6" s="300">
        <v>1650</v>
      </c>
      <c r="O6" s="297">
        <v>0.22919999999999999</v>
      </c>
      <c r="P6" s="299">
        <v>13.75</v>
      </c>
      <c r="Q6" s="296">
        <v>580.79999999999995</v>
      </c>
      <c r="R6" s="296">
        <v>2</v>
      </c>
      <c r="S6" s="296">
        <v>1150</v>
      </c>
      <c r="T6" s="298">
        <v>1.1000000000000001</v>
      </c>
      <c r="U6" s="296">
        <v>50</v>
      </c>
      <c r="V6" s="297">
        <v>4.3499999999999997E-2</v>
      </c>
      <c r="W6" s="296" t="s">
        <v>28</v>
      </c>
      <c r="X6" s="296" t="s">
        <v>28</v>
      </c>
      <c r="Y6" s="296" t="s">
        <v>28</v>
      </c>
      <c r="Z6" s="296" t="s">
        <v>27</v>
      </c>
      <c r="AA6" s="296" t="s">
        <v>27</v>
      </c>
      <c r="AB6" s="296" t="s">
        <v>30</v>
      </c>
      <c r="AC6" s="296" t="s">
        <v>813</v>
      </c>
    </row>
    <row r="7" spans="1:29" ht="25.05" customHeight="1" x14ac:dyDescent="0.3">
      <c r="A7" s="295" t="s">
        <v>27</v>
      </c>
      <c r="B7" s="295" t="s">
        <v>27</v>
      </c>
      <c r="C7" s="295" t="s">
        <v>27</v>
      </c>
      <c r="D7" s="295" t="s">
        <v>27</v>
      </c>
      <c r="E7" s="295" t="s">
        <v>27</v>
      </c>
      <c r="F7" s="295" t="s">
        <v>27</v>
      </c>
      <c r="G7" s="295">
        <v>9800</v>
      </c>
      <c r="H7" s="295" t="s">
        <v>27</v>
      </c>
      <c r="I7" s="295" t="s">
        <v>27</v>
      </c>
      <c r="J7" s="295" t="s">
        <v>27</v>
      </c>
      <c r="K7" s="295" t="s">
        <v>27</v>
      </c>
      <c r="L7" s="295" t="s">
        <v>27</v>
      </c>
      <c r="M7" s="294" t="s">
        <v>27</v>
      </c>
      <c r="N7" s="294" t="s">
        <v>27</v>
      </c>
      <c r="O7" s="294" t="s">
        <v>27</v>
      </c>
      <c r="P7" s="294" t="s">
        <v>27</v>
      </c>
      <c r="Q7" s="294">
        <v>1254.5999999999999</v>
      </c>
      <c r="R7" s="294" t="s">
        <v>27</v>
      </c>
      <c r="S7" s="294" t="s">
        <v>27</v>
      </c>
      <c r="T7" s="294" t="s">
        <v>27</v>
      </c>
      <c r="U7" s="294" t="s">
        <v>27</v>
      </c>
      <c r="V7" s="294" t="s">
        <v>27</v>
      </c>
      <c r="W7" s="294" t="s">
        <v>27</v>
      </c>
      <c r="X7" s="294" t="s">
        <v>27</v>
      </c>
      <c r="Y7" s="294" t="s">
        <v>27</v>
      </c>
      <c r="Z7" s="294" t="s">
        <v>27</v>
      </c>
      <c r="AA7" s="294" t="s">
        <v>27</v>
      </c>
      <c r="AB7" s="294" t="s">
        <v>27</v>
      </c>
      <c r="AC7" s="294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H16" sqref="H16"/>
    </sheetView>
  </sheetViews>
  <sheetFormatPr defaultRowHeight="14.4" x14ac:dyDescent="0.3"/>
  <cols>
    <col min="1" max="1" width="4.10937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6640625" style="242" customWidth="1"/>
    <col min="6" max="6" width="4.109375" style="242" customWidth="1"/>
    <col min="7" max="7" width="6.88671875" style="242" customWidth="1"/>
    <col min="8" max="8" width="6.77734375" style="242" customWidth="1"/>
    <col min="9" max="9" width="6.88671875" style="242" customWidth="1"/>
    <col min="10" max="10" width="7.33203125" style="242" customWidth="1"/>
    <col min="11" max="11" width="13.21875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77734375" style="242" customWidth="1"/>
    <col min="18" max="18" width="4" style="242" customWidth="1"/>
    <col min="19" max="20" width="6.5546875" style="242" customWidth="1"/>
    <col min="21" max="21" width="11.77734375" style="242" hidden="1" customWidth="1"/>
    <col min="22" max="22" width="8.77734375" style="242" hidden="1" customWidth="1"/>
    <col min="23" max="23" width="8" style="242" customWidth="1"/>
    <col min="24" max="24" width="7.44140625" style="242" customWidth="1"/>
    <col min="25" max="25" width="7.77734375" style="242" customWidth="1"/>
    <col min="26" max="26" width="8" style="242" customWidth="1"/>
    <col min="27" max="27" width="8.33203125" style="242" customWidth="1"/>
    <col min="28" max="28" width="4" style="242" customWidth="1"/>
    <col min="29" max="29" width="9.6640625" style="242" customWidth="1"/>
    <col min="30" max="16384" width="8.88671875" style="242"/>
  </cols>
  <sheetData>
    <row r="1" spans="1:29" ht="18" customHeight="1" x14ac:dyDescent="0.35">
      <c r="A1" s="313" t="s">
        <v>810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51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806</v>
      </c>
      <c r="C3" s="258" t="s">
        <v>437</v>
      </c>
      <c r="D3" s="258" t="s">
        <v>783</v>
      </c>
      <c r="E3" s="258">
        <v>263000</v>
      </c>
      <c r="F3" s="258" t="s">
        <v>550</v>
      </c>
      <c r="G3" s="258">
        <v>1500</v>
      </c>
      <c r="H3" s="260">
        <v>0.84399999999999997</v>
      </c>
      <c r="I3" s="260">
        <v>1.8069999999999999</v>
      </c>
      <c r="J3" s="258" t="s">
        <v>27</v>
      </c>
      <c r="K3" s="258" t="s">
        <v>809</v>
      </c>
      <c r="L3" s="258" t="s">
        <v>27</v>
      </c>
      <c r="M3" s="260">
        <v>2287.6619999999998</v>
      </c>
      <c r="N3" s="261">
        <v>2710.5</v>
      </c>
      <c r="O3" s="262">
        <v>0.75290000000000001</v>
      </c>
      <c r="P3" s="263">
        <v>45.17</v>
      </c>
      <c r="Q3" s="258">
        <v>1075.2</v>
      </c>
      <c r="R3" s="258">
        <v>1</v>
      </c>
      <c r="S3" s="258">
        <v>900</v>
      </c>
      <c r="T3" s="260">
        <v>0.84399999999999997</v>
      </c>
      <c r="U3" s="258">
        <v>56</v>
      </c>
      <c r="V3" s="262">
        <v>6.2199999999999998E-2</v>
      </c>
      <c r="W3" s="258" t="s">
        <v>435</v>
      </c>
      <c r="X3" s="258" t="s">
        <v>41</v>
      </c>
      <c r="Y3" s="258" t="s">
        <v>435</v>
      </c>
      <c r="Z3" s="258" t="s">
        <v>27</v>
      </c>
      <c r="AA3" s="258" t="s">
        <v>27</v>
      </c>
      <c r="AB3" s="258" t="s">
        <v>48</v>
      </c>
      <c r="AC3" s="258" t="s">
        <v>808</v>
      </c>
    </row>
    <row r="4" spans="1:29" s="264" customFormat="1" ht="25.05" customHeight="1" x14ac:dyDescent="0.3">
      <c r="A4" s="258"/>
      <c r="B4" s="259" t="s">
        <v>806</v>
      </c>
      <c r="C4" s="258" t="s">
        <v>42</v>
      </c>
      <c r="D4" s="258" t="s">
        <v>783</v>
      </c>
      <c r="E4" s="258">
        <v>262998</v>
      </c>
      <c r="F4" s="258" t="s">
        <v>550</v>
      </c>
      <c r="G4" s="258">
        <v>500</v>
      </c>
      <c r="H4" s="260">
        <v>0.43</v>
      </c>
      <c r="I4" s="260">
        <v>0.87</v>
      </c>
      <c r="J4" s="258" t="s">
        <v>27</v>
      </c>
      <c r="K4" s="258" t="s">
        <v>33</v>
      </c>
      <c r="L4" s="258" t="s">
        <v>27</v>
      </c>
      <c r="M4" s="260">
        <v>187.05</v>
      </c>
      <c r="N4" s="261">
        <v>145</v>
      </c>
      <c r="O4" s="262">
        <v>1.34E-2</v>
      </c>
      <c r="P4" s="263">
        <v>0.81</v>
      </c>
      <c r="Q4" s="258">
        <v>64.5</v>
      </c>
      <c r="R4" s="258">
        <v>3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29</v>
      </c>
      <c r="X4" s="258" t="s">
        <v>29</v>
      </c>
      <c r="Y4" s="258" t="s">
        <v>28</v>
      </c>
      <c r="Z4" s="258" t="s">
        <v>27</v>
      </c>
      <c r="AA4" s="258" t="s">
        <v>27</v>
      </c>
      <c r="AB4" s="258" t="s">
        <v>38</v>
      </c>
      <c r="AC4" s="258" t="s">
        <v>807</v>
      </c>
    </row>
    <row r="5" spans="1:29" s="264" customFormat="1" ht="25.05" customHeight="1" x14ac:dyDescent="0.3">
      <c r="A5" s="258"/>
      <c r="B5" s="259" t="s">
        <v>806</v>
      </c>
      <c r="C5" s="258" t="s">
        <v>42</v>
      </c>
      <c r="D5" s="258" t="s">
        <v>783</v>
      </c>
      <c r="E5" s="258">
        <v>262999</v>
      </c>
      <c r="F5" s="258" t="s">
        <v>550</v>
      </c>
      <c r="G5" s="258">
        <v>5000</v>
      </c>
      <c r="H5" s="260">
        <v>0.6</v>
      </c>
      <c r="I5" s="260">
        <v>0.78</v>
      </c>
      <c r="J5" s="258" t="s">
        <v>27</v>
      </c>
      <c r="K5" s="258" t="s">
        <v>33</v>
      </c>
      <c r="L5" s="258" t="s">
        <v>27</v>
      </c>
      <c r="M5" s="260">
        <v>2340</v>
      </c>
      <c r="N5" s="261">
        <v>1950</v>
      </c>
      <c r="O5" s="262">
        <v>0.27079999999999999</v>
      </c>
      <c r="P5" s="263">
        <v>16.25</v>
      </c>
      <c r="Q5" s="258">
        <v>807.3</v>
      </c>
      <c r="R5" s="258">
        <v>2</v>
      </c>
      <c r="S5" s="258">
        <v>1250</v>
      </c>
      <c r="T5" s="260">
        <v>1.2</v>
      </c>
      <c r="U5" s="258">
        <v>50</v>
      </c>
      <c r="V5" s="262">
        <v>0.04</v>
      </c>
      <c r="W5" s="258" t="s">
        <v>29</v>
      </c>
      <c r="X5" s="258" t="s">
        <v>29</v>
      </c>
      <c r="Y5" s="258" t="s">
        <v>28</v>
      </c>
      <c r="Z5" s="258" t="s">
        <v>27</v>
      </c>
      <c r="AA5" s="258" t="s">
        <v>27</v>
      </c>
      <c r="AB5" s="258" t="s">
        <v>48</v>
      </c>
      <c r="AC5" s="258" t="s">
        <v>805</v>
      </c>
    </row>
    <row r="6" spans="1:29" s="264" customFormat="1" ht="25.05" customHeight="1" x14ac:dyDescent="0.3">
      <c r="A6" s="265" t="s">
        <v>27</v>
      </c>
      <c r="B6" s="265" t="s">
        <v>27</v>
      </c>
      <c r="C6" s="265" t="s">
        <v>27</v>
      </c>
      <c r="D6" s="265" t="s">
        <v>27</v>
      </c>
      <c r="E6" s="265" t="s">
        <v>27</v>
      </c>
      <c r="F6" s="265" t="s">
        <v>27</v>
      </c>
      <c r="G6" s="265">
        <v>7000</v>
      </c>
      <c r="H6" s="265" t="s">
        <v>27</v>
      </c>
      <c r="I6" s="265" t="s">
        <v>27</v>
      </c>
      <c r="J6" s="265" t="s">
        <v>27</v>
      </c>
      <c r="K6" s="265" t="s">
        <v>27</v>
      </c>
      <c r="L6" s="265" t="s">
        <v>27</v>
      </c>
      <c r="M6" s="265" t="s">
        <v>27</v>
      </c>
      <c r="N6" s="265" t="s">
        <v>27</v>
      </c>
      <c r="O6" s="265" t="s">
        <v>27</v>
      </c>
      <c r="P6" s="265" t="s">
        <v>27</v>
      </c>
      <c r="Q6" s="265">
        <v>1947</v>
      </c>
      <c r="R6" s="265" t="s">
        <v>27</v>
      </c>
      <c r="S6" s="265" t="s">
        <v>27</v>
      </c>
      <c r="T6" s="265" t="s">
        <v>27</v>
      </c>
      <c r="U6" s="265" t="s">
        <v>27</v>
      </c>
      <c r="V6" s="265" t="s">
        <v>27</v>
      </c>
      <c r="W6" s="265" t="s">
        <v>27</v>
      </c>
      <c r="X6" s="265" t="s">
        <v>27</v>
      </c>
      <c r="Y6" s="265" t="s">
        <v>27</v>
      </c>
      <c r="Z6" s="265" t="s">
        <v>27</v>
      </c>
      <c r="AA6" s="265" t="s">
        <v>27</v>
      </c>
      <c r="AB6" s="265" t="s">
        <v>27</v>
      </c>
      <c r="AC6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dimension ref="A1:AC14"/>
  <sheetViews>
    <sheetView workbookViewId="0">
      <selection activeCell="AC16" sqref="AC16"/>
    </sheetView>
  </sheetViews>
  <sheetFormatPr defaultRowHeight="14.4" x14ac:dyDescent="0.3"/>
  <cols>
    <col min="1" max="1" width="5" style="242" customWidth="1"/>
    <col min="2" max="2" width="20.77734375" style="242" hidden="1" customWidth="1"/>
    <col min="3" max="3" width="6.21875" style="242" customWidth="1"/>
    <col min="4" max="4" width="11.77734375" style="242" hidden="1" customWidth="1"/>
    <col min="5" max="5" width="7.77734375" style="242" customWidth="1"/>
    <col min="6" max="6" width="6.5546875" style="242" customWidth="1"/>
    <col min="7" max="7" width="6.33203125" style="242" customWidth="1"/>
    <col min="8" max="8" width="7.109375" style="242" customWidth="1"/>
    <col min="9" max="9" width="7.44140625" style="242" customWidth="1"/>
    <col min="10" max="10" width="8.109375" style="242" customWidth="1"/>
    <col min="11" max="11" width="19.1093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5546875" style="242" customWidth="1"/>
    <col min="19" max="19" width="6.218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77734375" style="242" customWidth="1"/>
    <col min="24" max="24" width="7.6640625" style="242" customWidth="1"/>
    <col min="25" max="25" width="7.88671875" style="242" customWidth="1"/>
    <col min="26" max="26" width="7.5546875" style="242" customWidth="1"/>
    <col min="27" max="27" width="7.777343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312" t="s">
        <v>804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30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60</v>
      </c>
      <c r="C3" s="258" t="s">
        <v>26</v>
      </c>
      <c r="D3" s="258" t="s">
        <v>761</v>
      </c>
      <c r="E3" s="258">
        <v>262992</v>
      </c>
      <c r="F3" s="258" t="s">
        <v>777</v>
      </c>
      <c r="G3" s="258">
        <v>150</v>
      </c>
      <c r="H3" s="260">
        <v>0.67500000000000004</v>
      </c>
      <c r="I3" s="260">
        <v>2.0590000000000002</v>
      </c>
      <c r="J3" s="258" t="s">
        <v>27</v>
      </c>
      <c r="K3" s="258" t="s">
        <v>803</v>
      </c>
      <c r="L3" s="258" t="s">
        <v>27</v>
      </c>
      <c r="M3" s="260">
        <v>208.47399999999999</v>
      </c>
      <c r="N3" s="261">
        <v>154.4</v>
      </c>
      <c r="O3" s="262">
        <v>2.1399999999999999E-2</v>
      </c>
      <c r="P3" s="263">
        <v>1.29</v>
      </c>
      <c r="Q3" s="258">
        <v>112.2</v>
      </c>
      <c r="R3" s="258">
        <v>2</v>
      </c>
      <c r="S3" s="258">
        <v>1400</v>
      </c>
      <c r="T3" s="260">
        <v>1.35</v>
      </c>
      <c r="U3" s="258">
        <v>50</v>
      </c>
      <c r="V3" s="262">
        <v>3.5700000000000003E-2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38</v>
      </c>
      <c r="AC3" s="258" t="s">
        <v>802</v>
      </c>
    </row>
    <row r="4" spans="1:29" s="264" customFormat="1" ht="25.05" customHeight="1" x14ac:dyDescent="0.3">
      <c r="A4" s="258"/>
      <c r="B4" s="259" t="s">
        <v>60</v>
      </c>
      <c r="C4" s="258" t="s">
        <v>26</v>
      </c>
      <c r="D4" s="258" t="s">
        <v>761</v>
      </c>
      <c r="E4" s="258">
        <v>262990</v>
      </c>
      <c r="F4" s="258" t="s">
        <v>777</v>
      </c>
      <c r="G4" s="258">
        <v>200</v>
      </c>
      <c r="H4" s="260">
        <v>0.64500000000000002</v>
      </c>
      <c r="I4" s="260">
        <v>1.5389999999999999</v>
      </c>
      <c r="J4" s="258" t="s">
        <v>27</v>
      </c>
      <c r="K4" s="258" t="s">
        <v>801</v>
      </c>
      <c r="L4" s="258" t="s">
        <v>27</v>
      </c>
      <c r="M4" s="260">
        <v>198.53100000000001</v>
      </c>
      <c r="N4" s="261">
        <v>153.9</v>
      </c>
      <c r="O4" s="262">
        <v>2.1399999999999999E-2</v>
      </c>
      <c r="P4" s="263">
        <v>1.28</v>
      </c>
      <c r="Q4" s="258">
        <v>106.8</v>
      </c>
      <c r="R4" s="258">
        <v>2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32</v>
      </c>
      <c r="AC4" s="258" t="s">
        <v>800</v>
      </c>
    </row>
    <row r="5" spans="1:29" s="264" customFormat="1" ht="25.05" customHeight="1" x14ac:dyDescent="0.3">
      <c r="A5" s="258"/>
      <c r="B5" s="259" t="s">
        <v>60</v>
      </c>
      <c r="C5" s="258" t="s">
        <v>57</v>
      </c>
      <c r="D5" s="258" t="s">
        <v>761</v>
      </c>
      <c r="E5" s="258">
        <v>262997</v>
      </c>
      <c r="F5" s="258" t="s">
        <v>799</v>
      </c>
      <c r="G5" s="258">
        <v>500</v>
      </c>
      <c r="H5" s="260">
        <v>1.2050000000000001</v>
      </c>
      <c r="I5" s="260">
        <v>2.5110000000000001</v>
      </c>
      <c r="J5" s="258" t="s">
        <v>27</v>
      </c>
      <c r="K5" s="258" t="s">
        <v>553</v>
      </c>
      <c r="L5" s="258" t="s">
        <v>27</v>
      </c>
      <c r="M5" s="260">
        <v>1512.8779999999999</v>
      </c>
      <c r="N5" s="261">
        <v>1255.5</v>
      </c>
      <c r="O5" s="262">
        <v>0.3488</v>
      </c>
      <c r="P5" s="263">
        <v>20.93</v>
      </c>
      <c r="Q5" s="258">
        <v>956.1</v>
      </c>
      <c r="R5" s="258">
        <v>1</v>
      </c>
      <c r="S5" s="258">
        <v>1250</v>
      </c>
      <c r="T5" s="260">
        <v>1.2050000000000001</v>
      </c>
      <c r="U5" s="258">
        <v>45</v>
      </c>
      <c r="V5" s="262">
        <v>3.5999999999999997E-2</v>
      </c>
      <c r="W5" s="258" t="s">
        <v>29</v>
      </c>
      <c r="X5" s="258" t="s">
        <v>39</v>
      </c>
      <c r="Y5" s="258" t="s">
        <v>28</v>
      </c>
      <c r="Z5" s="258" t="s">
        <v>28</v>
      </c>
      <c r="AA5" s="258" t="s">
        <v>29</v>
      </c>
      <c r="AB5" s="258" t="s">
        <v>30</v>
      </c>
      <c r="AC5" s="258" t="s">
        <v>552</v>
      </c>
    </row>
    <row r="6" spans="1:29" s="264" customFormat="1" ht="25.05" customHeight="1" x14ac:dyDescent="0.3">
      <c r="A6" s="258"/>
      <c r="B6" s="259" t="s">
        <v>60</v>
      </c>
      <c r="C6" s="258" t="s">
        <v>26</v>
      </c>
      <c r="D6" s="258" t="s">
        <v>761</v>
      </c>
      <c r="E6" s="258">
        <v>262991</v>
      </c>
      <c r="F6" s="258" t="s">
        <v>777</v>
      </c>
      <c r="G6" s="258">
        <v>100</v>
      </c>
      <c r="H6" s="260">
        <v>1.085</v>
      </c>
      <c r="I6" s="260">
        <v>2.4990000000000001</v>
      </c>
      <c r="J6" s="258" t="s">
        <v>27</v>
      </c>
      <c r="K6" s="258" t="s">
        <v>798</v>
      </c>
      <c r="L6" s="258" t="s">
        <v>27</v>
      </c>
      <c r="M6" s="260">
        <v>271.142</v>
      </c>
      <c r="N6" s="261">
        <v>249.9</v>
      </c>
      <c r="O6" s="262">
        <v>6.9400000000000003E-2</v>
      </c>
      <c r="P6" s="263">
        <v>4.17</v>
      </c>
      <c r="Q6" s="258">
        <v>145.9</v>
      </c>
      <c r="R6" s="258">
        <v>1</v>
      </c>
      <c r="S6" s="258">
        <v>1150</v>
      </c>
      <c r="T6" s="260">
        <v>1.085</v>
      </c>
      <c r="U6" s="258">
        <v>65</v>
      </c>
      <c r="V6" s="262">
        <v>5.6500000000000002E-2</v>
      </c>
      <c r="W6" s="258" t="s">
        <v>28</v>
      </c>
      <c r="X6" s="258" t="s">
        <v>29</v>
      </c>
      <c r="Y6" s="258" t="s">
        <v>28</v>
      </c>
      <c r="Z6" s="258" t="s">
        <v>28</v>
      </c>
      <c r="AA6" s="258" t="s">
        <v>28</v>
      </c>
      <c r="AB6" s="258" t="s">
        <v>38</v>
      </c>
      <c r="AC6" s="258" t="s">
        <v>797</v>
      </c>
    </row>
    <row r="7" spans="1:29" s="264" customFormat="1" ht="25.05" customHeight="1" x14ac:dyDescent="0.3">
      <c r="A7" s="258"/>
      <c r="B7" s="259" t="s">
        <v>60</v>
      </c>
      <c r="C7" s="258" t="s">
        <v>26</v>
      </c>
      <c r="D7" s="258" t="s">
        <v>761</v>
      </c>
      <c r="E7" s="258">
        <v>262993</v>
      </c>
      <c r="F7" s="258" t="s">
        <v>777</v>
      </c>
      <c r="G7" s="258">
        <v>200</v>
      </c>
      <c r="H7" s="260">
        <v>0.52900000000000003</v>
      </c>
      <c r="I7" s="260">
        <v>1.5089999999999999</v>
      </c>
      <c r="J7" s="258" t="s">
        <v>27</v>
      </c>
      <c r="K7" s="258" t="s">
        <v>796</v>
      </c>
      <c r="L7" s="258" t="s">
        <v>27</v>
      </c>
      <c r="M7" s="260">
        <v>159.65199999999999</v>
      </c>
      <c r="N7" s="261">
        <v>150.9</v>
      </c>
      <c r="O7" s="262">
        <v>2.1000000000000001E-2</v>
      </c>
      <c r="P7" s="263">
        <v>1.26</v>
      </c>
      <c r="Q7" s="258">
        <v>85.9</v>
      </c>
      <c r="R7" s="258">
        <v>2</v>
      </c>
      <c r="S7" s="258">
        <v>1100</v>
      </c>
      <c r="T7" s="260">
        <v>1.0580000000000001</v>
      </c>
      <c r="U7" s="258">
        <v>42</v>
      </c>
      <c r="V7" s="262">
        <v>3.8199999999999998E-2</v>
      </c>
      <c r="W7" s="258" t="s">
        <v>28</v>
      </c>
      <c r="X7" s="258" t="s">
        <v>29</v>
      </c>
      <c r="Y7" s="258" t="s">
        <v>28</v>
      </c>
      <c r="Z7" s="258" t="s">
        <v>28</v>
      </c>
      <c r="AA7" s="258" t="s">
        <v>28</v>
      </c>
      <c r="AB7" s="258" t="s">
        <v>38</v>
      </c>
      <c r="AC7" s="258" t="s">
        <v>795</v>
      </c>
    </row>
    <row r="8" spans="1:29" s="264" customFormat="1" ht="25.05" customHeight="1" x14ac:dyDescent="0.3">
      <c r="A8" s="258"/>
      <c r="B8" s="259" t="s">
        <v>60</v>
      </c>
      <c r="C8" s="258" t="s">
        <v>35</v>
      </c>
      <c r="D8" s="258" t="s">
        <v>761</v>
      </c>
      <c r="E8" s="258">
        <v>262989</v>
      </c>
      <c r="F8" s="258" t="s">
        <v>777</v>
      </c>
      <c r="G8" s="258">
        <v>250</v>
      </c>
      <c r="H8" s="260">
        <v>1.3440000000000001</v>
      </c>
      <c r="I8" s="260">
        <v>1.609</v>
      </c>
      <c r="J8" s="258" t="s">
        <v>27</v>
      </c>
      <c r="K8" s="258" t="s">
        <v>794</v>
      </c>
      <c r="L8" s="258" t="s">
        <v>27</v>
      </c>
      <c r="M8" s="260">
        <v>540.62400000000002</v>
      </c>
      <c r="N8" s="261">
        <v>402.3</v>
      </c>
      <c r="O8" s="262">
        <v>0.11169999999999999</v>
      </c>
      <c r="P8" s="263">
        <v>6.7</v>
      </c>
      <c r="Q8" s="258">
        <v>173</v>
      </c>
      <c r="R8" s="258">
        <v>1</v>
      </c>
      <c r="S8" s="258">
        <v>1400</v>
      </c>
      <c r="T8" s="260">
        <v>1.3440000000000001</v>
      </c>
      <c r="U8" s="258">
        <v>56</v>
      </c>
      <c r="V8" s="262">
        <v>0.04</v>
      </c>
      <c r="W8" s="258" t="s">
        <v>28</v>
      </c>
      <c r="X8" s="258" t="s">
        <v>28</v>
      </c>
      <c r="Y8" s="258" t="s">
        <v>28</v>
      </c>
      <c r="Z8" s="258" t="s">
        <v>27</v>
      </c>
      <c r="AA8" s="258" t="s">
        <v>27</v>
      </c>
      <c r="AB8" s="258" t="s">
        <v>38</v>
      </c>
      <c r="AC8" s="258" t="s">
        <v>793</v>
      </c>
    </row>
    <row r="9" spans="1:29" s="264" customFormat="1" ht="25.05" customHeight="1" x14ac:dyDescent="0.3">
      <c r="A9" s="258"/>
      <c r="B9" s="259" t="s">
        <v>60</v>
      </c>
      <c r="C9" s="258" t="s">
        <v>35</v>
      </c>
      <c r="D9" s="258" t="s">
        <v>761</v>
      </c>
      <c r="E9" s="258">
        <v>262988</v>
      </c>
      <c r="F9" s="258" t="s">
        <v>777</v>
      </c>
      <c r="G9" s="258">
        <v>1000</v>
      </c>
      <c r="H9" s="260">
        <v>0.40200000000000002</v>
      </c>
      <c r="I9" s="260">
        <v>1.133</v>
      </c>
      <c r="J9" s="258" t="s">
        <v>27</v>
      </c>
      <c r="K9" s="258" t="s">
        <v>792</v>
      </c>
      <c r="L9" s="258" t="s">
        <v>27</v>
      </c>
      <c r="M9" s="260">
        <v>455.46600000000001</v>
      </c>
      <c r="N9" s="261">
        <v>377.7</v>
      </c>
      <c r="O9" s="262">
        <v>3.5000000000000003E-2</v>
      </c>
      <c r="P9" s="263">
        <v>2.1</v>
      </c>
      <c r="Q9" s="258">
        <v>145.69999999999999</v>
      </c>
      <c r="R9" s="258">
        <v>3</v>
      </c>
      <c r="S9" s="258">
        <v>1250</v>
      </c>
      <c r="T9" s="260">
        <v>1.206</v>
      </c>
      <c r="U9" s="258">
        <v>44</v>
      </c>
      <c r="V9" s="262">
        <v>3.5200000000000002E-2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38</v>
      </c>
      <c r="AC9" s="258" t="s">
        <v>791</v>
      </c>
    </row>
    <row r="10" spans="1:29" s="264" customFormat="1" ht="25.05" customHeight="1" x14ac:dyDescent="0.3">
      <c r="A10" s="258"/>
      <c r="B10" s="259" t="s">
        <v>60</v>
      </c>
      <c r="C10" s="258" t="s">
        <v>35</v>
      </c>
      <c r="D10" s="258" t="s">
        <v>761</v>
      </c>
      <c r="E10" s="258">
        <v>262987</v>
      </c>
      <c r="F10" s="258" t="s">
        <v>777</v>
      </c>
      <c r="G10" s="258">
        <v>1100</v>
      </c>
      <c r="H10" s="260">
        <v>0.57699999999999996</v>
      </c>
      <c r="I10" s="260">
        <v>0.99299999999999999</v>
      </c>
      <c r="J10" s="258" t="s">
        <v>27</v>
      </c>
      <c r="K10" s="258" t="s">
        <v>790</v>
      </c>
      <c r="L10" s="258" t="s">
        <v>27</v>
      </c>
      <c r="M10" s="260">
        <v>630.25699999999995</v>
      </c>
      <c r="N10" s="261">
        <v>546.1</v>
      </c>
      <c r="O10" s="262">
        <v>7.5899999999999995E-2</v>
      </c>
      <c r="P10" s="263">
        <v>4.55</v>
      </c>
      <c r="Q10" s="258">
        <v>201.7</v>
      </c>
      <c r="R10" s="258">
        <v>2</v>
      </c>
      <c r="S10" s="258">
        <v>1200</v>
      </c>
      <c r="T10" s="260">
        <v>1.1539999999999999</v>
      </c>
      <c r="U10" s="258">
        <v>46</v>
      </c>
      <c r="V10" s="262">
        <v>3.8300000000000001E-2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38</v>
      </c>
      <c r="AC10" s="258" t="s">
        <v>789</v>
      </c>
    </row>
    <row r="11" spans="1:29" s="264" customFormat="1" ht="25.05" customHeight="1" x14ac:dyDescent="0.3">
      <c r="A11" s="258"/>
      <c r="B11" s="259" t="s">
        <v>60</v>
      </c>
      <c r="C11" s="258" t="s">
        <v>35</v>
      </c>
      <c r="D11" s="258" t="s">
        <v>761</v>
      </c>
      <c r="E11" s="258">
        <v>262994</v>
      </c>
      <c r="F11" s="258" t="s">
        <v>777</v>
      </c>
      <c r="G11" s="258">
        <v>1600</v>
      </c>
      <c r="H11" s="260">
        <v>0.28399999999999997</v>
      </c>
      <c r="I11" s="260">
        <v>0.64900000000000002</v>
      </c>
      <c r="J11" s="258" t="s">
        <v>27</v>
      </c>
      <c r="K11" s="258" t="s">
        <v>788</v>
      </c>
      <c r="L11" s="258" t="s">
        <v>27</v>
      </c>
      <c r="M11" s="260">
        <v>294.90600000000001</v>
      </c>
      <c r="N11" s="261">
        <v>259.60000000000002</v>
      </c>
      <c r="O11" s="262">
        <v>1.7999999999999999E-2</v>
      </c>
      <c r="P11" s="263">
        <v>1.08</v>
      </c>
      <c r="Q11" s="258">
        <v>94.4</v>
      </c>
      <c r="R11" s="258">
        <v>4</v>
      </c>
      <c r="S11" s="258">
        <v>1200</v>
      </c>
      <c r="T11" s="260">
        <v>1.1359999999999999</v>
      </c>
      <c r="U11" s="258">
        <v>64</v>
      </c>
      <c r="V11" s="262">
        <v>5.33E-2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38</v>
      </c>
      <c r="AC11" s="258" t="s">
        <v>787</v>
      </c>
    </row>
    <row r="12" spans="1:29" s="264" customFormat="1" ht="25.05" customHeight="1" x14ac:dyDescent="0.3">
      <c r="A12" s="258"/>
      <c r="B12" s="259" t="s">
        <v>60</v>
      </c>
      <c r="C12" s="258" t="s">
        <v>42</v>
      </c>
      <c r="D12" s="258" t="s">
        <v>761</v>
      </c>
      <c r="E12" s="258">
        <v>262996</v>
      </c>
      <c r="F12" s="258" t="s">
        <v>777</v>
      </c>
      <c r="G12" s="258">
        <v>2000</v>
      </c>
      <c r="H12" s="260">
        <v>0.53</v>
      </c>
      <c r="I12" s="260">
        <v>1.129</v>
      </c>
      <c r="J12" s="258" t="s">
        <v>27</v>
      </c>
      <c r="K12" s="258" t="s">
        <v>786</v>
      </c>
      <c r="L12" s="258" t="s">
        <v>27</v>
      </c>
      <c r="M12" s="260">
        <v>1196.74</v>
      </c>
      <c r="N12" s="261">
        <v>1129</v>
      </c>
      <c r="O12" s="262">
        <v>0.15679999999999999</v>
      </c>
      <c r="P12" s="263">
        <v>9.41</v>
      </c>
      <c r="Q12" s="258">
        <v>412.9</v>
      </c>
      <c r="R12" s="258">
        <v>2</v>
      </c>
      <c r="S12" s="258">
        <v>1100</v>
      </c>
      <c r="T12" s="260">
        <v>1.06</v>
      </c>
      <c r="U12" s="258">
        <v>40</v>
      </c>
      <c r="V12" s="262">
        <v>3.6400000000000002E-2</v>
      </c>
      <c r="W12" s="258" t="s">
        <v>29</v>
      </c>
      <c r="X12" s="258" t="s">
        <v>29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785</v>
      </c>
    </row>
    <row r="13" spans="1:29" s="264" customFormat="1" ht="25.05" customHeight="1" x14ac:dyDescent="0.3">
      <c r="A13" s="258"/>
      <c r="B13" s="259" t="s">
        <v>60</v>
      </c>
      <c r="C13" s="258" t="s">
        <v>35</v>
      </c>
      <c r="D13" s="258" t="s">
        <v>761</v>
      </c>
      <c r="E13" s="258">
        <v>262995</v>
      </c>
      <c r="F13" s="258" t="s">
        <v>777</v>
      </c>
      <c r="G13" s="258">
        <v>300</v>
      </c>
      <c r="H13" s="260">
        <v>1.02</v>
      </c>
      <c r="I13" s="260">
        <v>0.98099999999999998</v>
      </c>
      <c r="J13" s="258" t="s">
        <v>27</v>
      </c>
      <c r="K13" s="258" t="s">
        <v>33</v>
      </c>
      <c r="L13" s="258" t="s">
        <v>27</v>
      </c>
      <c r="M13" s="260">
        <v>300.18599999999998</v>
      </c>
      <c r="N13" s="261">
        <v>294.3</v>
      </c>
      <c r="O13" s="262">
        <v>8.1799999999999998E-2</v>
      </c>
      <c r="P13" s="263">
        <v>4.91</v>
      </c>
      <c r="Q13" s="258">
        <v>96.1</v>
      </c>
      <c r="R13" s="258">
        <v>1</v>
      </c>
      <c r="S13" s="258">
        <v>1050</v>
      </c>
      <c r="T13" s="260">
        <v>1.02</v>
      </c>
      <c r="U13" s="258">
        <v>30</v>
      </c>
      <c r="V13" s="262">
        <v>2.86E-2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38</v>
      </c>
      <c r="AC13" s="258" t="s">
        <v>784</v>
      </c>
    </row>
    <row r="14" spans="1:29" s="264" customFormat="1" ht="25.05" customHeight="1" x14ac:dyDescent="0.3">
      <c r="A14" s="265" t="s">
        <v>27</v>
      </c>
      <c r="B14" s="265" t="s">
        <v>27</v>
      </c>
      <c r="C14" s="265" t="s">
        <v>27</v>
      </c>
      <c r="D14" s="265" t="s">
        <v>27</v>
      </c>
      <c r="E14" s="265" t="s">
        <v>27</v>
      </c>
      <c r="F14" s="265" t="s">
        <v>27</v>
      </c>
      <c r="G14" s="265">
        <v>7400</v>
      </c>
      <c r="H14" s="265" t="s">
        <v>27</v>
      </c>
      <c r="I14" s="265" t="s">
        <v>27</v>
      </c>
      <c r="J14" s="265" t="s">
        <v>27</v>
      </c>
      <c r="K14" s="265" t="s">
        <v>27</v>
      </c>
      <c r="L14" s="265" t="s">
        <v>27</v>
      </c>
      <c r="M14" s="265" t="s">
        <v>27</v>
      </c>
      <c r="N14" s="265" t="s">
        <v>27</v>
      </c>
      <c r="O14" s="265" t="s">
        <v>27</v>
      </c>
      <c r="P14" s="265" t="s">
        <v>27</v>
      </c>
      <c r="Q14" s="265">
        <v>2530.6</v>
      </c>
      <c r="R14" s="265" t="s">
        <v>27</v>
      </c>
      <c r="S14" s="265" t="s">
        <v>27</v>
      </c>
      <c r="T14" s="265" t="s">
        <v>27</v>
      </c>
      <c r="U14" s="265" t="s">
        <v>27</v>
      </c>
      <c r="V14" s="265" t="s">
        <v>27</v>
      </c>
      <c r="W14" s="265" t="s">
        <v>27</v>
      </c>
      <c r="X14" s="265" t="s">
        <v>27</v>
      </c>
      <c r="Y14" s="265" t="s">
        <v>27</v>
      </c>
      <c r="Z14" s="265" t="s">
        <v>27</v>
      </c>
      <c r="AA14" s="265" t="s">
        <v>27</v>
      </c>
      <c r="AB14" s="265" t="s">
        <v>27</v>
      </c>
      <c r="AC14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 x14ac:dyDescent="0.3"/>
  <cols>
    <col min="1" max="1" width="3.886718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5.6640625" style="242" customWidth="1"/>
    <col min="7" max="7" width="6.33203125" style="242" customWidth="1"/>
    <col min="8" max="8" width="6.44140625" style="242" customWidth="1"/>
    <col min="9" max="9" width="6.5546875" style="242" customWidth="1"/>
    <col min="10" max="11" width="6.6640625" style="242" customWidth="1"/>
    <col min="12" max="12" width="7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6640625" style="242" customWidth="1"/>
    <col min="18" max="18" width="4" style="242" customWidth="1"/>
    <col min="19" max="19" width="6.1093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6640625" style="242" customWidth="1"/>
    <col min="24" max="24" width="7.21875" style="242" customWidth="1"/>
    <col min="25" max="25" width="7.6640625" style="242" customWidth="1"/>
    <col min="26" max="26" width="8.109375" style="242" customWidth="1"/>
    <col min="27" max="27" width="9.21875" style="242" customWidth="1"/>
    <col min="28" max="28" width="5.21875" style="242" customWidth="1"/>
    <col min="29" max="29" width="11.21875" style="242" customWidth="1"/>
    <col min="30" max="16384" width="8.88671875" style="242"/>
  </cols>
  <sheetData>
    <row r="1" spans="1:29" ht="18" customHeight="1" x14ac:dyDescent="0.35">
      <c r="A1" s="314" t="s">
        <v>778</v>
      </c>
      <c r="B1" s="314" t="s">
        <v>27</v>
      </c>
      <c r="C1" s="314" t="s">
        <v>27</v>
      </c>
      <c r="D1" s="314" t="s">
        <v>27</v>
      </c>
      <c r="E1" s="314" t="s">
        <v>27</v>
      </c>
      <c r="F1" s="314" t="s">
        <v>27</v>
      </c>
      <c r="G1" s="314" t="s">
        <v>27</v>
      </c>
      <c r="H1" s="314" t="s">
        <v>27</v>
      </c>
      <c r="I1" s="314" t="s">
        <v>27</v>
      </c>
      <c r="J1" s="314" t="s">
        <v>27</v>
      </c>
      <c r="K1" s="314" t="s">
        <v>27</v>
      </c>
      <c r="L1" s="314" t="s">
        <v>27</v>
      </c>
      <c r="M1" s="314" t="s">
        <v>27</v>
      </c>
      <c r="N1" s="314" t="s">
        <v>27</v>
      </c>
      <c r="O1" s="314" t="s">
        <v>27</v>
      </c>
      <c r="P1" s="314" t="s">
        <v>27</v>
      </c>
      <c r="Q1" s="314" t="s">
        <v>27</v>
      </c>
      <c r="R1" s="314" t="s">
        <v>27</v>
      </c>
      <c r="S1" s="314" t="s">
        <v>27</v>
      </c>
      <c r="T1" s="314" t="s">
        <v>27</v>
      </c>
      <c r="U1" s="314" t="s">
        <v>27</v>
      </c>
      <c r="V1" s="314" t="s">
        <v>27</v>
      </c>
      <c r="W1" s="314" t="s">
        <v>27</v>
      </c>
      <c r="X1" s="314" t="s">
        <v>27</v>
      </c>
      <c r="Y1" s="314" t="s">
        <v>27</v>
      </c>
      <c r="Z1" s="314" t="s">
        <v>27</v>
      </c>
      <c r="AA1" s="314" t="s">
        <v>27</v>
      </c>
      <c r="AB1" s="314" t="s">
        <v>27</v>
      </c>
      <c r="AC1" s="314" t="s">
        <v>27</v>
      </c>
    </row>
    <row r="2" spans="1:29" ht="41.4" customHeight="1" x14ac:dyDescent="0.3">
      <c r="A2" s="292" t="s">
        <v>0</v>
      </c>
      <c r="B2" s="292" t="s">
        <v>36</v>
      </c>
      <c r="C2" s="292" t="s">
        <v>1</v>
      </c>
      <c r="D2" s="292" t="s">
        <v>2</v>
      </c>
      <c r="E2" s="292" t="s">
        <v>53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27</v>
      </c>
      <c r="K2" s="292" t="s">
        <v>8</v>
      </c>
      <c r="L2" s="292" t="s">
        <v>27</v>
      </c>
      <c r="M2" s="292" t="s">
        <v>9</v>
      </c>
      <c r="N2" s="292" t="s">
        <v>10</v>
      </c>
      <c r="O2" s="292" t="s">
        <v>11</v>
      </c>
      <c r="P2" s="292" t="s">
        <v>12</v>
      </c>
      <c r="Q2" s="292" t="s">
        <v>13</v>
      </c>
      <c r="R2" s="292" t="s">
        <v>14</v>
      </c>
      <c r="S2" s="292" t="s">
        <v>15</v>
      </c>
      <c r="T2" s="292" t="s">
        <v>16</v>
      </c>
      <c r="U2" s="292" t="s">
        <v>17</v>
      </c>
      <c r="V2" s="292" t="s">
        <v>18</v>
      </c>
      <c r="W2" s="292" t="s">
        <v>19</v>
      </c>
      <c r="X2" s="292" t="s">
        <v>20</v>
      </c>
      <c r="Y2" s="292" t="s">
        <v>21</v>
      </c>
      <c r="Z2" s="292" t="s">
        <v>22</v>
      </c>
      <c r="AA2" s="292" t="s">
        <v>23</v>
      </c>
      <c r="AB2" s="292" t="s">
        <v>24</v>
      </c>
      <c r="AC2" s="292" t="s">
        <v>25</v>
      </c>
    </row>
    <row r="3" spans="1:29" s="291" customFormat="1" ht="25.05" customHeight="1" x14ac:dyDescent="0.3">
      <c r="A3" s="276"/>
      <c r="B3" s="277" t="s">
        <v>569</v>
      </c>
      <c r="C3" s="277" t="s">
        <v>55</v>
      </c>
      <c r="D3" s="277" t="s">
        <v>783</v>
      </c>
      <c r="E3" s="276">
        <v>262986</v>
      </c>
      <c r="F3" s="277" t="s">
        <v>777</v>
      </c>
      <c r="G3" s="276">
        <v>2000</v>
      </c>
      <c r="H3" s="278">
        <v>0.51</v>
      </c>
      <c r="I3" s="278">
        <v>1.02</v>
      </c>
      <c r="J3" s="276"/>
      <c r="K3" s="277" t="s">
        <v>33</v>
      </c>
      <c r="L3" s="276"/>
      <c r="M3" s="278">
        <v>1040.4000000000001</v>
      </c>
      <c r="N3" s="279">
        <v>680</v>
      </c>
      <c r="O3" s="280">
        <v>6.3E-2</v>
      </c>
      <c r="P3" s="281">
        <v>3.78</v>
      </c>
      <c r="Q3" s="276">
        <v>379.7</v>
      </c>
      <c r="R3" s="276">
        <v>3</v>
      </c>
      <c r="S3" s="276">
        <v>1550</v>
      </c>
      <c r="T3" s="278">
        <v>1.53</v>
      </c>
      <c r="U3" s="276">
        <v>20</v>
      </c>
      <c r="V3" s="280">
        <v>1.29E-2</v>
      </c>
      <c r="W3" s="277" t="s">
        <v>37</v>
      </c>
      <c r="X3" s="277" t="s">
        <v>29</v>
      </c>
      <c r="Y3" s="277" t="s">
        <v>34</v>
      </c>
      <c r="Z3" s="277"/>
      <c r="AA3" s="277"/>
      <c r="AB3" s="277" t="s">
        <v>32</v>
      </c>
      <c r="AC3" s="277" t="s">
        <v>571</v>
      </c>
    </row>
    <row r="4" spans="1:29" s="291" customFormat="1" ht="25.05" customHeight="1" x14ac:dyDescent="0.3">
      <c r="A4" s="276"/>
      <c r="B4" s="277" t="s">
        <v>569</v>
      </c>
      <c r="C4" s="277" t="s">
        <v>55</v>
      </c>
      <c r="D4" s="277" t="s">
        <v>783</v>
      </c>
      <c r="E4" s="276">
        <v>263002</v>
      </c>
      <c r="F4" s="277" t="s">
        <v>777</v>
      </c>
      <c r="G4" s="276">
        <v>2000</v>
      </c>
      <c r="H4" s="278">
        <v>0.41</v>
      </c>
      <c r="I4" s="278">
        <v>0.82</v>
      </c>
      <c r="J4" s="276"/>
      <c r="K4" s="277" t="s">
        <v>33</v>
      </c>
      <c r="L4" s="276"/>
      <c r="M4" s="278">
        <v>672.4</v>
      </c>
      <c r="N4" s="279">
        <v>546.70000000000005</v>
      </c>
      <c r="O4" s="280">
        <v>5.0599999999999999E-2</v>
      </c>
      <c r="P4" s="281">
        <v>3.04</v>
      </c>
      <c r="Q4" s="276">
        <v>245.4</v>
      </c>
      <c r="R4" s="276">
        <v>3</v>
      </c>
      <c r="S4" s="276">
        <v>1250</v>
      </c>
      <c r="T4" s="278">
        <v>1.23</v>
      </c>
      <c r="U4" s="276">
        <v>20</v>
      </c>
      <c r="V4" s="280">
        <v>1.6E-2</v>
      </c>
      <c r="W4" s="277" t="s">
        <v>37</v>
      </c>
      <c r="X4" s="277" t="s">
        <v>29</v>
      </c>
      <c r="Y4" s="277" t="s">
        <v>34</v>
      </c>
      <c r="Z4" s="277"/>
      <c r="AA4" s="277"/>
      <c r="AB4" s="277" t="s">
        <v>32</v>
      </c>
      <c r="AC4" s="277" t="s">
        <v>812</v>
      </c>
    </row>
    <row r="5" spans="1:29" s="291" customFormat="1" ht="25.05" customHeight="1" x14ac:dyDescent="0.3">
      <c r="A5" s="276"/>
      <c r="B5" s="277" t="s">
        <v>569</v>
      </c>
      <c r="C5" s="277" t="s">
        <v>55</v>
      </c>
      <c r="D5" s="277" t="s">
        <v>783</v>
      </c>
      <c r="E5" s="276">
        <v>263001</v>
      </c>
      <c r="F5" s="277" t="s">
        <v>777</v>
      </c>
      <c r="G5" s="276">
        <v>1585</v>
      </c>
      <c r="H5" s="278">
        <v>0.56000000000000005</v>
      </c>
      <c r="I5" s="278">
        <v>1.1200000000000001</v>
      </c>
      <c r="J5" s="276"/>
      <c r="K5" s="277" t="s">
        <v>33</v>
      </c>
      <c r="L5" s="276"/>
      <c r="M5" s="278">
        <v>994.11199999999997</v>
      </c>
      <c r="N5" s="279">
        <v>887.6</v>
      </c>
      <c r="O5" s="280">
        <v>0.12330000000000001</v>
      </c>
      <c r="P5" s="281">
        <v>7.4</v>
      </c>
      <c r="Q5" s="276">
        <v>362.9</v>
      </c>
      <c r="R5" s="276">
        <v>2</v>
      </c>
      <c r="S5" s="276">
        <v>1150</v>
      </c>
      <c r="T5" s="278">
        <v>1.1200000000000001</v>
      </c>
      <c r="U5" s="276">
        <v>30</v>
      </c>
      <c r="V5" s="280">
        <v>2.6100000000000002E-2</v>
      </c>
      <c r="W5" s="277" t="s">
        <v>37</v>
      </c>
      <c r="X5" s="277" t="s">
        <v>29</v>
      </c>
      <c r="Y5" s="277" t="s">
        <v>34</v>
      </c>
      <c r="Z5" s="277"/>
      <c r="AA5" s="277"/>
      <c r="AB5" s="277" t="s">
        <v>32</v>
      </c>
      <c r="AC5" s="277" t="s">
        <v>811</v>
      </c>
    </row>
    <row r="6" spans="1:29" s="264" customFormat="1" ht="25.05" customHeight="1" x14ac:dyDescent="0.3">
      <c r="A6" s="269"/>
      <c r="B6" s="270" t="s">
        <v>569</v>
      </c>
      <c r="C6" s="269" t="s">
        <v>35</v>
      </c>
      <c r="D6" s="269" t="s">
        <v>761</v>
      </c>
      <c r="E6" s="269">
        <v>262981</v>
      </c>
      <c r="F6" s="269" t="s">
        <v>777</v>
      </c>
      <c r="G6" s="269">
        <v>8000</v>
      </c>
      <c r="H6" s="271">
        <v>0.46</v>
      </c>
      <c r="I6" s="271">
        <v>0.92</v>
      </c>
      <c r="J6" s="269" t="s">
        <v>27</v>
      </c>
      <c r="K6" s="269" t="s">
        <v>33</v>
      </c>
      <c r="L6" s="269" t="s">
        <v>27</v>
      </c>
      <c r="M6" s="271">
        <v>3385.6</v>
      </c>
      <c r="N6" s="272">
        <v>2453.3000000000002</v>
      </c>
      <c r="O6" s="273">
        <v>0.22720000000000001</v>
      </c>
      <c r="P6" s="274">
        <v>13.63</v>
      </c>
      <c r="Q6" s="269">
        <v>1066.5</v>
      </c>
      <c r="R6" s="269">
        <v>3</v>
      </c>
      <c r="S6" s="269">
        <v>1400</v>
      </c>
      <c r="T6" s="271">
        <v>1.38</v>
      </c>
      <c r="U6" s="269">
        <v>20</v>
      </c>
      <c r="V6" s="273">
        <v>1.43E-2</v>
      </c>
      <c r="W6" s="269" t="s">
        <v>28</v>
      </c>
      <c r="X6" s="269" t="s">
        <v>28</v>
      </c>
      <c r="Y6" s="269" t="s">
        <v>28</v>
      </c>
      <c r="Z6" s="269" t="s">
        <v>27</v>
      </c>
      <c r="AA6" s="269" t="s">
        <v>27</v>
      </c>
      <c r="AB6" s="269" t="s">
        <v>48</v>
      </c>
      <c r="AC6" s="269" t="s">
        <v>474</v>
      </c>
    </row>
    <row r="7" spans="1:29" s="264" customFormat="1" ht="25.05" customHeight="1" x14ac:dyDescent="0.3">
      <c r="A7" s="269"/>
      <c r="B7" s="270" t="s">
        <v>569</v>
      </c>
      <c r="C7" s="269" t="s">
        <v>35</v>
      </c>
      <c r="D7" s="269" t="s">
        <v>761</v>
      </c>
      <c r="E7" s="269">
        <v>262982</v>
      </c>
      <c r="F7" s="269" t="s">
        <v>777</v>
      </c>
      <c r="G7" s="269">
        <v>3000</v>
      </c>
      <c r="H7" s="271">
        <v>0.67</v>
      </c>
      <c r="I7" s="271">
        <v>0.95</v>
      </c>
      <c r="J7" s="269" t="s">
        <v>27</v>
      </c>
      <c r="K7" s="269" t="s">
        <v>33</v>
      </c>
      <c r="L7" s="269" t="s">
        <v>27</v>
      </c>
      <c r="M7" s="271">
        <v>1909.5</v>
      </c>
      <c r="N7" s="272">
        <v>1425</v>
      </c>
      <c r="O7" s="273">
        <v>0.19789999999999999</v>
      </c>
      <c r="P7" s="274">
        <v>11.88</v>
      </c>
      <c r="Q7" s="269">
        <v>601.5</v>
      </c>
      <c r="R7" s="269">
        <v>2</v>
      </c>
      <c r="S7" s="269">
        <v>1400</v>
      </c>
      <c r="T7" s="271">
        <v>1.34</v>
      </c>
      <c r="U7" s="269">
        <v>60</v>
      </c>
      <c r="V7" s="273">
        <v>4.2900000000000001E-2</v>
      </c>
      <c r="W7" s="269" t="s">
        <v>28</v>
      </c>
      <c r="X7" s="269" t="s">
        <v>28</v>
      </c>
      <c r="Y7" s="269" t="s">
        <v>28</v>
      </c>
      <c r="Z7" s="269" t="s">
        <v>27</v>
      </c>
      <c r="AA7" s="269" t="s">
        <v>27</v>
      </c>
      <c r="AB7" s="269" t="s">
        <v>30</v>
      </c>
      <c r="AC7" s="269" t="s">
        <v>570</v>
      </c>
    </row>
    <row r="8" spans="1:29" s="264" customFormat="1" ht="25.05" customHeight="1" x14ac:dyDescent="0.3">
      <c r="A8" s="269"/>
      <c r="B8" s="270" t="s">
        <v>569</v>
      </c>
      <c r="C8" s="269" t="s">
        <v>35</v>
      </c>
      <c r="D8" s="269" t="s">
        <v>761</v>
      </c>
      <c r="E8" s="269">
        <v>262983</v>
      </c>
      <c r="F8" s="269" t="s">
        <v>777</v>
      </c>
      <c r="G8" s="269">
        <v>500</v>
      </c>
      <c r="H8" s="271">
        <v>0.56000000000000005</v>
      </c>
      <c r="I8" s="271">
        <v>0.93</v>
      </c>
      <c r="J8" s="269" t="s">
        <v>27</v>
      </c>
      <c r="K8" s="269" t="s">
        <v>33</v>
      </c>
      <c r="L8" s="269" t="s">
        <v>27</v>
      </c>
      <c r="M8" s="271">
        <v>260.39999999999998</v>
      </c>
      <c r="N8" s="272">
        <v>232.5</v>
      </c>
      <c r="O8" s="273">
        <v>3.2300000000000002E-2</v>
      </c>
      <c r="P8" s="274">
        <v>1.94</v>
      </c>
      <c r="Q8" s="269">
        <v>82</v>
      </c>
      <c r="R8" s="269">
        <v>2</v>
      </c>
      <c r="S8" s="269">
        <v>1150</v>
      </c>
      <c r="T8" s="271">
        <v>1.1200000000000001</v>
      </c>
      <c r="U8" s="269">
        <v>30</v>
      </c>
      <c r="V8" s="273">
        <v>2.6100000000000002E-2</v>
      </c>
      <c r="W8" s="269" t="s">
        <v>28</v>
      </c>
      <c r="X8" s="269" t="s">
        <v>28</v>
      </c>
      <c r="Y8" s="269" t="s">
        <v>28</v>
      </c>
      <c r="Z8" s="269" t="s">
        <v>27</v>
      </c>
      <c r="AA8" s="269" t="s">
        <v>27</v>
      </c>
      <c r="AB8" s="269" t="s">
        <v>38</v>
      </c>
      <c r="AC8" s="269" t="s">
        <v>460</v>
      </c>
    </row>
    <row r="9" spans="1:29" s="264" customFormat="1" ht="25.05" customHeight="1" x14ac:dyDescent="0.3">
      <c r="A9" s="293" t="s">
        <v>27</v>
      </c>
      <c r="B9" s="293" t="s">
        <v>27</v>
      </c>
      <c r="C9" s="293" t="s">
        <v>27</v>
      </c>
      <c r="D9" s="293" t="s">
        <v>27</v>
      </c>
      <c r="E9" s="293" t="s">
        <v>27</v>
      </c>
      <c r="F9" s="293" t="s">
        <v>27</v>
      </c>
      <c r="G9" s="293">
        <f>SUM(G3:G8)</f>
        <v>17085</v>
      </c>
      <c r="H9" s="293" t="s">
        <v>27</v>
      </c>
      <c r="I9" s="293" t="s">
        <v>27</v>
      </c>
      <c r="J9" s="293" t="s">
        <v>27</v>
      </c>
      <c r="K9" s="293" t="s">
        <v>27</v>
      </c>
      <c r="L9" s="293" t="s">
        <v>27</v>
      </c>
      <c r="M9" s="293" t="s">
        <v>27</v>
      </c>
      <c r="N9" s="293" t="s">
        <v>27</v>
      </c>
      <c r="O9" s="293" t="s">
        <v>27</v>
      </c>
      <c r="P9" s="293" t="s">
        <v>27</v>
      </c>
      <c r="Q9" s="293">
        <f>SUM(Q3:Q8)</f>
        <v>2738</v>
      </c>
      <c r="R9" s="293" t="s">
        <v>27</v>
      </c>
      <c r="S9" s="293" t="s">
        <v>27</v>
      </c>
      <c r="T9" s="293" t="s">
        <v>27</v>
      </c>
      <c r="U9" s="293" t="s">
        <v>27</v>
      </c>
      <c r="V9" s="293" t="s">
        <v>27</v>
      </c>
      <c r="W9" s="293" t="s">
        <v>27</v>
      </c>
      <c r="X9" s="293" t="s">
        <v>27</v>
      </c>
      <c r="Y9" s="293" t="s">
        <v>27</v>
      </c>
      <c r="Z9" s="293" t="s">
        <v>27</v>
      </c>
      <c r="AA9" s="293" t="s">
        <v>27</v>
      </c>
      <c r="AB9" s="293" t="s">
        <v>27</v>
      </c>
      <c r="AC9" s="293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9.33203125" style="242" customWidth="1"/>
    <col min="7" max="7" width="5.44140625" style="242" customWidth="1"/>
    <col min="8" max="8" width="6.6640625" style="242" customWidth="1"/>
    <col min="9" max="9" width="7.21875" style="242" customWidth="1"/>
    <col min="10" max="10" width="9.6640625" style="242" customWidth="1"/>
    <col min="11" max="11" width="10.77734375" style="242" customWidth="1"/>
    <col min="12" max="12" width="9.88671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88671875" style="242" customWidth="1"/>
    <col min="19" max="19" width="6.109375" style="242" customWidth="1"/>
    <col min="20" max="20" width="6.5546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44140625" style="242" customWidth="1"/>
    <col min="25" max="25" width="7.5546875" style="242" customWidth="1"/>
    <col min="26" max="26" width="7.33203125" style="242" customWidth="1"/>
    <col min="27" max="27" width="7.8867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313" t="s">
        <v>776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48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774</v>
      </c>
      <c r="C3" s="258" t="s">
        <v>35</v>
      </c>
      <c r="D3" s="258" t="s">
        <v>761</v>
      </c>
      <c r="E3" s="258">
        <v>262979</v>
      </c>
      <c r="F3" s="258" t="s">
        <v>768</v>
      </c>
      <c r="G3" s="258">
        <v>800</v>
      </c>
      <c r="H3" s="260">
        <v>1.41</v>
      </c>
      <c r="I3" s="260">
        <v>1.2</v>
      </c>
      <c r="J3" s="258" t="s">
        <v>27</v>
      </c>
      <c r="K3" s="258" t="s">
        <v>33</v>
      </c>
      <c r="L3" s="258" t="s">
        <v>27</v>
      </c>
      <c r="M3" s="260">
        <v>1353.6</v>
      </c>
      <c r="N3" s="261">
        <v>960</v>
      </c>
      <c r="O3" s="262">
        <v>0.26669999999999999</v>
      </c>
      <c r="P3" s="263">
        <v>16</v>
      </c>
      <c r="Q3" s="258">
        <v>426.4</v>
      </c>
      <c r="R3" s="258">
        <v>1</v>
      </c>
      <c r="S3" s="258">
        <v>1450</v>
      </c>
      <c r="T3" s="260">
        <v>1.41</v>
      </c>
      <c r="U3" s="258">
        <v>40</v>
      </c>
      <c r="V3" s="262">
        <v>2.76E-2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775</v>
      </c>
    </row>
    <row r="4" spans="1:29" s="264" customFormat="1" ht="25.05" customHeight="1" x14ac:dyDescent="0.3">
      <c r="A4" s="258"/>
      <c r="B4" s="259" t="s">
        <v>774</v>
      </c>
      <c r="C4" s="258" t="s">
        <v>35</v>
      </c>
      <c r="D4" s="258" t="s">
        <v>761</v>
      </c>
      <c r="E4" s="258">
        <v>262980</v>
      </c>
      <c r="F4" s="258" t="s">
        <v>773</v>
      </c>
      <c r="G4" s="258">
        <v>410</v>
      </c>
      <c r="H4" s="260">
        <v>1.36</v>
      </c>
      <c r="I4" s="260">
        <v>1.44</v>
      </c>
      <c r="J4" s="258" t="s">
        <v>27</v>
      </c>
      <c r="K4" s="258" t="s">
        <v>33</v>
      </c>
      <c r="L4" s="258" t="s">
        <v>27</v>
      </c>
      <c r="M4" s="260">
        <v>802.94399999999996</v>
      </c>
      <c r="N4" s="261">
        <v>590.4</v>
      </c>
      <c r="O4" s="262">
        <v>0.16400000000000001</v>
      </c>
      <c r="P4" s="263">
        <v>9.84</v>
      </c>
      <c r="Q4" s="258">
        <v>252.9</v>
      </c>
      <c r="R4" s="258">
        <v>1</v>
      </c>
      <c r="S4" s="258">
        <v>1400</v>
      </c>
      <c r="T4" s="260">
        <v>1.36</v>
      </c>
      <c r="U4" s="258">
        <v>40</v>
      </c>
      <c r="V4" s="262">
        <v>2.86E-2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772</v>
      </c>
    </row>
    <row r="5" spans="1:29" s="264" customFormat="1" ht="25.05" customHeigh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1210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679.3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315" t="s">
        <v>771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315" t="s">
        <v>763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ht="25.05" customHeight="1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ht="25.05" customHeight="1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ht="25.05" customHeight="1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workbookViewId="0">
      <selection activeCell="E23" sqref="E2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312" t="s">
        <v>759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5.6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743</v>
      </c>
      <c r="C3" s="258" t="s">
        <v>26</v>
      </c>
      <c r="D3" s="258" t="s">
        <v>708</v>
      </c>
      <c r="E3" s="258">
        <v>262968</v>
      </c>
      <c r="F3" s="258" t="s">
        <v>742</v>
      </c>
      <c r="G3" s="258">
        <v>400</v>
      </c>
      <c r="H3" s="260">
        <v>0.78100000000000003</v>
      </c>
      <c r="I3" s="260">
        <v>1.83</v>
      </c>
      <c r="J3" s="258" t="s">
        <v>27</v>
      </c>
      <c r="K3" s="258" t="s">
        <v>320</v>
      </c>
      <c r="L3" s="258" t="s">
        <v>27</v>
      </c>
      <c r="M3" s="260">
        <v>571.69200000000001</v>
      </c>
      <c r="N3" s="261">
        <v>366</v>
      </c>
      <c r="O3" s="262">
        <v>5.0799999999999998E-2</v>
      </c>
      <c r="P3" s="263">
        <v>3.05</v>
      </c>
      <c r="Q3" s="258">
        <v>307.60000000000002</v>
      </c>
      <c r="R3" s="258">
        <v>2</v>
      </c>
      <c r="S3" s="258">
        <v>1600</v>
      </c>
      <c r="T3" s="260">
        <v>1.5620000000000001</v>
      </c>
      <c r="U3" s="258">
        <v>38</v>
      </c>
      <c r="V3" s="262">
        <v>2.3800000000000002E-2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319</v>
      </c>
    </row>
    <row r="4" spans="1:29" s="264" customFormat="1" ht="25.05" customHeight="1" x14ac:dyDescent="0.3">
      <c r="A4" s="258"/>
      <c r="B4" s="259" t="s">
        <v>743</v>
      </c>
      <c r="C4" s="258" t="s">
        <v>26</v>
      </c>
      <c r="D4" s="258" t="s">
        <v>708</v>
      </c>
      <c r="E4" s="258">
        <v>262969</v>
      </c>
      <c r="F4" s="258" t="s">
        <v>742</v>
      </c>
      <c r="G4" s="258">
        <v>500</v>
      </c>
      <c r="H4" s="260">
        <v>0.65200000000000002</v>
      </c>
      <c r="I4" s="260">
        <v>2.34</v>
      </c>
      <c r="J4" s="258" t="s">
        <v>27</v>
      </c>
      <c r="K4" s="258" t="s">
        <v>758</v>
      </c>
      <c r="L4" s="258" t="s">
        <v>27</v>
      </c>
      <c r="M4" s="260">
        <v>762.84</v>
      </c>
      <c r="N4" s="261">
        <v>585</v>
      </c>
      <c r="O4" s="262">
        <v>8.1299999999999997E-2</v>
      </c>
      <c r="P4" s="263">
        <v>4.88</v>
      </c>
      <c r="Q4" s="258">
        <v>410.4</v>
      </c>
      <c r="R4" s="258">
        <v>2</v>
      </c>
      <c r="S4" s="258">
        <v>1350</v>
      </c>
      <c r="T4" s="260">
        <v>1.304</v>
      </c>
      <c r="U4" s="258">
        <v>46</v>
      </c>
      <c r="V4" s="262">
        <v>3.4099999999999998E-2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30</v>
      </c>
      <c r="AC4" s="258" t="s">
        <v>757</v>
      </c>
    </row>
    <row r="5" spans="1:29" s="264" customFormat="1" ht="25.05" customHeight="1" x14ac:dyDescent="0.3">
      <c r="A5" s="258"/>
      <c r="B5" s="259" t="s">
        <v>743</v>
      </c>
      <c r="C5" s="258" t="s">
        <v>35</v>
      </c>
      <c r="D5" s="258" t="s">
        <v>708</v>
      </c>
      <c r="E5" s="258">
        <v>262966</v>
      </c>
      <c r="F5" s="258" t="s">
        <v>742</v>
      </c>
      <c r="G5" s="258">
        <v>1100</v>
      </c>
      <c r="H5" s="260">
        <v>0.77400000000000002</v>
      </c>
      <c r="I5" s="260">
        <v>1.1200000000000001</v>
      </c>
      <c r="J5" s="258" t="s">
        <v>27</v>
      </c>
      <c r="K5" s="258" t="s">
        <v>756</v>
      </c>
      <c r="L5" s="258" t="s">
        <v>27</v>
      </c>
      <c r="M5" s="260">
        <v>953.56799999999998</v>
      </c>
      <c r="N5" s="261">
        <v>616</v>
      </c>
      <c r="O5" s="262">
        <v>8.5599999999999996E-2</v>
      </c>
      <c r="P5" s="263">
        <v>5.13</v>
      </c>
      <c r="Q5" s="258">
        <v>300.39999999999998</v>
      </c>
      <c r="R5" s="258">
        <v>2</v>
      </c>
      <c r="S5" s="258">
        <v>1600</v>
      </c>
      <c r="T5" s="260">
        <v>1.548</v>
      </c>
      <c r="U5" s="258">
        <v>52</v>
      </c>
      <c r="V5" s="262">
        <v>3.2500000000000001E-2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755</v>
      </c>
    </row>
    <row r="6" spans="1:29" s="264" customFormat="1" ht="25.05" customHeight="1" x14ac:dyDescent="0.3">
      <c r="A6" s="258"/>
      <c r="B6" s="259" t="s">
        <v>743</v>
      </c>
      <c r="C6" s="258" t="s">
        <v>35</v>
      </c>
      <c r="D6" s="258" t="s">
        <v>708</v>
      </c>
      <c r="E6" s="258">
        <v>262956</v>
      </c>
      <c r="F6" s="258" t="s">
        <v>742</v>
      </c>
      <c r="G6" s="258">
        <v>250</v>
      </c>
      <c r="H6" s="260">
        <v>1.5</v>
      </c>
      <c r="I6" s="260">
        <v>2.57</v>
      </c>
      <c r="J6" s="258" t="s">
        <v>27</v>
      </c>
      <c r="K6" s="258" t="s">
        <v>33</v>
      </c>
      <c r="L6" s="258" t="s">
        <v>27</v>
      </c>
      <c r="M6" s="260">
        <v>963.75</v>
      </c>
      <c r="N6" s="261">
        <v>642.5</v>
      </c>
      <c r="O6" s="262">
        <v>0.17849999999999999</v>
      </c>
      <c r="P6" s="263">
        <v>10.71</v>
      </c>
      <c r="Q6" s="258">
        <v>303.60000000000002</v>
      </c>
      <c r="R6" s="258">
        <v>1</v>
      </c>
      <c r="S6" s="258">
        <v>1550</v>
      </c>
      <c r="T6" s="260">
        <v>1.5</v>
      </c>
      <c r="U6" s="258">
        <v>50</v>
      </c>
      <c r="V6" s="262">
        <v>3.2300000000000002E-2</v>
      </c>
      <c r="W6" s="258" t="s">
        <v>28</v>
      </c>
      <c r="X6" s="258" t="s">
        <v>28</v>
      </c>
      <c r="Y6" s="258" t="s">
        <v>28</v>
      </c>
      <c r="Z6" s="258" t="s">
        <v>27</v>
      </c>
      <c r="AA6" s="258" t="s">
        <v>27</v>
      </c>
      <c r="AB6" s="258" t="s">
        <v>38</v>
      </c>
      <c r="AC6" s="258" t="s">
        <v>754</v>
      </c>
    </row>
    <row r="7" spans="1:29" s="264" customFormat="1" ht="25.05" customHeight="1" x14ac:dyDescent="0.3">
      <c r="A7" s="258"/>
      <c r="B7" s="259" t="s">
        <v>743</v>
      </c>
      <c r="C7" s="258" t="s">
        <v>35</v>
      </c>
      <c r="D7" s="258" t="s">
        <v>708</v>
      </c>
      <c r="E7" s="258">
        <v>262954</v>
      </c>
      <c r="F7" s="258" t="s">
        <v>742</v>
      </c>
      <c r="G7" s="258">
        <v>3000</v>
      </c>
      <c r="H7" s="260">
        <v>0.48</v>
      </c>
      <c r="I7" s="260">
        <v>0.74</v>
      </c>
      <c r="J7" s="258" t="s">
        <v>27</v>
      </c>
      <c r="K7" s="258" t="s">
        <v>33</v>
      </c>
      <c r="L7" s="258" t="s">
        <v>27</v>
      </c>
      <c r="M7" s="260">
        <v>1065.5999999999999</v>
      </c>
      <c r="N7" s="261">
        <v>740</v>
      </c>
      <c r="O7" s="262">
        <v>6.8500000000000005E-2</v>
      </c>
      <c r="P7" s="263">
        <v>4.1100000000000003</v>
      </c>
      <c r="Q7" s="258">
        <v>335.7</v>
      </c>
      <c r="R7" s="258">
        <v>3</v>
      </c>
      <c r="S7" s="258">
        <v>1500</v>
      </c>
      <c r="T7" s="260">
        <v>1.44</v>
      </c>
      <c r="U7" s="258">
        <v>60</v>
      </c>
      <c r="V7" s="262">
        <v>0.04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753</v>
      </c>
    </row>
    <row r="8" spans="1:29" s="264" customFormat="1" ht="25.05" customHeight="1" x14ac:dyDescent="0.3">
      <c r="A8" s="258"/>
      <c r="B8" s="259" t="s">
        <v>743</v>
      </c>
      <c r="C8" s="258" t="s">
        <v>81</v>
      </c>
      <c r="D8" s="258" t="s">
        <v>708</v>
      </c>
      <c r="E8" s="258">
        <v>262955</v>
      </c>
      <c r="F8" s="258" t="s">
        <v>742</v>
      </c>
      <c r="G8" s="258">
        <v>2500</v>
      </c>
      <c r="H8" s="260">
        <v>0.71</v>
      </c>
      <c r="I8" s="260">
        <v>0.6</v>
      </c>
      <c r="J8" s="258" t="s">
        <v>27</v>
      </c>
      <c r="K8" s="258" t="s">
        <v>33</v>
      </c>
      <c r="L8" s="258" t="s">
        <v>27</v>
      </c>
      <c r="M8" s="260">
        <v>1065</v>
      </c>
      <c r="N8" s="261">
        <v>750</v>
      </c>
      <c r="O8" s="262">
        <v>0.1042</v>
      </c>
      <c r="P8" s="263">
        <v>6.25</v>
      </c>
      <c r="Q8" s="258">
        <v>388.7</v>
      </c>
      <c r="R8" s="258">
        <v>2</v>
      </c>
      <c r="S8" s="258">
        <v>1450</v>
      </c>
      <c r="T8" s="260">
        <v>1.42</v>
      </c>
      <c r="U8" s="258">
        <v>30</v>
      </c>
      <c r="V8" s="262">
        <v>2.07E-2</v>
      </c>
      <c r="W8" s="258" t="s">
        <v>41</v>
      </c>
      <c r="X8" s="258" t="s">
        <v>29</v>
      </c>
      <c r="Y8" s="258" t="s">
        <v>28</v>
      </c>
      <c r="Z8" s="258" t="s">
        <v>27</v>
      </c>
      <c r="AA8" s="258" t="s">
        <v>27</v>
      </c>
      <c r="AB8" s="258" t="s">
        <v>30</v>
      </c>
      <c r="AC8" s="258" t="s">
        <v>752</v>
      </c>
    </row>
    <row r="9" spans="1:29" s="264" customFormat="1" ht="25.05" customHeight="1" x14ac:dyDescent="0.3">
      <c r="A9" s="258"/>
      <c r="B9" s="259" t="s">
        <v>743</v>
      </c>
      <c r="C9" s="258" t="s">
        <v>35</v>
      </c>
      <c r="D9" s="258" t="s">
        <v>708</v>
      </c>
      <c r="E9" s="258">
        <v>262967</v>
      </c>
      <c r="F9" s="258" t="s">
        <v>742</v>
      </c>
      <c r="G9" s="258">
        <v>3000</v>
      </c>
      <c r="H9" s="260">
        <v>0.63400000000000001</v>
      </c>
      <c r="I9" s="260">
        <v>1.6</v>
      </c>
      <c r="J9" s="258" t="s">
        <v>27</v>
      </c>
      <c r="K9" s="258" t="s">
        <v>310</v>
      </c>
      <c r="L9" s="258" t="s">
        <v>27</v>
      </c>
      <c r="M9" s="260">
        <v>3043.2</v>
      </c>
      <c r="N9" s="261">
        <v>2400</v>
      </c>
      <c r="O9" s="262">
        <v>0.33329999999999999</v>
      </c>
      <c r="P9" s="263">
        <v>20</v>
      </c>
      <c r="Q9" s="258">
        <v>958.6</v>
      </c>
      <c r="R9" s="258">
        <v>2</v>
      </c>
      <c r="S9" s="258">
        <v>1300</v>
      </c>
      <c r="T9" s="260">
        <v>1.268</v>
      </c>
      <c r="U9" s="258">
        <v>32</v>
      </c>
      <c r="V9" s="262">
        <v>2.46E-2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52</v>
      </c>
      <c r="AC9" s="258" t="s">
        <v>309</v>
      </c>
    </row>
    <row r="10" spans="1:29" s="264" customFormat="1" ht="25.05" customHeight="1" x14ac:dyDescent="0.3">
      <c r="A10" s="258"/>
      <c r="B10" s="259" t="s">
        <v>743</v>
      </c>
      <c r="C10" s="258" t="s">
        <v>35</v>
      </c>
      <c r="D10" s="258" t="s">
        <v>708</v>
      </c>
      <c r="E10" s="258">
        <v>262959</v>
      </c>
      <c r="F10" s="258" t="s">
        <v>742</v>
      </c>
      <c r="G10" s="258">
        <v>5000</v>
      </c>
      <c r="H10" s="260">
        <v>0.30399999999999999</v>
      </c>
      <c r="I10" s="260">
        <v>0.98</v>
      </c>
      <c r="J10" s="258" t="s">
        <v>27</v>
      </c>
      <c r="K10" s="258" t="s">
        <v>83</v>
      </c>
      <c r="L10" s="258" t="s">
        <v>27</v>
      </c>
      <c r="M10" s="260">
        <v>1489.6</v>
      </c>
      <c r="N10" s="261">
        <v>1225</v>
      </c>
      <c r="O10" s="262">
        <v>8.5099999999999995E-2</v>
      </c>
      <c r="P10" s="263">
        <v>5.0999999999999996</v>
      </c>
      <c r="Q10" s="258">
        <v>469.2</v>
      </c>
      <c r="R10" s="258">
        <v>4</v>
      </c>
      <c r="S10" s="258">
        <v>1250</v>
      </c>
      <c r="T10" s="260">
        <v>1.216</v>
      </c>
      <c r="U10" s="258">
        <v>34</v>
      </c>
      <c r="V10" s="262">
        <v>2.7199999999999998E-2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30</v>
      </c>
      <c r="AC10" s="258" t="s">
        <v>82</v>
      </c>
    </row>
    <row r="11" spans="1:29" s="264" customFormat="1" ht="25.05" customHeight="1" x14ac:dyDescent="0.3">
      <c r="A11" s="258"/>
      <c r="B11" s="259" t="s">
        <v>743</v>
      </c>
      <c r="C11" s="258" t="s">
        <v>35</v>
      </c>
      <c r="D11" s="258" t="s">
        <v>708</v>
      </c>
      <c r="E11" s="258">
        <v>262960</v>
      </c>
      <c r="F11" s="258" t="s">
        <v>742</v>
      </c>
      <c r="G11" s="258">
        <v>2000</v>
      </c>
      <c r="H11" s="260">
        <v>0.40500000000000003</v>
      </c>
      <c r="I11" s="260">
        <v>1.33</v>
      </c>
      <c r="J11" s="258" t="s">
        <v>27</v>
      </c>
      <c r="K11" s="258" t="s">
        <v>751</v>
      </c>
      <c r="L11" s="258" t="s">
        <v>27</v>
      </c>
      <c r="M11" s="260">
        <v>1077.3</v>
      </c>
      <c r="N11" s="261">
        <v>886.7</v>
      </c>
      <c r="O11" s="262">
        <v>8.2100000000000006E-2</v>
      </c>
      <c r="P11" s="263">
        <v>4.93</v>
      </c>
      <c r="Q11" s="258">
        <v>339.3</v>
      </c>
      <c r="R11" s="258">
        <v>3</v>
      </c>
      <c r="S11" s="258">
        <v>1250</v>
      </c>
      <c r="T11" s="260">
        <v>1.2150000000000001</v>
      </c>
      <c r="U11" s="258">
        <v>35</v>
      </c>
      <c r="V11" s="262">
        <v>2.8000000000000001E-2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30</v>
      </c>
      <c r="AC11" s="258" t="s">
        <v>750</v>
      </c>
    </row>
    <row r="12" spans="1:29" s="264" customFormat="1" ht="25.05" customHeight="1" x14ac:dyDescent="0.3">
      <c r="A12" s="258"/>
      <c r="B12" s="259" t="s">
        <v>743</v>
      </c>
      <c r="C12" s="258" t="s">
        <v>35</v>
      </c>
      <c r="D12" s="258" t="s">
        <v>708</v>
      </c>
      <c r="E12" s="258">
        <v>262962</v>
      </c>
      <c r="F12" s="258" t="s">
        <v>742</v>
      </c>
      <c r="G12" s="258">
        <v>3600</v>
      </c>
      <c r="H12" s="260">
        <v>0.3</v>
      </c>
      <c r="I12" s="260">
        <v>0.9</v>
      </c>
      <c r="J12" s="258" t="s">
        <v>27</v>
      </c>
      <c r="K12" s="258" t="s">
        <v>33</v>
      </c>
      <c r="L12" s="258" t="s">
        <v>27</v>
      </c>
      <c r="M12" s="260">
        <v>972</v>
      </c>
      <c r="N12" s="261">
        <v>810</v>
      </c>
      <c r="O12" s="262">
        <v>5.6300000000000003E-2</v>
      </c>
      <c r="P12" s="263">
        <v>3.38</v>
      </c>
      <c r="Q12" s="258">
        <v>306.2</v>
      </c>
      <c r="R12" s="258">
        <v>4</v>
      </c>
      <c r="S12" s="258">
        <v>1250</v>
      </c>
      <c r="T12" s="260">
        <v>1.2</v>
      </c>
      <c r="U12" s="258">
        <v>50</v>
      </c>
      <c r="V12" s="262">
        <v>0.04</v>
      </c>
      <c r="W12" s="258" t="s">
        <v>28</v>
      </c>
      <c r="X12" s="258" t="s">
        <v>28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113</v>
      </c>
    </row>
    <row r="13" spans="1:29" s="264" customFormat="1" ht="25.05" customHeight="1" x14ac:dyDescent="0.3">
      <c r="A13" s="258"/>
      <c r="B13" s="259" t="s">
        <v>743</v>
      </c>
      <c r="C13" s="258" t="s">
        <v>35</v>
      </c>
      <c r="D13" s="258" t="s">
        <v>708</v>
      </c>
      <c r="E13" s="258">
        <v>262964</v>
      </c>
      <c r="F13" s="258" t="s">
        <v>742</v>
      </c>
      <c r="G13" s="258">
        <v>700</v>
      </c>
      <c r="H13" s="260">
        <v>1.1599999999999999</v>
      </c>
      <c r="I13" s="260">
        <v>1.19</v>
      </c>
      <c r="J13" s="258" t="s">
        <v>27</v>
      </c>
      <c r="K13" s="258" t="s">
        <v>33</v>
      </c>
      <c r="L13" s="258" t="s">
        <v>27</v>
      </c>
      <c r="M13" s="260">
        <v>966.28</v>
      </c>
      <c r="N13" s="261">
        <v>833</v>
      </c>
      <c r="O13" s="262">
        <v>0.23139999999999999</v>
      </c>
      <c r="P13" s="263">
        <v>13.88</v>
      </c>
      <c r="Q13" s="258">
        <v>304.39999999999998</v>
      </c>
      <c r="R13" s="258">
        <v>1</v>
      </c>
      <c r="S13" s="258">
        <v>1200</v>
      </c>
      <c r="T13" s="260">
        <v>1.1599999999999999</v>
      </c>
      <c r="U13" s="258">
        <v>40</v>
      </c>
      <c r="V13" s="262">
        <v>3.3300000000000003E-2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32</v>
      </c>
      <c r="AC13" s="258" t="s">
        <v>749</v>
      </c>
    </row>
    <row r="14" spans="1:29" s="264" customFormat="1" ht="25.05" customHeight="1" x14ac:dyDescent="0.3">
      <c r="A14" s="258"/>
      <c r="B14" s="259" t="s">
        <v>743</v>
      </c>
      <c r="C14" s="258" t="s">
        <v>35</v>
      </c>
      <c r="D14" s="258" t="s">
        <v>708</v>
      </c>
      <c r="E14" s="258">
        <v>262958</v>
      </c>
      <c r="F14" s="258" t="s">
        <v>742</v>
      </c>
      <c r="G14" s="258">
        <v>1000</v>
      </c>
      <c r="H14" s="260">
        <v>0.56499999999999995</v>
      </c>
      <c r="I14" s="260">
        <v>2.2200000000000002</v>
      </c>
      <c r="J14" s="258" t="s">
        <v>27</v>
      </c>
      <c r="K14" s="258" t="s">
        <v>748</v>
      </c>
      <c r="L14" s="258" t="s">
        <v>27</v>
      </c>
      <c r="M14" s="260">
        <v>1254.3</v>
      </c>
      <c r="N14" s="261">
        <v>1110</v>
      </c>
      <c r="O14" s="262">
        <v>0.1542</v>
      </c>
      <c r="P14" s="263">
        <v>9.25</v>
      </c>
      <c r="Q14" s="258">
        <v>395.1</v>
      </c>
      <c r="R14" s="258">
        <v>2</v>
      </c>
      <c r="S14" s="258">
        <v>1150</v>
      </c>
      <c r="T14" s="260">
        <v>1.1299999999999999</v>
      </c>
      <c r="U14" s="258">
        <v>20</v>
      </c>
      <c r="V14" s="262">
        <v>1.7399999999999999E-2</v>
      </c>
      <c r="W14" s="258" t="s">
        <v>28</v>
      </c>
      <c r="X14" s="258" t="s">
        <v>28</v>
      </c>
      <c r="Y14" s="258" t="s">
        <v>28</v>
      </c>
      <c r="Z14" s="258" t="s">
        <v>27</v>
      </c>
      <c r="AA14" s="258" t="s">
        <v>27</v>
      </c>
      <c r="AB14" s="258" t="s">
        <v>30</v>
      </c>
      <c r="AC14" s="258" t="s">
        <v>747</v>
      </c>
    </row>
    <row r="15" spans="1:29" s="264" customFormat="1" ht="25.05" customHeight="1" x14ac:dyDescent="0.3">
      <c r="A15" s="258"/>
      <c r="B15" s="259" t="s">
        <v>743</v>
      </c>
      <c r="C15" s="258" t="s">
        <v>35</v>
      </c>
      <c r="D15" s="258" t="s">
        <v>708</v>
      </c>
      <c r="E15" s="258">
        <v>262957</v>
      </c>
      <c r="F15" s="258" t="s">
        <v>742</v>
      </c>
      <c r="G15" s="258">
        <v>1050</v>
      </c>
      <c r="H15" s="260">
        <v>1.0089999999999999</v>
      </c>
      <c r="I15" s="260">
        <v>0.92</v>
      </c>
      <c r="J15" s="258" t="s">
        <v>27</v>
      </c>
      <c r="K15" s="258" t="s">
        <v>33</v>
      </c>
      <c r="L15" s="258" t="s">
        <v>27</v>
      </c>
      <c r="M15" s="260">
        <v>974.69399999999996</v>
      </c>
      <c r="N15" s="261">
        <v>966</v>
      </c>
      <c r="O15" s="262">
        <v>0.26829999999999998</v>
      </c>
      <c r="P15" s="263">
        <v>16.100000000000001</v>
      </c>
      <c r="Q15" s="258">
        <v>307</v>
      </c>
      <c r="R15" s="258">
        <v>1</v>
      </c>
      <c r="S15" s="258">
        <v>1050</v>
      </c>
      <c r="T15" s="260">
        <v>1.0089999999999999</v>
      </c>
      <c r="U15" s="258">
        <v>41</v>
      </c>
      <c r="V15" s="262">
        <v>3.9E-2</v>
      </c>
      <c r="W15" s="258" t="s">
        <v>28</v>
      </c>
      <c r="X15" s="258" t="s">
        <v>28</v>
      </c>
      <c r="Y15" s="258" t="s">
        <v>28</v>
      </c>
      <c r="Z15" s="258" t="s">
        <v>27</v>
      </c>
      <c r="AA15" s="258" t="s">
        <v>27</v>
      </c>
      <c r="AB15" s="258" t="s">
        <v>32</v>
      </c>
      <c r="AC15" s="258" t="s">
        <v>746</v>
      </c>
    </row>
    <row r="16" spans="1:29" s="264" customFormat="1" ht="25.05" customHeight="1" x14ac:dyDescent="0.3">
      <c r="A16" s="258"/>
      <c r="B16" s="259" t="s">
        <v>743</v>
      </c>
      <c r="C16" s="258" t="s">
        <v>35</v>
      </c>
      <c r="D16" s="258" t="s">
        <v>708</v>
      </c>
      <c r="E16" s="258">
        <v>262961</v>
      </c>
      <c r="F16" s="258" t="s">
        <v>742</v>
      </c>
      <c r="G16" s="258">
        <v>1000</v>
      </c>
      <c r="H16" s="260">
        <v>1</v>
      </c>
      <c r="I16" s="260">
        <v>1</v>
      </c>
      <c r="J16" s="258" t="s">
        <v>27</v>
      </c>
      <c r="K16" s="258" t="s">
        <v>33</v>
      </c>
      <c r="L16" s="258" t="s">
        <v>27</v>
      </c>
      <c r="M16" s="260">
        <v>1000</v>
      </c>
      <c r="N16" s="261">
        <v>1000</v>
      </c>
      <c r="O16" s="262">
        <v>0.27779999999999999</v>
      </c>
      <c r="P16" s="263">
        <v>16.670000000000002</v>
      </c>
      <c r="Q16" s="258">
        <v>315</v>
      </c>
      <c r="R16" s="258">
        <v>1</v>
      </c>
      <c r="S16" s="258">
        <v>1050</v>
      </c>
      <c r="T16" s="260">
        <v>1</v>
      </c>
      <c r="U16" s="258">
        <v>50</v>
      </c>
      <c r="V16" s="262">
        <v>4.7600000000000003E-2</v>
      </c>
      <c r="W16" s="258" t="s">
        <v>28</v>
      </c>
      <c r="X16" s="258" t="s">
        <v>28</v>
      </c>
      <c r="Y16" s="258" t="s">
        <v>28</v>
      </c>
      <c r="Z16" s="258" t="s">
        <v>27</v>
      </c>
      <c r="AA16" s="258" t="s">
        <v>27</v>
      </c>
      <c r="AB16" s="258" t="s">
        <v>32</v>
      </c>
      <c r="AC16" s="258" t="s">
        <v>745</v>
      </c>
    </row>
    <row r="17" spans="1:29" s="264" customFormat="1" ht="25.05" customHeight="1" x14ac:dyDescent="0.3">
      <c r="A17" s="258"/>
      <c r="B17" s="259" t="s">
        <v>743</v>
      </c>
      <c r="C17" s="258" t="s">
        <v>35</v>
      </c>
      <c r="D17" s="258" t="s">
        <v>708</v>
      </c>
      <c r="E17" s="258">
        <v>262963</v>
      </c>
      <c r="F17" s="258" t="s">
        <v>742</v>
      </c>
      <c r="G17" s="258">
        <v>1500</v>
      </c>
      <c r="H17" s="260">
        <v>0.98</v>
      </c>
      <c r="I17" s="260">
        <v>0.77</v>
      </c>
      <c r="J17" s="258" t="s">
        <v>27</v>
      </c>
      <c r="K17" s="258" t="s">
        <v>33</v>
      </c>
      <c r="L17" s="258" t="s">
        <v>27</v>
      </c>
      <c r="M17" s="260">
        <v>1131.9000000000001</v>
      </c>
      <c r="N17" s="261">
        <v>1155</v>
      </c>
      <c r="O17" s="262">
        <v>0.32079999999999997</v>
      </c>
      <c r="P17" s="263">
        <v>19.25</v>
      </c>
      <c r="Q17" s="258">
        <v>356.5</v>
      </c>
      <c r="R17" s="258">
        <v>1</v>
      </c>
      <c r="S17" s="258">
        <v>1000</v>
      </c>
      <c r="T17" s="260">
        <v>0.98</v>
      </c>
      <c r="U17" s="258">
        <v>20</v>
      </c>
      <c r="V17" s="262">
        <v>0.02</v>
      </c>
      <c r="W17" s="258" t="s">
        <v>28</v>
      </c>
      <c r="X17" s="258" t="s">
        <v>28</v>
      </c>
      <c r="Y17" s="258" t="s">
        <v>28</v>
      </c>
      <c r="Z17" s="258" t="s">
        <v>27</v>
      </c>
      <c r="AA17" s="258" t="s">
        <v>27</v>
      </c>
      <c r="AB17" s="258" t="s">
        <v>32</v>
      </c>
      <c r="AC17" s="258" t="s">
        <v>744</v>
      </c>
    </row>
    <row r="18" spans="1:29" s="264" customFormat="1" ht="25.05" customHeight="1" x14ac:dyDescent="0.3">
      <c r="A18" s="258"/>
      <c r="B18" s="259" t="s">
        <v>743</v>
      </c>
      <c r="C18" s="258" t="s">
        <v>35</v>
      </c>
      <c r="D18" s="258" t="s">
        <v>708</v>
      </c>
      <c r="E18" s="258">
        <v>262965</v>
      </c>
      <c r="F18" s="258" t="s">
        <v>742</v>
      </c>
      <c r="G18" s="258">
        <v>640</v>
      </c>
      <c r="H18" s="260">
        <v>0.88200000000000001</v>
      </c>
      <c r="I18" s="260">
        <v>1.76</v>
      </c>
      <c r="J18" s="258" t="s">
        <v>27</v>
      </c>
      <c r="K18" s="258" t="s">
        <v>33</v>
      </c>
      <c r="L18" s="258" t="s">
        <v>27</v>
      </c>
      <c r="M18" s="260">
        <v>993.48500000000001</v>
      </c>
      <c r="N18" s="261">
        <v>1126.4000000000001</v>
      </c>
      <c r="O18" s="262">
        <v>0.31290000000000001</v>
      </c>
      <c r="P18" s="263">
        <v>18.77</v>
      </c>
      <c r="Q18" s="258">
        <v>312.89999999999998</v>
      </c>
      <c r="R18" s="258">
        <v>1</v>
      </c>
      <c r="S18" s="258">
        <v>950</v>
      </c>
      <c r="T18" s="260">
        <v>0.88200000000000001</v>
      </c>
      <c r="U18" s="258">
        <v>68</v>
      </c>
      <c r="V18" s="262">
        <v>7.1599999999999997E-2</v>
      </c>
      <c r="W18" s="258" t="s">
        <v>28</v>
      </c>
      <c r="X18" s="258" t="s">
        <v>28</v>
      </c>
      <c r="Y18" s="258" t="s">
        <v>28</v>
      </c>
      <c r="Z18" s="258" t="s">
        <v>27</v>
      </c>
      <c r="AA18" s="258" t="s">
        <v>27</v>
      </c>
      <c r="AB18" s="258" t="s">
        <v>32</v>
      </c>
      <c r="AC18" s="258" t="s">
        <v>741</v>
      </c>
    </row>
    <row r="19" spans="1:29" s="264" customFormat="1" ht="25.05" customHeight="1" x14ac:dyDescent="0.3">
      <c r="A19" s="265" t="s">
        <v>27</v>
      </c>
      <c r="B19" s="265" t="s">
        <v>27</v>
      </c>
      <c r="C19" s="265" t="s">
        <v>27</v>
      </c>
      <c r="D19" s="265" t="s">
        <v>27</v>
      </c>
      <c r="E19" s="265" t="s">
        <v>27</v>
      </c>
      <c r="F19" s="265" t="s">
        <v>27</v>
      </c>
      <c r="G19" s="265">
        <v>27240</v>
      </c>
      <c r="H19" s="265" t="s">
        <v>27</v>
      </c>
      <c r="I19" s="265" t="s">
        <v>27</v>
      </c>
      <c r="J19" s="265" t="s">
        <v>27</v>
      </c>
      <c r="K19" s="265" t="s">
        <v>27</v>
      </c>
      <c r="L19" s="265" t="s">
        <v>27</v>
      </c>
      <c r="M19" s="265" t="s">
        <v>27</v>
      </c>
      <c r="N19" s="265" t="s">
        <v>27</v>
      </c>
      <c r="O19" s="265" t="s">
        <v>27</v>
      </c>
      <c r="P19" s="265" t="s">
        <v>27</v>
      </c>
      <c r="Q19" s="265">
        <v>6110.7</v>
      </c>
      <c r="R19" s="265" t="s">
        <v>27</v>
      </c>
      <c r="S19" s="265" t="s">
        <v>27</v>
      </c>
      <c r="T19" s="265" t="s">
        <v>27</v>
      </c>
      <c r="U19" s="265" t="s">
        <v>27</v>
      </c>
      <c r="V19" s="265" t="s">
        <v>27</v>
      </c>
      <c r="W19" s="265" t="s">
        <v>27</v>
      </c>
      <c r="X19" s="265" t="s">
        <v>27</v>
      </c>
      <c r="Y19" s="265" t="s">
        <v>27</v>
      </c>
      <c r="Z19" s="265" t="s">
        <v>27</v>
      </c>
      <c r="AA19" s="265" t="s">
        <v>27</v>
      </c>
      <c r="AB19" s="265" t="s">
        <v>27</v>
      </c>
      <c r="AC1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315" t="s">
        <v>737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7" customFormat="1" x14ac:dyDescent="0.3">
      <c r="A5" s="250">
        <v>3</v>
      </c>
      <c r="B5" s="128" t="s">
        <v>366</v>
      </c>
      <c r="C5" s="250" t="s">
        <v>35</v>
      </c>
      <c r="D5" s="250" t="s">
        <v>729</v>
      </c>
      <c r="E5" s="250">
        <v>262947</v>
      </c>
      <c r="F5" s="250" t="s">
        <v>63</v>
      </c>
      <c r="G5" s="250">
        <v>6000</v>
      </c>
      <c r="H5" s="251">
        <v>0.374</v>
      </c>
      <c r="I5" s="251">
        <v>0.88</v>
      </c>
      <c r="J5" s="250" t="s">
        <v>27</v>
      </c>
      <c r="K5" s="250" t="s">
        <v>110</v>
      </c>
      <c r="L5" s="250" t="s">
        <v>27</v>
      </c>
      <c r="M5" s="252">
        <v>987.36</v>
      </c>
      <c r="N5" s="253">
        <v>660</v>
      </c>
      <c r="O5" s="254">
        <v>4.58E-2</v>
      </c>
      <c r="P5" s="255">
        <v>2.75</v>
      </c>
      <c r="Q5" s="256">
        <v>311</v>
      </c>
      <c r="R5" s="256">
        <v>4</v>
      </c>
      <c r="S5" s="256">
        <v>1550</v>
      </c>
      <c r="T5" s="252">
        <v>1.496</v>
      </c>
      <c r="U5" s="256">
        <v>54</v>
      </c>
      <c r="V5" s="254">
        <v>3.4799999999999998E-2</v>
      </c>
      <c r="W5" s="256" t="s">
        <v>28</v>
      </c>
      <c r="X5" s="256" t="s">
        <v>28</v>
      </c>
      <c r="Y5" s="256" t="s">
        <v>28</v>
      </c>
      <c r="Z5" s="256" t="s">
        <v>27</v>
      </c>
      <c r="AA5" s="256" t="s">
        <v>27</v>
      </c>
      <c r="AB5" s="256" t="s">
        <v>32</v>
      </c>
      <c r="AC5" s="256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workbookViewId="0">
      <selection activeCell="I23" sqref="I23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30" ht="18" customHeight="1" x14ac:dyDescent="0.35">
      <c r="A1" s="313" t="s">
        <v>721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30" ht="48" customHeight="1" x14ac:dyDescent="0.3">
      <c r="A2" s="266" t="s">
        <v>0</v>
      </c>
      <c r="B2" s="266" t="s">
        <v>36</v>
      </c>
      <c r="C2" s="266" t="s">
        <v>1</v>
      </c>
      <c r="D2" s="266" t="s">
        <v>2</v>
      </c>
      <c r="E2" s="266" t="s">
        <v>53</v>
      </c>
      <c r="F2" s="266" t="s">
        <v>4</v>
      </c>
      <c r="G2" s="266" t="s">
        <v>5</v>
      </c>
      <c r="H2" s="266" t="s">
        <v>6</v>
      </c>
      <c r="I2" s="266" t="s">
        <v>7</v>
      </c>
      <c r="J2" s="266" t="s">
        <v>27</v>
      </c>
      <c r="K2" s="266" t="s">
        <v>8</v>
      </c>
      <c r="L2" s="266" t="s">
        <v>27</v>
      </c>
      <c r="M2" s="266" t="s">
        <v>9</v>
      </c>
      <c r="N2" s="266" t="s">
        <v>10</v>
      </c>
      <c r="O2" s="266" t="s">
        <v>11</v>
      </c>
      <c r="P2" s="266" t="s">
        <v>12</v>
      </c>
      <c r="Q2" s="266" t="s">
        <v>13</v>
      </c>
      <c r="R2" s="266" t="s">
        <v>14</v>
      </c>
      <c r="S2" s="266" t="s">
        <v>15</v>
      </c>
      <c r="T2" s="266" t="s">
        <v>16</v>
      </c>
      <c r="U2" s="266" t="s">
        <v>17</v>
      </c>
      <c r="V2" s="266" t="s">
        <v>18</v>
      </c>
      <c r="W2" s="266" t="s">
        <v>19</v>
      </c>
      <c r="X2" s="266" t="s">
        <v>20</v>
      </c>
      <c r="Y2" s="266" t="s">
        <v>21</v>
      </c>
      <c r="Z2" s="266" t="s">
        <v>22</v>
      </c>
      <c r="AA2" s="266" t="s">
        <v>23</v>
      </c>
      <c r="AB2" s="266" t="s">
        <v>24</v>
      </c>
      <c r="AC2" s="266" t="s">
        <v>25</v>
      </c>
    </row>
    <row r="3" spans="1:30" customFormat="1" ht="25.05" customHeight="1" x14ac:dyDescent="0.3">
      <c r="A3" s="276"/>
      <c r="B3" s="277" t="s">
        <v>93</v>
      </c>
      <c r="C3" s="277" t="s">
        <v>35</v>
      </c>
      <c r="D3" s="277" t="s">
        <v>761</v>
      </c>
      <c r="E3" s="276">
        <v>262984</v>
      </c>
      <c r="F3" s="277" t="s">
        <v>779</v>
      </c>
      <c r="G3" s="276">
        <v>2000</v>
      </c>
      <c r="H3" s="278">
        <v>0.51400000000000001</v>
      </c>
      <c r="I3" s="278">
        <v>1.3420000000000001</v>
      </c>
      <c r="J3" s="276"/>
      <c r="K3" s="277" t="s">
        <v>184</v>
      </c>
      <c r="L3" s="276"/>
      <c r="M3" s="278">
        <v>1379.576</v>
      </c>
      <c r="N3" s="279">
        <v>894.7</v>
      </c>
      <c r="O3" s="280">
        <v>8.2799999999999999E-2</v>
      </c>
      <c r="P3" s="281">
        <v>4.97</v>
      </c>
      <c r="Q3" s="276">
        <v>434.6</v>
      </c>
      <c r="R3" s="276">
        <v>3</v>
      </c>
      <c r="S3" s="276">
        <v>1600</v>
      </c>
      <c r="T3" s="278">
        <v>1.542</v>
      </c>
      <c r="U3" s="276">
        <v>58</v>
      </c>
      <c r="V3" s="280">
        <v>3.6200000000000003E-2</v>
      </c>
      <c r="W3" s="277" t="s">
        <v>28</v>
      </c>
      <c r="X3" s="277" t="s">
        <v>28</v>
      </c>
      <c r="Y3" s="277" t="s">
        <v>28</v>
      </c>
      <c r="Z3" s="277"/>
      <c r="AA3" s="277"/>
      <c r="AB3" s="277" t="s">
        <v>30</v>
      </c>
      <c r="AC3" s="277" t="s">
        <v>185</v>
      </c>
    </row>
    <row r="4" spans="1:30" customFormat="1" ht="25.05" customHeight="1" x14ac:dyDescent="0.3">
      <c r="A4" s="276"/>
      <c r="B4" s="277" t="s">
        <v>93</v>
      </c>
      <c r="C4" s="277" t="s">
        <v>44</v>
      </c>
      <c r="D4" s="277" t="s">
        <v>761</v>
      </c>
      <c r="E4" s="276">
        <v>262985</v>
      </c>
      <c r="F4" s="277" t="s">
        <v>780</v>
      </c>
      <c r="G4" s="276">
        <v>2000</v>
      </c>
      <c r="H4" s="278">
        <v>0.45</v>
      </c>
      <c r="I4" s="278">
        <v>1.25</v>
      </c>
      <c r="J4" s="276"/>
      <c r="K4" s="277" t="s">
        <v>781</v>
      </c>
      <c r="L4" s="276"/>
      <c r="M4" s="278">
        <v>1125</v>
      </c>
      <c r="N4" s="279">
        <v>833.3</v>
      </c>
      <c r="O4" s="280">
        <v>7.7200000000000005E-2</v>
      </c>
      <c r="P4" s="281">
        <v>4.63</v>
      </c>
      <c r="Q4" s="276">
        <v>639</v>
      </c>
      <c r="R4" s="276">
        <v>3</v>
      </c>
      <c r="S4" s="276">
        <v>1400</v>
      </c>
      <c r="T4" s="278">
        <v>1.35</v>
      </c>
      <c r="U4" s="276">
        <v>50</v>
      </c>
      <c r="V4" s="280">
        <v>3.5700000000000003E-2</v>
      </c>
      <c r="W4" s="277" t="s">
        <v>34</v>
      </c>
      <c r="X4" s="277" t="s">
        <v>39</v>
      </c>
      <c r="Y4" s="277" t="s">
        <v>34</v>
      </c>
      <c r="Z4" s="277" t="s">
        <v>34</v>
      </c>
      <c r="AA4" s="277" t="s">
        <v>34</v>
      </c>
      <c r="AB4" s="277" t="s">
        <v>40</v>
      </c>
      <c r="AC4" s="277" t="s">
        <v>782</v>
      </c>
    </row>
    <row r="5" spans="1:30" s="275" customFormat="1" ht="25.05" customHeight="1" x14ac:dyDescent="0.3">
      <c r="A5" s="269"/>
      <c r="B5" s="270" t="s">
        <v>93</v>
      </c>
      <c r="C5" s="269" t="s">
        <v>44</v>
      </c>
      <c r="D5" s="269" t="s">
        <v>708</v>
      </c>
      <c r="E5" s="269">
        <v>262942</v>
      </c>
      <c r="F5" s="269" t="s">
        <v>720</v>
      </c>
      <c r="G5" s="269">
        <v>2200</v>
      </c>
      <c r="H5" s="271">
        <v>0.33</v>
      </c>
      <c r="I5" s="271">
        <v>1.1299999999999999</v>
      </c>
      <c r="J5" s="269" t="s">
        <v>27</v>
      </c>
      <c r="K5" s="269" t="s">
        <v>719</v>
      </c>
      <c r="L5" s="269" t="s">
        <v>27</v>
      </c>
      <c r="M5" s="271">
        <v>820.38</v>
      </c>
      <c r="N5" s="272">
        <v>621.5</v>
      </c>
      <c r="O5" s="273">
        <v>4.3200000000000002E-2</v>
      </c>
      <c r="P5" s="274">
        <v>2.59</v>
      </c>
      <c r="Q5" s="269">
        <v>466</v>
      </c>
      <c r="R5" s="269">
        <v>4</v>
      </c>
      <c r="S5" s="269">
        <v>1350</v>
      </c>
      <c r="T5" s="271">
        <v>1.32</v>
      </c>
      <c r="U5" s="269">
        <v>30</v>
      </c>
      <c r="V5" s="273">
        <v>2.2200000000000001E-2</v>
      </c>
      <c r="W5" s="269" t="s">
        <v>34</v>
      </c>
      <c r="X5" s="269" t="s">
        <v>39</v>
      </c>
      <c r="Y5" s="269" t="s">
        <v>34</v>
      </c>
      <c r="Z5" s="269" t="s">
        <v>34</v>
      </c>
      <c r="AA5" s="269" t="s">
        <v>34</v>
      </c>
      <c r="AB5" s="269" t="s">
        <v>30</v>
      </c>
      <c r="AC5" s="269" t="s">
        <v>718</v>
      </c>
      <c r="AD5" s="290"/>
    </row>
    <row r="6" spans="1:30" s="275" customFormat="1" ht="25.05" customHeight="1" x14ac:dyDescent="0.3">
      <c r="A6" s="276"/>
      <c r="B6" s="277" t="s">
        <v>93</v>
      </c>
      <c r="C6" s="277" t="s">
        <v>26</v>
      </c>
      <c r="D6" s="277" t="s">
        <v>825</v>
      </c>
      <c r="E6" s="276">
        <v>263010</v>
      </c>
      <c r="F6" s="277" t="s">
        <v>826</v>
      </c>
      <c r="G6" s="276">
        <v>520</v>
      </c>
      <c r="H6" s="278">
        <v>0.40699999999999997</v>
      </c>
      <c r="I6" s="278">
        <v>0.91400000000000003</v>
      </c>
      <c r="J6" s="276"/>
      <c r="K6" s="277" t="s">
        <v>827</v>
      </c>
      <c r="L6" s="276"/>
      <c r="M6" s="278">
        <v>193.43899999999999</v>
      </c>
      <c r="N6" s="279">
        <v>158.4</v>
      </c>
      <c r="O6" s="280">
        <v>1.47E-2</v>
      </c>
      <c r="P6" s="281">
        <v>0.88</v>
      </c>
      <c r="Q6" s="276">
        <v>104.1</v>
      </c>
      <c r="R6" s="276">
        <v>3</v>
      </c>
      <c r="S6" s="276">
        <v>1250</v>
      </c>
      <c r="T6" s="278">
        <v>1.2210000000000001</v>
      </c>
      <c r="U6" s="276">
        <v>29</v>
      </c>
      <c r="V6" s="280">
        <v>2.3199999999999998E-2</v>
      </c>
      <c r="W6" s="277" t="s">
        <v>28</v>
      </c>
      <c r="X6" s="277" t="s">
        <v>29</v>
      </c>
      <c r="Y6" s="277" t="s">
        <v>28</v>
      </c>
      <c r="Z6" s="277" t="s">
        <v>28</v>
      </c>
      <c r="AA6" s="277" t="s">
        <v>28</v>
      </c>
      <c r="AB6" s="277" t="s">
        <v>38</v>
      </c>
      <c r="AC6" s="277" t="s">
        <v>828</v>
      </c>
    </row>
    <row r="7" spans="1:30" s="275" customFormat="1" ht="25.05" customHeight="1" x14ac:dyDescent="0.3">
      <c r="A7" s="276"/>
      <c r="B7" s="277" t="s">
        <v>93</v>
      </c>
      <c r="C7" s="277" t="s">
        <v>35</v>
      </c>
      <c r="D7" s="277" t="s">
        <v>739</v>
      </c>
      <c r="E7" s="276">
        <v>262953</v>
      </c>
      <c r="F7" s="277" t="s">
        <v>740</v>
      </c>
      <c r="G7" s="276">
        <v>11500</v>
      </c>
      <c r="H7" s="278">
        <v>0.27900000000000003</v>
      </c>
      <c r="I7" s="278">
        <v>1.002</v>
      </c>
      <c r="J7" s="276"/>
      <c r="K7" s="277" t="s">
        <v>188</v>
      </c>
      <c r="L7" s="276"/>
      <c r="M7" s="278">
        <v>3214.9169999999999</v>
      </c>
      <c r="N7" s="279">
        <v>2880.8</v>
      </c>
      <c r="O7" s="280">
        <v>0.2001</v>
      </c>
      <c r="P7" s="281">
        <v>12</v>
      </c>
      <c r="Q7" s="276">
        <v>1012.7</v>
      </c>
      <c r="R7" s="276">
        <v>4</v>
      </c>
      <c r="S7" s="276">
        <v>1150</v>
      </c>
      <c r="T7" s="278">
        <v>1.1160000000000001</v>
      </c>
      <c r="U7" s="276">
        <v>34</v>
      </c>
      <c r="V7" s="280">
        <v>2.9600000000000001E-2</v>
      </c>
      <c r="W7" s="277" t="s">
        <v>28</v>
      </c>
      <c r="X7" s="277" t="s">
        <v>28</v>
      </c>
      <c r="Y7" s="277" t="s">
        <v>28</v>
      </c>
      <c r="Z7" s="277"/>
      <c r="AA7" s="277"/>
      <c r="AB7" s="277" t="s">
        <v>31</v>
      </c>
      <c r="AC7" s="277" t="s">
        <v>189</v>
      </c>
      <c r="AD7" s="290"/>
    </row>
    <row r="8" spans="1:30" s="275" customFormat="1" ht="25.05" customHeight="1" x14ac:dyDescent="0.3">
      <c r="A8" s="282"/>
      <c r="B8" s="283" t="s">
        <v>93</v>
      </c>
      <c r="C8" s="283" t="s">
        <v>35</v>
      </c>
      <c r="D8" s="283" t="s">
        <v>761</v>
      </c>
      <c r="E8" s="284">
        <v>262974</v>
      </c>
      <c r="F8" s="283" t="s">
        <v>764</v>
      </c>
      <c r="G8" s="284">
        <v>4000</v>
      </c>
      <c r="H8" s="285">
        <v>0.35899999999999999</v>
      </c>
      <c r="I8" s="285">
        <v>0.92200000000000004</v>
      </c>
      <c r="J8" s="282"/>
      <c r="K8" s="283" t="s">
        <v>765</v>
      </c>
      <c r="L8" s="282"/>
      <c r="M8" s="285">
        <v>1323.992</v>
      </c>
      <c r="N8" s="286">
        <v>922</v>
      </c>
      <c r="O8" s="287">
        <v>6.4000000000000001E-2</v>
      </c>
      <c r="P8" s="288">
        <v>3.84</v>
      </c>
      <c r="Q8" s="284">
        <v>417.1</v>
      </c>
      <c r="R8" s="284">
        <v>4</v>
      </c>
      <c r="S8" s="284">
        <v>1500</v>
      </c>
      <c r="T8" s="285">
        <v>1.4359999999999999</v>
      </c>
      <c r="U8" s="284">
        <v>64</v>
      </c>
      <c r="V8" s="287">
        <v>4.2700000000000002E-2</v>
      </c>
      <c r="W8" s="283" t="s">
        <v>28</v>
      </c>
      <c r="X8" s="283" t="s">
        <v>28</v>
      </c>
      <c r="Y8" s="283" t="s">
        <v>28</v>
      </c>
      <c r="Z8" s="289"/>
      <c r="AA8" s="289"/>
      <c r="AB8" s="283" t="s">
        <v>32</v>
      </c>
      <c r="AC8" s="283" t="s">
        <v>766</v>
      </c>
      <c r="AD8" s="290"/>
    </row>
    <row r="9" spans="1:30" ht="25.05" customHeight="1" x14ac:dyDescent="0.3">
      <c r="A9" s="267" t="s">
        <v>27</v>
      </c>
      <c r="B9" s="267" t="s">
        <v>27</v>
      </c>
      <c r="C9" s="267" t="s">
        <v>27</v>
      </c>
      <c r="D9" s="267" t="s">
        <v>27</v>
      </c>
      <c r="E9" s="267" t="s">
        <v>27</v>
      </c>
      <c r="F9" s="267" t="s">
        <v>27</v>
      </c>
      <c r="G9" s="267">
        <f>SUM(G3:G8)</f>
        <v>22220</v>
      </c>
      <c r="H9" s="267" t="s">
        <v>27</v>
      </c>
      <c r="I9" s="267" t="s">
        <v>27</v>
      </c>
      <c r="J9" s="267" t="s">
        <v>27</v>
      </c>
      <c r="K9" s="267" t="s">
        <v>27</v>
      </c>
      <c r="L9" s="267" t="s">
        <v>27</v>
      </c>
      <c r="M9" s="268" t="s">
        <v>27</v>
      </c>
      <c r="N9" s="268" t="s">
        <v>27</v>
      </c>
      <c r="O9" s="268" t="s">
        <v>27</v>
      </c>
      <c r="P9" s="268" t="s">
        <v>27</v>
      </c>
      <c r="Q9" s="268">
        <f>SUM(Q3:Q8)</f>
        <v>3073.4999999999995</v>
      </c>
      <c r="R9" s="268" t="s">
        <v>27</v>
      </c>
      <c r="S9" s="268" t="s">
        <v>27</v>
      </c>
      <c r="T9" s="268" t="s">
        <v>27</v>
      </c>
      <c r="U9" s="268" t="s">
        <v>27</v>
      </c>
      <c r="V9" s="268" t="s">
        <v>27</v>
      </c>
      <c r="W9" s="268" t="s">
        <v>27</v>
      </c>
      <c r="X9" s="268" t="s">
        <v>27</v>
      </c>
      <c r="Y9" s="268" t="s">
        <v>27</v>
      </c>
      <c r="Z9" s="268" t="s">
        <v>27</v>
      </c>
      <c r="AA9" s="268" t="s">
        <v>27</v>
      </c>
      <c r="AB9" s="268" t="s">
        <v>27</v>
      </c>
      <c r="AC9" s="268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315" t="s">
        <v>717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316" t="s">
        <v>709</v>
      </c>
      <c r="B1" s="316" t="s">
        <v>27</v>
      </c>
      <c r="C1" s="316" t="s">
        <v>27</v>
      </c>
      <c r="D1" s="316" t="s">
        <v>27</v>
      </c>
      <c r="E1" s="316" t="s">
        <v>27</v>
      </c>
      <c r="F1" s="316" t="s">
        <v>27</v>
      </c>
      <c r="G1" s="316" t="s">
        <v>27</v>
      </c>
      <c r="H1" s="316" t="s">
        <v>27</v>
      </c>
      <c r="I1" s="316" t="s">
        <v>27</v>
      </c>
      <c r="J1" s="316" t="s">
        <v>27</v>
      </c>
      <c r="K1" s="316" t="s">
        <v>27</v>
      </c>
      <c r="L1" s="316" t="s">
        <v>27</v>
      </c>
      <c r="M1" s="316" t="s">
        <v>27</v>
      </c>
      <c r="N1" s="316" t="s">
        <v>27</v>
      </c>
      <c r="O1" s="316" t="s">
        <v>27</v>
      </c>
      <c r="P1" s="316" t="s">
        <v>27</v>
      </c>
      <c r="Q1" s="316" t="s">
        <v>27</v>
      </c>
      <c r="R1" s="316" t="s">
        <v>27</v>
      </c>
      <c r="S1" s="316" t="s">
        <v>27</v>
      </c>
      <c r="T1" s="316" t="s">
        <v>27</v>
      </c>
      <c r="U1" s="316" t="s">
        <v>27</v>
      </c>
      <c r="V1" s="316" t="s">
        <v>27</v>
      </c>
      <c r="W1" s="316" t="s">
        <v>27</v>
      </c>
      <c r="X1" s="316" t="s">
        <v>27</v>
      </c>
      <c r="Y1" s="316" t="s">
        <v>27</v>
      </c>
      <c r="Z1" s="316" t="s">
        <v>27</v>
      </c>
      <c r="AA1" s="316" t="s">
        <v>27</v>
      </c>
      <c r="AB1" s="316" t="s">
        <v>27</v>
      </c>
      <c r="AC1" s="316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315" t="s">
        <v>738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4" t="s">
        <v>90</v>
      </c>
      <c r="C4" s="244" t="s">
        <v>35</v>
      </c>
      <c r="D4" s="244" t="s">
        <v>698</v>
      </c>
      <c r="E4" s="245">
        <v>262944</v>
      </c>
      <c r="F4" s="244" t="s">
        <v>722</v>
      </c>
      <c r="G4" s="245">
        <v>1000</v>
      </c>
      <c r="H4" s="246">
        <v>0.75</v>
      </c>
      <c r="I4" s="246">
        <v>2.1</v>
      </c>
      <c r="J4" s="245"/>
      <c r="K4" s="244" t="s">
        <v>33</v>
      </c>
      <c r="L4" s="245"/>
      <c r="M4" s="246">
        <v>1575</v>
      </c>
      <c r="N4" s="247">
        <v>1050</v>
      </c>
      <c r="O4" s="248">
        <v>0.14580000000000001</v>
      </c>
      <c r="P4" s="249">
        <v>8.75</v>
      </c>
      <c r="Q4" s="245">
        <v>496.1</v>
      </c>
      <c r="R4" s="245">
        <v>2</v>
      </c>
      <c r="S4" s="245">
        <v>1550</v>
      </c>
      <c r="T4" s="246">
        <v>1.5</v>
      </c>
      <c r="U4" s="245">
        <v>50</v>
      </c>
      <c r="V4" s="248">
        <v>3.2300000000000002E-2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30</v>
      </c>
      <c r="AC4" s="244" t="s">
        <v>723</v>
      </c>
    </row>
    <row r="5" spans="1:29" s="12" customFormat="1" ht="25.05" customHeight="1" x14ac:dyDescent="0.3">
      <c r="A5" s="5">
        <v>3</v>
      </c>
      <c r="B5" s="244" t="s">
        <v>90</v>
      </c>
      <c r="C5" s="244" t="s">
        <v>35</v>
      </c>
      <c r="D5" s="244" t="s">
        <v>708</v>
      </c>
      <c r="E5" s="245">
        <v>262945</v>
      </c>
      <c r="F5" s="244" t="s">
        <v>724</v>
      </c>
      <c r="G5" s="245">
        <v>1000</v>
      </c>
      <c r="H5" s="246">
        <v>1.1120000000000001</v>
      </c>
      <c r="I5" s="246">
        <v>1.24</v>
      </c>
      <c r="J5" s="245"/>
      <c r="K5" s="244" t="s">
        <v>33</v>
      </c>
      <c r="L5" s="245"/>
      <c r="M5" s="246">
        <v>1378.88</v>
      </c>
      <c r="N5" s="247">
        <v>1240</v>
      </c>
      <c r="O5" s="248">
        <v>0.34439999999999998</v>
      </c>
      <c r="P5" s="249">
        <v>20.67</v>
      </c>
      <c r="Q5" s="245">
        <v>434.3</v>
      </c>
      <c r="R5" s="245">
        <v>1</v>
      </c>
      <c r="S5" s="245">
        <v>1150</v>
      </c>
      <c r="T5" s="246">
        <v>1.1120000000000001</v>
      </c>
      <c r="U5" s="245">
        <v>38</v>
      </c>
      <c r="V5" s="248">
        <v>3.3000000000000002E-2</v>
      </c>
      <c r="W5" s="244" t="s">
        <v>28</v>
      </c>
      <c r="X5" s="244" t="s">
        <v>28</v>
      </c>
      <c r="Y5" s="244" t="s">
        <v>28</v>
      </c>
      <c r="Z5" s="244"/>
      <c r="AA5" s="244"/>
      <c r="AB5" s="244" t="s">
        <v>30</v>
      </c>
      <c r="AC5" s="244" t="s">
        <v>725</v>
      </c>
    </row>
    <row r="6" spans="1:29" s="12" customFormat="1" ht="25.05" customHeight="1" x14ac:dyDescent="0.3">
      <c r="A6" s="5">
        <v>4</v>
      </c>
      <c r="B6" s="244" t="s">
        <v>90</v>
      </c>
      <c r="C6" s="244" t="s">
        <v>35</v>
      </c>
      <c r="D6" s="244" t="s">
        <v>698</v>
      </c>
      <c r="E6" s="245">
        <v>262943</v>
      </c>
      <c r="F6" s="244" t="s">
        <v>722</v>
      </c>
      <c r="G6" s="245">
        <v>2000</v>
      </c>
      <c r="H6" s="246">
        <v>0.94599999999999995</v>
      </c>
      <c r="I6" s="246">
        <v>2.1</v>
      </c>
      <c r="J6" s="245"/>
      <c r="K6" s="244" t="s">
        <v>726</v>
      </c>
      <c r="L6" s="245"/>
      <c r="M6" s="246">
        <v>3973.2</v>
      </c>
      <c r="N6" s="247">
        <v>4200</v>
      </c>
      <c r="O6" s="248">
        <v>1.1667000000000001</v>
      </c>
      <c r="P6" s="249">
        <v>70</v>
      </c>
      <c r="Q6" s="245">
        <v>1251.5999999999999</v>
      </c>
      <c r="R6" s="245">
        <v>1</v>
      </c>
      <c r="S6" s="245">
        <v>1000</v>
      </c>
      <c r="T6" s="246">
        <v>0.94599999999999995</v>
      </c>
      <c r="U6" s="245">
        <v>54</v>
      </c>
      <c r="V6" s="248">
        <v>5.3999999999999999E-2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48</v>
      </c>
      <c r="AC6" s="244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317" t="s">
        <v>696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315" t="s">
        <v>664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317" t="s">
        <v>660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/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317" t="s">
        <v>645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/>
      <c r="L1" s="317" t="s">
        <v>27</v>
      </c>
      <c r="M1" s="317" t="s">
        <v>27</v>
      </c>
      <c r="N1" s="317" t="s">
        <v>27</v>
      </c>
      <c r="O1" s="317" t="s">
        <v>27</v>
      </c>
      <c r="P1" s="317"/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  <c r="AD1" s="317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317" t="s">
        <v>622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/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/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  <c r="AD1" s="317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17" t="s">
        <v>614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315" t="s">
        <v>606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317" t="s">
        <v>595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C8"/>
  <sheetViews>
    <sheetView tabSelected="1" workbookViewId="0">
      <selection activeCell="J23" sqref="J2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33203125" style="1" customWidth="1"/>
    <col min="6" max="6" width="5.5546875" style="1" customWidth="1"/>
    <col min="7" max="7" width="6" style="1" customWidth="1"/>
    <col min="8" max="8" width="5.5546875" style="1" customWidth="1"/>
    <col min="9" max="10" width="6.109375" style="1" customWidth="1"/>
    <col min="11" max="11" width="7.6640625" style="1" customWidth="1"/>
    <col min="12" max="12" width="7.33203125" style="1" customWidth="1"/>
    <col min="13" max="13" width="9.77734375" style="1" hidden="1" customWidth="1"/>
    <col min="14" max="14" width="7.77734375" style="1" hidden="1" customWidth="1"/>
    <col min="15" max="15" width="7.6640625" style="1" hidden="1" customWidth="1"/>
    <col min="16" max="16" width="7.109375" style="1" hidden="1" customWidth="1"/>
    <col min="17" max="17" width="6.777343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77734375" style="1" customWidth="1"/>
    <col min="24" max="24" width="8.109375" style="1" customWidth="1"/>
    <col min="25" max="25" width="7.33203125" style="1" customWidth="1"/>
    <col min="26" max="26" width="8" style="1" customWidth="1"/>
    <col min="27" max="27" width="8.44140625" style="1" customWidth="1"/>
    <col min="28" max="28" width="3.6640625" style="1" customWidth="1"/>
    <col min="29" max="29" width="10.44140625" style="1" customWidth="1"/>
    <col min="30" max="16384" width="8.88671875" style="1"/>
  </cols>
  <sheetData>
    <row r="1" spans="1:29" ht="18" customHeight="1" x14ac:dyDescent="0.35">
      <c r="A1" s="315" t="s">
        <v>585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/>
      <c r="K1" s="315" t="s">
        <v>27</v>
      </c>
      <c r="L1" s="315"/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/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90" customFormat="1" ht="25.05" customHeight="1" x14ac:dyDescent="0.3">
      <c r="A3" s="329"/>
      <c r="B3" s="331" t="s">
        <v>582</v>
      </c>
      <c r="C3" s="329" t="s">
        <v>581</v>
      </c>
      <c r="D3" s="329" t="s">
        <v>825</v>
      </c>
      <c r="E3" s="329">
        <v>263013</v>
      </c>
      <c r="F3" s="329" t="s">
        <v>837</v>
      </c>
      <c r="G3" s="329">
        <v>2000</v>
      </c>
      <c r="H3" s="330">
        <v>0.5</v>
      </c>
      <c r="I3" s="330">
        <v>0.99</v>
      </c>
      <c r="J3" s="329" t="s">
        <v>27</v>
      </c>
      <c r="K3" s="329" t="s">
        <v>33</v>
      </c>
      <c r="L3" s="329" t="s">
        <v>27</v>
      </c>
      <c r="M3" s="326">
        <v>990</v>
      </c>
      <c r="N3" s="328">
        <v>660</v>
      </c>
      <c r="O3" s="325">
        <v>6.1100000000000002E-2</v>
      </c>
      <c r="P3" s="327">
        <v>3.67</v>
      </c>
      <c r="Q3" s="324">
        <v>396</v>
      </c>
      <c r="R3" s="324">
        <v>3</v>
      </c>
      <c r="S3" s="324">
        <v>1550</v>
      </c>
      <c r="T3" s="326">
        <v>1.5</v>
      </c>
      <c r="U3" s="324">
        <v>50</v>
      </c>
      <c r="V3" s="325">
        <v>3.2300000000000002E-2</v>
      </c>
      <c r="W3" s="324" t="s">
        <v>37</v>
      </c>
      <c r="X3" s="324" t="s">
        <v>29</v>
      </c>
      <c r="Y3" s="324" t="s">
        <v>29</v>
      </c>
      <c r="Z3" s="324" t="s">
        <v>27</v>
      </c>
      <c r="AA3" s="324" t="s">
        <v>27</v>
      </c>
      <c r="AB3" s="324" t="s">
        <v>32</v>
      </c>
      <c r="AC3" s="324" t="s">
        <v>836</v>
      </c>
    </row>
    <row r="4" spans="1:29" s="90" customFormat="1" ht="25.05" customHeight="1" x14ac:dyDescent="0.3">
      <c r="A4" s="329"/>
      <c r="B4" s="331" t="s">
        <v>582</v>
      </c>
      <c r="C4" s="329" t="s">
        <v>581</v>
      </c>
      <c r="D4" s="329" t="s">
        <v>825</v>
      </c>
      <c r="E4" s="329">
        <v>263014</v>
      </c>
      <c r="F4" s="329" t="s">
        <v>837</v>
      </c>
      <c r="G4" s="329">
        <v>1500</v>
      </c>
      <c r="H4" s="330">
        <v>0.73499999999999999</v>
      </c>
      <c r="I4" s="330">
        <v>0.73499999999999999</v>
      </c>
      <c r="J4" s="329" t="s">
        <v>27</v>
      </c>
      <c r="K4" s="329" t="s">
        <v>33</v>
      </c>
      <c r="L4" s="329" t="s">
        <v>27</v>
      </c>
      <c r="M4" s="326">
        <v>810.33699999999999</v>
      </c>
      <c r="N4" s="328">
        <v>551.29999999999995</v>
      </c>
      <c r="O4" s="325">
        <v>7.6600000000000001E-2</v>
      </c>
      <c r="P4" s="327">
        <v>4.59</v>
      </c>
      <c r="Q4" s="324">
        <v>324.10000000000002</v>
      </c>
      <c r="R4" s="324">
        <v>2</v>
      </c>
      <c r="S4" s="324">
        <v>1500</v>
      </c>
      <c r="T4" s="326">
        <v>1.47</v>
      </c>
      <c r="U4" s="324">
        <v>30</v>
      </c>
      <c r="V4" s="325">
        <v>0.02</v>
      </c>
      <c r="W4" s="324" t="s">
        <v>37</v>
      </c>
      <c r="X4" s="324" t="s">
        <v>29</v>
      </c>
      <c r="Y4" s="324" t="s">
        <v>29</v>
      </c>
      <c r="Z4" s="324" t="s">
        <v>27</v>
      </c>
      <c r="AA4" s="324" t="s">
        <v>27</v>
      </c>
      <c r="AB4" s="324" t="s">
        <v>32</v>
      </c>
      <c r="AC4" s="324" t="s">
        <v>838</v>
      </c>
    </row>
    <row r="5" spans="1:29" ht="25.05" customHeight="1" x14ac:dyDescent="0.3">
      <c r="A5" s="126"/>
      <c r="B5" s="128" t="s">
        <v>582</v>
      </c>
      <c r="C5" s="126" t="s">
        <v>581</v>
      </c>
      <c r="D5" s="126" t="s">
        <v>576</v>
      </c>
      <c r="E5" s="126">
        <v>262868</v>
      </c>
      <c r="F5" s="126" t="s">
        <v>584</v>
      </c>
      <c r="G5" s="126">
        <v>2000</v>
      </c>
      <c r="H5" s="127">
        <v>0.72</v>
      </c>
      <c r="I5" s="127">
        <v>0.72</v>
      </c>
      <c r="J5" s="127"/>
      <c r="K5" s="126" t="s">
        <v>33</v>
      </c>
      <c r="L5" s="126"/>
      <c r="M5" s="123">
        <v>1036.8</v>
      </c>
      <c r="N5" s="125">
        <v>720</v>
      </c>
      <c r="O5" s="122">
        <v>0.1</v>
      </c>
      <c r="P5" s="124">
        <v>6</v>
      </c>
      <c r="Q5" s="121">
        <v>402.3</v>
      </c>
      <c r="R5" s="121">
        <v>2</v>
      </c>
      <c r="S5" s="121">
        <v>1500</v>
      </c>
      <c r="T5" s="123">
        <v>1.44</v>
      </c>
      <c r="U5" s="121">
        <v>60</v>
      </c>
      <c r="V5" s="122">
        <v>0.04</v>
      </c>
      <c r="W5" s="121" t="s">
        <v>37</v>
      </c>
      <c r="X5" s="121" t="s">
        <v>29</v>
      </c>
      <c r="Y5" s="121" t="s">
        <v>29</v>
      </c>
      <c r="Z5" s="121" t="s">
        <v>27</v>
      </c>
      <c r="AA5" s="121" t="s">
        <v>27</v>
      </c>
      <c r="AB5" s="121" t="s">
        <v>32</v>
      </c>
      <c r="AC5" s="121" t="s">
        <v>583</v>
      </c>
    </row>
    <row r="6" spans="1:29" s="90" customFormat="1" ht="25.05" customHeight="1" x14ac:dyDescent="0.3">
      <c r="A6" s="329"/>
      <c r="B6" s="331" t="s">
        <v>582</v>
      </c>
      <c r="C6" s="329" t="s">
        <v>581</v>
      </c>
      <c r="D6" s="329" t="s">
        <v>825</v>
      </c>
      <c r="E6" s="329">
        <v>263015</v>
      </c>
      <c r="F6" s="329" t="s">
        <v>839</v>
      </c>
      <c r="G6" s="329">
        <v>5000</v>
      </c>
      <c r="H6" s="330">
        <v>0.68</v>
      </c>
      <c r="I6" s="330">
        <v>1</v>
      </c>
      <c r="J6" s="329" t="s">
        <v>27</v>
      </c>
      <c r="K6" s="329" t="s">
        <v>33</v>
      </c>
      <c r="L6" s="329" t="s">
        <v>27</v>
      </c>
      <c r="M6" s="326">
        <v>3400</v>
      </c>
      <c r="N6" s="328">
        <v>2500</v>
      </c>
      <c r="O6" s="325">
        <v>0.34720000000000001</v>
      </c>
      <c r="P6" s="327">
        <v>20.83</v>
      </c>
      <c r="Q6" s="324">
        <v>1360</v>
      </c>
      <c r="R6" s="324">
        <v>2</v>
      </c>
      <c r="S6" s="324">
        <v>1400</v>
      </c>
      <c r="T6" s="326">
        <v>1.36</v>
      </c>
      <c r="U6" s="324">
        <v>40</v>
      </c>
      <c r="V6" s="325">
        <v>2.86E-2</v>
      </c>
      <c r="W6" s="324" t="s">
        <v>37</v>
      </c>
      <c r="X6" s="324" t="s">
        <v>29</v>
      </c>
      <c r="Y6" s="324" t="s">
        <v>29</v>
      </c>
      <c r="Z6" s="324" t="s">
        <v>27</v>
      </c>
      <c r="AA6" s="324" t="s">
        <v>27</v>
      </c>
      <c r="AB6" s="324" t="s">
        <v>48</v>
      </c>
      <c r="AC6" s="324" t="s">
        <v>579</v>
      </c>
    </row>
    <row r="7" spans="1:29" ht="25.05" customHeight="1" x14ac:dyDescent="0.3">
      <c r="A7" s="126"/>
      <c r="B7" s="128" t="s">
        <v>582</v>
      </c>
      <c r="C7" s="126" t="s">
        <v>581</v>
      </c>
      <c r="D7" s="126" t="s">
        <v>576</v>
      </c>
      <c r="E7" s="126">
        <v>262867</v>
      </c>
      <c r="F7" s="126" t="s">
        <v>580</v>
      </c>
      <c r="G7" s="126">
        <v>7000</v>
      </c>
      <c r="H7" s="127">
        <v>0.68</v>
      </c>
      <c r="I7" s="127">
        <v>1</v>
      </c>
      <c r="J7" s="127"/>
      <c r="K7" s="126" t="s">
        <v>33</v>
      </c>
      <c r="L7" s="126"/>
      <c r="M7" s="123">
        <v>4760</v>
      </c>
      <c r="N7" s="125">
        <v>3500</v>
      </c>
      <c r="O7" s="122">
        <v>0.48609999999999998</v>
      </c>
      <c r="P7" s="124">
        <v>29.17</v>
      </c>
      <c r="Q7" s="121">
        <v>1846.9</v>
      </c>
      <c r="R7" s="121">
        <v>2</v>
      </c>
      <c r="S7" s="121">
        <v>1400</v>
      </c>
      <c r="T7" s="123">
        <v>1.36</v>
      </c>
      <c r="U7" s="121">
        <v>40</v>
      </c>
      <c r="V7" s="122">
        <v>2.86E-2</v>
      </c>
      <c r="W7" s="121" t="s">
        <v>37</v>
      </c>
      <c r="X7" s="121" t="s">
        <v>29</v>
      </c>
      <c r="Y7" s="121" t="s">
        <v>29</v>
      </c>
      <c r="Z7" s="121" t="s">
        <v>27</v>
      </c>
      <c r="AA7" s="121" t="s">
        <v>27</v>
      </c>
      <c r="AB7" s="121" t="s">
        <v>40</v>
      </c>
      <c r="AC7" s="121" t="s">
        <v>579</v>
      </c>
    </row>
    <row r="8" spans="1:29" ht="25.05" customHeight="1" x14ac:dyDescent="0.3">
      <c r="A8" s="120" t="s">
        <v>27</v>
      </c>
      <c r="B8" s="120" t="s">
        <v>27</v>
      </c>
      <c r="C8" s="120" t="s">
        <v>27</v>
      </c>
      <c r="D8" s="120" t="s">
        <v>27</v>
      </c>
      <c r="E8" s="120" t="s">
        <v>27</v>
      </c>
      <c r="F8" s="120" t="s">
        <v>27</v>
      </c>
      <c r="G8" s="120">
        <f>SUM(G3:G7)</f>
        <v>17500</v>
      </c>
      <c r="H8" s="120" t="s">
        <v>27</v>
      </c>
      <c r="I8" s="120" t="s">
        <v>27</v>
      </c>
      <c r="J8" s="120"/>
      <c r="K8" s="120" t="s">
        <v>27</v>
      </c>
      <c r="L8" s="120"/>
      <c r="M8" s="119" t="s">
        <v>27</v>
      </c>
      <c r="N8" s="119" t="s">
        <v>27</v>
      </c>
      <c r="O8" s="119" t="s">
        <v>27</v>
      </c>
      <c r="P8" s="119" t="s">
        <v>27</v>
      </c>
      <c r="Q8" s="119">
        <f>SUM(Q3:Q7)</f>
        <v>4329.3</v>
      </c>
      <c r="R8" s="119" t="s">
        <v>27</v>
      </c>
      <c r="S8" s="119" t="s">
        <v>27</v>
      </c>
      <c r="T8" s="119" t="s">
        <v>27</v>
      </c>
      <c r="U8" s="119" t="s">
        <v>27</v>
      </c>
      <c r="V8" s="119" t="s">
        <v>27</v>
      </c>
      <c r="W8" s="119" t="s">
        <v>27</v>
      </c>
      <c r="X8" s="119" t="s">
        <v>27</v>
      </c>
      <c r="Y8" s="119" t="s">
        <v>27</v>
      </c>
      <c r="Z8" s="119" t="s">
        <v>27</v>
      </c>
      <c r="AA8" s="119" t="s">
        <v>27</v>
      </c>
      <c r="AB8" s="119" t="s">
        <v>27</v>
      </c>
      <c r="AC8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18" t="s">
        <v>578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/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/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5" t="s">
        <v>573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317" t="s">
        <v>566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315" t="s">
        <v>528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315" t="s">
        <v>508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19" t="s">
        <v>489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315" t="s">
        <v>478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20" t="s">
        <v>477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317" t="s">
        <v>458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317" t="s">
        <v>395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317" t="s">
        <v>593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20" t="s">
        <v>364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7" t="s">
        <v>321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317" t="s">
        <v>296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317" t="s">
        <v>278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317" t="s">
        <v>264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21" t="s">
        <v>247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7" t="s">
        <v>234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17" t="s">
        <v>228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1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317" t="s">
        <v>218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317" t="s">
        <v>235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315" t="s">
        <v>181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5" t="s">
        <v>173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317" t="s">
        <v>143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7" t="s">
        <v>139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20" t="s">
        <v>123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22" t="s">
        <v>105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23" t="s">
        <v>80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52</vt:i4>
      </vt:variant>
      <vt:variant>
        <vt:lpstr>Intervalos Nomeados</vt:lpstr>
      </vt:variant>
      <vt:variant>
        <vt:i4>1</vt:i4>
      </vt:variant>
    </vt:vector>
  </HeadingPairs>
  <TitlesOfParts>
    <vt:vector size="53" baseType="lpstr">
      <vt:lpstr>IPE EMBALAGENS 1291</vt:lpstr>
      <vt:lpstr>FORBOX 1289</vt:lpstr>
      <vt:lpstr>SÃO MIGUEL 1288</vt:lpstr>
      <vt:lpstr>RENOVAPEL 1286 P</vt:lpstr>
      <vt:lpstr>HARMONY EMBALAGENS 1285</vt:lpstr>
      <vt:lpstr>DR EMBALAGENS 1282 P</vt:lpstr>
      <vt:lpstr>J FER 1281 P</vt:lpstr>
      <vt:lpstr>VÔ CHICO 1280 P</vt:lpstr>
      <vt:lpstr>PCBOX EMBALAGENS 1278 P</vt:lpstr>
      <vt:lpstr>RM EMBALAGENS 1277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2026-10-16T19:04:26Z</cp:lastPrinted>
  <dcterms:created xsi:type="dcterms:W3CDTF">2026-07-02T17:42:15Z</dcterms:created>
  <dcterms:modified xsi:type="dcterms:W3CDTF">2026-10-16T19:47:40Z</dcterms:modified>
</cp:coreProperties>
</file>