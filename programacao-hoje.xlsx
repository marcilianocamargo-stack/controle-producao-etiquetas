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F9CF030-7AAB-456B-A781-1B69D51D48DE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TOLECAIXAS 1337" sheetId="233" r:id="rId1"/>
    <sheet name="RM EMBALAGENS 1334" sheetId="232" r:id="rId2"/>
    <sheet name="ABAPEL EMBALAGENS 1333 P" sheetId="231" r:id="rId3"/>
    <sheet name="RENOVAPEL 1332" sheetId="230" r:id="rId4"/>
    <sheet name="DR EMBALAGENS 1331 P" sheetId="229" r:id="rId5"/>
    <sheet name="RM EMBALAGENS 1330" sheetId="228" r:id="rId6"/>
    <sheet name="FAVINCO EMBALAGENS 1329" sheetId="227" r:id="rId7"/>
    <sheet name="DR EMBALAGENS 1326 P" sheetId="226" r:id="rId8"/>
    <sheet name="HARMONY EMBALAGENS 1325 P" sheetId="225" r:id="rId9"/>
    <sheet name="HARMONY EMBALAGENS 1320 P" sheetId="224" r:id="rId10"/>
    <sheet name="FORBOX 1319 P" sheetId="223" r:id="rId11"/>
    <sheet name="PCBOX EMBALAGENS 1316 P" sheetId="222" r:id="rId12"/>
    <sheet name="FAVINCO EMBALAGENS 1314 P" sheetId="220" r:id="rId13"/>
    <sheet name="ABAPEL EMBALAGENS 1308 P" sheetId="215" r:id="rId14"/>
    <sheet name="RENOVAPEL 1306 P" sheetId="213" r:id="rId15"/>
    <sheet name="INTERNACIONAL - SEDAMED 1304 P" sheetId="212" r:id="rId16"/>
    <sheet name="RM EMBALAGENS 1303 P" sheetId="211" r:id="rId17"/>
    <sheet name="HARMONY EMBALAGENS 1301 P" sheetId="209" r:id="rId18"/>
    <sheet name="HARMONY EMBALAGENS 1285 P" sheetId="202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3" i="230" l="1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<sst xmlns="http://schemas.openxmlformats.org/spreadsheetml/2006/main" count="3668" uniqueCount="387">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</sst>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77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dimension ref="A1:AC7"/>
  <sheetViews>
    <sheetView workbookViewId="0">
      <selection activeCell="AK33" sqref="AK33:AL34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customWidth="1"/>
    <col min="19" max="19" width="6.2187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7" t="s">
        <v>379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tabSelected="1" workbookViewId="0">
      <selection activeCell="AV16" sqref="AV16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1" t="s">
        <v>160</v>
      </c>
      <c r="C4" s="71" t="s">
        <v>25</v>
      </c>
      <c r="D4" s="71" t="s">
        <v>313</v>
      </c>
      <c r="E4" s="72">
        <v>263222</v>
      </c>
      <c r="F4" s="71" t="s">
        <v>380</v>
      </c>
      <c r="G4" s="72">
        <v>850</v>
      </c>
      <c r="H4" s="73">
        <v>0.64200000000000002</v>
      </c>
      <c r="I4" s="73">
        <v>2.081</v>
      </c>
      <c r="J4" s="13"/>
      <c r="K4" s="71" t="s">
        <v>385</v>
      </c>
      <c r="L4" s="13"/>
      <c r="M4" s="73">
        <v>1135.6020000000001</v>
      </c>
      <c r="N4" s="74">
        <v>884.4</v>
      </c>
      <c r="O4" s="75">
        <v>0.12280000000000001</v>
      </c>
      <c r="P4" s="76">
        <v>7.37</v>
      </c>
      <c r="Q4" s="72">
        <v>611</v>
      </c>
      <c r="R4" s="72">
        <v>2</v>
      </c>
      <c r="S4" s="72">
        <v>1350</v>
      </c>
      <c r="T4" s="73">
        <v>1.284</v>
      </c>
      <c r="U4" s="72">
        <v>66</v>
      </c>
      <c r="V4" s="75">
        <v>4.8899999999999999E-2</v>
      </c>
      <c r="W4" s="71" t="s">
        <v>27</v>
      </c>
      <c r="X4" s="71" t="s">
        <v>28</v>
      </c>
      <c r="Y4" s="71" t="s">
        <v>27</v>
      </c>
      <c r="Z4" s="71" t="s">
        <v>27</v>
      </c>
      <c r="AA4" s="71" t="s">
        <v>27</v>
      </c>
      <c r="AB4" s="71" t="s">
        <v>41</v>
      </c>
      <c r="AC4" s="71" t="s">
        <v>386</v>
      </c>
    </row>
    <row r="5" spans="1:29" s="11" customFormat="1" ht="25.05" customHeight="1" x14ac:dyDescent="0.3">
      <c r="A5" s="13"/>
      <c r="B5" s="71" t="s">
        <v>160</v>
      </c>
      <c r="C5" s="71" t="s">
        <v>25</v>
      </c>
      <c r="D5" s="71" t="s">
        <v>313</v>
      </c>
      <c r="E5" s="72">
        <v>263221</v>
      </c>
      <c r="F5" s="71" t="s">
        <v>380</v>
      </c>
      <c r="G5" s="72">
        <v>650</v>
      </c>
      <c r="H5" s="73">
        <v>0.61799999999999999</v>
      </c>
      <c r="I5" s="73">
        <v>1.45</v>
      </c>
      <c r="J5" s="13"/>
      <c r="K5" s="71" t="s">
        <v>383</v>
      </c>
      <c r="L5" s="13"/>
      <c r="M5" s="73">
        <v>582.46500000000003</v>
      </c>
      <c r="N5" s="74">
        <v>471.3</v>
      </c>
      <c r="O5" s="75">
        <v>6.5500000000000003E-2</v>
      </c>
      <c r="P5" s="76">
        <v>3.93</v>
      </c>
      <c r="Q5" s="72">
        <v>313.39999999999998</v>
      </c>
      <c r="R5" s="72">
        <v>2</v>
      </c>
      <c r="S5" s="72">
        <v>1300</v>
      </c>
      <c r="T5" s="73">
        <v>1.236</v>
      </c>
      <c r="U5" s="72">
        <v>64</v>
      </c>
      <c r="V5" s="75">
        <v>4.9200000000000001E-2</v>
      </c>
      <c r="W5" s="71" t="s">
        <v>27</v>
      </c>
      <c r="X5" s="71" t="s">
        <v>28</v>
      </c>
      <c r="Y5" s="71" t="s">
        <v>27</v>
      </c>
      <c r="Z5" s="71" t="s">
        <v>27</v>
      </c>
      <c r="AA5" s="71" t="s">
        <v>27</v>
      </c>
      <c r="AB5" s="71" t="s">
        <v>30</v>
      </c>
      <c r="AC5" s="71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1" t="s">
        <v>160</v>
      </c>
      <c r="C13" s="71" t="s">
        <v>34</v>
      </c>
      <c r="D13" s="71" t="s">
        <v>313</v>
      </c>
      <c r="E13" s="72">
        <v>263220</v>
      </c>
      <c r="F13" s="71" t="s">
        <v>380</v>
      </c>
      <c r="G13" s="72">
        <v>1750</v>
      </c>
      <c r="H13" s="73">
        <v>0.59199999999999997</v>
      </c>
      <c r="I13" s="73">
        <v>1.62</v>
      </c>
      <c r="J13" s="13"/>
      <c r="K13" s="71" t="s">
        <v>381</v>
      </c>
      <c r="L13" s="13"/>
      <c r="M13" s="73">
        <v>1678.32</v>
      </c>
      <c r="N13" s="74">
        <v>1417.5</v>
      </c>
      <c r="O13" s="75">
        <v>0.19689999999999999</v>
      </c>
      <c r="P13" s="76">
        <v>11.81</v>
      </c>
      <c r="Q13" s="72">
        <v>537.1</v>
      </c>
      <c r="R13" s="72">
        <v>2</v>
      </c>
      <c r="S13" s="72">
        <v>1250</v>
      </c>
      <c r="T13" s="73">
        <v>1.1839999999999999</v>
      </c>
      <c r="U13" s="72">
        <v>66</v>
      </c>
      <c r="V13" s="75">
        <v>5.28E-2</v>
      </c>
      <c r="W13" s="71" t="s">
        <v>27</v>
      </c>
      <c r="X13" s="71" t="s">
        <v>27</v>
      </c>
      <c r="Y13" s="71" t="s">
        <v>27</v>
      </c>
      <c r="Z13" s="14"/>
      <c r="AA13" s="14"/>
      <c r="AB13" s="71" t="s">
        <v>41</v>
      </c>
      <c r="AC13" s="71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3"/>
  <sheetViews>
    <sheetView workbookViewId="0">
      <selection activeCell="K25" sqref="K25"/>
    </sheetView>
  </sheetViews>
  <sheetFormatPr defaultRowHeight="14.4" x14ac:dyDescent="0.3"/>
  <cols>
    <col min="1" max="1" width="4.33203125" style="3" customWidth="1"/>
    <col min="2" max="2" width="20.77734375" style="3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6"/>
  <sheetViews>
    <sheetView topLeftCell="A7" workbookViewId="0">
      <selection activeCell="AG13" sqref="AG13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20"/>
      <c r="B10" s="21" t="s">
        <v>78</v>
      </c>
      <c r="C10" s="21" t="s">
        <v>34</v>
      </c>
      <c r="D10" s="21" t="s">
        <v>318</v>
      </c>
      <c r="E10" s="20">
        <v>263215</v>
      </c>
      <c r="F10" s="21" t="s">
        <v>372</v>
      </c>
      <c r="G10" s="20">
        <v>600</v>
      </c>
      <c r="H10" s="22">
        <v>1.3080000000000001</v>
      </c>
      <c r="I10" s="22">
        <v>1.337</v>
      </c>
      <c r="J10" s="20"/>
      <c r="K10" s="21" t="s">
        <v>32</v>
      </c>
      <c r="L10" s="20"/>
      <c r="M10" s="22">
        <v>1049.278</v>
      </c>
      <c r="N10" s="23">
        <v>802.2</v>
      </c>
      <c r="O10" s="24">
        <v>0.2228</v>
      </c>
      <c r="P10" s="25">
        <v>13.37</v>
      </c>
      <c r="Q10" s="20">
        <v>335.8</v>
      </c>
      <c r="R10" s="20">
        <v>1</v>
      </c>
      <c r="S10" s="20">
        <v>1350</v>
      </c>
      <c r="T10" s="22">
        <v>1.3080000000000001</v>
      </c>
      <c r="U10" s="20">
        <v>42</v>
      </c>
      <c r="V10" s="24">
        <v>3.1099999999999999E-2</v>
      </c>
      <c r="W10" s="21" t="s">
        <v>27</v>
      </c>
      <c r="X10" s="21" t="s">
        <v>27</v>
      </c>
      <c r="Y10" s="21" t="s">
        <v>27</v>
      </c>
      <c r="Z10" s="21"/>
      <c r="AA10" s="21"/>
      <c r="AB10" s="21" t="s">
        <v>31</v>
      </c>
      <c r="AC10" s="21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290</v>
      </c>
      <c r="E11" s="5">
        <v>263173</v>
      </c>
      <c r="F11" s="5" t="s">
        <v>289</v>
      </c>
      <c r="G11" s="5">
        <v>5000</v>
      </c>
      <c r="H11" s="7">
        <v>0.30399999999999999</v>
      </c>
      <c r="I11" s="7">
        <v>0.98</v>
      </c>
      <c r="J11" s="5" t="s">
        <v>26</v>
      </c>
      <c r="K11" s="5" t="s">
        <v>296</v>
      </c>
      <c r="L11" s="5" t="s">
        <v>26</v>
      </c>
      <c r="M11" s="7">
        <v>1489.6</v>
      </c>
      <c r="N11" s="8">
        <v>1225</v>
      </c>
      <c r="O11" s="9">
        <v>8.5099999999999995E-2</v>
      </c>
      <c r="P11" s="10">
        <v>5.0999999999999996</v>
      </c>
      <c r="Q11" s="5">
        <v>476.7</v>
      </c>
      <c r="R11" s="5">
        <v>4</v>
      </c>
      <c r="S11" s="5">
        <v>1250</v>
      </c>
      <c r="T11" s="7">
        <v>1.216</v>
      </c>
      <c r="U11" s="5">
        <v>34</v>
      </c>
      <c r="V11" s="9">
        <v>2.7199999999999998E-2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295</v>
      </c>
    </row>
    <row r="12" spans="1:29" s="11" customFormat="1" ht="25.05" customHeight="1" x14ac:dyDescent="0.3">
      <c r="A12" s="5"/>
      <c r="B12" s="6" t="s">
        <v>78</v>
      </c>
      <c r="C12" s="5" t="s">
        <v>51</v>
      </c>
      <c r="D12" s="5" t="s">
        <v>290</v>
      </c>
      <c r="E12" s="5">
        <v>263176</v>
      </c>
      <c r="F12" s="5" t="s">
        <v>289</v>
      </c>
      <c r="G12" s="5">
        <v>2000</v>
      </c>
      <c r="H12" s="7">
        <v>0.57999999999999996</v>
      </c>
      <c r="I12" s="7">
        <v>1.38</v>
      </c>
      <c r="J12" s="5" t="s">
        <v>26</v>
      </c>
      <c r="K12" s="5" t="s">
        <v>294</v>
      </c>
      <c r="L12" s="5" t="s">
        <v>26</v>
      </c>
      <c r="M12" s="7">
        <v>1600.8</v>
      </c>
      <c r="N12" s="8">
        <v>1380</v>
      </c>
      <c r="O12" s="9">
        <v>0.19170000000000001</v>
      </c>
      <c r="P12" s="10">
        <v>11.5</v>
      </c>
      <c r="Q12" s="5">
        <v>584.29999999999995</v>
      </c>
      <c r="R12" s="5">
        <v>2</v>
      </c>
      <c r="S12" s="5">
        <v>1200</v>
      </c>
      <c r="T12" s="7">
        <v>1.1599999999999999</v>
      </c>
      <c r="U12" s="5">
        <v>40</v>
      </c>
      <c r="V12" s="9">
        <v>3.3300000000000003E-2</v>
      </c>
      <c r="W12" s="5" t="s">
        <v>38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29</v>
      </c>
      <c r="AC12" s="5" t="s">
        <v>293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263180</v>
      </c>
      <c r="F13" s="5" t="s">
        <v>289</v>
      </c>
      <c r="G13" s="5">
        <v>6000</v>
      </c>
      <c r="H13" s="7">
        <v>0.27400000000000002</v>
      </c>
      <c r="I13" s="7">
        <v>0.71</v>
      </c>
      <c r="J13" s="5" t="s">
        <v>26</v>
      </c>
      <c r="K13" s="5" t="s">
        <v>292</v>
      </c>
      <c r="L13" s="5" t="s">
        <v>26</v>
      </c>
      <c r="M13" s="7">
        <v>1167.24</v>
      </c>
      <c r="N13" s="8">
        <v>1065</v>
      </c>
      <c r="O13" s="9">
        <v>7.3999999999999996E-2</v>
      </c>
      <c r="P13" s="10">
        <v>4.4400000000000004</v>
      </c>
      <c r="Q13" s="5">
        <v>373.5</v>
      </c>
      <c r="R13" s="5">
        <v>4</v>
      </c>
      <c r="S13" s="5">
        <v>1150</v>
      </c>
      <c r="T13" s="7">
        <v>1.0960000000000001</v>
      </c>
      <c r="U13" s="5">
        <v>54</v>
      </c>
      <c r="V13" s="9">
        <v>4.7E-2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291</v>
      </c>
    </row>
    <row r="14" spans="1:29" s="11" customFormat="1" ht="25.05" customHeight="1" x14ac:dyDescent="0.3">
      <c r="A14" s="20"/>
      <c r="B14" s="21" t="s">
        <v>78</v>
      </c>
      <c r="C14" s="21" t="s">
        <v>34</v>
      </c>
      <c r="D14" s="21" t="s">
        <v>318</v>
      </c>
      <c r="E14" s="20">
        <v>263214</v>
      </c>
      <c r="F14" s="21" t="s">
        <v>372</v>
      </c>
      <c r="G14" s="20">
        <v>1070</v>
      </c>
      <c r="H14" s="22">
        <v>0.95299999999999996</v>
      </c>
      <c r="I14" s="22">
        <v>0.94099999999999995</v>
      </c>
      <c r="J14" s="20"/>
      <c r="K14" s="21" t="s">
        <v>370</v>
      </c>
      <c r="L14" s="20"/>
      <c r="M14" s="22">
        <v>959.54700000000003</v>
      </c>
      <c r="N14" s="23">
        <v>1006.9</v>
      </c>
      <c r="O14" s="24">
        <v>0.2797</v>
      </c>
      <c r="P14" s="25">
        <v>16.78</v>
      </c>
      <c r="Q14" s="20">
        <v>307.10000000000002</v>
      </c>
      <c r="R14" s="20">
        <v>1</v>
      </c>
      <c r="S14" s="20">
        <v>1000</v>
      </c>
      <c r="T14" s="22">
        <v>0.95299999999999996</v>
      </c>
      <c r="U14" s="20">
        <v>47</v>
      </c>
      <c r="V14" s="24">
        <v>4.7E-2</v>
      </c>
      <c r="W14" s="21" t="s">
        <v>27</v>
      </c>
      <c r="X14" s="21" t="s">
        <v>27</v>
      </c>
      <c r="Y14" s="21" t="s">
        <v>27</v>
      </c>
      <c r="Z14" s="21"/>
      <c r="AA14" s="21"/>
      <c r="AB14" s="21" t="s">
        <v>31</v>
      </c>
      <c r="AC14" s="21" t="s">
        <v>371</v>
      </c>
    </row>
    <row r="15" spans="1:29" s="11" customFormat="1" ht="25.05" customHeight="1" x14ac:dyDescent="0.3">
      <c r="A15" s="5"/>
      <c r="B15" s="6" t="s">
        <v>78</v>
      </c>
      <c r="C15" s="5" t="s">
        <v>34</v>
      </c>
      <c r="D15" s="5" t="s">
        <v>290</v>
      </c>
      <c r="E15" s="5">
        <v>263179</v>
      </c>
      <c r="F15" s="5" t="s">
        <v>289</v>
      </c>
      <c r="G15" s="5">
        <v>611</v>
      </c>
      <c r="H15" s="7">
        <v>1</v>
      </c>
      <c r="I15" s="7">
        <v>1.56</v>
      </c>
      <c r="J15" s="5" t="s">
        <v>26</v>
      </c>
      <c r="K15" s="5" t="s">
        <v>32</v>
      </c>
      <c r="L15" s="5" t="s">
        <v>26</v>
      </c>
      <c r="M15" s="7">
        <v>953.16</v>
      </c>
      <c r="N15" s="8">
        <v>953.2</v>
      </c>
      <c r="O15" s="9">
        <v>0.26479999999999998</v>
      </c>
      <c r="P15" s="10">
        <v>15.89</v>
      </c>
      <c r="Q15" s="5">
        <v>305</v>
      </c>
      <c r="R15" s="5">
        <v>1</v>
      </c>
      <c r="S15" s="5">
        <v>1050</v>
      </c>
      <c r="T15" s="7">
        <v>1</v>
      </c>
      <c r="U15" s="5">
        <v>50</v>
      </c>
      <c r="V15" s="9">
        <v>4.7600000000000003E-2</v>
      </c>
      <c r="W15" s="5" t="s">
        <v>27</v>
      </c>
      <c r="X15" s="5" t="s">
        <v>27</v>
      </c>
      <c r="Y15" s="5" t="s">
        <v>27</v>
      </c>
      <c r="Z15" s="5" t="s">
        <v>26</v>
      </c>
      <c r="AA15" s="5" t="s">
        <v>26</v>
      </c>
      <c r="AB15" s="5" t="s">
        <v>31</v>
      </c>
      <c r="AC15" s="5" t="s">
        <v>288</v>
      </c>
    </row>
    <row r="16" spans="1:29" s="11" customFormat="1" ht="25.05" customHeight="1" x14ac:dyDescent="0.3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v>31761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v>4326.5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TOLECAIXAS 1337</vt:lpstr>
      <vt:lpstr>RM EMBALAGENS 1334</vt:lpstr>
      <vt:lpstr>ABAPEL EMBALAGENS 1333 P</vt:lpstr>
      <vt:lpstr>RENOVAPEL 1332</vt:lpstr>
      <vt:lpstr>DR EMBALAGENS 1331 P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2026-10-28T16:34:58Z</cp:lastPrinted>
  <dcterms:created xsi:type="dcterms:W3CDTF">2026-07-02T17:42:15Z</dcterms:created>
  <dcterms:modified xsi:type="dcterms:W3CDTF">2026-10-28T19:23:58Z</dcterms:modified>
</cp:coreProperties>
</file>