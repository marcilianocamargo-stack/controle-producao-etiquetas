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C92D32D-A043-4825-96E0-ED3939D8356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FAVINCO EMBALAGENS 1314 P" sheetId="220" r:id="rId4"/>
    <sheet name="ABAPEL EMBALAGENS 1308 P" sheetId="215" r:id="rId5"/>
    <sheet name="RENOVAPEL 1306 P" sheetId="213" r:id="rId6"/>
    <sheet name="INTERNACIONAL - SEDAMED 1304 P" sheetId="212" r:id="rId7"/>
    <sheet name="RM EMBALAGENS 1303" sheetId="211" r:id="rId8"/>
    <sheet name="HARMONY EMBALAGENS 1301 P" sheetId="209" r:id="rId9"/>
    <sheet name="HARMONY EMBALAGENS 1285 P" sheetId="20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7" i="222"/>
  <c r="G7" i="222"/>
  <c r="Q9" i="213"/>
  <c r="G9" i="213"/>
  <c r="G10" i="215" l="1"/>
  <c r="Q10" i="215"/>
</calcChain>
</file>

<file path=xl/sharedStrings.xml><?xml version="1.0" encoding="utf-8"?>
<sst xmlns="http://schemas.openxmlformats.org/spreadsheetml/2006/main" count="1947" uniqueCount="240">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</sst>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8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tabSelected="1" workbookViewId="0">
      <selection activeCell="Q32" sqref="Q32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35" t="s">
        <v>229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F24" sqref="AF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37" t="s">
        <v>208</v>
      </c>
      <c r="B1" s="37" t="s">
        <v>26</v>
      </c>
      <c r="C1" s="37" t="s">
        <v>26</v>
      </c>
      <c r="D1" s="37" t="s">
        <v>26</v>
      </c>
      <c r="E1" s="37" t="s">
        <v>26</v>
      </c>
      <c r="F1" s="37" t="s">
        <v>26</v>
      </c>
      <c r="G1" s="37" t="s">
        <v>26</v>
      </c>
      <c r="H1" s="37" t="s">
        <v>26</v>
      </c>
      <c r="I1" s="37" t="s">
        <v>26</v>
      </c>
      <c r="J1" s="37" t="s">
        <v>26</v>
      </c>
      <c r="K1" s="37" t="s">
        <v>26</v>
      </c>
      <c r="L1" s="37" t="s">
        <v>26</v>
      </c>
      <c r="M1" s="37" t="s">
        <v>26</v>
      </c>
      <c r="N1" s="37" t="s">
        <v>26</v>
      </c>
      <c r="O1" s="37" t="s">
        <v>26</v>
      </c>
      <c r="P1" s="37" t="s">
        <v>26</v>
      </c>
      <c r="Q1" s="37" t="s">
        <v>26</v>
      </c>
      <c r="R1" s="37" t="s">
        <v>26</v>
      </c>
      <c r="S1" s="37" t="s">
        <v>26</v>
      </c>
      <c r="T1" s="37" t="s">
        <v>26</v>
      </c>
      <c r="U1" s="37" t="s">
        <v>26</v>
      </c>
      <c r="V1" s="37" t="s">
        <v>26</v>
      </c>
      <c r="W1" s="37" t="s">
        <v>26</v>
      </c>
      <c r="X1" s="37" t="s">
        <v>26</v>
      </c>
      <c r="Y1" s="37" t="s">
        <v>26</v>
      </c>
      <c r="Z1" s="37" t="s">
        <v>26</v>
      </c>
      <c r="AA1" s="37" t="s">
        <v>26</v>
      </c>
      <c r="AB1" s="37" t="s">
        <v>26</v>
      </c>
      <c r="AC1" s="37" t="s">
        <v>26</v>
      </c>
    </row>
    <row r="2" spans="1:29" ht="56.4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44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s="2" customFormat="1" ht="25.05" customHeight="1" x14ac:dyDescent="0.3">
      <c r="A3" s="42"/>
      <c r="B3" s="47" t="s">
        <v>106</v>
      </c>
      <c r="C3" s="42" t="s">
        <v>40</v>
      </c>
      <c r="D3" s="42" t="s">
        <v>79</v>
      </c>
      <c r="E3" s="42">
        <v>263136</v>
      </c>
      <c r="F3" s="42" t="s">
        <v>206</v>
      </c>
      <c r="G3" s="42">
        <v>400</v>
      </c>
      <c r="H3" s="44">
        <v>1.24</v>
      </c>
      <c r="I3" s="44">
        <v>1.45</v>
      </c>
      <c r="J3" s="42" t="s">
        <v>26</v>
      </c>
      <c r="K3" s="42" t="s">
        <v>32</v>
      </c>
      <c r="L3" s="42" t="s">
        <v>26</v>
      </c>
      <c r="M3" s="44">
        <v>719.2</v>
      </c>
      <c r="N3" s="46">
        <v>580</v>
      </c>
      <c r="O3" s="43">
        <v>0.16109999999999999</v>
      </c>
      <c r="P3" s="45">
        <v>9.67</v>
      </c>
      <c r="Q3" s="42">
        <v>408.5</v>
      </c>
      <c r="R3" s="42">
        <v>1</v>
      </c>
      <c r="S3" s="42">
        <v>1300</v>
      </c>
      <c r="T3" s="44">
        <v>1.24</v>
      </c>
      <c r="U3" s="42">
        <v>60</v>
      </c>
      <c r="V3" s="43">
        <v>4.6199999999999998E-2</v>
      </c>
      <c r="W3" s="42" t="s">
        <v>33</v>
      </c>
      <c r="X3" s="42" t="s">
        <v>37</v>
      </c>
      <c r="Y3" s="42" t="s">
        <v>33</v>
      </c>
      <c r="Z3" s="42" t="s">
        <v>33</v>
      </c>
      <c r="AA3" s="42" t="s">
        <v>33</v>
      </c>
      <c r="AB3" s="42" t="s">
        <v>29</v>
      </c>
      <c r="AC3" s="42" t="s">
        <v>207</v>
      </c>
    </row>
    <row r="4" spans="1:29" s="48" customFormat="1" ht="25.05" customHeight="1" x14ac:dyDescent="0.3">
      <c r="A4" s="49"/>
      <c r="B4" s="54" t="s">
        <v>106</v>
      </c>
      <c r="C4" s="49" t="s">
        <v>40</v>
      </c>
      <c r="D4" s="49" t="s">
        <v>79</v>
      </c>
      <c r="E4" s="49">
        <v>263009</v>
      </c>
      <c r="F4" s="49">
        <v>1410</v>
      </c>
      <c r="G4" s="49">
        <v>1395</v>
      </c>
      <c r="H4" s="51">
        <v>0.879</v>
      </c>
      <c r="I4" s="51">
        <v>1.48</v>
      </c>
      <c r="J4" s="49" t="s">
        <v>26</v>
      </c>
      <c r="K4" s="49" t="s">
        <v>59</v>
      </c>
      <c r="L4" s="49" t="s">
        <v>26</v>
      </c>
      <c r="M4" s="51">
        <v>1814.7829999999999</v>
      </c>
      <c r="N4" s="53">
        <v>2064.6</v>
      </c>
      <c r="O4" s="50">
        <v>0.57350000000000001</v>
      </c>
      <c r="P4" s="52">
        <v>34.409999999999997</v>
      </c>
      <c r="Q4" s="49">
        <v>1030.8</v>
      </c>
      <c r="R4" s="49">
        <v>1</v>
      </c>
      <c r="S4" s="49">
        <v>900</v>
      </c>
      <c r="T4" s="51">
        <v>0.879</v>
      </c>
      <c r="U4" s="49">
        <v>21</v>
      </c>
      <c r="V4" s="50">
        <v>2.3300000000000001E-2</v>
      </c>
      <c r="W4" s="49" t="s">
        <v>33</v>
      </c>
      <c r="X4" s="49" t="s">
        <v>37</v>
      </c>
      <c r="Y4" s="49" t="s">
        <v>33</v>
      </c>
      <c r="Z4" s="49" t="s">
        <v>33</v>
      </c>
      <c r="AA4" s="49" t="s">
        <v>33</v>
      </c>
      <c r="AB4" s="49" t="s">
        <v>43</v>
      </c>
      <c r="AC4" s="49" t="s">
        <v>58</v>
      </c>
    </row>
    <row r="5" spans="1:29" s="2" customFormat="1" ht="25.05" customHeight="1" x14ac:dyDescent="0.3">
      <c r="A5" s="42"/>
      <c r="B5" s="47" t="s">
        <v>106</v>
      </c>
      <c r="C5" s="42" t="s">
        <v>40</v>
      </c>
      <c r="D5" s="42" t="s">
        <v>79</v>
      </c>
      <c r="E5" s="42">
        <v>263135</v>
      </c>
      <c r="F5" s="42" t="s">
        <v>206</v>
      </c>
      <c r="G5" s="42">
        <v>770</v>
      </c>
      <c r="H5" s="44">
        <v>0.79900000000000004</v>
      </c>
      <c r="I5" s="44">
        <v>1.0900000000000001</v>
      </c>
      <c r="J5" s="42" t="s">
        <v>26</v>
      </c>
      <c r="K5" s="42" t="s">
        <v>105</v>
      </c>
      <c r="L5" s="42" t="s">
        <v>26</v>
      </c>
      <c r="M5" s="44">
        <v>670.601</v>
      </c>
      <c r="N5" s="46">
        <v>839.3</v>
      </c>
      <c r="O5" s="43">
        <v>0.2331</v>
      </c>
      <c r="P5" s="45">
        <v>13.99</v>
      </c>
      <c r="Q5" s="42">
        <v>380.9</v>
      </c>
      <c r="R5" s="42">
        <v>1</v>
      </c>
      <c r="S5" s="42">
        <v>850</v>
      </c>
      <c r="T5" s="44">
        <v>0.79900000000000004</v>
      </c>
      <c r="U5" s="42">
        <v>51</v>
      </c>
      <c r="V5" s="43">
        <v>0.06</v>
      </c>
      <c r="W5" s="42" t="s">
        <v>33</v>
      </c>
      <c r="X5" s="42" t="s">
        <v>37</v>
      </c>
      <c r="Y5" s="42" t="s">
        <v>33</v>
      </c>
      <c r="Z5" s="42" t="s">
        <v>33</v>
      </c>
      <c r="AA5" s="42" t="s">
        <v>33</v>
      </c>
      <c r="AB5" s="42" t="s">
        <v>31</v>
      </c>
      <c r="AC5" s="42" t="s">
        <v>104</v>
      </c>
    </row>
    <row r="6" spans="1:29" s="2" customFormat="1" ht="25.05" customHeight="1" x14ac:dyDescent="0.3">
      <c r="A6" s="42"/>
      <c r="B6" s="47" t="s">
        <v>106</v>
      </c>
      <c r="C6" s="42" t="s">
        <v>172</v>
      </c>
      <c r="D6" s="42" t="s">
        <v>79</v>
      </c>
      <c r="E6" s="42">
        <v>263137</v>
      </c>
      <c r="F6" s="42" t="s">
        <v>206</v>
      </c>
      <c r="G6" s="42">
        <v>3300</v>
      </c>
      <c r="H6" s="44">
        <v>0.53900000000000003</v>
      </c>
      <c r="I6" s="44">
        <v>1.05</v>
      </c>
      <c r="J6" s="42" t="s">
        <v>26</v>
      </c>
      <c r="K6" s="42" t="s">
        <v>205</v>
      </c>
      <c r="L6" s="42" t="s">
        <v>26</v>
      </c>
      <c r="M6" s="44">
        <v>1867.635</v>
      </c>
      <c r="N6" s="46">
        <v>1732.5</v>
      </c>
      <c r="O6" s="43">
        <v>0.24060000000000001</v>
      </c>
      <c r="P6" s="45">
        <v>14.44</v>
      </c>
      <c r="Q6" s="42">
        <v>763.9</v>
      </c>
      <c r="R6" s="42">
        <v>2</v>
      </c>
      <c r="S6" s="42">
        <v>1100</v>
      </c>
      <c r="T6" s="44">
        <v>1.0780000000000001</v>
      </c>
      <c r="U6" s="42">
        <v>22</v>
      </c>
      <c r="V6" s="43">
        <v>0.02</v>
      </c>
      <c r="W6" s="42" t="s">
        <v>37</v>
      </c>
      <c r="X6" s="42" t="s">
        <v>37</v>
      </c>
      <c r="Y6" s="42" t="s">
        <v>28</v>
      </c>
      <c r="Z6" s="42" t="s">
        <v>26</v>
      </c>
      <c r="AA6" s="42" t="s">
        <v>26</v>
      </c>
      <c r="AB6" s="42" t="s">
        <v>29</v>
      </c>
      <c r="AC6" s="42" t="s">
        <v>204</v>
      </c>
    </row>
    <row r="7" spans="1:29" s="2" customFormat="1" ht="25.05" customHeight="1" x14ac:dyDescent="0.3">
      <c r="A7" s="41" t="s">
        <v>26</v>
      </c>
      <c r="B7" s="41" t="s">
        <v>26</v>
      </c>
      <c r="C7" s="41" t="s">
        <v>26</v>
      </c>
      <c r="D7" s="41" t="s">
        <v>26</v>
      </c>
      <c r="E7" s="41" t="s">
        <v>26</v>
      </c>
      <c r="F7" s="41" t="s">
        <v>26</v>
      </c>
      <c r="G7" s="41">
        <f>SUM(G3:G6)</f>
        <v>5865</v>
      </c>
      <c r="H7" s="41" t="s">
        <v>26</v>
      </c>
      <c r="I7" s="41" t="s">
        <v>26</v>
      </c>
      <c r="J7" s="41" t="s">
        <v>26</v>
      </c>
      <c r="K7" s="41" t="s">
        <v>26</v>
      </c>
      <c r="L7" s="41" t="s">
        <v>26</v>
      </c>
      <c r="M7" s="41" t="s">
        <v>26</v>
      </c>
      <c r="N7" s="41" t="s">
        <v>26</v>
      </c>
      <c r="O7" s="41" t="s">
        <v>26</v>
      </c>
      <c r="P7" s="41" t="s">
        <v>26</v>
      </c>
      <c r="Q7" s="41">
        <f>SUM(Q3:Q6)</f>
        <v>2584.1</v>
      </c>
      <c r="R7" s="41" t="s">
        <v>26</v>
      </c>
      <c r="S7" s="41" t="s">
        <v>26</v>
      </c>
      <c r="T7" s="41" t="s">
        <v>26</v>
      </c>
      <c r="U7" s="41" t="s">
        <v>26</v>
      </c>
      <c r="V7" s="41" t="s">
        <v>26</v>
      </c>
      <c r="W7" s="41" t="s">
        <v>26</v>
      </c>
      <c r="X7" s="41" t="s">
        <v>26</v>
      </c>
      <c r="Y7" s="41" t="s">
        <v>26</v>
      </c>
      <c r="Z7" s="41" t="s">
        <v>26</v>
      </c>
      <c r="AA7" s="41" t="s">
        <v>26</v>
      </c>
      <c r="AB7" s="41" t="s">
        <v>26</v>
      </c>
      <c r="AC7" s="41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7"/>
  <sheetViews>
    <sheetView workbookViewId="0">
      <selection activeCell="J36" sqref="J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35" t="s">
        <v>193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107</v>
      </c>
      <c r="C6" s="21" t="s">
        <v>34</v>
      </c>
      <c r="D6" s="21" t="s">
        <v>198</v>
      </c>
      <c r="E6" s="20">
        <v>263151</v>
      </c>
      <c r="F6" s="21" t="s">
        <v>237</v>
      </c>
      <c r="G6" s="20">
        <v>400</v>
      </c>
      <c r="H6" s="22">
        <v>1.3160000000000001</v>
      </c>
      <c r="I6" s="22">
        <v>1.857</v>
      </c>
      <c r="J6" s="20"/>
      <c r="K6" s="21" t="s">
        <v>238</v>
      </c>
      <c r="L6" s="20"/>
      <c r="M6" s="22">
        <v>977.52499999999998</v>
      </c>
      <c r="N6" s="23">
        <v>742.8</v>
      </c>
      <c r="O6" s="24">
        <v>0.20630000000000001</v>
      </c>
      <c r="P6" s="25">
        <v>12.38</v>
      </c>
      <c r="Q6" s="20">
        <v>312.8</v>
      </c>
      <c r="R6" s="20">
        <v>1</v>
      </c>
      <c r="S6" s="20">
        <v>1350</v>
      </c>
      <c r="T6" s="22">
        <v>1.3160000000000001</v>
      </c>
      <c r="U6" s="20">
        <v>34</v>
      </c>
      <c r="V6" s="24">
        <v>2.52E-2</v>
      </c>
      <c r="W6" s="21" t="s">
        <v>27</v>
      </c>
      <c r="X6" s="21" t="s">
        <v>27</v>
      </c>
      <c r="Y6" s="21" t="s">
        <v>27</v>
      </c>
      <c r="Z6" s="21"/>
      <c r="AA6" s="21"/>
      <c r="AB6" s="21" t="s">
        <v>36</v>
      </c>
      <c r="AC6" s="21" t="s">
        <v>239</v>
      </c>
    </row>
    <row r="7" spans="1:29" s="11" customFormat="1" ht="25.05" customHeight="1" x14ac:dyDescent="0.3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f>SUM(G3:G5)</f>
        <v>1500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f>SUM(Q3:Q5)</f>
        <v>2788.8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workbookViewId="0">
      <selection activeCell="R18" sqref="R18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35" t="s">
        <v>186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13"/>
      <c r="B4" s="14" t="s">
        <v>182</v>
      </c>
      <c r="C4" s="14" t="s">
        <v>34</v>
      </c>
      <c r="D4" s="14" t="s">
        <v>171</v>
      </c>
      <c r="E4" s="13">
        <v>263131</v>
      </c>
      <c r="F4" s="14" t="s">
        <v>194</v>
      </c>
      <c r="G4" s="13">
        <v>1010</v>
      </c>
      <c r="H4" s="15">
        <v>0.69</v>
      </c>
      <c r="I4" s="15">
        <v>1</v>
      </c>
      <c r="J4" s="13"/>
      <c r="K4" s="14" t="s">
        <v>32</v>
      </c>
      <c r="L4" s="13"/>
      <c r="M4" s="15">
        <v>696.9</v>
      </c>
      <c r="N4" s="16">
        <v>505</v>
      </c>
      <c r="O4" s="17">
        <v>7.0099999999999996E-2</v>
      </c>
      <c r="P4" s="18">
        <v>4.21</v>
      </c>
      <c r="Q4" s="13">
        <v>223</v>
      </c>
      <c r="R4" s="13">
        <v>2</v>
      </c>
      <c r="S4" s="13">
        <v>1400</v>
      </c>
      <c r="T4" s="15">
        <v>1.38</v>
      </c>
      <c r="U4" s="13">
        <v>20</v>
      </c>
      <c r="V4" s="17">
        <v>1.43E-2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36</v>
      </c>
      <c r="AC4" s="14" t="s">
        <v>196</v>
      </c>
    </row>
    <row r="5" spans="1:29" s="19" customFormat="1" ht="25.05" customHeight="1" x14ac:dyDescent="0.3">
      <c r="A5" s="13"/>
      <c r="B5" s="14" t="s">
        <v>182</v>
      </c>
      <c r="C5" s="14" t="s">
        <v>34</v>
      </c>
      <c r="D5" s="14" t="s">
        <v>198</v>
      </c>
      <c r="E5" s="13">
        <v>263148</v>
      </c>
      <c r="F5" s="14" t="s">
        <v>230</v>
      </c>
      <c r="G5" s="13">
        <v>1000</v>
      </c>
      <c r="H5" s="15">
        <v>0.69</v>
      </c>
      <c r="I5" s="15">
        <v>1.08</v>
      </c>
      <c r="J5" s="13"/>
      <c r="K5" s="14" t="s">
        <v>32</v>
      </c>
      <c r="L5" s="13"/>
      <c r="M5" s="15">
        <v>745.2</v>
      </c>
      <c r="N5" s="16">
        <v>540</v>
      </c>
      <c r="O5" s="17">
        <v>7.4999999999999997E-2</v>
      </c>
      <c r="P5" s="18">
        <v>4.5</v>
      </c>
      <c r="Q5" s="13">
        <v>238.5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231</v>
      </c>
    </row>
    <row r="6" spans="1:29" s="19" customFormat="1" ht="25.05" customHeight="1" x14ac:dyDescent="0.3">
      <c r="A6" s="13"/>
      <c r="B6" s="14" t="s">
        <v>182</v>
      </c>
      <c r="C6" s="14" t="s">
        <v>34</v>
      </c>
      <c r="D6" s="14" t="s">
        <v>198</v>
      </c>
      <c r="E6" s="13">
        <v>263134</v>
      </c>
      <c r="F6" s="14" t="s">
        <v>199</v>
      </c>
      <c r="G6" s="13">
        <v>1800</v>
      </c>
      <c r="H6" s="15">
        <v>0.309</v>
      </c>
      <c r="I6" s="15">
        <v>0.96199999999999997</v>
      </c>
      <c r="J6" s="13"/>
      <c r="K6" s="14" t="s">
        <v>202</v>
      </c>
      <c r="L6" s="13"/>
      <c r="M6" s="15">
        <v>535.06399999999996</v>
      </c>
      <c r="N6" s="16">
        <v>432.9</v>
      </c>
      <c r="O6" s="17">
        <v>3.0099999999999998E-2</v>
      </c>
      <c r="P6" s="18">
        <v>1.8</v>
      </c>
      <c r="Q6" s="13">
        <v>171.2</v>
      </c>
      <c r="R6" s="13">
        <v>4</v>
      </c>
      <c r="S6" s="13">
        <v>1300</v>
      </c>
      <c r="T6" s="15">
        <v>1.236</v>
      </c>
      <c r="U6" s="13">
        <v>64</v>
      </c>
      <c r="V6" s="17">
        <v>4.9200000000000001E-2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203</v>
      </c>
    </row>
    <row r="7" spans="1:29" s="19" customFormat="1" ht="25.05" customHeight="1" x14ac:dyDescent="0.3">
      <c r="A7" s="13"/>
      <c r="B7" s="14" t="s">
        <v>182</v>
      </c>
      <c r="C7" s="14" t="s">
        <v>34</v>
      </c>
      <c r="D7" s="14" t="s">
        <v>171</v>
      </c>
      <c r="E7" s="13">
        <v>263132</v>
      </c>
      <c r="F7" s="14" t="s">
        <v>194</v>
      </c>
      <c r="G7" s="13">
        <v>880</v>
      </c>
      <c r="H7" s="15">
        <v>0.63</v>
      </c>
      <c r="I7" s="15">
        <v>1</v>
      </c>
      <c r="J7" s="13"/>
      <c r="K7" s="14" t="s">
        <v>32</v>
      </c>
      <c r="L7" s="13"/>
      <c r="M7" s="15">
        <v>554.4</v>
      </c>
      <c r="N7" s="16">
        <v>440</v>
      </c>
      <c r="O7" s="17">
        <v>6.1100000000000002E-2</v>
      </c>
      <c r="P7" s="18">
        <v>3.67</v>
      </c>
      <c r="Q7" s="13">
        <v>177.4</v>
      </c>
      <c r="R7" s="13">
        <v>2</v>
      </c>
      <c r="S7" s="13">
        <v>1300</v>
      </c>
      <c r="T7" s="15">
        <v>1.26</v>
      </c>
      <c r="U7" s="13">
        <v>40</v>
      </c>
      <c r="V7" s="17">
        <v>3.0800000000000001E-2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197</v>
      </c>
    </row>
    <row r="8" spans="1:29" s="19" customFormat="1" ht="25.05" customHeight="1" x14ac:dyDescent="0.3">
      <c r="A8" s="13"/>
      <c r="B8" s="14" t="s">
        <v>182</v>
      </c>
      <c r="C8" s="14" t="s">
        <v>34</v>
      </c>
      <c r="D8" s="14" t="s">
        <v>198</v>
      </c>
      <c r="E8" s="13">
        <v>263133</v>
      </c>
      <c r="F8" s="14" t="s">
        <v>199</v>
      </c>
      <c r="G8" s="13">
        <v>1000</v>
      </c>
      <c r="H8" s="15">
        <v>0.40899999999999997</v>
      </c>
      <c r="I8" s="15">
        <v>1.262</v>
      </c>
      <c r="J8" s="13"/>
      <c r="K8" s="14" t="s">
        <v>200</v>
      </c>
      <c r="L8" s="13"/>
      <c r="M8" s="15">
        <v>516.15800000000002</v>
      </c>
      <c r="N8" s="16">
        <v>420.7</v>
      </c>
      <c r="O8" s="17">
        <v>3.9E-2</v>
      </c>
      <c r="P8" s="18">
        <v>2.34</v>
      </c>
      <c r="Q8" s="13">
        <v>165.2</v>
      </c>
      <c r="R8" s="13">
        <v>3</v>
      </c>
      <c r="S8" s="13">
        <v>1250</v>
      </c>
      <c r="T8" s="15">
        <v>1.2270000000000001</v>
      </c>
      <c r="U8" s="13">
        <v>23</v>
      </c>
      <c r="V8" s="17">
        <v>1.84E-2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31</v>
      </c>
      <c r="AC8" s="14" t="s">
        <v>201</v>
      </c>
    </row>
    <row r="9" spans="1:29" s="19" customFormat="1" ht="25.05" customHeight="1" x14ac:dyDescent="0.3">
      <c r="A9" s="13"/>
      <c r="B9" s="14" t="s">
        <v>182</v>
      </c>
      <c r="C9" s="14" t="s">
        <v>34</v>
      </c>
      <c r="D9" s="14" t="s">
        <v>171</v>
      </c>
      <c r="E9" s="13">
        <v>263130</v>
      </c>
      <c r="F9" s="14" t="s">
        <v>194</v>
      </c>
      <c r="G9" s="13">
        <v>1070</v>
      </c>
      <c r="H9" s="15">
        <v>0.6</v>
      </c>
      <c r="I9" s="15">
        <v>1.02</v>
      </c>
      <c r="J9" s="13"/>
      <c r="K9" s="14" t="s">
        <v>32</v>
      </c>
      <c r="L9" s="13"/>
      <c r="M9" s="15">
        <v>654.84</v>
      </c>
      <c r="N9" s="16">
        <v>545.70000000000005</v>
      </c>
      <c r="O9" s="17">
        <v>7.5800000000000006E-2</v>
      </c>
      <c r="P9" s="18">
        <v>4.55</v>
      </c>
      <c r="Q9" s="13">
        <v>209.5</v>
      </c>
      <c r="R9" s="13">
        <v>2</v>
      </c>
      <c r="S9" s="13">
        <v>1250</v>
      </c>
      <c r="T9" s="15">
        <v>1.2</v>
      </c>
      <c r="U9" s="13">
        <v>50</v>
      </c>
      <c r="V9" s="17">
        <v>0.04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36</v>
      </c>
      <c r="AC9" s="14" t="s">
        <v>195</v>
      </c>
    </row>
    <row r="10" spans="1:29" s="19" customFormat="1" ht="25.05" customHeight="1" x14ac:dyDescent="0.3">
      <c r="A10" s="27"/>
      <c r="B10" s="28" t="s">
        <v>182</v>
      </c>
      <c r="C10" s="27" t="s">
        <v>181</v>
      </c>
      <c r="D10" s="27" t="s">
        <v>171</v>
      </c>
      <c r="E10" s="27">
        <v>263125</v>
      </c>
      <c r="F10" s="27" t="s">
        <v>180</v>
      </c>
      <c r="G10" s="27">
        <v>3500</v>
      </c>
      <c r="H10" s="29">
        <v>0.30499999999999999</v>
      </c>
      <c r="I10" s="29">
        <v>0.88</v>
      </c>
      <c r="J10" s="27" t="s">
        <v>26</v>
      </c>
      <c r="K10" s="27" t="s">
        <v>179</v>
      </c>
      <c r="L10" s="27" t="s">
        <v>26</v>
      </c>
      <c r="M10" s="29">
        <v>939.4</v>
      </c>
      <c r="N10" s="30">
        <v>770</v>
      </c>
      <c r="O10" s="31">
        <v>5.3499999999999999E-2</v>
      </c>
      <c r="P10" s="32">
        <v>3.21</v>
      </c>
      <c r="Q10" s="27">
        <v>364.5</v>
      </c>
      <c r="R10" s="27">
        <v>4</v>
      </c>
      <c r="S10" s="27">
        <v>1250</v>
      </c>
      <c r="T10" s="29">
        <v>1.22</v>
      </c>
      <c r="U10" s="27">
        <v>30</v>
      </c>
      <c r="V10" s="31">
        <v>2.4E-2</v>
      </c>
      <c r="W10" s="27" t="s">
        <v>37</v>
      </c>
      <c r="X10" s="27" t="s">
        <v>28</v>
      </c>
      <c r="Y10" s="27" t="s">
        <v>28</v>
      </c>
      <c r="Z10" s="27" t="s">
        <v>26</v>
      </c>
      <c r="AA10" s="27" t="s">
        <v>26</v>
      </c>
      <c r="AB10" s="27" t="s">
        <v>31</v>
      </c>
      <c r="AC10" s="27" t="s">
        <v>178</v>
      </c>
    </row>
    <row r="11" spans="1:29" s="40" customFormat="1" ht="25.05" customHeight="1" x14ac:dyDescent="0.3">
      <c r="A11" s="38" t="s">
        <v>26</v>
      </c>
      <c r="B11" s="38" t="s">
        <v>26</v>
      </c>
      <c r="C11" s="38" t="s">
        <v>26</v>
      </c>
      <c r="D11" s="38" t="s">
        <v>26</v>
      </c>
      <c r="E11" s="38" t="s">
        <v>26</v>
      </c>
      <c r="F11" s="38" t="s">
        <v>26</v>
      </c>
      <c r="G11" s="38">
        <f>SUM(G3:G10)</f>
        <v>10560</v>
      </c>
      <c r="H11" s="38" t="s">
        <v>26</v>
      </c>
      <c r="I11" s="38" t="s">
        <v>26</v>
      </c>
      <c r="J11" s="38" t="s">
        <v>26</v>
      </c>
      <c r="K11" s="38" t="s">
        <v>26</v>
      </c>
      <c r="L11" s="38" t="s">
        <v>26</v>
      </c>
      <c r="M11" s="39" t="s">
        <v>26</v>
      </c>
      <c r="N11" s="39" t="s">
        <v>26</v>
      </c>
      <c r="O11" s="39" t="s">
        <v>26</v>
      </c>
      <c r="P11" s="39" t="s">
        <v>26</v>
      </c>
      <c r="Q11" s="39">
        <f>SUM(Q3:Q10)</f>
        <v>1647.1999999999998</v>
      </c>
      <c r="R11" s="39" t="s">
        <v>26</v>
      </c>
      <c r="S11" s="39" t="s">
        <v>26</v>
      </c>
      <c r="T11" s="39" t="s">
        <v>26</v>
      </c>
      <c r="U11" s="39" t="s">
        <v>26</v>
      </c>
      <c r="V11" s="39" t="s">
        <v>26</v>
      </c>
      <c r="W11" s="39" t="s">
        <v>26</v>
      </c>
      <c r="X11" s="39" t="s">
        <v>26</v>
      </c>
      <c r="Y11" s="39" t="s">
        <v>26</v>
      </c>
      <c r="Z11" s="39" t="s">
        <v>26</v>
      </c>
      <c r="AA11" s="39" t="s">
        <v>26</v>
      </c>
      <c r="AB11" s="39" t="s">
        <v>26</v>
      </c>
      <c r="AC11" s="39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36" t="s">
        <v>167</v>
      </c>
      <c r="B1" s="36" t="s">
        <v>26</v>
      </c>
      <c r="C1" s="36" t="s">
        <v>26</v>
      </c>
      <c r="D1" s="36" t="s">
        <v>26</v>
      </c>
      <c r="E1" s="36" t="s">
        <v>26</v>
      </c>
      <c r="F1" s="36" t="s">
        <v>26</v>
      </c>
      <c r="G1" s="36" t="s">
        <v>26</v>
      </c>
      <c r="H1" s="36" t="s">
        <v>26</v>
      </c>
      <c r="I1" s="36" t="s">
        <v>26</v>
      </c>
      <c r="J1" s="36" t="s">
        <v>26</v>
      </c>
      <c r="K1" s="36" t="s">
        <v>26</v>
      </c>
      <c r="L1" s="36" t="s">
        <v>26</v>
      </c>
      <c r="M1" s="36" t="s">
        <v>26</v>
      </c>
      <c r="N1" s="36" t="s">
        <v>26</v>
      </c>
      <c r="O1" s="36" t="s">
        <v>26</v>
      </c>
      <c r="P1" s="36" t="s">
        <v>26</v>
      </c>
      <c r="Q1" s="36" t="s">
        <v>26</v>
      </c>
      <c r="R1" s="36" t="s">
        <v>26</v>
      </c>
      <c r="S1" s="36" t="s">
        <v>26</v>
      </c>
      <c r="T1" s="36" t="s">
        <v>26</v>
      </c>
      <c r="U1" s="36" t="s">
        <v>26</v>
      </c>
      <c r="V1" s="36" t="s">
        <v>26</v>
      </c>
      <c r="W1" s="36" t="s">
        <v>26</v>
      </c>
      <c r="X1" s="36" t="s">
        <v>26</v>
      </c>
      <c r="Y1" s="36" t="s">
        <v>26</v>
      </c>
      <c r="Z1" s="36" t="s">
        <v>26</v>
      </c>
      <c r="AA1" s="36" t="s">
        <v>26</v>
      </c>
      <c r="AB1" s="36" t="s">
        <v>26</v>
      </c>
      <c r="AC1" s="36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6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7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6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6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6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6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6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6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35" t="s">
        <v>156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35" t="s">
        <v>146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34" t="s">
        <v>139</v>
      </c>
      <c r="B1" s="34" t="s">
        <v>26</v>
      </c>
      <c r="C1" s="34" t="s">
        <v>26</v>
      </c>
      <c r="D1" s="34" t="s">
        <v>26</v>
      </c>
      <c r="E1" s="34" t="s">
        <v>26</v>
      </c>
      <c r="F1" s="34" t="s">
        <v>26</v>
      </c>
      <c r="G1" s="34" t="s">
        <v>26</v>
      </c>
      <c r="H1" s="34" t="s">
        <v>26</v>
      </c>
      <c r="I1" s="34" t="s">
        <v>26</v>
      </c>
      <c r="J1" s="34" t="s">
        <v>26</v>
      </c>
      <c r="K1" s="34" t="s">
        <v>26</v>
      </c>
      <c r="L1" s="34" t="s">
        <v>26</v>
      </c>
      <c r="M1" s="34" t="s">
        <v>26</v>
      </c>
      <c r="N1" s="34" t="s">
        <v>26</v>
      </c>
      <c r="O1" s="34" t="s">
        <v>26</v>
      </c>
      <c r="P1" s="34" t="s">
        <v>26</v>
      </c>
      <c r="Q1" s="34" t="s">
        <v>26</v>
      </c>
      <c r="R1" s="34" t="s">
        <v>26</v>
      </c>
      <c r="S1" s="34" t="s">
        <v>26</v>
      </c>
      <c r="T1" s="34" t="s">
        <v>26</v>
      </c>
      <c r="U1" s="34" t="s">
        <v>26</v>
      </c>
      <c r="V1" s="34" t="s">
        <v>26</v>
      </c>
      <c r="W1" s="34" t="s">
        <v>26</v>
      </c>
      <c r="X1" s="34" t="s">
        <v>26</v>
      </c>
      <c r="Y1" s="34" t="s">
        <v>26</v>
      </c>
      <c r="Z1" s="34" t="s">
        <v>26</v>
      </c>
      <c r="AA1" s="34" t="s">
        <v>26</v>
      </c>
      <c r="AB1" s="34" t="s">
        <v>26</v>
      </c>
      <c r="AC1" s="34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35" t="s">
        <v>119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35" t="s">
        <v>102</v>
      </c>
      <c r="B1" s="35" t="s">
        <v>26</v>
      </c>
      <c r="C1" s="35" t="s">
        <v>26</v>
      </c>
      <c r="D1" s="35" t="s">
        <v>26</v>
      </c>
      <c r="E1" s="35" t="s">
        <v>26</v>
      </c>
      <c r="F1" s="35" t="s">
        <v>26</v>
      </c>
      <c r="G1" s="35" t="s">
        <v>26</v>
      </c>
      <c r="H1" s="35" t="s">
        <v>26</v>
      </c>
      <c r="I1" s="35" t="s">
        <v>26</v>
      </c>
      <c r="J1" s="35" t="s">
        <v>26</v>
      </c>
      <c r="K1" s="35" t="s">
        <v>26</v>
      </c>
      <c r="L1" s="35" t="s">
        <v>26</v>
      </c>
      <c r="M1" s="35" t="s">
        <v>26</v>
      </c>
      <c r="N1" s="35" t="s">
        <v>26</v>
      </c>
      <c r="O1" s="35" t="s">
        <v>26</v>
      </c>
      <c r="P1" s="35" t="s">
        <v>26</v>
      </c>
      <c r="Q1" s="35" t="s">
        <v>26</v>
      </c>
      <c r="R1" s="35" t="s">
        <v>26</v>
      </c>
      <c r="S1" s="35" t="s">
        <v>26</v>
      </c>
      <c r="T1" s="35" t="s">
        <v>26</v>
      </c>
      <c r="U1" s="35" t="s">
        <v>26</v>
      </c>
      <c r="V1" s="35" t="s">
        <v>26</v>
      </c>
      <c r="W1" s="35" t="s">
        <v>26</v>
      </c>
      <c r="X1" s="35" t="s">
        <v>26</v>
      </c>
      <c r="Y1" s="35" t="s">
        <v>26</v>
      </c>
      <c r="Z1" s="35" t="s">
        <v>26</v>
      </c>
      <c r="AA1" s="35" t="s">
        <v>26</v>
      </c>
      <c r="AB1" s="35" t="s">
        <v>26</v>
      </c>
      <c r="AC1" s="35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2026-10-23T17:38:54Z</cp:lastPrinted>
  <dcterms:created xsi:type="dcterms:W3CDTF">2026-07-02T17:42:15Z</dcterms:created>
  <dcterms:modified xsi:type="dcterms:W3CDTF">2026-10-23T17:39:17Z</dcterms:modified>
</cp:coreProperties>
</file>