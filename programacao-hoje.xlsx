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E16C89D-F23A-47F9-AFDA-FA4F17A51108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Z4A EMBALAGENS LTDA 1210" sheetId="157" r:id="rId1"/>
    <sheet name="RM Embalagens 1209" sheetId="156" r:id="rId2"/>
    <sheet name="IPE - PC BOX 1203P" sheetId="154" r:id="rId3"/>
    <sheet name="ABAPEL 1201" sheetId="153" r:id="rId4"/>
    <sheet name="HARMONY EMBALAGENS 1200" sheetId="152" r:id="rId5"/>
    <sheet name="HARMONY EMBALAGENS 1199" sheetId="151" r:id="rId6"/>
    <sheet name="FAVINCO EMBALAGENS 1197" sheetId="150" r:id="rId7"/>
    <sheet name="ABAPEL 1196" sheetId="149" r:id="rId8"/>
    <sheet name="CARPELL LTDA 1195 P" sheetId="147" r:id="rId9"/>
    <sheet name="Renovapel 1192 P" sheetId="146" r:id="rId10"/>
    <sheet name="DR EMBALAGENS 1189  P" sheetId="144" r:id="rId11"/>
    <sheet name="FAVINCO EMBALAGENS 1188 R" sheetId="143" r:id="rId12"/>
    <sheet name="PCBOX - IPE 1187 P" sheetId="142" r:id="rId13"/>
    <sheet name="RM Embalagens 1184 P" sheetId="141" r:id="rId14"/>
    <sheet name="CARTOMIL EMBALAGENS LTDA 1183 P" sheetId="140" r:id="rId15"/>
    <sheet name="Z4A EMBALAGENS LTDA 1182" sheetId="139" r:id="rId16"/>
    <sheet name="HARMONY EMBALAGENS 1180 P" sheetId="137" r:id="rId17"/>
    <sheet name="RM Embalagens 1179 P" sheetId="136" r:id="rId18"/>
    <sheet name="Tolecaixas 1181 P" sheetId="138" r:id="rId19"/>
    <sheet name="ABAPEL 1178 P" sheetId="135" r:id="rId20"/>
    <sheet name="FAVINCO EMBALAGENS 1177 P" sheetId="134" r:id="rId21"/>
    <sheet name="IPE EMBALAGENS 1176 P" sheetId="133" r:id="rId22"/>
    <sheet name="PCBOX EMBALAGENS 1175 P" sheetId="132" r:id="rId23"/>
    <sheet name="ABAPEL 1174 P" sheetId="131" r:id="rId24"/>
    <sheet name="PCBOX EMBALAGENS 1171 P" sheetId="127" r:id="rId25"/>
    <sheet name="HARMONY EMBALAGENS 1169 P" sheetId="125" r:id="rId26"/>
    <sheet name="DR EMBALAGEM 1167 P" sheetId="124" r:id="rId27"/>
    <sheet name="Z4A EMBALAGENS  1166 P" sheetId="123" r:id="rId28"/>
    <sheet name="RM Embalagens 1165 P" sheetId="122" r:id="rId29"/>
    <sheet name="Carpel 1158 P" sheetId="119" r:id="rId30"/>
    <sheet name="ABAPEL 1155 P" sheetId="118" r:id="rId31"/>
    <sheet name="IPE - PCBOX 1154 P" sheetId="117" r:id="rId32"/>
    <sheet name="ABAPEL 1143 P" sheetId="109" r:id="rId33"/>
    <sheet name="HARMONY EMBALAGENS 1138 P" sheetId="102" r:id="rId34"/>
    <sheet name="ABAPEL 1127 P" sheetId="97" r:id="rId35"/>
    <sheet name="ABAPEL 1105 P" sheetId="85" r:id="rId36"/>
    <sheet name="IVAIR SILVA 1122 P" sheetId="91" r:id="rId37"/>
    <sheet name="RENOVAPEL 1115 P" sheetId="8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6" i="150" l="1"/>
  <c r="H16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<sst xmlns="http://schemas.openxmlformats.org/spreadsheetml/2006/main" count="7100" uniqueCount="769">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</sst>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tabSelected="1" workbookViewId="0">
      <selection activeCell="AD14" sqref="AD14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6"/>
  <sheetViews>
    <sheetView topLeftCell="A4" workbookViewId="0">
      <selection activeCell="AE4" sqref="AE4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8" t="s">
        <v>669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56" customFormat="1" ht="25.05" customHeight="1" x14ac:dyDescent="0.3">
      <c r="A15" s="150">
        <v>3</v>
      </c>
      <c r="B15" s="151" t="s">
        <v>621</v>
      </c>
      <c r="C15" s="150" t="s">
        <v>36</v>
      </c>
      <c r="D15" s="177">
        <v>46275</v>
      </c>
      <c r="E15" s="150"/>
      <c r="F15" s="150">
        <v>252541</v>
      </c>
      <c r="G15" s="150">
        <v>67</v>
      </c>
      <c r="H15" s="150">
        <v>3000</v>
      </c>
      <c r="I15" s="152">
        <v>0.27900000000000003</v>
      </c>
      <c r="J15" s="152">
        <v>1.004</v>
      </c>
      <c r="K15" s="150" t="s">
        <v>736</v>
      </c>
      <c r="L15" s="152">
        <v>840.34799999999996</v>
      </c>
      <c r="M15" s="153">
        <v>1004</v>
      </c>
      <c r="N15" s="154">
        <v>9.2999999999999999E-2</v>
      </c>
      <c r="O15" s="155">
        <v>5.58</v>
      </c>
      <c r="P15" s="150">
        <v>289.89999999999998</v>
      </c>
      <c r="Q15" s="150">
        <v>3</v>
      </c>
      <c r="R15" s="150">
        <v>900</v>
      </c>
      <c r="S15" s="152">
        <v>0.83699999999999997</v>
      </c>
      <c r="T15" s="150">
        <v>63</v>
      </c>
      <c r="U15" s="154">
        <v>7.0000000000000007E-2</v>
      </c>
      <c r="V15" s="150" t="s">
        <v>28</v>
      </c>
      <c r="W15" s="150" t="s">
        <v>28</v>
      </c>
      <c r="X15" s="150" t="s">
        <v>28</v>
      </c>
      <c r="Y15" s="150"/>
      <c r="Z15" s="150"/>
      <c r="AA15" s="150">
        <v>1</v>
      </c>
      <c r="AB15" s="150" t="s">
        <v>622</v>
      </c>
    </row>
    <row r="16" spans="1:28" s="167" customFormat="1" ht="25.05" customHeight="1" x14ac:dyDescent="0.3">
      <c r="A16" s="168" t="s">
        <v>27</v>
      </c>
      <c r="B16" s="168" t="s">
        <v>27</v>
      </c>
      <c r="C16" s="168" t="s">
        <v>27</v>
      </c>
      <c r="D16" s="168" t="s">
        <v>27</v>
      </c>
      <c r="E16" s="168" t="s">
        <v>27</v>
      </c>
      <c r="F16" s="168" t="s">
        <v>27</v>
      </c>
      <c r="G16" s="168" t="s">
        <v>27</v>
      </c>
      <c r="H16" s="168">
        <f>SUM(H3:H15)</f>
        <v>23050</v>
      </c>
      <c r="I16" s="168" t="s">
        <v>27</v>
      </c>
      <c r="J16" s="168" t="s">
        <v>27</v>
      </c>
      <c r="K16" s="168" t="s">
        <v>27</v>
      </c>
      <c r="L16" s="168" t="s">
        <v>27</v>
      </c>
      <c r="M16" s="168" t="s">
        <v>27</v>
      </c>
      <c r="N16" s="168" t="s">
        <v>27</v>
      </c>
      <c r="O16" s="168" t="s">
        <v>27</v>
      </c>
      <c r="P16" s="168">
        <f>SUM(P3:P15)</f>
        <v>3598.4</v>
      </c>
      <c r="Q16" s="168" t="s">
        <v>27</v>
      </c>
      <c r="R16" s="168" t="s">
        <v>27</v>
      </c>
      <c r="S16" s="168" t="s">
        <v>27</v>
      </c>
      <c r="T16" s="168" t="s">
        <v>27</v>
      </c>
      <c r="U16" s="168" t="s">
        <v>27</v>
      </c>
      <c r="V16" s="168" t="s">
        <v>27</v>
      </c>
      <c r="W16" s="168" t="s">
        <v>27</v>
      </c>
      <c r="X16" s="168" t="s">
        <v>27</v>
      </c>
      <c r="Y16" s="168" t="s">
        <v>27</v>
      </c>
      <c r="Z16" s="168" t="s">
        <v>27</v>
      </c>
      <c r="AA16" s="168" t="s">
        <v>27</v>
      </c>
      <c r="AB16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G3" sqref="G3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38</vt:i4>
      </vt:variant>
    </vt:vector>
  </HeadingPairs>
  <TitlesOfParts>
    <vt:vector size="38" baseType="lpstr"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2026-09-17T17:41:38Z</dcterms:modified>
</cp:coreProperties>
</file>