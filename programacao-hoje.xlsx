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45F1420-DE6A-44A6-A928-8DE15E351028}" xr6:coauthVersionLast="47" xr6:coauthVersionMax="47" xr10:uidLastSave="{00000000-0000-0000-0000-000000000000}"/>
  <bookViews>
    <workbookView xWindow="-21720" yWindow="-120" windowWidth="21840" windowHeight="13020" firstSheet="5" activeTab="5" xr2:uid="{00000000-000D-0000-FFFF-FFFF00000000}"/>
  </bookViews>
  <sheets>
    <sheet name="FAVINCO EMBALAGENS 1197" sheetId="150" r:id="rId1"/>
    <sheet name="ABAPEL 1196" sheetId="149" r:id="rId2"/>
    <sheet name="CARPELL LTDA 1195" sheetId="147" r:id="rId3"/>
    <sheet name="Renovapel 1192 P" sheetId="146" r:id="rId4"/>
    <sheet name="DR EMBALAGENS 1189  P" sheetId="144" r:id="rId5"/>
    <sheet name="FAVINCO EMBALAGENS 1188 R" sheetId="143" r:id="rId6"/>
    <sheet name="PCBOX - IPE 1187 P" sheetId="142" r:id="rId7"/>
    <sheet name="RM Embalagens 1184 P" sheetId="141" r:id="rId8"/>
    <sheet name="CARTOMIL EMBALAGENS LTDA 1183 P" sheetId="140" r:id="rId9"/>
    <sheet name="Z4A EMBALAGENS LTDA 1182" sheetId="139" r:id="rId10"/>
    <sheet name="Tolecaixas 1181 P" sheetId="138" r:id="rId11"/>
    <sheet name="HARMONY EMBALAGENS 1180 P" sheetId="137" r:id="rId12"/>
    <sheet name="RM Embalagens 1179 P" sheetId="136" r:id="rId13"/>
    <sheet name="ABAPEL 1178" sheetId="135" r:id="rId14"/>
    <sheet name="FAVINCO EMBALAGENS 1177 P" sheetId="134" r:id="rId15"/>
    <sheet name="IPE EMBALAGENS 1176 P" sheetId="133" r:id="rId16"/>
    <sheet name="PCBOX EMBALAGENS 1175 P" sheetId="132" r:id="rId17"/>
    <sheet name="ABAPEL 1174 P" sheetId="131" r:id="rId18"/>
    <sheet name="PCBOX EMBALAGENS 1171 P" sheetId="127" r:id="rId19"/>
    <sheet name="HARMONY EMBALAGENS 1169 P" sheetId="125" r:id="rId20"/>
    <sheet name="DR EMBALAGEM 1167 P" sheetId="124" r:id="rId21"/>
    <sheet name="Z4A EMBALAGENS  1166 P" sheetId="123" r:id="rId22"/>
    <sheet name="RM Embalagens 1165 P" sheetId="122" r:id="rId23"/>
    <sheet name="Carpel 1158 P" sheetId="119" r:id="rId24"/>
    <sheet name="ABAPEL 1155 P" sheetId="118" r:id="rId25"/>
    <sheet name="IPE - PCBOX 1154 P" sheetId="117" r:id="rId26"/>
    <sheet name="ABAPEL 1143 P" sheetId="109" r:id="rId27"/>
    <sheet name="HARMONY EMBALAGENS 1138 P" sheetId="102" r:id="rId28"/>
    <sheet name="ABAPEL 1127 P" sheetId="97" r:id="rId29"/>
    <sheet name="ABAPEL 1105 P" sheetId="85" r:id="rId30"/>
    <sheet name="IVAIR SILVA 1122 P" sheetId="91" r:id="rId31"/>
    <sheet name="RENOVAPEL 1115 P" sheetId="88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8" i="150"/>
  <c r="H8" i="150"/>
  <c r="P8" i="134"/>
  <c r="H8" i="134"/>
  <c r="P13" i="135"/>
  <c r="H13" i="135"/>
</calcChain>
</file>

<file path=xl/sharedStrings.xml><?xml version="1.0" encoding="utf-8"?>
<sst xmlns="http://schemas.openxmlformats.org/spreadsheetml/2006/main" count="5988" uniqueCount="678">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</sst>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01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workbookViewId="0">
      <selection activeCell="C3" sqref="C3:C7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1" t="s">
        <v>669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5</v>
      </c>
      <c r="B4" s="162" t="s">
        <v>480</v>
      </c>
      <c r="C4" s="161" t="s">
        <v>62</v>
      </c>
      <c r="D4" s="200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2</v>
      </c>
      <c r="B5" s="162" t="s">
        <v>480</v>
      </c>
      <c r="C5" s="161" t="s">
        <v>670</v>
      </c>
      <c r="D5" s="200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3</v>
      </c>
      <c r="B6" s="162" t="s">
        <v>480</v>
      </c>
      <c r="C6" s="161" t="s">
        <v>670</v>
      </c>
      <c r="D6" s="200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4</v>
      </c>
      <c r="B7" s="162" t="s">
        <v>480</v>
      </c>
      <c r="C7" s="161" t="s">
        <v>670</v>
      </c>
      <c r="D7" s="200">
        <v>46279</v>
      </c>
      <c r="E7" s="161"/>
      <c r="F7" s="161">
        <v>262577</v>
      </c>
      <c r="G7" s="161">
        <v>69</v>
      </c>
      <c r="H7" s="161">
        <v>1000</v>
      </c>
      <c r="I7" s="163">
        <v>0.52500000000000002</v>
      </c>
      <c r="J7" s="163">
        <v>1.29</v>
      </c>
      <c r="K7" s="161" t="s">
        <v>672</v>
      </c>
      <c r="L7" s="163">
        <v>677.25</v>
      </c>
      <c r="M7" s="164">
        <v>645</v>
      </c>
      <c r="N7" s="165">
        <v>8.9599999999999999E-2</v>
      </c>
      <c r="O7" s="166">
        <v>5.38</v>
      </c>
      <c r="P7" s="161">
        <v>262.8</v>
      </c>
      <c r="Q7" s="161">
        <v>2</v>
      </c>
      <c r="R7" s="161">
        <v>1100</v>
      </c>
      <c r="S7" s="163">
        <v>1.05</v>
      </c>
      <c r="T7" s="161">
        <v>50</v>
      </c>
      <c r="U7" s="165">
        <v>4.5499999999999999E-2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2</v>
      </c>
      <c r="AB7" s="161" t="s">
        <v>673</v>
      </c>
    </row>
    <row r="8" spans="1:28" s="167" customFormat="1" x14ac:dyDescent="0.3">
      <c r="A8" s="168" t="s">
        <v>27</v>
      </c>
      <c r="B8" s="168" t="s">
        <v>27</v>
      </c>
      <c r="C8" s="168" t="s">
        <v>27</v>
      </c>
      <c r="D8" s="168" t="s">
        <v>27</v>
      </c>
      <c r="E8" s="168" t="s">
        <v>27</v>
      </c>
      <c r="F8" s="168" t="s">
        <v>27</v>
      </c>
      <c r="G8" s="168" t="s">
        <v>27</v>
      </c>
      <c r="H8" s="168">
        <f>SUM(H3:H7)</f>
        <v>3000</v>
      </c>
      <c r="I8" s="168" t="s">
        <v>27</v>
      </c>
      <c r="J8" s="168" t="s">
        <v>27</v>
      </c>
      <c r="K8" s="168" t="s">
        <v>27</v>
      </c>
      <c r="L8" s="168" t="s">
        <v>27</v>
      </c>
      <c r="M8" s="168" t="s">
        <v>27</v>
      </c>
      <c r="N8" s="168" t="s">
        <v>27</v>
      </c>
      <c r="O8" s="168" t="s">
        <v>27</v>
      </c>
      <c r="P8" s="168">
        <f>SUM(P3:P7)</f>
        <v>1278.3</v>
      </c>
      <c r="Q8" s="168" t="s">
        <v>27</v>
      </c>
      <c r="R8" s="168" t="s">
        <v>27</v>
      </c>
      <c r="S8" s="168" t="s">
        <v>27</v>
      </c>
      <c r="T8" s="168" t="s">
        <v>27</v>
      </c>
      <c r="U8" s="168" t="s">
        <v>27</v>
      </c>
      <c r="V8" s="168" t="s">
        <v>27</v>
      </c>
      <c r="W8" s="168" t="s">
        <v>27</v>
      </c>
      <c r="X8" s="168" t="s">
        <v>27</v>
      </c>
      <c r="Y8" s="168" t="s">
        <v>27</v>
      </c>
      <c r="Z8" s="168" t="s">
        <v>27</v>
      </c>
      <c r="AA8" s="168" t="s">
        <v>27</v>
      </c>
      <c r="AB8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1" t="s">
        <v>665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1" t="s">
        <v>652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 x14ac:dyDescent="0.3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 x14ac:dyDescent="0.3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 x14ac:dyDescent="0.3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2" t="s">
        <v>618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2" t="s">
        <v>606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tabSelected="1" workbookViewId="0">
      <selection activeCell="R12" sqref="R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2" t="s">
        <v>599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3" t="s">
        <v>592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D17" sqref="AD17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554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135</v>
      </c>
      <c r="C3" s="161" t="s">
        <v>26</v>
      </c>
      <c r="D3" s="161" t="s">
        <v>543</v>
      </c>
      <c r="E3" s="161" t="s">
        <v>27</v>
      </c>
      <c r="F3" s="161">
        <v>262497</v>
      </c>
      <c r="G3" s="161" t="s">
        <v>542</v>
      </c>
      <c r="H3" s="161">
        <v>225</v>
      </c>
      <c r="I3" s="163">
        <v>1.548</v>
      </c>
      <c r="J3" s="163">
        <v>1.62</v>
      </c>
      <c r="K3" s="161" t="s">
        <v>34</v>
      </c>
      <c r="L3" s="163">
        <v>564.24599999999998</v>
      </c>
      <c r="M3" s="164">
        <v>364.5</v>
      </c>
      <c r="N3" s="165">
        <v>0.1013</v>
      </c>
      <c r="O3" s="166">
        <v>6.08</v>
      </c>
      <c r="P3" s="161">
        <v>334.6</v>
      </c>
      <c r="Q3" s="161">
        <v>1</v>
      </c>
      <c r="R3" s="161">
        <v>1600</v>
      </c>
      <c r="S3" s="163">
        <v>1.548</v>
      </c>
      <c r="T3" s="161">
        <v>52</v>
      </c>
      <c r="U3" s="165">
        <v>3.2500000000000001E-2</v>
      </c>
      <c r="V3" s="161" t="s">
        <v>28</v>
      </c>
      <c r="W3" s="161" t="s">
        <v>29</v>
      </c>
      <c r="X3" s="161" t="s">
        <v>28</v>
      </c>
      <c r="Y3" s="161" t="s">
        <v>28</v>
      </c>
      <c r="Z3" s="161" t="s">
        <v>28</v>
      </c>
      <c r="AA3" s="161" t="s">
        <v>33</v>
      </c>
      <c r="AB3" s="161" t="s">
        <v>553</v>
      </c>
    </row>
    <row r="4" spans="1:28" s="167" customFormat="1" ht="25.05" customHeight="1" x14ac:dyDescent="0.3">
      <c r="A4" s="161">
        <v>2</v>
      </c>
      <c r="B4" s="162" t="s">
        <v>135</v>
      </c>
      <c r="C4" s="161" t="s">
        <v>26</v>
      </c>
      <c r="D4" s="161" t="s">
        <v>543</v>
      </c>
      <c r="E4" s="161" t="s">
        <v>27</v>
      </c>
      <c r="F4" s="161">
        <v>262501</v>
      </c>
      <c r="G4" s="161" t="s">
        <v>542</v>
      </c>
      <c r="H4" s="161">
        <v>510</v>
      </c>
      <c r="I4" s="163">
        <v>0.76600000000000001</v>
      </c>
      <c r="J4" s="163">
        <v>1.43</v>
      </c>
      <c r="K4" s="161" t="s">
        <v>34</v>
      </c>
      <c r="L4" s="163">
        <v>558.64400000000001</v>
      </c>
      <c r="M4" s="164">
        <v>364.6</v>
      </c>
      <c r="N4" s="165">
        <v>5.0599999999999999E-2</v>
      </c>
      <c r="O4" s="166">
        <v>3.04</v>
      </c>
      <c r="P4" s="161">
        <v>331.3</v>
      </c>
      <c r="Q4" s="161">
        <v>2</v>
      </c>
      <c r="R4" s="161">
        <v>1600</v>
      </c>
      <c r="S4" s="163">
        <v>1.532</v>
      </c>
      <c r="T4" s="161">
        <v>68</v>
      </c>
      <c r="U4" s="165">
        <v>4.2500000000000003E-2</v>
      </c>
      <c r="V4" s="161" t="s">
        <v>28</v>
      </c>
      <c r="W4" s="161" t="s">
        <v>29</v>
      </c>
      <c r="X4" s="161" t="s">
        <v>28</v>
      </c>
      <c r="Y4" s="161" t="s">
        <v>28</v>
      </c>
      <c r="Z4" s="161" t="s">
        <v>28</v>
      </c>
      <c r="AA4" s="161" t="s">
        <v>30</v>
      </c>
      <c r="AB4" s="161" t="s">
        <v>138</v>
      </c>
    </row>
    <row r="5" spans="1:28" s="167" customFormat="1" ht="25.05" customHeight="1" x14ac:dyDescent="0.3">
      <c r="A5" s="161">
        <v>3</v>
      </c>
      <c r="B5" s="162" t="s">
        <v>135</v>
      </c>
      <c r="C5" s="161" t="s">
        <v>26</v>
      </c>
      <c r="D5" s="161" t="s">
        <v>543</v>
      </c>
      <c r="E5" s="161" t="s">
        <v>27</v>
      </c>
      <c r="F5" s="161">
        <v>262495</v>
      </c>
      <c r="G5" s="161" t="s">
        <v>542</v>
      </c>
      <c r="H5" s="161">
        <v>395</v>
      </c>
      <c r="I5" s="163">
        <v>0.69</v>
      </c>
      <c r="J5" s="163">
        <v>2.0699999999999998</v>
      </c>
      <c r="K5" s="161" t="s">
        <v>34</v>
      </c>
      <c r="L5" s="163">
        <v>564.178</v>
      </c>
      <c r="M5" s="164">
        <v>408.8</v>
      </c>
      <c r="N5" s="165">
        <v>5.6800000000000003E-2</v>
      </c>
      <c r="O5" s="166">
        <v>3.41</v>
      </c>
      <c r="P5" s="161">
        <v>334.6</v>
      </c>
      <c r="Q5" s="161">
        <v>2</v>
      </c>
      <c r="R5" s="161">
        <v>1400</v>
      </c>
      <c r="S5" s="163">
        <v>1.38</v>
      </c>
      <c r="T5" s="161">
        <v>20</v>
      </c>
      <c r="U5" s="165">
        <v>1.43E-2</v>
      </c>
      <c r="V5" s="161" t="s">
        <v>28</v>
      </c>
      <c r="W5" s="161" t="s">
        <v>29</v>
      </c>
      <c r="X5" s="161" t="s">
        <v>28</v>
      </c>
      <c r="Y5" s="161" t="s">
        <v>28</v>
      </c>
      <c r="Z5" s="161" t="s">
        <v>28</v>
      </c>
      <c r="AA5" s="161" t="s">
        <v>30</v>
      </c>
      <c r="AB5" s="161" t="s">
        <v>552</v>
      </c>
    </row>
    <row r="6" spans="1:28" s="167" customFormat="1" ht="25.05" customHeight="1" x14ac:dyDescent="0.3">
      <c r="A6" s="161">
        <v>4</v>
      </c>
      <c r="B6" s="162" t="s">
        <v>135</v>
      </c>
      <c r="C6" s="161" t="s">
        <v>26</v>
      </c>
      <c r="D6" s="161" t="s">
        <v>543</v>
      </c>
      <c r="E6" s="161" t="s">
        <v>27</v>
      </c>
      <c r="F6" s="161">
        <v>262496</v>
      </c>
      <c r="G6" s="161" t="s">
        <v>542</v>
      </c>
      <c r="H6" s="161">
        <v>610</v>
      </c>
      <c r="I6" s="163">
        <v>1.29</v>
      </c>
      <c r="J6" s="163">
        <v>1.59</v>
      </c>
      <c r="K6" s="161" t="s">
        <v>34</v>
      </c>
      <c r="L6" s="163">
        <v>1251.171</v>
      </c>
      <c r="M6" s="164">
        <v>969.9</v>
      </c>
      <c r="N6" s="165">
        <v>0.26939999999999997</v>
      </c>
      <c r="O6" s="166">
        <v>16.170000000000002</v>
      </c>
      <c r="P6" s="161">
        <v>741.9</v>
      </c>
      <c r="Q6" s="161">
        <v>1</v>
      </c>
      <c r="R6" s="161">
        <v>1350</v>
      </c>
      <c r="S6" s="163">
        <v>1.29</v>
      </c>
      <c r="T6" s="161">
        <v>60</v>
      </c>
      <c r="U6" s="165">
        <v>4.4400000000000002E-2</v>
      </c>
      <c r="V6" s="161" t="s">
        <v>28</v>
      </c>
      <c r="W6" s="161" t="s">
        <v>29</v>
      </c>
      <c r="X6" s="161" t="s">
        <v>28</v>
      </c>
      <c r="Y6" s="161" t="s">
        <v>28</v>
      </c>
      <c r="Z6" s="161" t="s">
        <v>28</v>
      </c>
      <c r="AA6" s="161" t="s">
        <v>32</v>
      </c>
      <c r="AB6" s="161" t="s">
        <v>551</v>
      </c>
    </row>
    <row r="7" spans="1:28" s="167" customFormat="1" ht="25.05" customHeight="1" x14ac:dyDescent="0.3">
      <c r="A7" s="161">
        <v>5</v>
      </c>
      <c r="B7" s="162" t="s">
        <v>135</v>
      </c>
      <c r="C7" s="161" t="s">
        <v>26</v>
      </c>
      <c r="D7" s="161" t="s">
        <v>543</v>
      </c>
      <c r="E7" s="161" t="s">
        <v>27</v>
      </c>
      <c r="F7" s="161">
        <v>262494</v>
      </c>
      <c r="G7" s="161" t="s">
        <v>542</v>
      </c>
      <c r="H7" s="161">
        <v>700</v>
      </c>
      <c r="I7" s="163">
        <v>1.0740000000000001</v>
      </c>
      <c r="J7" s="163">
        <v>1.27</v>
      </c>
      <c r="K7" s="161" t="s">
        <v>34</v>
      </c>
      <c r="L7" s="163">
        <v>954.78599999999994</v>
      </c>
      <c r="M7" s="164">
        <v>889</v>
      </c>
      <c r="N7" s="165">
        <v>0.24690000000000001</v>
      </c>
      <c r="O7" s="166">
        <v>14.82</v>
      </c>
      <c r="P7" s="161">
        <v>566.20000000000005</v>
      </c>
      <c r="Q7" s="161">
        <v>1</v>
      </c>
      <c r="R7" s="161">
        <v>1100</v>
      </c>
      <c r="S7" s="163">
        <v>1.0740000000000001</v>
      </c>
      <c r="T7" s="161">
        <v>26</v>
      </c>
      <c r="U7" s="165">
        <v>2.3599999999999999E-2</v>
      </c>
      <c r="V7" s="161" t="s">
        <v>28</v>
      </c>
      <c r="W7" s="161" t="s">
        <v>29</v>
      </c>
      <c r="X7" s="161" t="s">
        <v>28</v>
      </c>
      <c r="Y7" s="161" t="s">
        <v>28</v>
      </c>
      <c r="Z7" s="161" t="s">
        <v>28</v>
      </c>
      <c r="AA7" s="161" t="s">
        <v>32</v>
      </c>
      <c r="AB7" s="161" t="s">
        <v>550</v>
      </c>
    </row>
    <row r="8" spans="1:28" s="167" customFormat="1" ht="25.05" customHeight="1" x14ac:dyDescent="0.3">
      <c r="A8" s="161">
        <v>6</v>
      </c>
      <c r="B8" s="162" t="s">
        <v>135</v>
      </c>
      <c r="C8" s="161" t="s">
        <v>26</v>
      </c>
      <c r="D8" s="161" t="s">
        <v>543</v>
      </c>
      <c r="E8" s="161" t="s">
        <v>27</v>
      </c>
      <c r="F8" s="161">
        <v>262502</v>
      </c>
      <c r="G8" s="161" t="s">
        <v>542</v>
      </c>
      <c r="H8" s="161">
        <v>550</v>
      </c>
      <c r="I8" s="163">
        <v>0.95599999999999996</v>
      </c>
      <c r="J8" s="163">
        <v>1.23</v>
      </c>
      <c r="K8" s="161" t="s">
        <v>34</v>
      </c>
      <c r="L8" s="163">
        <v>646.73400000000004</v>
      </c>
      <c r="M8" s="164">
        <v>676.5</v>
      </c>
      <c r="N8" s="165">
        <v>0.18790000000000001</v>
      </c>
      <c r="O8" s="166">
        <v>11.28</v>
      </c>
      <c r="P8" s="161">
        <v>383.5</v>
      </c>
      <c r="Q8" s="161">
        <v>1</v>
      </c>
      <c r="R8" s="161">
        <v>1000</v>
      </c>
      <c r="S8" s="163">
        <v>0.95599999999999996</v>
      </c>
      <c r="T8" s="161">
        <v>44</v>
      </c>
      <c r="U8" s="165">
        <v>4.3999999999999997E-2</v>
      </c>
      <c r="V8" s="161" t="s">
        <v>28</v>
      </c>
      <c r="W8" s="161" t="s">
        <v>29</v>
      </c>
      <c r="X8" s="161" t="s">
        <v>28</v>
      </c>
      <c r="Y8" s="161" t="s">
        <v>28</v>
      </c>
      <c r="Z8" s="161" t="s">
        <v>28</v>
      </c>
      <c r="AA8" s="161" t="s">
        <v>30</v>
      </c>
      <c r="AB8" s="161" t="s">
        <v>549</v>
      </c>
    </row>
    <row r="9" spans="1:28" s="167" customFormat="1" ht="25.05" customHeight="1" x14ac:dyDescent="0.3">
      <c r="A9" s="161">
        <v>7</v>
      </c>
      <c r="B9" s="162" t="s">
        <v>135</v>
      </c>
      <c r="C9" s="161" t="s">
        <v>26</v>
      </c>
      <c r="D9" s="161" t="s">
        <v>543</v>
      </c>
      <c r="E9" s="161" t="s">
        <v>27</v>
      </c>
      <c r="F9" s="161">
        <v>262503</v>
      </c>
      <c r="G9" s="161" t="s">
        <v>542</v>
      </c>
      <c r="H9" s="161">
        <v>550</v>
      </c>
      <c r="I9" s="163">
        <v>0.97099999999999997</v>
      </c>
      <c r="J9" s="163">
        <v>1.26</v>
      </c>
      <c r="K9" s="161" t="s">
        <v>34</v>
      </c>
      <c r="L9" s="163">
        <v>672.90300000000002</v>
      </c>
      <c r="M9" s="164">
        <v>693</v>
      </c>
      <c r="N9" s="165">
        <v>0.1925</v>
      </c>
      <c r="O9" s="166">
        <v>11.55</v>
      </c>
      <c r="P9" s="161">
        <v>399</v>
      </c>
      <c r="Q9" s="161">
        <v>1</v>
      </c>
      <c r="R9" s="161">
        <v>1000</v>
      </c>
      <c r="S9" s="163">
        <v>0.97099999999999997</v>
      </c>
      <c r="T9" s="161">
        <v>29</v>
      </c>
      <c r="U9" s="165">
        <v>2.9000000000000001E-2</v>
      </c>
      <c r="V9" s="161" t="s">
        <v>28</v>
      </c>
      <c r="W9" s="161" t="s">
        <v>29</v>
      </c>
      <c r="X9" s="161" t="s">
        <v>28</v>
      </c>
      <c r="Y9" s="161" t="s">
        <v>28</v>
      </c>
      <c r="Z9" s="161" t="s">
        <v>28</v>
      </c>
      <c r="AA9" s="161" t="s">
        <v>30</v>
      </c>
      <c r="AB9" s="161" t="s">
        <v>548</v>
      </c>
    </row>
    <row r="10" spans="1:28" s="167" customFormat="1" ht="25.05" customHeight="1" x14ac:dyDescent="0.3">
      <c r="A10" s="161">
        <v>8</v>
      </c>
      <c r="B10" s="162" t="s">
        <v>135</v>
      </c>
      <c r="C10" s="161" t="s">
        <v>296</v>
      </c>
      <c r="D10" s="161" t="s">
        <v>543</v>
      </c>
      <c r="E10" s="161" t="s">
        <v>27</v>
      </c>
      <c r="F10" s="161">
        <v>262504</v>
      </c>
      <c r="G10" s="161" t="s">
        <v>542</v>
      </c>
      <c r="H10" s="161">
        <v>375</v>
      </c>
      <c r="I10" s="163">
        <v>1.44</v>
      </c>
      <c r="J10" s="163">
        <v>1.538</v>
      </c>
      <c r="K10" s="161" t="s">
        <v>34</v>
      </c>
      <c r="L10" s="163">
        <v>830.52</v>
      </c>
      <c r="M10" s="164">
        <v>576.79999999999995</v>
      </c>
      <c r="N10" s="165">
        <v>0.16020000000000001</v>
      </c>
      <c r="O10" s="166">
        <v>9.61</v>
      </c>
      <c r="P10" s="161">
        <v>318.10000000000002</v>
      </c>
      <c r="Q10" s="161">
        <v>1</v>
      </c>
      <c r="R10" s="161">
        <v>1500</v>
      </c>
      <c r="S10" s="163">
        <v>1.44</v>
      </c>
      <c r="T10" s="161">
        <v>60</v>
      </c>
      <c r="U10" s="165">
        <v>0.04</v>
      </c>
      <c r="V10" s="161" t="s">
        <v>42</v>
      </c>
      <c r="W10" s="161" t="s">
        <v>29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547</v>
      </c>
    </row>
    <row r="11" spans="1:28" s="167" customFormat="1" ht="25.05" customHeight="1" x14ac:dyDescent="0.3">
      <c r="A11" s="161">
        <v>9</v>
      </c>
      <c r="B11" s="162" t="s">
        <v>135</v>
      </c>
      <c r="C11" s="161" t="s">
        <v>36</v>
      </c>
      <c r="D11" s="161" t="s">
        <v>543</v>
      </c>
      <c r="E11" s="161" t="s">
        <v>27</v>
      </c>
      <c r="F11" s="161">
        <v>262505</v>
      </c>
      <c r="G11" s="161" t="s">
        <v>542</v>
      </c>
      <c r="H11" s="161">
        <v>1750</v>
      </c>
      <c r="I11" s="163">
        <v>0.74</v>
      </c>
      <c r="J11" s="163">
        <v>0.75</v>
      </c>
      <c r="K11" s="161" t="s">
        <v>34</v>
      </c>
      <c r="L11" s="163">
        <v>971.25</v>
      </c>
      <c r="M11" s="164">
        <v>656.3</v>
      </c>
      <c r="N11" s="165">
        <v>9.11E-2</v>
      </c>
      <c r="O11" s="166">
        <v>5.47</v>
      </c>
      <c r="P11" s="161">
        <v>335.1</v>
      </c>
      <c r="Q11" s="161">
        <v>2</v>
      </c>
      <c r="R11" s="161">
        <v>1500</v>
      </c>
      <c r="S11" s="163">
        <v>1.48</v>
      </c>
      <c r="T11" s="161">
        <v>20</v>
      </c>
      <c r="U11" s="165">
        <v>1.3299999999999999E-2</v>
      </c>
      <c r="V11" s="161" t="s">
        <v>28</v>
      </c>
      <c r="W11" s="161" t="s">
        <v>28</v>
      </c>
      <c r="X11" s="161" t="s">
        <v>28</v>
      </c>
      <c r="Y11" s="161" t="s">
        <v>27</v>
      </c>
      <c r="Z11" s="161" t="s">
        <v>27</v>
      </c>
      <c r="AA11" s="161" t="s">
        <v>30</v>
      </c>
      <c r="AB11" s="161" t="s">
        <v>546</v>
      </c>
    </row>
    <row r="12" spans="1:28" s="167" customFormat="1" ht="25.05" customHeight="1" x14ac:dyDescent="0.3">
      <c r="A12" s="161">
        <v>10</v>
      </c>
      <c r="B12" s="162" t="s">
        <v>135</v>
      </c>
      <c r="C12" s="161" t="s">
        <v>296</v>
      </c>
      <c r="D12" s="161" t="s">
        <v>543</v>
      </c>
      <c r="E12" s="161" t="s">
        <v>27</v>
      </c>
      <c r="F12" s="161">
        <v>262499</v>
      </c>
      <c r="G12" s="161" t="s">
        <v>542</v>
      </c>
      <c r="H12" s="161">
        <v>3200</v>
      </c>
      <c r="I12" s="163">
        <v>0.46100000000000002</v>
      </c>
      <c r="J12" s="163">
        <v>1.32</v>
      </c>
      <c r="K12" s="161" t="s">
        <v>34</v>
      </c>
      <c r="L12" s="163">
        <v>1947.2639999999999</v>
      </c>
      <c r="M12" s="164">
        <v>1408</v>
      </c>
      <c r="N12" s="165">
        <v>0.13039999999999999</v>
      </c>
      <c r="O12" s="166">
        <v>7.82</v>
      </c>
      <c r="P12" s="161">
        <v>745.8</v>
      </c>
      <c r="Q12" s="161">
        <v>3</v>
      </c>
      <c r="R12" s="161">
        <v>1450</v>
      </c>
      <c r="S12" s="163">
        <v>1.383</v>
      </c>
      <c r="T12" s="161">
        <v>67</v>
      </c>
      <c r="U12" s="165">
        <v>4.6199999999999998E-2</v>
      </c>
      <c r="V12" s="161" t="s">
        <v>42</v>
      </c>
      <c r="W12" s="161" t="s">
        <v>29</v>
      </c>
      <c r="X12" s="161" t="s">
        <v>28</v>
      </c>
      <c r="Y12" s="161" t="s">
        <v>27</v>
      </c>
      <c r="Z12" s="161" t="s">
        <v>27</v>
      </c>
      <c r="AA12" s="161" t="s">
        <v>32</v>
      </c>
      <c r="AB12" s="161" t="s">
        <v>545</v>
      </c>
    </row>
    <row r="13" spans="1:28" s="167" customFormat="1" ht="25.05" customHeight="1" x14ac:dyDescent="0.3">
      <c r="A13" s="161">
        <v>11</v>
      </c>
      <c r="B13" s="162" t="s">
        <v>135</v>
      </c>
      <c r="C13" s="161" t="s">
        <v>36</v>
      </c>
      <c r="D13" s="161" t="s">
        <v>543</v>
      </c>
      <c r="E13" s="161" t="s">
        <v>27</v>
      </c>
      <c r="F13" s="161">
        <v>262498</v>
      </c>
      <c r="G13" s="161" t="s">
        <v>542</v>
      </c>
      <c r="H13" s="161">
        <v>3550</v>
      </c>
      <c r="I13" s="163">
        <v>0.3</v>
      </c>
      <c r="J13" s="163">
        <v>0.9</v>
      </c>
      <c r="K13" s="161" t="s">
        <v>34</v>
      </c>
      <c r="L13" s="163">
        <v>958.5</v>
      </c>
      <c r="M13" s="164">
        <v>1065</v>
      </c>
      <c r="N13" s="165">
        <v>9.8599999999999993E-2</v>
      </c>
      <c r="O13" s="166">
        <v>5.92</v>
      </c>
      <c r="P13" s="161">
        <v>330.7</v>
      </c>
      <c r="Q13" s="161">
        <v>3</v>
      </c>
      <c r="R13" s="161">
        <v>950</v>
      </c>
      <c r="S13" s="163">
        <v>0.9</v>
      </c>
      <c r="T13" s="161">
        <v>50</v>
      </c>
      <c r="U13" s="165">
        <v>5.2600000000000001E-2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33</v>
      </c>
      <c r="AB13" s="161" t="s">
        <v>544</v>
      </c>
    </row>
    <row r="14" spans="1:28" s="167" customFormat="1" ht="25.05" customHeight="1" x14ac:dyDescent="0.3">
      <c r="A14" s="161">
        <v>12</v>
      </c>
      <c r="B14" s="162" t="s">
        <v>135</v>
      </c>
      <c r="C14" s="161" t="s">
        <v>36</v>
      </c>
      <c r="D14" s="161" t="s">
        <v>543</v>
      </c>
      <c r="E14" s="161" t="s">
        <v>27</v>
      </c>
      <c r="F14" s="161">
        <v>262500</v>
      </c>
      <c r="G14" s="161" t="s">
        <v>542</v>
      </c>
      <c r="H14" s="161">
        <v>6000</v>
      </c>
      <c r="I14" s="163">
        <v>0.374</v>
      </c>
      <c r="J14" s="163">
        <v>0.44</v>
      </c>
      <c r="K14" s="161" t="s">
        <v>541</v>
      </c>
      <c r="L14" s="163">
        <v>987.36</v>
      </c>
      <c r="M14" s="164">
        <v>1320</v>
      </c>
      <c r="N14" s="165">
        <v>0.18329999999999999</v>
      </c>
      <c r="O14" s="166">
        <v>11</v>
      </c>
      <c r="P14" s="161">
        <v>340.6</v>
      </c>
      <c r="Q14" s="161">
        <v>2</v>
      </c>
      <c r="R14" s="161">
        <v>800</v>
      </c>
      <c r="S14" s="163">
        <v>0.748</v>
      </c>
      <c r="T14" s="161">
        <v>52</v>
      </c>
      <c r="U14" s="165">
        <v>6.5000000000000002E-2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33</v>
      </c>
      <c r="AB14" s="161" t="s">
        <v>540</v>
      </c>
    </row>
    <row r="15" spans="1:28" s="167" customFormat="1" ht="25.05" customHeight="1" x14ac:dyDescent="0.3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v>18415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v>5161.3999999999996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3" t="s">
        <v>539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4" t="s">
        <v>535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2" t="s">
        <v>531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5" t="s">
        <v>523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6" t="s">
        <v>512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3" t="s">
        <v>486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3" t="s">
        <v>475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3" t="s">
        <v>454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3" t="s">
        <v>440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3" t="s">
        <v>403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7" t="s">
        <v>380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6" t="s">
        <v>332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3" t="s">
        <v>329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324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6" t="s">
        <v>281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3" t="s">
        <v>258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3" t="s">
        <v>240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3" t="s">
        <v>202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192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8" t="s">
        <v>155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3" t="s">
        <v>79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3" t="s">
        <v>134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99" t="s">
        <v>109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2026-09-14T18:19:35Z</cp:lastPrinted>
  <dcterms:created xsi:type="dcterms:W3CDTF">2026-07-02T17:42:15Z</dcterms:created>
  <dcterms:modified xsi:type="dcterms:W3CDTF">2026-09-14T18:59:55Z</dcterms:modified>
</cp:coreProperties>
</file>