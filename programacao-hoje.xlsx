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216F5F63-5EA5-40BC-80F2-F15689C70B52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FAVINCO 1243 P" sheetId="175" r:id="rId1"/>
    <sheet name="Renovapel 1242 P" sheetId="174" r:id="rId2"/>
    <sheet name="Tole. DR EMB. VO CH S. M 1241" sheetId="173" r:id="rId3"/>
    <sheet name="FAVINCO 1239 P" sheetId="172" r:id="rId4"/>
    <sheet name="PCBOX EMBALAGENS LTDA 1233" sheetId="170" r:id="rId5"/>
    <sheet name="RM Embalagens 1232" sheetId="169" r:id="rId6"/>
    <sheet name="HARMONY EMBALAGENS 1231 P" sheetId="168" r:id="rId7"/>
    <sheet name="RM Embalagens P" sheetId="166" r:id="rId8"/>
    <sheet name="PCBOX EMBALAGENS LTDA 1222 P" sheetId="164" r:id="rId9"/>
    <sheet name="FORBOX 1220" sheetId="163" r:id="rId10"/>
    <sheet name="HARMONY EMBALAGENS 1217 P" sheetId="162" r:id="rId11"/>
    <sheet name="Z4A EMBALAGENS LTDA 1216" sheetId="161" r:id="rId12"/>
    <sheet name="ABAPEL 1213" sheetId="159" r:id="rId13"/>
    <sheet name="IPE - PCBOX 1212 P" sheetId="158" r:id="rId14"/>
    <sheet name="Z4A EMBALAGENS LTDA 1210 P" sheetId="157" r:id="rId15"/>
    <sheet name="RM Embalagens 1209 P" sheetId="156" r:id="rId16"/>
    <sheet name="ABAPEL 1201 P" sheetId="153" r:id="rId17"/>
    <sheet name="HARMONY EMBALAGENS 1200 P" sheetId="152" r:id="rId18"/>
    <sheet name="FAVINCO EMBALAGENS 1197 P" sheetId="150" r:id="rId19"/>
    <sheet name="ABAPEL 1196 P" sheetId="149" r:id="rId20"/>
    <sheet name="RM Embalagens 1184 P" sheetId="141" r:id="rId21"/>
    <sheet name="HARMONY EMBALAGENS 1180 P" sheetId="137" r:id="rId22"/>
    <sheet name="Carpel 1158 P" sheetId="119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8" i="159" l="1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<sst xmlns="http://schemas.openxmlformats.org/spreadsheetml/2006/main" count="4626" uniqueCount="491">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</sst>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0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07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6" fillId="0" borderId="0" xfId="1" applyFont="1"/>
    <xf numFmtId="0" fontId="17" fillId="0" borderId="0" xfId="3" applyFont="1" applyAlignment="1">
      <alignment horizontal="center" vertical="center"/>
    </xf>
    <xf numFmtId="0" fontId="6" fillId="0" borderId="0" xfId="3" applyFont="1"/>
    <xf numFmtId="0" fontId="17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dimension ref="A1:AB7"/>
  <sheetViews>
    <sheetView tabSelected="1" workbookViewId="0">
      <selection activeCell="K12" sqref="K12"/>
    </sheetView>
  </sheetViews>
  <sheetFormatPr defaultRowHeight="14.4" x14ac:dyDescent="0.3"/>
  <cols>
    <col min="1" max="1" width="5.109375" style="33" customWidth="1"/>
    <col min="2" max="2" width="20.77734375" style="33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5.5546875" style="33" customWidth="1"/>
    <col min="9" max="9" width="6.5546875" style="33" customWidth="1"/>
    <col min="10" max="10" width="7.109375" style="33" customWidth="1"/>
    <col min="11" max="11" width="17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02" t="s">
        <v>490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126</v>
      </c>
      <c r="C3" s="45" t="s">
        <v>44</v>
      </c>
      <c r="D3" s="45" t="s">
        <v>483</v>
      </c>
      <c r="E3" s="45" t="s">
        <v>27</v>
      </c>
      <c r="F3" s="45">
        <v>262823</v>
      </c>
      <c r="G3" s="45" t="s">
        <v>489</v>
      </c>
      <c r="H3" s="45">
        <v>300</v>
      </c>
      <c r="I3" s="47">
        <v>0.36599999999999999</v>
      </c>
      <c r="J3" s="47">
        <v>1.57</v>
      </c>
      <c r="K3" s="45" t="s">
        <v>488</v>
      </c>
      <c r="L3" s="47">
        <v>172.386</v>
      </c>
      <c r="M3" s="48">
        <v>117.8</v>
      </c>
      <c r="N3" s="49">
        <v>8.2000000000000007E-3</v>
      </c>
      <c r="O3" s="50">
        <v>0.49</v>
      </c>
      <c r="P3" s="45">
        <v>97.9</v>
      </c>
      <c r="Q3" s="45">
        <v>4</v>
      </c>
      <c r="R3" s="45">
        <v>1500</v>
      </c>
      <c r="S3" s="47">
        <v>1.464</v>
      </c>
      <c r="T3" s="45">
        <v>36</v>
      </c>
      <c r="U3" s="49">
        <v>2.4E-2</v>
      </c>
      <c r="V3" s="45" t="s">
        <v>34</v>
      </c>
      <c r="W3" s="45" t="s">
        <v>39</v>
      </c>
      <c r="X3" s="45" t="s">
        <v>34</v>
      </c>
      <c r="Y3" s="45" t="s">
        <v>34</v>
      </c>
      <c r="Z3" s="45" t="s">
        <v>34</v>
      </c>
      <c r="AA3" s="45" t="s">
        <v>38</v>
      </c>
      <c r="AB3" s="45" t="s">
        <v>487</v>
      </c>
    </row>
    <row r="4" spans="1:28" s="51" customFormat="1" ht="25.05" customHeight="1" x14ac:dyDescent="0.3">
      <c r="A4" s="45">
        <v>2</v>
      </c>
      <c r="B4" s="46" t="s">
        <v>126</v>
      </c>
      <c r="C4" s="45" t="s">
        <v>35</v>
      </c>
      <c r="D4" s="45" t="s">
        <v>483</v>
      </c>
      <c r="E4" s="45" t="s">
        <v>27</v>
      </c>
      <c r="F4" s="45">
        <v>262824</v>
      </c>
      <c r="G4" s="45" t="s">
        <v>486</v>
      </c>
      <c r="H4" s="45">
        <v>350</v>
      </c>
      <c r="I4" s="47">
        <v>0.63900000000000001</v>
      </c>
      <c r="J4" s="47">
        <v>1.9019999999999999</v>
      </c>
      <c r="K4" s="45" t="s">
        <v>485</v>
      </c>
      <c r="L4" s="47">
        <v>425.38200000000001</v>
      </c>
      <c r="M4" s="48">
        <v>332.8</v>
      </c>
      <c r="N4" s="49">
        <v>4.6199999999999998E-2</v>
      </c>
      <c r="O4" s="50">
        <v>2.77</v>
      </c>
      <c r="P4" s="45">
        <v>134</v>
      </c>
      <c r="Q4" s="45">
        <v>2</v>
      </c>
      <c r="R4" s="45">
        <v>1300</v>
      </c>
      <c r="S4" s="47">
        <v>1.278</v>
      </c>
      <c r="T4" s="45">
        <v>22</v>
      </c>
      <c r="U4" s="49">
        <v>1.6899999999999998E-2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484</v>
      </c>
    </row>
    <row r="5" spans="1:28" s="51" customFormat="1" ht="25.05" customHeight="1" x14ac:dyDescent="0.3">
      <c r="A5" s="45">
        <v>3</v>
      </c>
      <c r="B5" s="46" t="s">
        <v>126</v>
      </c>
      <c r="C5" s="45" t="s">
        <v>35</v>
      </c>
      <c r="D5" s="45" t="s">
        <v>483</v>
      </c>
      <c r="E5" s="45" t="s">
        <v>27</v>
      </c>
      <c r="F5" s="45">
        <v>262825</v>
      </c>
      <c r="G5" s="45" t="s">
        <v>482</v>
      </c>
      <c r="H5" s="45">
        <v>1175</v>
      </c>
      <c r="I5" s="47">
        <v>0.49199999999999999</v>
      </c>
      <c r="J5" s="47">
        <v>0.87</v>
      </c>
      <c r="K5" s="45" t="s">
        <v>481</v>
      </c>
      <c r="L5" s="47">
        <v>502.947</v>
      </c>
      <c r="M5" s="48">
        <v>511.1</v>
      </c>
      <c r="N5" s="49">
        <v>7.0999999999999994E-2</v>
      </c>
      <c r="O5" s="50">
        <v>4.26</v>
      </c>
      <c r="P5" s="45">
        <v>158.4</v>
      </c>
      <c r="Q5" s="45">
        <v>2</v>
      </c>
      <c r="R5" s="45">
        <v>1050</v>
      </c>
      <c r="S5" s="47">
        <v>0.98399999999999999</v>
      </c>
      <c r="T5" s="45">
        <v>66</v>
      </c>
      <c r="U5" s="49">
        <v>6.2899999999999998E-2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480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1825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390.3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  <row r="7" spans="1:28" s="51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00" t="s">
        <v>479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405</v>
      </c>
      <c r="C3" s="5" t="s">
        <v>438</v>
      </c>
      <c r="D3" s="5" t="s">
        <v>404</v>
      </c>
      <c r="E3" s="5" t="s">
        <v>27</v>
      </c>
      <c r="F3" s="5">
        <v>262805</v>
      </c>
      <c r="G3" s="5" t="s">
        <v>403</v>
      </c>
      <c r="H3" s="5">
        <v>600</v>
      </c>
      <c r="I3" s="7">
        <v>0.51200000000000001</v>
      </c>
      <c r="J3" s="7">
        <v>1.375</v>
      </c>
      <c r="K3" s="5" t="s">
        <v>439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436</v>
      </c>
      <c r="W3" s="5" t="s">
        <v>41</v>
      </c>
      <c r="X3" s="5" t="s">
        <v>436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405</v>
      </c>
      <c r="C4" s="5" t="s">
        <v>438</v>
      </c>
      <c r="D4" s="5" t="s">
        <v>404</v>
      </c>
      <c r="E4" s="5" t="s">
        <v>27</v>
      </c>
      <c r="F4" s="5">
        <v>262806</v>
      </c>
      <c r="G4" s="5" t="s">
        <v>403</v>
      </c>
      <c r="H4" s="5">
        <v>500</v>
      </c>
      <c r="I4" s="7">
        <v>0.66200000000000003</v>
      </c>
      <c r="J4" s="7">
        <v>1.7150000000000001</v>
      </c>
      <c r="K4" s="5" t="s">
        <v>437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436</v>
      </c>
      <c r="W4" s="5" t="s">
        <v>41</v>
      </c>
      <c r="X4" s="5" t="s">
        <v>436</v>
      </c>
      <c r="Y4" s="5" t="s">
        <v>27</v>
      </c>
      <c r="Z4" s="5" t="s">
        <v>27</v>
      </c>
      <c r="AA4" s="5" t="s">
        <v>32</v>
      </c>
      <c r="AB4" s="5" t="s">
        <v>435</v>
      </c>
    </row>
    <row r="5" spans="1:28" s="12" customFormat="1" ht="25.05" customHeight="1" x14ac:dyDescent="0.3">
      <c r="A5" s="5">
        <v>3</v>
      </c>
      <c r="B5" s="10" t="s">
        <v>405</v>
      </c>
      <c r="C5" s="5" t="s">
        <v>81</v>
      </c>
      <c r="D5" s="5" t="s">
        <v>404</v>
      </c>
      <c r="E5" s="5" t="s">
        <v>27</v>
      </c>
      <c r="F5" s="5">
        <v>262813</v>
      </c>
      <c r="G5" s="5" t="s">
        <v>403</v>
      </c>
      <c r="H5" s="5">
        <v>300</v>
      </c>
      <c r="I5" s="7">
        <v>0.36299999999999999</v>
      </c>
      <c r="J5" s="7">
        <v>0.95499999999999996</v>
      </c>
      <c r="K5" s="5" t="s">
        <v>434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433</v>
      </c>
    </row>
    <row r="6" spans="1:28" s="12" customFormat="1" ht="25.05" customHeight="1" x14ac:dyDescent="0.3">
      <c r="A6" s="5">
        <v>4</v>
      </c>
      <c r="B6" s="10" t="s">
        <v>405</v>
      </c>
      <c r="C6" s="5" t="s">
        <v>81</v>
      </c>
      <c r="D6" s="5" t="s">
        <v>404</v>
      </c>
      <c r="E6" s="5" t="s">
        <v>27</v>
      </c>
      <c r="F6" s="5">
        <v>262807</v>
      </c>
      <c r="G6" s="5" t="s">
        <v>403</v>
      </c>
      <c r="H6" s="5">
        <v>400</v>
      </c>
      <c r="I6" s="7">
        <v>0.48199999999999998</v>
      </c>
      <c r="J6" s="7">
        <v>1.095</v>
      </c>
      <c r="K6" s="5" t="s">
        <v>432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431</v>
      </c>
    </row>
    <row r="7" spans="1:28" s="12" customFormat="1" ht="25.05" customHeight="1" x14ac:dyDescent="0.3">
      <c r="A7" s="5">
        <v>5</v>
      </c>
      <c r="B7" s="10" t="s">
        <v>405</v>
      </c>
      <c r="C7" s="5" t="s">
        <v>81</v>
      </c>
      <c r="D7" s="5" t="s">
        <v>404</v>
      </c>
      <c r="E7" s="5" t="s">
        <v>27</v>
      </c>
      <c r="F7" s="5">
        <v>262819</v>
      </c>
      <c r="G7" s="5" t="s">
        <v>403</v>
      </c>
      <c r="H7" s="5">
        <v>1000</v>
      </c>
      <c r="I7" s="7">
        <v>0.35199999999999998</v>
      </c>
      <c r="J7" s="7">
        <v>0.95499999999999996</v>
      </c>
      <c r="K7" s="5" t="s">
        <v>430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429</v>
      </c>
    </row>
    <row r="8" spans="1:28" s="12" customFormat="1" ht="25.05" customHeight="1" x14ac:dyDescent="0.3">
      <c r="A8" s="5">
        <v>6</v>
      </c>
      <c r="B8" s="10" t="s">
        <v>405</v>
      </c>
      <c r="C8" s="5" t="s">
        <v>81</v>
      </c>
      <c r="D8" s="5" t="s">
        <v>404</v>
      </c>
      <c r="E8" s="5" t="s">
        <v>27</v>
      </c>
      <c r="F8" s="5">
        <v>262815</v>
      </c>
      <c r="G8" s="5" t="s">
        <v>403</v>
      </c>
      <c r="H8" s="5">
        <v>1000</v>
      </c>
      <c r="I8" s="7">
        <v>0.34799999999999998</v>
      </c>
      <c r="J8" s="7">
        <v>0.88500000000000001</v>
      </c>
      <c r="K8" s="5" t="s">
        <v>428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427</v>
      </c>
    </row>
    <row r="9" spans="1:28" s="12" customFormat="1" ht="25.05" customHeight="1" x14ac:dyDescent="0.3">
      <c r="A9" s="5">
        <v>7</v>
      </c>
      <c r="B9" s="10" t="s">
        <v>405</v>
      </c>
      <c r="C9" s="5" t="s">
        <v>81</v>
      </c>
      <c r="D9" s="5" t="s">
        <v>404</v>
      </c>
      <c r="E9" s="5" t="s">
        <v>27</v>
      </c>
      <c r="F9" s="5">
        <v>262816</v>
      </c>
      <c r="G9" s="5" t="s">
        <v>403</v>
      </c>
      <c r="H9" s="5">
        <v>1000</v>
      </c>
      <c r="I9" s="7">
        <v>0.33300000000000002</v>
      </c>
      <c r="J9" s="7">
        <v>0.875</v>
      </c>
      <c r="K9" s="5" t="s">
        <v>426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425</v>
      </c>
    </row>
    <row r="10" spans="1:28" s="12" customFormat="1" ht="25.05" customHeight="1" x14ac:dyDescent="0.3">
      <c r="A10" s="5">
        <v>8</v>
      </c>
      <c r="B10" s="10" t="s">
        <v>405</v>
      </c>
      <c r="C10" s="5" t="s">
        <v>81</v>
      </c>
      <c r="D10" s="5" t="s">
        <v>404</v>
      </c>
      <c r="E10" s="5" t="s">
        <v>27</v>
      </c>
      <c r="F10" s="5">
        <v>262814</v>
      </c>
      <c r="G10" s="5" t="s">
        <v>403</v>
      </c>
      <c r="H10" s="5">
        <v>2300</v>
      </c>
      <c r="I10" s="7">
        <v>0.432</v>
      </c>
      <c r="J10" s="7">
        <v>1.0489999999999999</v>
      </c>
      <c r="K10" s="5" t="s">
        <v>424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423</v>
      </c>
    </row>
    <row r="11" spans="1:28" s="12" customFormat="1" ht="25.05" customHeight="1" x14ac:dyDescent="0.3">
      <c r="A11" s="5">
        <v>9</v>
      </c>
      <c r="B11" s="10" t="s">
        <v>405</v>
      </c>
      <c r="C11" s="5" t="s">
        <v>81</v>
      </c>
      <c r="D11" s="5" t="s">
        <v>404</v>
      </c>
      <c r="E11" s="5" t="s">
        <v>27</v>
      </c>
      <c r="F11" s="5">
        <v>262809</v>
      </c>
      <c r="G11" s="5" t="s">
        <v>403</v>
      </c>
      <c r="H11" s="5">
        <v>300</v>
      </c>
      <c r="I11" s="7">
        <v>0.32200000000000001</v>
      </c>
      <c r="J11" s="7">
        <v>1.145</v>
      </c>
      <c r="K11" s="5" t="s">
        <v>422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421</v>
      </c>
    </row>
    <row r="12" spans="1:28" s="12" customFormat="1" ht="25.05" customHeight="1" x14ac:dyDescent="0.3">
      <c r="A12" s="5">
        <v>10</v>
      </c>
      <c r="B12" s="10" t="s">
        <v>405</v>
      </c>
      <c r="C12" s="5" t="s">
        <v>81</v>
      </c>
      <c r="D12" s="5" t="s">
        <v>404</v>
      </c>
      <c r="E12" s="5" t="s">
        <v>27</v>
      </c>
      <c r="F12" s="5">
        <v>262818</v>
      </c>
      <c r="G12" s="5" t="s">
        <v>403</v>
      </c>
      <c r="H12" s="5">
        <v>1000</v>
      </c>
      <c r="I12" s="7">
        <v>0.32300000000000001</v>
      </c>
      <c r="J12" s="7">
        <v>0.76500000000000001</v>
      </c>
      <c r="K12" s="5" t="s">
        <v>420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419</v>
      </c>
    </row>
    <row r="13" spans="1:28" s="12" customFormat="1" ht="25.05" customHeight="1" x14ac:dyDescent="0.3">
      <c r="A13" s="5">
        <v>11</v>
      </c>
      <c r="B13" s="10" t="s">
        <v>405</v>
      </c>
      <c r="C13" s="5" t="s">
        <v>81</v>
      </c>
      <c r="D13" s="5" t="s">
        <v>404</v>
      </c>
      <c r="E13" s="5" t="s">
        <v>27</v>
      </c>
      <c r="F13" s="5">
        <v>262810</v>
      </c>
      <c r="G13" s="5" t="s">
        <v>403</v>
      </c>
      <c r="H13" s="5">
        <v>300</v>
      </c>
      <c r="I13" s="7">
        <v>0.41699999999999998</v>
      </c>
      <c r="J13" s="7">
        <v>1.3149999999999999</v>
      </c>
      <c r="K13" s="5" t="s">
        <v>418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417</v>
      </c>
    </row>
    <row r="14" spans="1:28" s="12" customFormat="1" ht="25.05" customHeight="1" x14ac:dyDescent="0.3">
      <c r="A14" s="5">
        <v>12</v>
      </c>
      <c r="B14" s="10" t="s">
        <v>405</v>
      </c>
      <c r="C14" s="5" t="s">
        <v>81</v>
      </c>
      <c r="D14" s="5" t="s">
        <v>404</v>
      </c>
      <c r="E14" s="5" t="s">
        <v>27</v>
      </c>
      <c r="F14" s="5">
        <v>262812</v>
      </c>
      <c r="G14" s="5" t="s">
        <v>403</v>
      </c>
      <c r="H14" s="5">
        <v>300</v>
      </c>
      <c r="I14" s="7">
        <v>0.42299999999999999</v>
      </c>
      <c r="J14" s="7">
        <v>1.4350000000000001</v>
      </c>
      <c r="K14" s="5" t="s">
        <v>416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415</v>
      </c>
    </row>
    <row r="15" spans="1:28" s="12" customFormat="1" ht="25.05" customHeight="1" x14ac:dyDescent="0.3">
      <c r="A15" s="5">
        <v>13</v>
      </c>
      <c r="B15" s="10" t="s">
        <v>405</v>
      </c>
      <c r="C15" s="5" t="s">
        <v>81</v>
      </c>
      <c r="D15" s="5" t="s">
        <v>404</v>
      </c>
      <c r="E15" s="5" t="s">
        <v>27</v>
      </c>
      <c r="F15" s="5">
        <v>262820</v>
      </c>
      <c r="G15" s="5" t="s">
        <v>403</v>
      </c>
      <c r="H15" s="5">
        <v>1000</v>
      </c>
      <c r="I15" s="7">
        <v>0.311</v>
      </c>
      <c r="J15" s="7">
        <v>0.98699999999999999</v>
      </c>
      <c r="K15" s="5" t="s">
        <v>414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413</v>
      </c>
    </row>
    <row r="16" spans="1:28" s="12" customFormat="1" ht="25.05" customHeight="1" x14ac:dyDescent="0.3">
      <c r="A16" s="5">
        <v>14</v>
      </c>
      <c r="B16" s="10" t="s">
        <v>405</v>
      </c>
      <c r="C16" s="5" t="s">
        <v>81</v>
      </c>
      <c r="D16" s="5" t="s">
        <v>404</v>
      </c>
      <c r="E16" s="5" t="s">
        <v>27</v>
      </c>
      <c r="F16" s="5">
        <v>262808</v>
      </c>
      <c r="G16" s="5" t="s">
        <v>403</v>
      </c>
      <c r="H16" s="5">
        <v>300</v>
      </c>
      <c r="I16" s="7">
        <v>0.29799999999999999</v>
      </c>
      <c r="J16" s="7">
        <v>1.0569999999999999</v>
      </c>
      <c r="K16" s="5" t="s">
        <v>412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411</v>
      </c>
    </row>
    <row r="17" spans="1:28" s="12" customFormat="1" ht="25.05" customHeight="1" x14ac:dyDescent="0.3">
      <c r="A17" s="5">
        <v>15</v>
      </c>
      <c r="B17" s="10" t="s">
        <v>405</v>
      </c>
      <c r="C17" s="5" t="s">
        <v>81</v>
      </c>
      <c r="D17" s="5" t="s">
        <v>404</v>
      </c>
      <c r="E17" s="5" t="s">
        <v>27</v>
      </c>
      <c r="F17" s="5">
        <v>262811</v>
      </c>
      <c r="G17" s="5" t="s">
        <v>403</v>
      </c>
      <c r="H17" s="5">
        <v>300</v>
      </c>
      <c r="I17" s="7">
        <v>0.30199999999999999</v>
      </c>
      <c r="J17" s="7">
        <v>1.0349999999999999</v>
      </c>
      <c r="K17" s="5" t="s">
        <v>410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409</v>
      </c>
    </row>
    <row r="18" spans="1:28" s="12" customFormat="1" ht="25.05" customHeight="1" x14ac:dyDescent="0.3">
      <c r="A18" s="5">
        <v>16</v>
      </c>
      <c r="B18" s="10" t="s">
        <v>405</v>
      </c>
      <c r="C18" s="5" t="s">
        <v>81</v>
      </c>
      <c r="D18" s="5" t="s">
        <v>404</v>
      </c>
      <c r="E18" s="5" t="s">
        <v>27</v>
      </c>
      <c r="F18" s="5">
        <v>262817</v>
      </c>
      <c r="G18" s="5" t="s">
        <v>403</v>
      </c>
      <c r="H18" s="5">
        <v>1000</v>
      </c>
      <c r="I18" s="7">
        <v>0.30299999999999999</v>
      </c>
      <c r="J18" s="7">
        <v>0.94499999999999995</v>
      </c>
      <c r="K18" s="5" t="s">
        <v>408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407</v>
      </c>
    </row>
    <row r="19" spans="1:28" s="12" customFormat="1" ht="25.05" customHeight="1" x14ac:dyDescent="0.3">
      <c r="A19" s="5">
        <v>17</v>
      </c>
      <c r="B19" s="10" t="s">
        <v>405</v>
      </c>
      <c r="C19" s="5" t="s">
        <v>81</v>
      </c>
      <c r="D19" s="5" t="s">
        <v>404</v>
      </c>
      <c r="E19" s="5" t="s">
        <v>27</v>
      </c>
      <c r="F19" s="5">
        <v>262821</v>
      </c>
      <c r="G19" s="5" t="s">
        <v>403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406</v>
      </c>
    </row>
    <row r="20" spans="1:28" s="12" customFormat="1" ht="25.05" customHeight="1" x14ac:dyDescent="0.3">
      <c r="A20" s="5">
        <v>18</v>
      </c>
      <c r="B20" s="10" t="s">
        <v>405</v>
      </c>
      <c r="C20" s="5" t="s">
        <v>81</v>
      </c>
      <c r="D20" s="5" t="s">
        <v>404</v>
      </c>
      <c r="E20" s="5" t="s">
        <v>27</v>
      </c>
      <c r="F20" s="5">
        <v>262822</v>
      </c>
      <c r="G20" s="5" t="s">
        <v>403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402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dimension ref="A1:AB20"/>
  <sheetViews>
    <sheetView topLeftCell="C1" zoomScale="200" zoomScaleNormal="200" workbookViewId="0">
      <selection activeCell="I43" sqref="I43"/>
    </sheetView>
  </sheetViews>
  <sheetFormatPr defaultRowHeight="14.4" x14ac:dyDescent="0.3"/>
  <cols>
    <col min="1" max="1" width="4.5546875" style="33" customWidth="1"/>
    <col min="2" max="2" width="27.218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7.7773437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01" t="s">
        <v>478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5">
        <v>1</v>
      </c>
      <c r="B3" s="46" t="s">
        <v>107</v>
      </c>
      <c r="C3" s="45" t="s">
        <v>49</v>
      </c>
      <c r="D3" s="45" t="s">
        <v>222</v>
      </c>
      <c r="E3" s="45" t="s">
        <v>27</v>
      </c>
      <c r="F3" s="45">
        <v>262792</v>
      </c>
      <c r="G3" s="45" t="s">
        <v>271</v>
      </c>
      <c r="H3" s="45">
        <v>3052</v>
      </c>
      <c r="I3" s="47">
        <v>0.39</v>
      </c>
      <c r="J3" s="47">
        <v>0.71</v>
      </c>
      <c r="K3" s="45" t="s">
        <v>33</v>
      </c>
      <c r="L3" s="47">
        <v>845.09900000000005</v>
      </c>
      <c r="M3" s="48">
        <v>541.70000000000005</v>
      </c>
      <c r="N3" s="49">
        <v>3.7600000000000001E-2</v>
      </c>
      <c r="O3" s="50">
        <v>2.2599999999999998</v>
      </c>
      <c r="P3" s="45">
        <v>300</v>
      </c>
      <c r="Q3" s="45">
        <v>4</v>
      </c>
      <c r="R3" s="45">
        <v>1600</v>
      </c>
      <c r="S3" s="47">
        <v>1.56</v>
      </c>
      <c r="T3" s="45">
        <v>40</v>
      </c>
      <c r="U3" s="49">
        <v>2.5000000000000001E-2</v>
      </c>
      <c r="V3" s="45" t="s">
        <v>29</v>
      </c>
      <c r="W3" s="45" t="s">
        <v>28</v>
      </c>
      <c r="X3" s="45" t="s">
        <v>29</v>
      </c>
      <c r="Y3" s="45" t="s">
        <v>27</v>
      </c>
      <c r="Z3" s="45" t="s">
        <v>27</v>
      </c>
      <c r="AA3" s="45" t="s">
        <v>38</v>
      </c>
      <c r="AB3" s="45" t="s">
        <v>108</v>
      </c>
    </row>
    <row r="4" spans="1:28" x14ac:dyDescent="0.3">
      <c r="A4" s="45">
        <v>2</v>
      </c>
      <c r="B4" s="46" t="s">
        <v>472</v>
      </c>
      <c r="C4" s="45" t="s">
        <v>35</v>
      </c>
      <c r="D4" s="45" t="s">
        <v>466</v>
      </c>
      <c r="E4" s="45" t="s">
        <v>27</v>
      </c>
      <c r="F4" s="45">
        <v>262800</v>
      </c>
      <c r="G4" s="45" t="s">
        <v>471</v>
      </c>
      <c r="H4" s="45">
        <v>600</v>
      </c>
      <c r="I4" s="47">
        <v>0.495</v>
      </c>
      <c r="J4" s="47">
        <v>0.97</v>
      </c>
      <c r="K4" s="45" t="s">
        <v>33</v>
      </c>
      <c r="L4" s="47">
        <v>288.08999999999997</v>
      </c>
      <c r="M4" s="48">
        <v>194</v>
      </c>
      <c r="N4" s="49">
        <v>1.7999999999999999E-2</v>
      </c>
      <c r="O4" s="50">
        <v>1.08</v>
      </c>
      <c r="P4" s="45">
        <v>90.7</v>
      </c>
      <c r="Q4" s="45">
        <v>3</v>
      </c>
      <c r="R4" s="45">
        <v>1550</v>
      </c>
      <c r="S4" s="47">
        <v>1.4850000000000001</v>
      </c>
      <c r="T4" s="45">
        <v>65</v>
      </c>
      <c r="U4" s="49">
        <v>4.19E-2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477</v>
      </c>
    </row>
    <row r="5" spans="1:28" x14ac:dyDescent="0.3">
      <c r="A5" s="45">
        <v>3</v>
      </c>
      <c r="B5" s="46" t="s">
        <v>107</v>
      </c>
      <c r="C5" s="45" t="s">
        <v>55</v>
      </c>
      <c r="D5" s="45" t="s">
        <v>222</v>
      </c>
      <c r="E5" s="45" t="s">
        <v>27</v>
      </c>
      <c r="F5" s="45">
        <v>262790</v>
      </c>
      <c r="G5" s="45" t="s">
        <v>271</v>
      </c>
      <c r="H5" s="45">
        <v>2740</v>
      </c>
      <c r="I5" s="47">
        <v>0.48</v>
      </c>
      <c r="J5" s="47">
        <v>1.25</v>
      </c>
      <c r="K5" s="45" t="s">
        <v>33</v>
      </c>
      <c r="L5" s="47">
        <v>1644</v>
      </c>
      <c r="M5" s="48">
        <v>1141.7</v>
      </c>
      <c r="N5" s="49">
        <v>0.1057</v>
      </c>
      <c r="O5" s="50">
        <v>6.34</v>
      </c>
      <c r="P5" s="45">
        <v>600.1</v>
      </c>
      <c r="Q5" s="45">
        <v>3</v>
      </c>
      <c r="R5" s="45">
        <v>1500</v>
      </c>
      <c r="S5" s="47">
        <v>1.44</v>
      </c>
      <c r="T5" s="45">
        <v>60</v>
      </c>
      <c r="U5" s="49">
        <v>0.04</v>
      </c>
      <c r="V5" s="45" t="s">
        <v>37</v>
      </c>
      <c r="W5" s="45" t="s">
        <v>29</v>
      </c>
      <c r="X5" s="45" t="s">
        <v>34</v>
      </c>
      <c r="Y5" s="45" t="s">
        <v>27</v>
      </c>
      <c r="Z5" s="45" t="s">
        <v>27</v>
      </c>
      <c r="AA5" s="45" t="s">
        <v>31</v>
      </c>
      <c r="AB5" s="45" t="s">
        <v>239</v>
      </c>
    </row>
    <row r="6" spans="1:28" x14ac:dyDescent="0.3">
      <c r="A6" s="45">
        <v>4</v>
      </c>
      <c r="B6" s="46" t="s">
        <v>467</v>
      </c>
      <c r="C6" s="45" t="s">
        <v>35</v>
      </c>
      <c r="D6" s="45" t="s">
        <v>466</v>
      </c>
      <c r="E6" s="45" t="s">
        <v>27</v>
      </c>
      <c r="F6" s="45">
        <v>262802</v>
      </c>
      <c r="G6" s="45" t="s">
        <v>465</v>
      </c>
      <c r="H6" s="45">
        <v>2000</v>
      </c>
      <c r="I6" s="47">
        <v>0.35</v>
      </c>
      <c r="J6" s="47">
        <v>0.7</v>
      </c>
      <c r="K6" s="45" t="s">
        <v>33</v>
      </c>
      <c r="L6" s="47">
        <v>490</v>
      </c>
      <c r="M6" s="48">
        <v>350</v>
      </c>
      <c r="N6" s="49">
        <v>2.4299999999999999E-2</v>
      </c>
      <c r="O6" s="50">
        <v>1.46</v>
      </c>
      <c r="P6" s="45">
        <v>154.30000000000001</v>
      </c>
      <c r="Q6" s="45">
        <v>4</v>
      </c>
      <c r="R6" s="45">
        <v>1450</v>
      </c>
      <c r="S6" s="47">
        <v>1.4</v>
      </c>
      <c r="T6" s="45">
        <v>50</v>
      </c>
      <c r="U6" s="49">
        <v>3.4500000000000003E-2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476</v>
      </c>
    </row>
    <row r="7" spans="1:28" x14ac:dyDescent="0.3">
      <c r="A7" s="45">
        <v>5</v>
      </c>
      <c r="B7" s="46" t="s">
        <v>463</v>
      </c>
      <c r="C7" s="45" t="s">
        <v>35</v>
      </c>
      <c r="D7" s="45" t="s">
        <v>404</v>
      </c>
      <c r="E7" s="45" t="s">
        <v>27</v>
      </c>
      <c r="F7" s="45">
        <v>262794</v>
      </c>
      <c r="G7" s="45" t="s">
        <v>462</v>
      </c>
      <c r="H7" s="45">
        <v>5000</v>
      </c>
      <c r="I7" s="47">
        <v>0.46</v>
      </c>
      <c r="J7" s="47">
        <v>0.92</v>
      </c>
      <c r="K7" s="45" t="s">
        <v>33</v>
      </c>
      <c r="L7" s="47">
        <v>2116</v>
      </c>
      <c r="M7" s="48">
        <v>1533.3</v>
      </c>
      <c r="N7" s="49">
        <v>0.14199999999999999</v>
      </c>
      <c r="O7" s="50">
        <v>8.52</v>
      </c>
      <c r="P7" s="45">
        <v>666.5</v>
      </c>
      <c r="Q7" s="45">
        <v>3</v>
      </c>
      <c r="R7" s="45">
        <v>1400</v>
      </c>
      <c r="S7" s="47">
        <v>1.38</v>
      </c>
      <c r="T7" s="45">
        <v>20</v>
      </c>
      <c r="U7" s="49">
        <v>1.43E-2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31</v>
      </c>
      <c r="AB7" s="45" t="s">
        <v>475</v>
      </c>
    </row>
    <row r="8" spans="1:28" x14ac:dyDescent="0.3">
      <c r="A8" s="45">
        <v>6</v>
      </c>
      <c r="B8" s="46" t="s">
        <v>467</v>
      </c>
      <c r="C8" s="45" t="s">
        <v>35</v>
      </c>
      <c r="D8" s="45" t="s">
        <v>466</v>
      </c>
      <c r="E8" s="45" t="s">
        <v>27</v>
      </c>
      <c r="F8" s="45">
        <v>262804</v>
      </c>
      <c r="G8" s="45" t="s">
        <v>465</v>
      </c>
      <c r="H8" s="45">
        <v>2000</v>
      </c>
      <c r="I8" s="47">
        <v>0.46</v>
      </c>
      <c r="J8" s="47">
        <v>0.9</v>
      </c>
      <c r="K8" s="45" t="s">
        <v>33</v>
      </c>
      <c r="L8" s="47">
        <v>828</v>
      </c>
      <c r="M8" s="48">
        <v>600</v>
      </c>
      <c r="N8" s="49">
        <v>5.5599999999999997E-2</v>
      </c>
      <c r="O8" s="50">
        <v>3.33</v>
      </c>
      <c r="P8" s="45">
        <v>260.8</v>
      </c>
      <c r="Q8" s="45">
        <v>3</v>
      </c>
      <c r="R8" s="45">
        <v>1400</v>
      </c>
      <c r="S8" s="47">
        <v>1.38</v>
      </c>
      <c r="T8" s="45">
        <v>20</v>
      </c>
      <c r="U8" s="49">
        <v>1.43E-2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32</v>
      </c>
      <c r="AB8" s="45" t="s">
        <v>79</v>
      </c>
    </row>
    <row r="9" spans="1:28" x14ac:dyDescent="0.3">
      <c r="A9" s="45">
        <v>7</v>
      </c>
      <c r="B9" s="46" t="s">
        <v>472</v>
      </c>
      <c r="C9" s="45" t="s">
        <v>35</v>
      </c>
      <c r="D9" s="45" t="s">
        <v>466</v>
      </c>
      <c r="E9" s="45" t="s">
        <v>27</v>
      </c>
      <c r="F9" s="45">
        <v>262799</v>
      </c>
      <c r="G9" s="45" t="s">
        <v>471</v>
      </c>
      <c r="H9" s="45">
        <v>600</v>
      </c>
      <c r="I9" s="47">
        <v>0.44500000000000001</v>
      </c>
      <c r="J9" s="47">
        <v>0.87</v>
      </c>
      <c r="K9" s="45" t="s">
        <v>33</v>
      </c>
      <c r="L9" s="47">
        <v>232.29</v>
      </c>
      <c r="M9" s="48">
        <v>174</v>
      </c>
      <c r="N9" s="49">
        <v>1.61E-2</v>
      </c>
      <c r="O9" s="50">
        <v>0.97</v>
      </c>
      <c r="P9" s="45">
        <v>73.2</v>
      </c>
      <c r="Q9" s="45">
        <v>3</v>
      </c>
      <c r="R9" s="45">
        <v>1400</v>
      </c>
      <c r="S9" s="47">
        <v>1.335</v>
      </c>
      <c r="T9" s="45">
        <v>65</v>
      </c>
      <c r="U9" s="49">
        <v>4.6399999999999997E-2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474</v>
      </c>
    </row>
    <row r="10" spans="1:28" x14ac:dyDescent="0.3">
      <c r="A10" s="45">
        <v>8</v>
      </c>
      <c r="B10" s="46" t="s">
        <v>463</v>
      </c>
      <c r="C10" s="45" t="s">
        <v>35</v>
      </c>
      <c r="D10" s="45" t="s">
        <v>404</v>
      </c>
      <c r="E10" s="45" t="s">
        <v>27</v>
      </c>
      <c r="F10" s="45">
        <v>262795</v>
      </c>
      <c r="G10" s="45" t="s">
        <v>462</v>
      </c>
      <c r="H10" s="45">
        <v>1000</v>
      </c>
      <c r="I10" s="47">
        <v>0.66</v>
      </c>
      <c r="J10" s="47">
        <v>0.82</v>
      </c>
      <c r="K10" s="45" t="s">
        <v>33</v>
      </c>
      <c r="L10" s="47">
        <v>541.20000000000005</v>
      </c>
      <c r="M10" s="48">
        <v>410</v>
      </c>
      <c r="N10" s="49">
        <v>5.6899999999999999E-2</v>
      </c>
      <c r="O10" s="50">
        <v>3.42</v>
      </c>
      <c r="P10" s="45">
        <v>170.5</v>
      </c>
      <c r="Q10" s="45">
        <v>2</v>
      </c>
      <c r="R10" s="45">
        <v>1350</v>
      </c>
      <c r="S10" s="47">
        <v>1.32</v>
      </c>
      <c r="T10" s="45">
        <v>30</v>
      </c>
      <c r="U10" s="49">
        <v>2.2200000000000001E-2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473</v>
      </c>
    </row>
    <row r="11" spans="1:28" x14ac:dyDescent="0.3">
      <c r="A11" s="45">
        <v>9</v>
      </c>
      <c r="B11" s="46" t="s">
        <v>107</v>
      </c>
      <c r="C11" s="45" t="s">
        <v>55</v>
      </c>
      <c r="D11" s="45" t="s">
        <v>222</v>
      </c>
      <c r="E11" s="45" t="s">
        <v>27</v>
      </c>
      <c r="F11" s="45">
        <v>262789</v>
      </c>
      <c r="G11" s="45" t="s">
        <v>271</v>
      </c>
      <c r="H11" s="45">
        <v>1662</v>
      </c>
      <c r="I11" s="47">
        <v>0.43</v>
      </c>
      <c r="J11" s="47">
        <v>1.1499999999999999</v>
      </c>
      <c r="K11" s="45" t="s">
        <v>33</v>
      </c>
      <c r="L11" s="47">
        <v>821.85900000000004</v>
      </c>
      <c r="M11" s="48">
        <v>637.1</v>
      </c>
      <c r="N11" s="49">
        <v>5.8999999999999997E-2</v>
      </c>
      <c r="O11" s="50">
        <v>3.54</v>
      </c>
      <c r="P11" s="45">
        <v>300</v>
      </c>
      <c r="Q11" s="45">
        <v>3</v>
      </c>
      <c r="R11" s="45">
        <v>1350</v>
      </c>
      <c r="S11" s="47">
        <v>1.29</v>
      </c>
      <c r="T11" s="45">
        <v>60</v>
      </c>
      <c r="U11" s="49">
        <v>4.4400000000000002E-2</v>
      </c>
      <c r="V11" s="45" t="s">
        <v>37</v>
      </c>
      <c r="W11" s="45" t="s">
        <v>29</v>
      </c>
      <c r="X11" s="45" t="s">
        <v>34</v>
      </c>
      <c r="Y11" s="45" t="s">
        <v>27</v>
      </c>
      <c r="Z11" s="45" t="s">
        <v>27</v>
      </c>
      <c r="AA11" s="45" t="s">
        <v>32</v>
      </c>
      <c r="AB11" s="45" t="s">
        <v>238</v>
      </c>
    </row>
    <row r="12" spans="1:28" x14ac:dyDescent="0.3">
      <c r="A12" s="45">
        <v>10</v>
      </c>
      <c r="B12" s="46" t="s">
        <v>472</v>
      </c>
      <c r="C12" s="45" t="s">
        <v>35</v>
      </c>
      <c r="D12" s="45" t="s">
        <v>466</v>
      </c>
      <c r="E12" s="45" t="s">
        <v>27</v>
      </c>
      <c r="F12" s="45">
        <v>262798</v>
      </c>
      <c r="G12" s="45" t="s">
        <v>471</v>
      </c>
      <c r="H12" s="45">
        <v>300</v>
      </c>
      <c r="I12" s="47">
        <v>0.42</v>
      </c>
      <c r="J12" s="47">
        <v>0.82</v>
      </c>
      <c r="K12" s="45" t="s">
        <v>33</v>
      </c>
      <c r="L12" s="47">
        <v>103.32</v>
      </c>
      <c r="M12" s="48">
        <v>82</v>
      </c>
      <c r="N12" s="49">
        <v>7.6E-3</v>
      </c>
      <c r="O12" s="50">
        <v>0.46</v>
      </c>
      <c r="P12" s="45">
        <v>32.5</v>
      </c>
      <c r="Q12" s="45">
        <v>3</v>
      </c>
      <c r="R12" s="45">
        <v>1300</v>
      </c>
      <c r="S12" s="47">
        <v>1.26</v>
      </c>
      <c r="T12" s="45">
        <v>40</v>
      </c>
      <c r="U12" s="49">
        <v>3.0800000000000001E-2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470</v>
      </c>
    </row>
    <row r="13" spans="1:28" x14ac:dyDescent="0.3">
      <c r="A13" s="45">
        <v>11</v>
      </c>
      <c r="B13" s="46" t="s">
        <v>467</v>
      </c>
      <c r="C13" s="45" t="s">
        <v>35</v>
      </c>
      <c r="D13" s="45" t="s">
        <v>466</v>
      </c>
      <c r="E13" s="45" t="s">
        <v>27</v>
      </c>
      <c r="F13" s="45">
        <v>262803</v>
      </c>
      <c r="G13" s="45" t="s">
        <v>465</v>
      </c>
      <c r="H13" s="45">
        <v>2000</v>
      </c>
      <c r="I13" s="47">
        <v>0.4</v>
      </c>
      <c r="J13" s="47">
        <v>0.8</v>
      </c>
      <c r="K13" s="45" t="s">
        <v>33</v>
      </c>
      <c r="L13" s="47">
        <v>640</v>
      </c>
      <c r="M13" s="48">
        <v>533.29999999999995</v>
      </c>
      <c r="N13" s="49">
        <v>4.9399999999999999E-2</v>
      </c>
      <c r="O13" s="50">
        <v>2.96</v>
      </c>
      <c r="P13" s="45">
        <v>201.6</v>
      </c>
      <c r="Q13" s="45">
        <v>3</v>
      </c>
      <c r="R13" s="45">
        <v>1250</v>
      </c>
      <c r="S13" s="47">
        <v>1.2</v>
      </c>
      <c r="T13" s="45">
        <v>50</v>
      </c>
      <c r="U13" s="49">
        <v>0.04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469</v>
      </c>
    </row>
    <row r="14" spans="1:28" x14ac:dyDescent="0.3">
      <c r="A14" s="45">
        <v>12</v>
      </c>
      <c r="B14" s="46" t="s">
        <v>463</v>
      </c>
      <c r="C14" s="45" t="s">
        <v>35</v>
      </c>
      <c r="D14" s="45" t="s">
        <v>404</v>
      </c>
      <c r="E14" s="45" t="s">
        <v>27</v>
      </c>
      <c r="F14" s="45">
        <v>262797</v>
      </c>
      <c r="G14" s="45" t="s">
        <v>462</v>
      </c>
      <c r="H14" s="45">
        <v>500</v>
      </c>
      <c r="I14" s="47">
        <v>0.59</v>
      </c>
      <c r="J14" s="47">
        <v>0.88</v>
      </c>
      <c r="K14" s="45" t="s">
        <v>33</v>
      </c>
      <c r="L14" s="47">
        <v>259.60000000000002</v>
      </c>
      <c r="M14" s="48">
        <v>220</v>
      </c>
      <c r="N14" s="49">
        <v>3.0599999999999999E-2</v>
      </c>
      <c r="O14" s="50">
        <v>1.83</v>
      </c>
      <c r="P14" s="45">
        <v>81.8</v>
      </c>
      <c r="Q14" s="45">
        <v>2</v>
      </c>
      <c r="R14" s="45">
        <v>1200</v>
      </c>
      <c r="S14" s="47">
        <v>1.18</v>
      </c>
      <c r="T14" s="45">
        <v>20</v>
      </c>
      <c r="U14" s="49">
        <v>1.67E-2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468</v>
      </c>
    </row>
    <row r="15" spans="1:28" x14ac:dyDescent="0.3">
      <c r="A15" s="45">
        <v>13</v>
      </c>
      <c r="B15" s="46" t="s">
        <v>467</v>
      </c>
      <c r="C15" s="45" t="s">
        <v>35</v>
      </c>
      <c r="D15" s="45" t="s">
        <v>466</v>
      </c>
      <c r="E15" s="45" t="s">
        <v>27</v>
      </c>
      <c r="F15" s="45">
        <v>262801</v>
      </c>
      <c r="G15" s="45" t="s">
        <v>465</v>
      </c>
      <c r="H15" s="45">
        <v>1000</v>
      </c>
      <c r="I15" s="47">
        <v>0.59</v>
      </c>
      <c r="J15" s="47">
        <v>1.5</v>
      </c>
      <c r="K15" s="45" t="s">
        <v>33</v>
      </c>
      <c r="L15" s="47">
        <v>885</v>
      </c>
      <c r="M15" s="48">
        <v>750</v>
      </c>
      <c r="N15" s="49">
        <v>0.1042</v>
      </c>
      <c r="O15" s="50">
        <v>6.25</v>
      </c>
      <c r="P15" s="45">
        <v>278.8</v>
      </c>
      <c r="Q15" s="45">
        <v>2</v>
      </c>
      <c r="R15" s="45">
        <v>1200</v>
      </c>
      <c r="S15" s="47">
        <v>1.18</v>
      </c>
      <c r="T15" s="45">
        <v>20</v>
      </c>
      <c r="U15" s="49">
        <v>1.67E-2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464</v>
      </c>
    </row>
    <row r="16" spans="1:28" x14ac:dyDescent="0.3">
      <c r="A16" s="45">
        <v>14</v>
      </c>
      <c r="B16" s="46" t="s">
        <v>463</v>
      </c>
      <c r="C16" s="45" t="s">
        <v>35</v>
      </c>
      <c r="D16" s="45" t="s">
        <v>404</v>
      </c>
      <c r="E16" s="45" t="s">
        <v>27</v>
      </c>
      <c r="F16" s="45">
        <v>262796</v>
      </c>
      <c r="G16" s="45" t="s">
        <v>462</v>
      </c>
      <c r="H16" s="45">
        <v>1000</v>
      </c>
      <c r="I16" s="47">
        <v>0.56000000000000005</v>
      </c>
      <c r="J16" s="47">
        <v>0.62</v>
      </c>
      <c r="K16" s="45" t="s">
        <v>33</v>
      </c>
      <c r="L16" s="47">
        <v>347.2</v>
      </c>
      <c r="M16" s="48">
        <v>310</v>
      </c>
      <c r="N16" s="49">
        <v>4.3099999999999999E-2</v>
      </c>
      <c r="O16" s="50">
        <v>2.58</v>
      </c>
      <c r="P16" s="45">
        <v>109.4</v>
      </c>
      <c r="Q16" s="45">
        <v>2</v>
      </c>
      <c r="R16" s="45">
        <v>1150</v>
      </c>
      <c r="S16" s="47">
        <v>1.1200000000000001</v>
      </c>
      <c r="T16" s="45">
        <v>30</v>
      </c>
      <c r="U16" s="49">
        <v>2.6100000000000002E-2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461</v>
      </c>
    </row>
    <row r="17" spans="1:28" x14ac:dyDescent="0.3">
      <c r="A17" s="45">
        <v>15</v>
      </c>
      <c r="B17" s="46" t="s">
        <v>107</v>
      </c>
      <c r="C17" s="45" t="s">
        <v>49</v>
      </c>
      <c r="D17" s="45" t="s">
        <v>222</v>
      </c>
      <c r="E17" s="45" t="s">
        <v>27</v>
      </c>
      <c r="F17" s="45">
        <v>262793</v>
      </c>
      <c r="G17" s="45" t="s">
        <v>271</v>
      </c>
      <c r="H17" s="45">
        <v>3317</v>
      </c>
      <c r="I17" s="47">
        <v>0.56000000000000005</v>
      </c>
      <c r="J17" s="47">
        <v>0.91</v>
      </c>
      <c r="K17" s="45" t="s">
        <v>33</v>
      </c>
      <c r="L17" s="47">
        <v>1690.3430000000001</v>
      </c>
      <c r="M17" s="48">
        <v>1509.2</v>
      </c>
      <c r="N17" s="49">
        <v>0.20960000000000001</v>
      </c>
      <c r="O17" s="50">
        <v>12.58</v>
      </c>
      <c r="P17" s="45">
        <v>600.1</v>
      </c>
      <c r="Q17" s="45">
        <v>2</v>
      </c>
      <c r="R17" s="45">
        <v>1150</v>
      </c>
      <c r="S17" s="47">
        <v>1.1200000000000001</v>
      </c>
      <c r="T17" s="45">
        <v>30</v>
      </c>
      <c r="U17" s="49">
        <v>2.6100000000000002E-2</v>
      </c>
      <c r="V17" s="45" t="s">
        <v>29</v>
      </c>
      <c r="W17" s="45" t="s">
        <v>28</v>
      </c>
      <c r="X17" s="45" t="s">
        <v>29</v>
      </c>
      <c r="Y17" s="45" t="s">
        <v>27</v>
      </c>
      <c r="Z17" s="45" t="s">
        <v>27</v>
      </c>
      <c r="AA17" s="45" t="s">
        <v>30</v>
      </c>
      <c r="AB17" s="45" t="s">
        <v>106</v>
      </c>
    </row>
    <row r="18" spans="1:28" x14ac:dyDescent="0.3">
      <c r="A18" s="45">
        <v>16</v>
      </c>
      <c r="B18" s="46" t="s">
        <v>107</v>
      </c>
      <c r="C18" s="45" t="s">
        <v>55</v>
      </c>
      <c r="D18" s="45" t="s">
        <v>222</v>
      </c>
      <c r="E18" s="45" t="s">
        <v>27</v>
      </c>
      <c r="F18" s="45">
        <v>262791</v>
      </c>
      <c r="G18" s="45" t="s">
        <v>271</v>
      </c>
      <c r="H18" s="45">
        <v>1140</v>
      </c>
      <c r="I18" s="47">
        <v>0.53</v>
      </c>
      <c r="J18" s="47">
        <v>1.36</v>
      </c>
      <c r="K18" s="45" t="s">
        <v>33</v>
      </c>
      <c r="L18" s="47">
        <v>821.71199999999999</v>
      </c>
      <c r="M18" s="48">
        <v>775.2</v>
      </c>
      <c r="N18" s="49">
        <v>0.1077</v>
      </c>
      <c r="O18" s="50">
        <v>6.46</v>
      </c>
      <c r="P18" s="45">
        <v>299.89999999999998</v>
      </c>
      <c r="Q18" s="45">
        <v>2</v>
      </c>
      <c r="R18" s="45">
        <v>1100</v>
      </c>
      <c r="S18" s="47">
        <v>1.06</v>
      </c>
      <c r="T18" s="45">
        <v>40</v>
      </c>
      <c r="U18" s="49">
        <v>3.6400000000000002E-2</v>
      </c>
      <c r="V18" s="45" t="s">
        <v>37</v>
      </c>
      <c r="W18" s="45" t="s">
        <v>29</v>
      </c>
      <c r="X18" s="45" t="s">
        <v>34</v>
      </c>
      <c r="Y18" s="45" t="s">
        <v>27</v>
      </c>
      <c r="Z18" s="45" t="s">
        <v>27</v>
      </c>
      <c r="AA18" s="45" t="s">
        <v>32</v>
      </c>
      <c r="AB18" s="45" t="s">
        <v>237</v>
      </c>
    </row>
    <row r="19" spans="1:28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v>27911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v>4220.2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  <row r="20" spans="1:28" x14ac:dyDescent="0.3">
      <c r="A20" s="51"/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  <c r="AA20" s="51"/>
      <c r="AB20" s="51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02" t="s">
        <v>459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456</v>
      </c>
      <c r="H3" s="53">
        <v>650</v>
      </c>
      <c r="I3" s="55">
        <v>0.51200000000000001</v>
      </c>
      <c r="J3" s="55">
        <v>1.5620000000000001</v>
      </c>
      <c r="K3" s="53" t="s">
        <v>458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457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452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452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456</v>
      </c>
      <c r="H6" s="53">
        <v>1000</v>
      </c>
      <c r="I6" s="55">
        <v>0.41899999999999998</v>
      </c>
      <c r="J6" s="55">
        <v>1.3879999999999999</v>
      </c>
      <c r="K6" s="53" t="s">
        <v>455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454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452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453</v>
      </c>
    </row>
    <row r="8" spans="1:28" s="59" customFormat="1" x14ac:dyDescent="0.3">
      <c r="A8" s="53">
        <v>6</v>
      </c>
      <c r="B8" s="54" t="s">
        <v>460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452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2"/>
  <sheetViews>
    <sheetView workbookViewId="0">
      <selection activeCell="AD2" sqref="AD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03" t="s">
        <v>396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3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90</v>
      </c>
      <c r="C3" s="41" t="s">
        <v>26</v>
      </c>
      <c r="D3" s="41" t="s">
        <v>380</v>
      </c>
      <c r="E3" s="41" t="s">
        <v>27</v>
      </c>
      <c r="F3" s="41">
        <v>262736</v>
      </c>
      <c r="G3" s="41" t="s">
        <v>389</v>
      </c>
      <c r="H3" s="41">
        <v>150</v>
      </c>
      <c r="I3" s="42">
        <v>1.498</v>
      </c>
      <c r="J3" s="42">
        <v>1.6830000000000001</v>
      </c>
      <c r="K3" s="41" t="s">
        <v>395</v>
      </c>
      <c r="L3" s="38">
        <v>378.17</v>
      </c>
      <c r="M3" s="40">
        <v>252.5</v>
      </c>
      <c r="N3" s="37">
        <v>7.0099999999999996E-2</v>
      </c>
      <c r="O3" s="39">
        <v>4.21</v>
      </c>
      <c r="P3" s="36">
        <v>203.5</v>
      </c>
      <c r="Q3" s="36">
        <v>1</v>
      </c>
      <c r="R3" s="36">
        <v>1550</v>
      </c>
      <c r="S3" s="38">
        <v>1.498</v>
      </c>
      <c r="T3" s="36">
        <v>52</v>
      </c>
      <c r="U3" s="37">
        <v>3.3500000000000002E-2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38</v>
      </c>
      <c r="AB3" s="36" t="s">
        <v>394</v>
      </c>
    </row>
    <row r="4" spans="1:28" x14ac:dyDescent="0.3">
      <c r="A4" s="41">
        <v>2</v>
      </c>
      <c r="B4" s="43" t="s">
        <v>90</v>
      </c>
      <c r="C4" s="41" t="s">
        <v>26</v>
      </c>
      <c r="D4" s="41" t="s">
        <v>380</v>
      </c>
      <c r="E4" s="41" t="s">
        <v>27</v>
      </c>
      <c r="F4" s="41">
        <v>262735</v>
      </c>
      <c r="G4" s="41" t="s">
        <v>389</v>
      </c>
      <c r="H4" s="41">
        <v>150</v>
      </c>
      <c r="I4" s="42">
        <v>1.488</v>
      </c>
      <c r="J4" s="42">
        <v>2.0830000000000002</v>
      </c>
      <c r="K4" s="41" t="s">
        <v>393</v>
      </c>
      <c r="L4" s="38">
        <v>464.92599999999999</v>
      </c>
      <c r="M4" s="40">
        <v>312.5</v>
      </c>
      <c r="N4" s="37">
        <v>8.6800000000000002E-2</v>
      </c>
      <c r="O4" s="39">
        <v>5.21</v>
      </c>
      <c r="P4" s="36">
        <v>250.1</v>
      </c>
      <c r="Q4" s="36">
        <v>1</v>
      </c>
      <c r="R4" s="36">
        <v>1550</v>
      </c>
      <c r="S4" s="38">
        <v>1.488</v>
      </c>
      <c r="T4" s="36">
        <v>62</v>
      </c>
      <c r="U4" s="37">
        <v>0.04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38</v>
      </c>
      <c r="AB4" s="36" t="s">
        <v>392</v>
      </c>
    </row>
    <row r="5" spans="1:28" x14ac:dyDescent="0.3">
      <c r="A5" s="41">
        <v>3</v>
      </c>
      <c r="B5" s="43" t="s">
        <v>90</v>
      </c>
      <c r="C5" s="41" t="s">
        <v>26</v>
      </c>
      <c r="D5" s="41" t="s">
        <v>380</v>
      </c>
      <c r="E5" s="41" t="s">
        <v>27</v>
      </c>
      <c r="F5" s="41">
        <v>262733</v>
      </c>
      <c r="G5" s="41" t="s">
        <v>389</v>
      </c>
      <c r="H5" s="41">
        <v>150</v>
      </c>
      <c r="I5" s="42">
        <v>1.478</v>
      </c>
      <c r="J5" s="42">
        <v>2.0030000000000001</v>
      </c>
      <c r="K5" s="41" t="s">
        <v>391</v>
      </c>
      <c r="L5" s="38">
        <v>444.065</v>
      </c>
      <c r="M5" s="40">
        <v>300.5</v>
      </c>
      <c r="N5" s="37">
        <v>8.3500000000000005E-2</v>
      </c>
      <c r="O5" s="39">
        <v>5.01</v>
      </c>
      <c r="P5" s="36">
        <v>238.9</v>
      </c>
      <c r="Q5" s="36">
        <v>1</v>
      </c>
      <c r="R5" s="36">
        <v>1500</v>
      </c>
      <c r="S5" s="38">
        <v>1.478</v>
      </c>
      <c r="T5" s="36">
        <v>22</v>
      </c>
      <c r="U5" s="37">
        <v>1.47E-2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38</v>
      </c>
      <c r="AB5" s="36" t="s">
        <v>390</v>
      </c>
    </row>
    <row r="6" spans="1:28" x14ac:dyDescent="0.3">
      <c r="A6" s="41">
        <v>4</v>
      </c>
      <c r="B6" s="43" t="s">
        <v>90</v>
      </c>
      <c r="C6" s="41" t="s">
        <v>26</v>
      </c>
      <c r="D6" s="41" t="s">
        <v>380</v>
      </c>
      <c r="E6" s="41" t="s">
        <v>27</v>
      </c>
      <c r="F6" s="41">
        <v>262734</v>
      </c>
      <c r="G6" s="41" t="s">
        <v>389</v>
      </c>
      <c r="H6" s="41">
        <v>150</v>
      </c>
      <c r="I6" s="42">
        <v>1.3380000000000001</v>
      </c>
      <c r="J6" s="42">
        <v>2.0830000000000002</v>
      </c>
      <c r="K6" s="41" t="s">
        <v>388</v>
      </c>
      <c r="L6" s="38">
        <v>418.05799999999999</v>
      </c>
      <c r="M6" s="40">
        <v>312.5</v>
      </c>
      <c r="N6" s="37">
        <v>8.6800000000000002E-2</v>
      </c>
      <c r="O6" s="39">
        <v>5.21</v>
      </c>
      <c r="P6" s="36">
        <v>224.9</v>
      </c>
      <c r="Q6" s="36">
        <v>1</v>
      </c>
      <c r="R6" s="36">
        <v>1400</v>
      </c>
      <c r="S6" s="38">
        <v>1.3380000000000001</v>
      </c>
      <c r="T6" s="36">
        <v>62</v>
      </c>
      <c r="U6" s="37">
        <v>4.4299999999999999E-2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38</v>
      </c>
      <c r="AB6" s="36" t="s">
        <v>387</v>
      </c>
    </row>
    <row r="7" spans="1:28" x14ac:dyDescent="0.3">
      <c r="A7" s="41">
        <v>5</v>
      </c>
      <c r="B7" s="43" t="s">
        <v>90</v>
      </c>
      <c r="C7" s="41" t="s">
        <v>45</v>
      </c>
      <c r="D7" s="41" t="s">
        <v>380</v>
      </c>
      <c r="E7" s="41" t="s">
        <v>27</v>
      </c>
      <c r="F7" s="41">
        <v>262731</v>
      </c>
      <c r="G7" s="41" t="s">
        <v>386</v>
      </c>
      <c r="H7" s="41">
        <v>1250</v>
      </c>
      <c r="I7" s="42">
        <v>0.75</v>
      </c>
      <c r="J7" s="42">
        <v>0.75</v>
      </c>
      <c r="K7" s="41" t="s">
        <v>33</v>
      </c>
      <c r="L7" s="38">
        <v>703.125</v>
      </c>
      <c r="M7" s="40">
        <v>468.8</v>
      </c>
      <c r="N7" s="37">
        <v>6.5100000000000005E-2</v>
      </c>
      <c r="O7" s="39">
        <v>3.91</v>
      </c>
      <c r="P7" s="36">
        <v>309.39999999999998</v>
      </c>
      <c r="Q7" s="36">
        <v>2</v>
      </c>
      <c r="R7" s="36">
        <v>1550</v>
      </c>
      <c r="S7" s="38">
        <v>1.5</v>
      </c>
      <c r="T7" s="36">
        <v>50</v>
      </c>
      <c r="U7" s="37">
        <v>3.2300000000000002E-2</v>
      </c>
      <c r="V7" s="36" t="s">
        <v>41</v>
      </c>
      <c r="W7" s="36" t="s">
        <v>41</v>
      </c>
      <c r="X7" s="36" t="s">
        <v>41</v>
      </c>
      <c r="Y7" s="36" t="s">
        <v>27</v>
      </c>
      <c r="Z7" s="36" t="s">
        <v>27</v>
      </c>
      <c r="AA7" s="36" t="s">
        <v>32</v>
      </c>
      <c r="AB7" s="36" t="s">
        <v>385</v>
      </c>
    </row>
    <row r="8" spans="1:28" x14ac:dyDescent="0.3">
      <c r="A8" s="41">
        <v>6</v>
      </c>
      <c r="B8" s="43" t="s">
        <v>90</v>
      </c>
      <c r="C8" s="41" t="s">
        <v>45</v>
      </c>
      <c r="D8" s="41" t="s">
        <v>380</v>
      </c>
      <c r="E8" s="41" t="s">
        <v>27</v>
      </c>
      <c r="F8" s="41">
        <v>262732</v>
      </c>
      <c r="G8" s="41" t="s">
        <v>386</v>
      </c>
      <c r="H8" s="41">
        <v>1500</v>
      </c>
      <c r="I8" s="42">
        <v>0.75</v>
      </c>
      <c r="J8" s="42">
        <v>0.75</v>
      </c>
      <c r="K8" s="41" t="s">
        <v>33</v>
      </c>
      <c r="L8" s="38">
        <v>843.75</v>
      </c>
      <c r="M8" s="40">
        <v>562.5</v>
      </c>
      <c r="N8" s="37">
        <v>7.8100000000000003E-2</v>
      </c>
      <c r="O8" s="39">
        <v>4.6900000000000004</v>
      </c>
      <c r="P8" s="36">
        <v>371.3</v>
      </c>
      <c r="Q8" s="36">
        <v>2</v>
      </c>
      <c r="R8" s="36">
        <v>1550</v>
      </c>
      <c r="S8" s="38">
        <v>1.5</v>
      </c>
      <c r="T8" s="36">
        <v>50</v>
      </c>
      <c r="U8" s="37">
        <v>3.2300000000000002E-2</v>
      </c>
      <c r="V8" s="36" t="s">
        <v>41</v>
      </c>
      <c r="W8" s="36" t="s">
        <v>41</v>
      </c>
      <c r="X8" s="36" t="s">
        <v>41</v>
      </c>
      <c r="Y8" s="36" t="s">
        <v>27</v>
      </c>
      <c r="Z8" s="36" t="s">
        <v>27</v>
      </c>
      <c r="AA8" s="36" t="s">
        <v>30</v>
      </c>
      <c r="AB8" s="36" t="s">
        <v>385</v>
      </c>
    </row>
    <row r="9" spans="1:28" x14ac:dyDescent="0.3">
      <c r="A9" s="41">
        <v>7</v>
      </c>
      <c r="B9" s="43" t="s">
        <v>90</v>
      </c>
      <c r="C9" s="41" t="s">
        <v>35</v>
      </c>
      <c r="D9" s="41" t="s">
        <v>380</v>
      </c>
      <c r="E9" s="41" t="s">
        <v>27</v>
      </c>
      <c r="F9" s="41">
        <v>262737</v>
      </c>
      <c r="G9" s="41" t="s">
        <v>379</v>
      </c>
      <c r="H9" s="41">
        <v>600</v>
      </c>
      <c r="I9" s="42">
        <v>0.47</v>
      </c>
      <c r="J9" s="42">
        <v>1.7869999999999999</v>
      </c>
      <c r="K9" s="41" t="s">
        <v>384</v>
      </c>
      <c r="L9" s="38">
        <v>503.93400000000003</v>
      </c>
      <c r="M9" s="40">
        <v>536.1</v>
      </c>
      <c r="N9" s="37">
        <v>7.4499999999999997E-2</v>
      </c>
      <c r="O9" s="39">
        <v>4.47</v>
      </c>
      <c r="P9" s="36">
        <v>158.69999999999999</v>
      </c>
      <c r="Q9" s="36">
        <v>2</v>
      </c>
      <c r="R9" s="36">
        <v>1000</v>
      </c>
      <c r="S9" s="38">
        <v>0.94</v>
      </c>
      <c r="T9" s="36">
        <v>60</v>
      </c>
      <c r="U9" s="37">
        <v>0.06</v>
      </c>
      <c r="V9" s="36" t="s">
        <v>28</v>
      </c>
      <c r="W9" s="36" t="s">
        <v>28</v>
      </c>
      <c r="X9" s="36" t="s">
        <v>28</v>
      </c>
      <c r="Y9" s="36" t="s">
        <v>27</v>
      </c>
      <c r="Z9" s="36" t="s">
        <v>27</v>
      </c>
      <c r="AA9" s="36" t="s">
        <v>38</v>
      </c>
      <c r="AB9" s="36" t="s">
        <v>383</v>
      </c>
    </row>
    <row r="10" spans="1:28" x14ac:dyDescent="0.3">
      <c r="A10" s="41">
        <v>8</v>
      </c>
      <c r="B10" s="43" t="s">
        <v>90</v>
      </c>
      <c r="C10" s="41" t="s">
        <v>35</v>
      </c>
      <c r="D10" s="41" t="s">
        <v>380</v>
      </c>
      <c r="E10" s="41" t="s">
        <v>27</v>
      </c>
      <c r="F10" s="41">
        <v>262739</v>
      </c>
      <c r="G10" s="41" t="s">
        <v>379</v>
      </c>
      <c r="H10" s="41">
        <v>300</v>
      </c>
      <c r="I10" s="42">
        <v>0.86</v>
      </c>
      <c r="J10" s="42">
        <v>1.8029999999999999</v>
      </c>
      <c r="K10" s="41" t="s">
        <v>382</v>
      </c>
      <c r="L10" s="38">
        <v>465.17399999999998</v>
      </c>
      <c r="M10" s="40">
        <v>540.9</v>
      </c>
      <c r="N10" s="37">
        <v>0.1502</v>
      </c>
      <c r="O10" s="39">
        <v>9.01</v>
      </c>
      <c r="P10" s="36">
        <v>146.5</v>
      </c>
      <c r="Q10" s="36">
        <v>1</v>
      </c>
      <c r="R10" s="36">
        <v>900</v>
      </c>
      <c r="S10" s="38">
        <v>0.86</v>
      </c>
      <c r="T10" s="36">
        <v>40</v>
      </c>
      <c r="U10" s="37">
        <v>4.4400000000000002E-2</v>
      </c>
      <c r="V10" s="36" t="s">
        <v>28</v>
      </c>
      <c r="W10" s="36" t="s">
        <v>28</v>
      </c>
      <c r="X10" s="36" t="s">
        <v>28</v>
      </c>
      <c r="Y10" s="36" t="s">
        <v>27</v>
      </c>
      <c r="Z10" s="36" t="s">
        <v>27</v>
      </c>
      <c r="AA10" s="36" t="s">
        <v>38</v>
      </c>
      <c r="AB10" s="36" t="s">
        <v>381</v>
      </c>
    </row>
    <row r="11" spans="1:28" x14ac:dyDescent="0.3">
      <c r="A11" s="41">
        <v>9</v>
      </c>
      <c r="B11" s="43" t="s">
        <v>90</v>
      </c>
      <c r="C11" s="41" t="s">
        <v>35</v>
      </c>
      <c r="D11" s="41" t="s">
        <v>380</v>
      </c>
      <c r="E11" s="41" t="s">
        <v>27</v>
      </c>
      <c r="F11" s="41">
        <v>262738</v>
      </c>
      <c r="G11" s="41" t="s">
        <v>379</v>
      </c>
      <c r="H11" s="41">
        <v>600</v>
      </c>
      <c r="I11" s="42">
        <v>0.39</v>
      </c>
      <c r="J11" s="42">
        <v>1.7829999999999999</v>
      </c>
      <c r="K11" s="41" t="s">
        <v>378</v>
      </c>
      <c r="L11" s="38">
        <v>417.22199999999998</v>
      </c>
      <c r="M11" s="40">
        <v>534.9</v>
      </c>
      <c r="N11" s="37">
        <v>7.4300000000000005E-2</v>
      </c>
      <c r="O11" s="39">
        <v>4.46</v>
      </c>
      <c r="P11" s="36">
        <v>131.4</v>
      </c>
      <c r="Q11" s="36">
        <v>2</v>
      </c>
      <c r="R11" s="36">
        <v>800</v>
      </c>
      <c r="S11" s="38">
        <v>0.78</v>
      </c>
      <c r="T11" s="36">
        <v>20</v>
      </c>
      <c r="U11" s="37">
        <v>2.5000000000000001E-2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38</v>
      </c>
      <c r="AB11" s="36" t="s">
        <v>377</v>
      </c>
    </row>
    <row r="12" spans="1:28" x14ac:dyDescent="0.3">
      <c r="A12" s="35" t="s">
        <v>27</v>
      </c>
      <c r="B12" s="35" t="s">
        <v>27</v>
      </c>
      <c r="C12" s="35" t="s">
        <v>27</v>
      </c>
      <c r="D12" s="35" t="s">
        <v>27</v>
      </c>
      <c r="E12" s="35" t="s">
        <v>27</v>
      </c>
      <c r="F12" s="35" t="s">
        <v>27</v>
      </c>
      <c r="G12" s="35" t="s">
        <v>27</v>
      </c>
      <c r="H12" s="35">
        <v>4850</v>
      </c>
      <c r="I12" s="35" t="s">
        <v>27</v>
      </c>
      <c r="J12" s="35" t="s">
        <v>27</v>
      </c>
      <c r="K12" s="35" t="s">
        <v>27</v>
      </c>
      <c r="L12" s="34" t="s">
        <v>27</v>
      </c>
      <c r="M12" s="34" t="s">
        <v>27</v>
      </c>
      <c r="N12" s="34" t="s">
        <v>27</v>
      </c>
      <c r="O12" s="34" t="s">
        <v>27</v>
      </c>
      <c r="P12" s="34">
        <v>2034.7</v>
      </c>
      <c r="Q12" s="34" t="s">
        <v>27</v>
      </c>
      <c r="R12" s="34" t="s">
        <v>27</v>
      </c>
      <c r="S12" s="34" t="s">
        <v>27</v>
      </c>
      <c r="T12" s="34" t="s">
        <v>27</v>
      </c>
      <c r="U12" s="34" t="s">
        <v>27</v>
      </c>
      <c r="V12" s="34" t="s">
        <v>27</v>
      </c>
      <c r="W12" s="34" t="s">
        <v>27</v>
      </c>
      <c r="X12" s="34" t="s">
        <v>27</v>
      </c>
      <c r="Y12" s="34" t="s">
        <v>27</v>
      </c>
      <c r="Z12" s="34" t="s">
        <v>27</v>
      </c>
      <c r="AA12" s="34" t="s">
        <v>27</v>
      </c>
      <c r="AB12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03" t="s">
        <v>376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73" zoomScaleNormal="73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04" t="s">
        <v>364</v>
      </c>
      <c r="B1" s="104" t="s">
        <v>27</v>
      </c>
      <c r="C1" s="104" t="s">
        <v>27</v>
      </c>
      <c r="D1" s="104" t="s">
        <v>27</v>
      </c>
      <c r="E1" s="104" t="s">
        <v>27</v>
      </c>
      <c r="F1" s="104" t="s">
        <v>27</v>
      </c>
      <c r="G1" s="104" t="s">
        <v>27</v>
      </c>
      <c r="H1" s="104" t="s">
        <v>27</v>
      </c>
      <c r="I1" s="104" t="s">
        <v>27</v>
      </c>
      <c r="J1" s="104" t="s">
        <v>27</v>
      </c>
      <c r="K1" s="104" t="s">
        <v>27</v>
      </c>
      <c r="L1" s="104" t="s">
        <v>27</v>
      </c>
      <c r="M1" s="104" t="s">
        <v>27</v>
      </c>
      <c r="N1" s="104" t="s">
        <v>27</v>
      </c>
      <c r="O1" s="104" t="s">
        <v>27</v>
      </c>
      <c r="P1" s="104" t="s">
        <v>27</v>
      </c>
      <c r="Q1" s="104" t="s">
        <v>27</v>
      </c>
      <c r="R1" s="104" t="s">
        <v>27</v>
      </c>
      <c r="S1" s="104" t="s">
        <v>27</v>
      </c>
      <c r="T1" s="104" t="s">
        <v>27</v>
      </c>
      <c r="U1" s="104" t="s">
        <v>27</v>
      </c>
      <c r="V1" s="104" t="s">
        <v>27</v>
      </c>
      <c r="W1" s="104" t="s">
        <v>27</v>
      </c>
      <c r="X1" s="104" t="s">
        <v>27</v>
      </c>
      <c r="Y1" s="104" t="s">
        <v>27</v>
      </c>
      <c r="Z1" s="104" t="s">
        <v>27</v>
      </c>
      <c r="AA1" s="104" t="s">
        <v>27</v>
      </c>
      <c r="AB1" s="104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2" t="s">
        <v>321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workbookViewId="0">
      <selection sqref="A1:AB11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02" t="s">
        <v>296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G18" sqref="G18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4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03" t="s">
        <v>278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02" t="s">
        <v>264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03" t="s">
        <v>247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zoomScale="172" zoomScaleNormal="172" workbookViewId="0">
      <selection activeCell="AD5" sqref="AD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3" t="s">
        <v>234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444</v>
      </c>
      <c r="E3" s="91" t="s">
        <v>27</v>
      </c>
      <c r="F3" s="91">
        <v>262778</v>
      </c>
      <c r="G3" s="91" t="s">
        <v>443</v>
      </c>
      <c r="H3" s="91">
        <v>430</v>
      </c>
      <c r="I3" s="93">
        <v>0.752</v>
      </c>
      <c r="J3" s="93">
        <v>1.64</v>
      </c>
      <c r="K3" s="91" t="s">
        <v>451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450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444</v>
      </c>
      <c r="E4" s="91" t="s">
        <v>27</v>
      </c>
      <c r="F4" s="91">
        <v>262777</v>
      </c>
      <c r="G4" s="91" t="s">
        <v>449</v>
      </c>
      <c r="H4" s="91">
        <v>450</v>
      </c>
      <c r="I4" s="93">
        <v>0.73299999999999998</v>
      </c>
      <c r="J4" s="93">
        <v>2.11</v>
      </c>
      <c r="K4" s="91" t="s">
        <v>448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447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380</v>
      </c>
      <c r="E5" s="91" t="s">
        <v>27</v>
      </c>
      <c r="F5" s="91">
        <v>262774</v>
      </c>
      <c r="G5" s="91" t="s">
        <v>398</v>
      </c>
      <c r="H5" s="91">
        <v>550</v>
      </c>
      <c r="I5" s="93">
        <v>0.70699999999999996</v>
      </c>
      <c r="J5" s="93">
        <v>1.4990000000000001</v>
      </c>
      <c r="K5" s="91" t="s">
        <v>397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446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380</v>
      </c>
      <c r="E6" s="91" t="s">
        <v>27</v>
      </c>
      <c r="F6" s="91">
        <v>262775</v>
      </c>
      <c r="G6" s="91" t="s">
        <v>398</v>
      </c>
      <c r="H6" s="91">
        <v>385</v>
      </c>
      <c r="I6" s="93">
        <v>0.71299999999999997</v>
      </c>
      <c r="J6" s="93">
        <v>2.0990000000000002</v>
      </c>
      <c r="K6" s="91" t="s">
        <v>400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399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445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380</v>
      </c>
      <c r="E10" s="91" t="s">
        <v>27</v>
      </c>
      <c r="F10" s="91">
        <v>262776</v>
      </c>
      <c r="G10" s="91" t="s">
        <v>398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401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444</v>
      </c>
      <c r="E11" s="91" t="s">
        <v>27</v>
      </c>
      <c r="F11" s="91">
        <v>262779</v>
      </c>
      <c r="G11" s="91" t="s">
        <v>443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442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441</v>
      </c>
      <c r="E12" s="91" t="s">
        <v>27</v>
      </c>
      <c r="F12" s="91">
        <v>262772</v>
      </c>
      <c r="G12" s="91" t="s">
        <v>440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441</v>
      </c>
      <c r="E13" s="91" t="s">
        <v>27</v>
      </c>
      <c r="F13" s="91">
        <v>262773</v>
      </c>
      <c r="G13" s="91" t="s">
        <v>440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02" t="s">
        <v>228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02" t="s">
        <v>218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02" t="s">
        <v>235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00" t="s">
        <v>181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00" t="s">
        <v>173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02" t="s">
        <v>143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2" t="s">
        <v>139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04" t="s">
        <v>123</v>
      </c>
      <c r="B1" s="104" t="s">
        <v>27</v>
      </c>
      <c r="C1" s="104" t="s">
        <v>27</v>
      </c>
      <c r="D1" s="104" t="s">
        <v>27</v>
      </c>
      <c r="E1" s="104" t="s">
        <v>27</v>
      </c>
      <c r="F1" s="104" t="s">
        <v>27</v>
      </c>
      <c r="G1" s="104" t="s">
        <v>27</v>
      </c>
      <c r="H1" s="104" t="s">
        <v>27</v>
      </c>
      <c r="I1" s="104" t="s">
        <v>27</v>
      </c>
      <c r="J1" s="104" t="s">
        <v>27</v>
      </c>
      <c r="K1" s="104" t="s">
        <v>27</v>
      </c>
      <c r="L1" s="104" t="s">
        <v>27</v>
      </c>
      <c r="M1" s="104" t="s">
        <v>27</v>
      </c>
      <c r="N1" s="104" t="s">
        <v>27</v>
      </c>
      <c r="O1" s="104" t="s">
        <v>27</v>
      </c>
      <c r="P1" s="104" t="s">
        <v>27</v>
      </c>
      <c r="Q1" s="104" t="s">
        <v>27</v>
      </c>
      <c r="R1" s="104" t="s">
        <v>27</v>
      </c>
      <c r="S1" s="104" t="s">
        <v>27</v>
      </c>
      <c r="T1" s="104" t="s">
        <v>27</v>
      </c>
      <c r="U1" s="104" t="s">
        <v>27</v>
      </c>
      <c r="V1" s="104" t="s">
        <v>27</v>
      </c>
      <c r="W1" s="104" t="s">
        <v>27</v>
      </c>
      <c r="X1" s="104" t="s">
        <v>27</v>
      </c>
      <c r="Y1" s="104" t="s">
        <v>27</v>
      </c>
      <c r="Z1" s="104" t="s">
        <v>27</v>
      </c>
      <c r="AA1" s="104" t="s">
        <v>27</v>
      </c>
      <c r="AB1" s="104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05" t="s">
        <v>105</v>
      </c>
      <c r="B1" s="105" t="s">
        <v>27</v>
      </c>
      <c r="C1" s="105" t="s">
        <v>27</v>
      </c>
      <c r="D1" s="105" t="s">
        <v>27</v>
      </c>
      <c r="E1" s="105" t="s">
        <v>27</v>
      </c>
      <c r="F1" s="105" t="s">
        <v>27</v>
      </c>
      <c r="G1" s="105" t="s">
        <v>27</v>
      </c>
      <c r="H1" s="105" t="s">
        <v>27</v>
      </c>
      <c r="I1" s="105" t="s">
        <v>27</v>
      </c>
      <c r="J1" s="105" t="s">
        <v>27</v>
      </c>
      <c r="K1" s="105" t="s">
        <v>27</v>
      </c>
      <c r="L1" s="105" t="s">
        <v>27</v>
      </c>
      <c r="M1" s="105" t="s">
        <v>27</v>
      </c>
      <c r="N1" s="105" t="s">
        <v>27</v>
      </c>
      <c r="O1" s="105" t="s">
        <v>27</v>
      </c>
      <c r="P1" s="105" t="s">
        <v>27</v>
      </c>
      <c r="Q1" s="105" t="s">
        <v>27</v>
      </c>
      <c r="R1" s="105" t="s">
        <v>27</v>
      </c>
      <c r="S1" s="105" t="s">
        <v>27</v>
      </c>
      <c r="T1" s="105" t="s">
        <v>27</v>
      </c>
      <c r="U1" s="105" t="s">
        <v>27</v>
      </c>
      <c r="V1" s="105" t="s">
        <v>27</v>
      </c>
      <c r="W1" s="105" t="s">
        <v>27</v>
      </c>
      <c r="X1" s="105" t="s">
        <v>27</v>
      </c>
      <c r="Y1" s="105" t="s">
        <v>27</v>
      </c>
      <c r="Z1" s="105" t="s">
        <v>27</v>
      </c>
      <c r="AA1" s="105" t="s">
        <v>27</v>
      </c>
      <c r="AB1" s="105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06" t="s">
        <v>80</v>
      </c>
      <c r="B1" s="106" t="s">
        <v>27</v>
      </c>
      <c r="C1" s="106" t="s">
        <v>27</v>
      </c>
      <c r="D1" s="106" t="s">
        <v>27</v>
      </c>
      <c r="E1" s="106" t="s">
        <v>27</v>
      </c>
      <c r="F1" s="106" t="s">
        <v>27</v>
      </c>
      <c r="G1" s="106" t="s">
        <v>27</v>
      </c>
      <c r="H1" s="106" t="s">
        <v>27</v>
      </c>
      <c r="I1" s="106" t="s">
        <v>27</v>
      </c>
      <c r="J1" s="106" t="s">
        <v>27</v>
      </c>
      <c r="K1" s="106" t="s">
        <v>27</v>
      </c>
      <c r="L1" s="106" t="s">
        <v>27</v>
      </c>
      <c r="M1" s="106" t="s">
        <v>27</v>
      </c>
      <c r="N1" s="106" t="s">
        <v>27</v>
      </c>
      <c r="O1" s="106" t="s">
        <v>27</v>
      </c>
      <c r="P1" s="106" t="s">
        <v>27</v>
      </c>
      <c r="Q1" s="106" t="s">
        <v>27</v>
      </c>
      <c r="R1" s="106" t="s">
        <v>27</v>
      </c>
      <c r="S1" s="106" t="s">
        <v>27</v>
      </c>
      <c r="T1" s="106" t="s">
        <v>27</v>
      </c>
      <c r="U1" s="106" t="s">
        <v>27</v>
      </c>
      <c r="V1" s="106" t="s">
        <v>27</v>
      </c>
      <c r="W1" s="106" t="s">
        <v>27</v>
      </c>
      <c r="X1" s="106" t="s">
        <v>27</v>
      </c>
      <c r="Y1" s="106" t="s">
        <v>27</v>
      </c>
      <c r="Z1" s="106" t="s">
        <v>27</v>
      </c>
      <c r="AA1" s="106" t="s">
        <v>27</v>
      </c>
      <c r="AB1" s="106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FAVINCO 1243 P</vt:lpstr>
      <vt:lpstr>Renovapel 1242 P</vt:lpstr>
      <vt:lpstr>Tole. DR EMB. VO CH S. M 1241</vt:lpstr>
      <vt:lpstr>FAVINCO 1239 P</vt:lpstr>
      <vt:lpstr>PCBOX EMBALAGENS LTDA 1233</vt:lpstr>
      <vt:lpstr>RM Embalagens 1232</vt:lpstr>
      <vt:lpstr>HARMONY EMBALAGENS 1231 P</vt:lpstr>
      <vt:lpstr>RM Embalagens P</vt:lpstr>
      <vt:lpstr>PCBOX EMBALAGENS LTDA 1222 P</vt:lpstr>
      <vt:lpstr>FORBOX 1220</vt:lpstr>
      <vt:lpstr>HARMONY EMBALAGENS 1217 P</vt:lpstr>
      <vt:lpstr>Z4A EMBALAGENS LTDA 1216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2026-09-30T19:25:06Z</cp:lastPrinted>
  <dcterms:created xsi:type="dcterms:W3CDTF">2026-07-02T17:42:15Z</dcterms:created>
  <dcterms:modified xsi:type="dcterms:W3CDTF">2026-10-02T11:47:38Z</dcterms:modified>
</cp:coreProperties>
</file>