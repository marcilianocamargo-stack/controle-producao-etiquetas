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2B80F99-1236-4C02-8DD8-41FE2DFB2AC4}" xr6:coauthVersionLast="47" xr6:coauthVersionMax="47" xr10:uidLastSave="{00000000-0000-0000-0000-000000000000}"/>
  <bookViews>
    <workbookView xWindow="-38510" yWindow="-10830" windowWidth="38620" windowHeight="21100" firstSheet="15" activeTab="19" xr2:uid="{00000000-000D-0000-FFFF-FFFF00000000}"/>
  </bookViews>
  <sheets>
    <sheet name="IPE EMBALAGENS LTDA 1254" sheetId="182" r:id="rId1"/>
    <sheet name="RR STELLA 1253" sheetId="181" r:id="rId2"/>
    <sheet name="FAVINCO EMBALAGENS 1252" sheetId="180" r:id="rId3"/>
    <sheet name="DR EMBALAGENS 1250" sheetId="179" r:id="rId4"/>
    <sheet name="HARMONY EMBALAGENS 1249 P" sheetId="178" r:id="rId5"/>
    <sheet name="FAVINCO 1248 AMOSTRA" sheetId="177" r:id="rId6"/>
    <sheet name="ABAPEL 1246" sheetId="176" r:id="rId7"/>
    <sheet name="FAVINCO 1243 P" sheetId="175" r:id="rId8"/>
    <sheet name="Renovapel 1242 P" sheetId="174" r:id="rId9"/>
    <sheet name="Tole. DR EMB. VO CH S. M 1241 P" sheetId="173" r:id="rId10"/>
    <sheet name="FAVINCO 1239 P" sheetId="172" r:id="rId11"/>
    <sheet name="PCBOX EMBALAGENS 1233 P" sheetId="170" r:id="rId12"/>
    <sheet name="RM Embalagens 1232" sheetId="169" r:id="rId13"/>
    <sheet name="HARMONY EMBALAGENS 1231 P" sheetId="168" r:id="rId14"/>
    <sheet name="RM Embalagens P" sheetId="166" r:id="rId15"/>
    <sheet name="PCBOX EMBALAGENS LTDA 1222 P" sheetId="164" r:id="rId16"/>
    <sheet name="FORBOX 1220 P" sheetId="163" r:id="rId17"/>
    <sheet name="HARMONY EMBALAGENS 1217 P" sheetId="162" r:id="rId18"/>
    <sheet name="Z4A EMBALAGENS LTDA 1216" sheetId="161" r:id="rId19"/>
    <sheet name="ABAPEL 1213 P" sheetId="159" r:id="rId20"/>
    <sheet name="IPE - PCBOX 1212 P" sheetId="158" r:id="rId21"/>
    <sheet name="Z4A EMBALAGENS LTDA 1210 P" sheetId="157" r:id="rId22"/>
    <sheet name="RM Embalagens 1209 P" sheetId="156" r:id="rId23"/>
    <sheet name="ABAPEL 1201 P" sheetId="153" r:id="rId24"/>
    <sheet name="HARMONY EMBALAGENS 1200 P" sheetId="152" r:id="rId25"/>
    <sheet name="FAVINCO EMBALAGENS 1197 P" sheetId="150" r:id="rId26"/>
    <sheet name="ABAPEL 1196 P" sheetId="149" r:id="rId27"/>
    <sheet name="RM Embalagens 1184 P" sheetId="141" r:id="rId28"/>
    <sheet name="HARMONY EMBALAGENS 1180 P" sheetId="137" r:id="rId29"/>
    <sheet name="Carpel 1158 P" sheetId="119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9" i="170" l="1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<sst xmlns="http://schemas.openxmlformats.org/spreadsheetml/2006/main" count="5743" uniqueCount="591">
  <si>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</si>
  <si>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</si>
  <si>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</si>
  <si>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</si>
  <si>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</si>
  <si>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</si>
  <si>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</si>
  <si>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</si>
  <si>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</si>
  <si>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</si>
  <si>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</si>
  <si>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</si>
  <si>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</si>
  <si>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</si>
  <si>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</si>
  <si>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</si>
  <si>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</si>
  <si>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</si>
  <si>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</si>
  <si>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</si>
  <si>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</si>
  <si>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</si>
  <si>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</si>
  <si>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</si>
  <si>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</si>
  <si>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</si>
  <si>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</si>
  <si>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</si>
  <si>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</si>
  <si>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</si>
  <si>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</si>
  <si>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</si>
  <si>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</si>
  <si>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</si>
  <si>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</si>
  <si>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</si>
  <si>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</si>
  <si>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</si>
  <si>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</si>
  <si>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</si>
  <si>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</si>
  <si>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</si>
  <si>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</si>
  <si>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</si>
  <si>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</si>
  <si>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</si>
  <si>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</si>
  <si>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</si>
  <si>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</si>
  <si>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</si>
  <si>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</si>
  <si>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</si>
  <si>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</si>
  <si>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</si>
  <si>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</si>
  <si>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</si>
  <si>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</si>
  <si>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</si>
  <si>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</si>
  <si>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</si>
  <si>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</si>
  <si>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</si>
  <si>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</si>
  <si>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</si>
  <si>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</si>
  <si>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</si>
  <si>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</si>
  <si>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</si>
  <si>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</si>
  <si>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</si>
  <si>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</si>
  <si>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</si>
  <si>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</si>
  <si>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</si>
  <si>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</si>
  <si>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</si>
  <si>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</si>
  <si>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</si>
  <si>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</si>
  <si>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</si>
  <si>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</si>
  <si>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</si>
  <si>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</si>
  <si>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</si>
  <si>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</si>
  <si>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</si>
  <si>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</si>
  <si>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</si>
  <si>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</si>
  <si>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</si>
  <si>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</si>
  <si>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</si>
  <si>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</si>
  <si>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</si>
  <si>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</si>
  <si>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</si>
  <si>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</si>
  <si>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</si>
  <si>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</si>
  <si>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</si>
  <si>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</si>
  <si>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</si>
  <si>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</si>
  <si>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</si>
  <si>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</si>
  <si>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</si>
  <si>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</si>
  <si>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</si>
  <si>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</si>
  <si>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</si>
  <si>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</si>
  <si>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</si>
  <si>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</si>
  <si>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</si>
  <si>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</si>
  <si>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</si>
  <si>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</si>
  <si>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</si>
  <si>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</si>
  <si>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</si>
  <si>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</si>
  <si>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</si>
  <si>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</si>
  <si>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</si>
  <si>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</si>
  <si>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</si>
  <si>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</si>
  <si>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</si>
  <si>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</si>
  <si>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</si>
  <si>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</si>
  <si>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</si>
  <si>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</si>
  <si>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</si>
  <si>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</si>
  <si>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</si>
  <si>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</si>
  <si>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</si>
  <si>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</si>
  <si>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</si>
  <si>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</si>
  <si>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</si>
  <si>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</si>
  <si>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</si>
  <si>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</si>
  <si>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</si>
  <si>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</si>
  <si>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</si>
  <si>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</si>
  <si>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</si>
  <si>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</si>
  <si>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</si>
  <si>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</si>
  <si>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</si>
  <si>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</si>
  <si>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</si>
  <si>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</si>
  <si>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</si>
  <si>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</si>
  <si>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</si>
  <si>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</si>
  <si>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</si>
  <si>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</si>
  <si>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</si>
  <si>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</si>
  <si>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</si>
  <si>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</si>
  <si>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</si>
  <si>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</si>
  <si>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</si>
  <si>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</si>
  <si>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</si>
  <si>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</si>
  <si>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</si>
  <si>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</si>
  <si>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</si>
  <si>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</si>
  <si>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</si>
  <si>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</si>
  <si>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</si>
  <si>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</si>
  <si>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</si>
  <si>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</si>
  <si>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</si>
  <si>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</si>
  <si>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</si>
  <si>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</si>
  <si>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</si>
  <si>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</si>
  <si>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</si>
  <si>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</si>
  <si>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</si>
  <si>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</si>
  <si>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</si>
  <si>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</si>
  <si>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</si>
  <si>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</si>
  <si>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</si>
  <si>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</si>
  <si>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</si>
  <si>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</si>
  <si>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</si>
  <si>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</si>
  <si>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</si>
  <si>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</si>
  <si>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</si>
  <si>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</si>
  <si>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</si>
  <si>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</si>
  <si>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</si>
  <si>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</si>
  <si>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</si>
  <si>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</si>
  <si>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</si>
  <si>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</si>
  <si>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</si>
  <si>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</si>
  <si>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</si>
  <si>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</si>
  <si>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</si>
  <si>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</si>
  <si>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</si>
  <si>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</si>
  <si>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</si>
  <si>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</si>
  <si>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</si>
  <si>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</si>
  <si>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</si>
  <si>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</si>
  <si>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</si>
  <si>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</si>
  <si>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</si>
  <si>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</si>
  <si>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</si>
  <si>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</si>
  <si>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</si>
  <si>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</si>
  <si>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</si>
  <si>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</si>
  <si>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</si>
  <si>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</si>
  <si>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</si>
  <si>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</si>
  <si>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</si>
  <si>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</si>
  <si>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</si>
  <si>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</si>
  <si>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</si>
  <si>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</si>
  <si>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</si>
  <si>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</si>
  <si>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</si>
  <si>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</si>
  <si>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</si>
  <si>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</si>
  <si>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</si>
  <si>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</si>
  <si>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</si>
  <si>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</si>
  <si>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</si>
  <si>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</si>
  <si>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</si>
  <si>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</si>
  <si>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</si>
  <si>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</si>
  <si>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</si>
  <si>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</si>
  <si>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</si>
  <si>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</si>
  <si>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</si>
  <si>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</si>
  <si>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</si>
  <si>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</si>
  <si>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</si>
  <si>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</si>
  <si>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</si>
  <si>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</si>
  <si>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</si>
  <si>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</si>
  <si>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</si>
  <si>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</si>
  <si>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</si>
  <si>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</si>
  <si>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</si>
  <si>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</si>
  <si>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</si>
  <si>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</si>
  <si>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</si>
  <si>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</si>
  <si>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</si>
  <si>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</si>
  <si>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</si>
  <si>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</si>
  <si>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</si>
  <si>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</si>
  <si>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</si>
  <si>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</si>
  <si>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</si>
  <si>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</si>
  <si>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</si>
  <si>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</si>
  <si>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</si>
  <si>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</si>
  <si>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</si>
  <si>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</si>
  <si>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</si>
  <si>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</si>
  <si>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</si>
  <si>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</si>
  <si>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</si>
  <si>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</si>
  <si>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</si>
  <si>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</si>
  <si>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</si>
  <si>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</si>
  <si>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</si>
  <si>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</si>
  <si>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</si>
  <si>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</si>
  <si>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</si>
  <si>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</si>
  <si>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</si>
  <si>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</si>
  <si>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</si>
  <si>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</si>
  <si>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</si>
  <si>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</si>
  <si>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</si>
  <si>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</si>
  <si>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</si>
  <si>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</si>
  <si>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</si>
  <si>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</si>
  <si>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</si>
  <si>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</si>
  <si>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</si>
  <si>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</si>
  <si>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</si>
  <si>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</si>
  <si>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</si>
  <si>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</si>
  <si>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</si>
  <si>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</si>
  <si>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</si>
  <si>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</si>
  <si>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</si>
  <si>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</si>
  <si>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</si>
  <si>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</si>
  <si>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</si>
  <si>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</si>
  <si>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</si>
  <si>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</si>
  <si>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</si>
  <si>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</si>
  <si>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</si>
  <si>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</si>
  <si>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</si>
  <si>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</si>
  <si>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</si>
  <si>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</si>
  <si>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</si>
  <si>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</si>
  <si>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</si>
  <si>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</si>
  <si>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</si>
  <si>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</si>
  <si>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</si>
  <si>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</si>
  <si>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</si>
  <si>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</si>
  <si>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</si>
  <si>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</si>
  <si>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</si>
  <si>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</si>
  <si>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</si>
  <si>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</si>
  <si>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</si>
  <si>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</si>
  <si>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</si>
  <si>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</si>
  <si>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</si>
  <si>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</si>
  <si>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</si>
  <si>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</si>
  <si>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</si>
  <si>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</si>
  <si>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</si>
  <si>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</si>
  <si>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</si>
  <si>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</si>
  <si>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</si>
  <si>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</si>
  <si>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</si>
  <si>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</si>
  <si>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</si>
  <si>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</si>
  <si>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</si>
  <si>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</si>
  <si>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</si>
  <si>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</si>
  <si>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</si>
  <si>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</si>
  <si>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</si>
  <si>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</si>
  <si>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</si>
  <si>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</si>
  <si>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</si>
  <si>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</si>
  <si>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</si>
  <si>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</si>
  <si>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</si>
  <si>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</si>
  <si>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</si>
  <si>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</si>
  <si>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</si>
  <si>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</si>
  <si>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</si>
  <si>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</si>
  <si>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</si>
  <si>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</si>
  <si>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</si>
  <si>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</si>
  <si>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</si>
  <si>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</si>
  <si>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</si>
  <si>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</si>
  <si>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</si>
  <si>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</si>
  <si>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</si>
  <si>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</si>
  <si>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</si>
  <si>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</si>
  <si>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</si>
  <si>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</si>
  <si>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</si>
  <si>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</si>
  <si>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</si>
  <si>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</si>
  <si>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</si>
  <si>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</si>
  <si>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</si>
  <si>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</si>
  <si>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</si>
  <si>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</si>
  <si>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</si>
  <si>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</si>
  <si>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</si>
  <si>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</si>
  <si>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</si>
  <si>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</si>
  <si>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</si>
  <si>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</si>
  <si>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</si>
  <si>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</si>
  <si>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</si>
  <si>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</si>
  <si>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</si>
  <si>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</si>
  <si>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</si>
  <si>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</si>
  <si>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</si>
  <si>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</si>
  <si>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</si>
  <si>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</si>
  <si>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</si>
  <si>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</si>
  <si>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</si>
  <si>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</si>
  <si>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</si>
  <si>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</si>
  <si>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</si>
  <si>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</si>
  <si>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</si>
  <si>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</si>
  <si>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</si>
  <si>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</si>
  <si>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</si>
  <si>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</si>
  <si>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</si>
  <si>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</si>
  <si>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</si>
  <si>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</si>
  <si>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</si>
  <si>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</si>
  <si>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</si>
  <si>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</si>
  <si>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</si>
  <si>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</si>
  <si>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</si>
  <si>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</si>
  <si>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</si>
  <si>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</si>
  <si>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</si>
  <si>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</si>
  <si>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</si>
  <si>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</si>
  <si>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</si>
  <si>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</si>
  <si>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</si>
  <si>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</si>
  <si>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</si>
  <si>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</si>
  <si>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</si>
  <si>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</si>
  <si>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</si>
  <si>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</si>
  <si>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</si>
  <si>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</si>
  <si>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</si>
  <si>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</si>
  <si>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</si>
  <si>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</si>
  <si>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</si>
  <si>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</si>
  <si>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</si>
  <si>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</si>
  <si>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</si>
  <si>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</si>
  <si>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</si>
  <si>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</si>
  <si>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</si>
  <si>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</si>
  <si>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</si>
  <si>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</si>
  <si>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</si>
  <si>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</si>
  <si>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</si>
  <si>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</si>
  <si>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</si>
  <si>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</si>
  <si>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</si>
  <si>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</si>
  <si>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</si>
  <si>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</si>
  <si>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</si>
  <si>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</si>
  <si>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</si>
  <si>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</si>
  <si>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</si>
  <si>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</si>
  <si>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</si>
  <si>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</si>
  <si>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</si>
  <si>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</si>
  <si>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</si>
  <si>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</si>
  <si>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</si>
  <si>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</si>
  <si>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</si>
  <si>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</si>
  <si>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</si>
  <si>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</si>
  <si>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</si>
  <si>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</si>
  <si>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</si>
  <si>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</si>
  <si>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</si>
  <si>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</si>
  <si>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</si>
  <si>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</si>
  <si>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</si>
  <si>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</si>
  <si>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</si>
  <si>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</si>
  <si>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</si>
  <si>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</si>
  <si>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</si>
  <si>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</si>
  <si>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</si>
  <si>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</si>
  <si>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</si>
  <si>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</si>
  <si>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</si>
  <si>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</si>
  <si>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</si>
  <si>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</si>
  <si>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</si>
  <si>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</si>
  <si>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</si>
  <si>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</si>
  <si>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</si>
  <si>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</si>
  <si>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</si>
  <si>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</si>
  <si>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</si>
  <si>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</si>
  <si>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</si>
  <si>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</si>
  <si>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</si>
  <si>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PROGRAMAÇÃO ONDULADEIRA - IPE EMBALAGENS LTDA  —  OF: 001254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</si>
</sst>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66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6" fillId="0" borderId="0" xfId="1" applyFont="1"/>
    <xf numFmtId="0" fontId="17" fillId="0" borderId="0" xfId="3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11" fillId="0" borderId="0" xfId="1" applyFont="1"/>
    <xf numFmtId="0" fontId="6" fillId="0" borderId="0" xfId="2" applyFont="1"/>
    <xf numFmtId="0" fontId="12" fillId="0" borderId="0" xfId="3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6F237-994B-4113-A854-6BDD919C451F}">
  <dimension ref="A1:AB4"/>
  <sheetViews>
    <sheetView workbookViewId="0">
      <selection activeCell="AM9" sqref="AM9"/>
    </sheetView>
  </sheetViews>
  <sheetFormatPr defaultRowHeight="14.4" x14ac:dyDescent="0.3"/>
  <cols>
    <col min="1" max="1" width="5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" style="1" customWidth="1"/>
    <col min="6" max="6" width="7.88671875" style="1" customWidth="1"/>
    <col min="7" max="8" width="5.88671875" style="1" customWidth="1"/>
    <col min="9" max="9" width="6.109375" style="1" customWidth="1"/>
    <col min="10" max="10" width="6.21875" style="1" customWidth="1"/>
    <col min="11" max="11" width="6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88671875" style="1" customWidth="1"/>
    <col min="18" max="18" width="6.1093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7.5546875" style="1" customWidth="1"/>
    <col min="24" max="24" width="7.44140625" style="1" customWidth="1"/>
    <col min="25" max="25" width="6.44140625" style="1" customWidth="1"/>
    <col min="26" max="26" width="7.44140625" style="1" customWidth="1"/>
    <col min="27" max="27" width="4.44140625" style="1" customWidth="1"/>
    <col min="28" max="28" width="9.6640625" style="1" customWidth="1"/>
    <col min="29" max="16384" width="8.88671875" style="1"/>
  </cols>
  <sheetData>
    <row r="1" spans="1:28" ht="18" customHeight="1" x14ac:dyDescent="0.35">
      <c r="A1" s="159" t="s">
        <v>590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63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92</v>
      </c>
      <c r="C3" s="126" t="s">
        <v>35</v>
      </c>
      <c r="D3" s="126" t="s">
        <v>589</v>
      </c>
      <c r="E3" s="126" t="s">
        <v>27</v>
      </c>
      <c r="F3" s="126">
        <v>262870</v>
      </c>
      <c r="G3" s="126" t="s">
        <v>588</v>
      </c>
      <c r="H3" s="126">
        <v>200</v>
      </c>
      <c r="I3" s="127">
        <v>0.93600000000000005</v>
      </c>
      <c r="J3" s="127">
        <v>1.829</v>
      </c>
      <c r="K3" s="126" t="s">
        <v>33</v>
      </c>
      <c r="L3" s="123">
        <v>342.38900000000001</v>
      </c>
      <c r="M3" s="125">
        <v>365.8</v>
      </c>
      <c r="N3" s="122">
        <v>0.1016</v>
      </c>
      <c r="O3" s="124">
        <v>6.1</v>
      </c>
      <c r="P3" s="121">
        <v>107.9</v>
      </c>
      <c r="Q3" s="121">
        <v>1</v>
      </c>
      <c r="R3" s="121">
        <v>1000</v>
      </c>
      <c r="S3" s="123">
        <v>0.93600000000000005</v>
      </c>
      <c r="T3" s="121">
        <v>64</v>
      </c>
      <c r="U3" s="122">
        <v>6.4000000000000001E-2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587</v>
      </c>
    </row>
    <row r="4" spans="1:28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200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107.9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31" sqref="K3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9" t="s">
        <v>586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583</v>
      </c>
      <c r="C3" s="126" t="s">
        <v>582</v>
      </c>
      <c r="D3" s="126" t="s">
        <v>577</v>
      </c>
      <c r="E3" s="126" t="s">
        <v>27</v>
      </c>
      <c r="F3" s="126">
        <v>262868</v>
      </c>
      <c r="G3" s="126" t="s">
        <v>585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584</v>
      </c>
    </row>
    <row r="4" spans="1:28" x14ac:dyDescent="0.3">
      <c r="A4" s="126">
        <v>2</v>
      </c>
      <c r="B4" s="128" t="s">
        <v>583</v>
      </c>
      <c r="C4" s="126" t="s">
        <v>582</v>
      </c>
      <c r="D4" s="126" t="s">
        <v>577</v>
      </c>
      <c r="E4" s="126" t="s">
        <v>27</v>
      </c>
      <c r="F4" s="126">
        <v>262867</v>
      </c>
      <c r="G4" s="126" t="s">
        <v>581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580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zoomScale="220" zoomScaleNormal="220" workbookViewId="0">
      <selection activeCell="AB4" sqref="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6" width="8.77734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9" t="s">
        <v>579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577</v>
      </c>
      <c r="E3" s="126" t="s">
        <v>27</v>
      </c>
      <c r="F3" s="126">
        <v>262865</v>
      </c>
      <c r="G3" s="126" t="s">
        <v>576</v>
      </c>
      <c r="H3" s="126">
        <v>1400</v>
      </c>
      <c r="I3" s="127">
        <v>0.44500000000000001</v>
      </c>
      <c r="J3" s="127">
        <v>0.83</v>
      </c>
      <c r="K3" s="126" t="s">
        <v>578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575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577</v>
      </c>
      <c r="E4" s="126" t="s">
        <v>27</v>
      </c>
      <c r="F4" s="126">
        <v>262866</v>
      </c>
      <c r="G4" s="126">
        <v>83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575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7" t="s">
        <v>574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570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573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572</v>
      </c>
    </row>
    <row r="4" spans="1:28" s="12" customFormat="1" ht="25.05" customHeight="1" x14ac:dyDescent="0.3">
      <c r="A4" s="5">
        <v>2</v>
      </c>
      <c r="B4" s="10" t="s">
        <v>570</v>
      </c>
      <c r="C4" s="5" t="s">
        <v>35</v>
      </c>
      <c r="D4" s="5" t="s">
        <v>441</v>
      </c>
      <c r="E4" s="5" t="s">
        <v>27</v>
      </c>
      <c r="F4" s="5">
        <v>262861</v>
      </c>
      <c r="G4" s="5" t="s">
        <v>569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571</v>
      </c>
    </row>
    <row r="5" spans="1:28" s="12" customFormat="1" ht="25.05" customHeight="1" x14ac:dyDescent="0.3">
      <c r="A5" s="5">
        <v>3</v>
      </c>
      <c r="B5" s="10" t="s">
        <v>570</v>
      </c>
      <c r="C5" s="5" t="s">
        <v>35</v>
      </c>
      <c r="D5" s="5" t="s">
        <v>441</v>
      </c>
      <c r="E5" s="5" t="s">
        <v>27</v>
      </c>
      <c r="F5" s="5">
        <v>262862</v>
      </c>
      <c r="G5" s="5" t="s">
        <v>569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568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2" t="s">
        <v>567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48" customFormat="1" ht="25.05" customHeight="1" x14ac:dyDescent="0.3">
      <c r="A7" s="89">
        <v>5</v>
      </c>
      <c r="B7" s="143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44">
        <v>1.236</v>
      </c>
      <c r="J7" s="144">
        <v>2.5910000000000002</v>
      </c>
      <c r="K7" s="89" t="s">
        <v>104</v>
      </c>
      <c r="L7" s="144">
        <v>1921.4860000000001</v>
      </c>
      <c r="M7" s="145">
        <v>1554.6</v>
      </c>
      <c r="N7" s="146">
        <v>0.43180000000000002</v>
      </c>
      <c r="O7" s="147">
        <v>25.91</v>
      </c>
      <c r="P7" s="89">
        <v>1214.4000000000001</v>
      </c>
      <c r="Q7" s="89">
        <v>1</v>
      </c>
      <c r="R7" s="89">
        <v>1300</v>
      </c>
      <c r="S7" s="144">
        <v>1.236</v>
      </c>
      <c r="T7" s="89">
        <v>64</v>
      </c>
      <c r="U7" s="146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48" customFormat="1" ht="25.05" customHeight="1" x14ac:dyDescent="0.3">
      <c r="A10" s="89">
        <v>8</v>
      </c>
      <c r="B10" s="143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44">
        <v>1.196</v>
      </c>
      <c r="J10" s="144">
        <v>1.6910000000000001</v>
      </c>
      <c r="K10" s="89" t="s">
        <v>101</v>
      </c>
      <c r="L10" s="144">
        <v>2426.9229999999998</v>
      </c>
      <c r="M10" s="145">
        <v>2029.2</v>
      </c>
      <c r="N10" s="146">
        <v>0.56369999999999998</v>
      </c>
      <c r="O10" s="147">
        <v>33.82</v>
      </c>
      <c r="P10" s="89">
        <v>1533.8</v>
      </c>
      <c r="Q10" s="89">
        <v>1</v>
      </c>
      <c r="R10" s="89">
        <v>1250</v>
      </c>
      <c r="S10" s="144">
        <v>1.196</v>
      </c>
      <c r="T10" s="89">
        <v>54</v>
      </c>
      <c r="U10" s="146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8" customFormat="1" ht="25.05" customHeight="1" x14ac:dyDescent="0.3">
      <c r="A11" s="89">
        <v>9</v>
      </c>
      <c r="B11" s="143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44">
        <v>1.2050000000000001</v>
      </c>
      <c r="J11" s="144">
        <v>2.5110000000000001</v>
      </c>
      <c r="K11" s="89" t="s">
        <v>554</v>
      </c>
      <c r="L11" s="144">
        <v>5143.7839999999997</v>
      </c>
      <c r="M11" s="145">
        <v>4268.7</v>
      </c>
      <c r="N11" s="146">
        <v>1.1857</v>
      </c>
      <c r="O11" s="147">
        <v>71.14</v>
      </c>
      <c r="P11" s="89">
        <v>2921.7</v>
      </c>
      <c r="Q11" s="89">
        <v>1</v>
      </c>
      <c r="R11" s="89">
        <v>1250</v>
      </c>
      <c r="S11" s="144">
        <v>1.2050000000000001</v>
      </c>
      <c r="T11" s="89">
        <v>45</v>
      </c>
      <c r="U11" s="146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48" customFormat="1" ht="25.05" customHeight="1" x14ac:dyDescent="0.3">
      <c r="A12" s="89">
        <v>10</v>
      </c>
      <c r="B12" s="143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44">
        <v>1.2050000000000001</v>
      </c>
      <c r="J12" s="144">
        <v>2.5910000000000002</v>
      </c>
      <c r="K12" s="89" t="s">
        <v>50</v>
      </c>
      <c r="L12" s="144">
        <v>4371.0169999999998</v>
      </c>
      <c r="M12" s="145">
        <v>3627.4</v>
      </c>
      <c r="N12" s="146">
        <v>1.0076000000000001</v>
      </c>
      <c r="O12" s="147">
        <v>60.46</v>
      </c>
      <c r="P12" s="89">
        <v>2482.6999999999998</v>
      </c>
      <c r="Q12" s="89">
        <v>1</v>
      </c>
      <c r="R12" s="89">
        <v>1250</v>
      </c>
      <c r="S12" s="144">
        <v>1.2050000000000001</v>
      </c>
      <c r="T12" s="89">
        <v>45</v>
      </c>
      <c r="U12" s="146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48" customFormat="1" ht="25.05" customHeight="1" x14ac:dyDescent="0.3">
      <c r="A15" s="89">
        <v>13</v>
      </c>
      <c r="B15" s="143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44">
        <v>0.97599999999999998</v>
      </c>
      <c r="J15" s="144">
        <v>2.331</v>
      </c>
      <c r="K15" s="89" t="s">
        <v>546</v>
      </c>
      <c r="L15" s="144">
        <v>2957.5729999999999</v>
      </c>
      <c r="M15" s="145">
        <v>3030.3</v>
      </c>
      <c r="N15" s="146">
        <v>0.8417</v>
      </c>
      <c r="O15" s="147">
        <v>50.5</v>
      </c>
      <c r="P15" s="89">
        <v>1591.2</v>
      </c>
      <c r="Q15" s="89">
        <v>1</v>
      </c>
      <c r="R15" s="89">
        <v>1000</v>
      </c>
      <c r="S15" s="144">
        <v>0.97599999999999998</v>
      </c>
      <c r="T15" s="89">
        <v>24</v>
      </c>
      <c r="U15" s="146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57" t="s">
        <v>529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483</v>
      </c>
      <c r="E3" s="126" t="s">
        <v>27</v>
      </c>
      <c r="F3" s="126">
        <v>262840</v>
      </c>
      <c r="G3" s="126" t="s">
        <v>528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527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zoomScale="175" zoomScaleNormal="175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59" t="s">
        <v>509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5" customFormat="1" ht="25.05" customHeight="1" x14ac:dyDescent="0.3">
      <c r="A3" s="129">
        <v>1</v>
      </c>
      <c r="B3" s="130" t="s">
        <v>58</v>
      </c>
      <c r="C3" s="129" t="s">
        <v>26</v>
      </c>
      <c r="D3" s="129" t="s">
        <v>466</v>
      </c>
      <c r="E3" s="129" t="s">
        <v>27</v>
      </c>
      <c r="F3" s="129">
        <v>262830</v>
      </c>
      <c r="G3" s="129" t="s">
        <v>504</v>
      </c>
      <c r="H3" s="129">
        <v>1100</v>
      </c>
      <c r="I3" s="131">
        <v>0.51700000000000002</v>
      </c>
      <c r="J3" s="131">
        <v>2.68</v>
      </c>
      <c r="K3" s="129" t="s">
        <v>508</v>
      </c>
      <c r="L3" s="131">
        <v>1524.116</v>
      </c>
      <c r="M3" s="132">
        <v>982.7</v>
      </c>
      <c r="N3" s="133">
        <v>9.0999999999999998E-2</v>
      </c>
      <c r="O3" s="134">
        <v>5.46</v>
      </c>
      <c r="P3" s="129">
        <v>820</v>
      </c>
      <c r="Q3" s="129">
        <v>3</v>
      </c>
      <c r="R3" s="129">
        <v>1600</v>
      </c>
      <c r="S3" s="131">
        <v>1.5509999999999999</v>
      </c>
      <c r="T3" s="129">
        <v>49</v>
      </c>
      <c r="U3" s="133">
        <v>3.0599999999999999E-2</v>
      </c>
      <c r="V3" s="129" t="s">
        <v>28</v>
      </c>
      <c r="W3" s="129" t="s">
        <v>29</v>
      </c>
      <c r="X3" s="129" t="s">
        <v>28</v>
      </c>
      <c r="Y3" s="129" t="s">
        <v>28</v>
      </c>
      <c r="Z3" s="129" t="s">
        <v>28</v>
      </c>
      <c r="AA3" s="129" t="s">
        <v>40</v>
      </c>
      <c r="AB3" s="129" t="s">
        <v>507</v>
      </c>
    </row>
    <row r="4" spans="1:28" s="135" customFormat="1" ht="25.05" customHeight="1" x14ac:dyDescent="0.3">
      <c r="A4" s="129">
        <v>2</v>
      </c>
      <c r="B4" s="130" t="s">
        <v>58</v>
      </c>
      <c r="C4" s="129" t="s">
        <v>26</v>
      </c>
      <c r="D4" s="129" t="s">
        <v>466</v>
      </c>
      <c r="E4" s="129" t="s">
        <v>27</v>
      </c>
      <c r="F4" s="129">
        <v>262832</v>
      </c>
      <c r="G4" s="129" t="s">
        <v>504</v>
      </c>
      <c r="H4" s="129">
        <v>660</v>
      </c>
      <c r="I4" s="131">
        <v>0.91200000000000003</v>
      </c>
      <c r="J4" s="131">
        <v>2.1</v>
      </c>
      <c r="K4" s="129" t="s">
        <v>506</v>
      </c>
      <c r="L4" s="131">
        <v>1264.0319999999999</v>
      </c>
      <c r="M4" s="132">
        <v>1386</v>
      </c>
      <c r="N4" s="133">
        <v>0.38500000000000001</v>
      </c>
      <c r="O4" s="134">
        <v>23.1</v>
      </c>
      <c r="P4" s="129">
        <v>680</v>
      </c>
      <c r="Q4" s="129">
        <v>1</v>
      </c>
      <c r="R4" s="129">
        <v>950</v>
      </c>
      <c r="S4" s="131">
        <v>0.91200000000000003</v>
      </c>
      <c r="T4" s="129">
        <v>38</v>
      </c>
      <c r="U4" s="133">
        <v>0.04</v>
      </c>
      <c r="V4" s="129" t="s">
        <v>28</v>
      </c>
      <c r="W4" s="129" t="s">
        <v>29</v>
      </c>
      <c r="X4" s="129" t="s">
        <v>28</v>
      </c>
      <c r="Y4" s="129" t="s">
        <v>28</v>
      </c>
      <c r="Z4" s="129" t="s">
        <v>28</v>
      </c>
      <c r="AA4" s="129" t="s">
        <v>31</v>
      </c>
      <c r="AB4" s="129" t="s">
        <v>505</v>
      </c>
    </row>
    <row r="5" spans="1:28" s="135" customFormat="1" ht="25.05" customHeight="1" x14ac:dyDescent="0.3">
      <c r="A5" s="129">
        <v>3</v>
      </c>
      <c r="B5" s="130" t="s">
        <v>58</v>
      </c>
      <c r="C5" s="129" t="s">
        <v>59</v>
      </c>
      <c r="D5" s="129" t="s">
        <v>466</v>
      </c>
      <c r="E5" s="129" t="s">
        <v>27</v>
      </c>
      <c r="F5" s="129">
        <v>262831</v>
      </c>
      <c r="G5" s="129" t="s">
        <v>504</v>
      </c>
      <c r="H5" s="129">
        <v>490</v>
      </c>
      <c r="I5" s="131">
        <v>1.0629999999999999</v>
      </c>
      <c r="J5" s="131">
        <v>1.93</v>
      </c>
      <c r="K5" s="129" t="s">
        <v>503</v>
      </c>
      <c r="L5" s="131">
        <v>1005.279</v>
      </c>
      <c r="M5" s="132">
        <v>945.7</v>
      </c>
      <c r="N5" s="133">
        <v>0.26269999999999999</v>
      </c>
      <c r="O5" s="134">
        <v>15.76</v>
      </c>
      <c r="P5" s="129">
        <v>325.7</v>
      </c>
      <c r="Q5" s="129">
        <v>1</v>
      </c>
      <c r="R5" s="129">
        <v>1100</v>
      </c>
      <c r="S5" s="131">
        <v>1.0629999999999999</v>
      </c>
      <c r="T5" s="129">
        <v>37</v>
      </c>
      <c r="U5" s="133">
        <v>3.3599999999999998E-2</v>
      </c>
      <c r="V5" s="129" t="s">
        <v>28</v>
      </c>
      <c r="W5" s="129" t="s">
        <v>28</v>
      </c>
      <c r="X5" s="129" t="s">
        <v>28</v>
      </c>
      <c r="Y5" s="129" t="s">
        <v>27</v>
      </c>
      <c r="Z5" s="129" t="s">
        <v>27</v>
      </c>
      <c r="AA5" s="129" t="s">
        <v>32</v>
      </c>
      <c r="AB5" s="129" t="s">
        <v>502</v>
      </c>
    </row>
    <row r="6" spans="1:28" s="135" customFormat="1" ht="25.05" customHeight="1" x14ac:dyDescent="0.3">
      <c r="A6" s="129">
        <v>4</v>
      </c>
      <c r="B6" s="130" t="s">
        <v>58</v>
      </c>
      <c r="C6" s="129" t="s">
        <v>35</v>
      </c>
      <c r="D6" s="129" t="s">
        <v>466</v>
      </c>
      <c r="E6" s="129" t="s">
        <v>27</v>
      </c>
      <c r="F6" s="129">
        <v>262833</v>
      </c>
      <c r="G6" s="129" t="s">
        <v>501</v>
      </c>
      <c r="H6" s="129">
        <v>550</v>
      </c>
      <c r="I6" s="131">
        <v>0.81100000000000005</v>
      </c>
      <c r="J6" s="131">
        <v>2.29</v>
      </c>
      <c r="K6" s="129" t="s">
        <v>500</v>
      </c>
      <c r="L6" s="131">
        <v>1021.455</v>
      </c>
      <c r="M6" s="132">
        <v>1259.5</v>
      </c>
      <c r="N6" s="133">
        <v>0.34989999999999999</v>
      </c>
      <c r="O6" s="134">
        <v>20.99</v>
      </c>
      <c r="P6" s="129">
        <v>321.8</v>
      </c>
      <c r="Q6" s="129">
        <v>1</v>
      </c>
      <c r="R6" s="129">
        <v>850</v>
      </c>
      <c r="S6" s="131">
        <v>0.81100000000000005</v>
      </c>
      <c r="T6" s="129">
        <v>39</v>
      </c>
      <c r="U6" s="133">
        <v>4.5900000000000003E-2</v>
      </c>
      <c r="V6" s="129" t="s">
        <v>28</v>
      </c>
      <c r="W6" s="129" t="s">
        <v>28</v>
      </c>
      <c r="X6" s="129" t="s">
        <v>28</v>
      </c>
      <c r="Y6" s="129" t="s">
        <v>27</v>
      </c>
      <c r="Z6" s="129" t="s">
        <v>27</v>
      </c>
      <c r="AA6" s="129" t="s">
        <v>32</v>
      </c>
      <c r="AB6" s="129" t="s">
        <v>499</v>
      </c>
    </row>
    <row r="7" spans="1:28" s="135" customFormat="1" ht="25.05" customHeight="1" x14ac:dyDescent="0.3">
      <c r="A7" s="136" t="s">
        <v>27</v>
      </c>
      <c r="B7" s="136" t="s">
        <v>27</v>
      </c>
      <c r="C7" s="136" t="s">
        <v>27</v>
      </c>
      <c r="D7" s="136" t="s">
        <v>27</v>
      </c>
      <c r="E7" s="136" t="s">
        <v>27</v>
      </c>
      <c r="F7" s="136" t="s">
        <v>27</v>
      </c>
      <c r="G7" s="136" t="s">
        <v>27</v>
      </c>
      <c r="H7" s="136">
        <v>2800</v>
      </c>
      <c r="I7" s="136" t="s">
        <v>27</v>
      </c>
      <c r="J7" s="136" t="s">
        <v>27</v>
      </c>
      <c r="K7" s="136" t="s">
        <v>27</v>
      </c>
      <c r="L7" s="136" t="s">
        <v>27</v>
      </c>
      <c r="M7" s="136" t="s">
        <v>27</v>
      </c>
      <c r="N7" s="136" t="s">
        <v>27</v>
      </c>
      <c r="O7" s="136" t="s">
        <v>27</v>
      </c>
      <c r="P7" s="136">
        <v>2147.5</v>
      </c>
      <c r="Q7" s="136" t="s">
        <v>27</v>
      </c>
      <c r="R7" s="136" t="s">
        <v>27</v>
      </c>
      <c r="S7" s="136" t="s">
        <v>27</v>
      </c>
      <c r="T7" s="136" t="s">
        <v>27</v>
      </c>
      <c r="U7" s="136" t="s">
        <v>27</v>
      </c>
      <c r="V7" s="136" t="s">
        <v>27</v>
      </c>
      <c r="W7" s="136" t="s">
        <v>27</v>
      </c>
      <c r="X7" s="136" t="s">
        <v>27</v>
      </c>
      <c r="Y7" s="136" t="s">
        <v>27</v>
      </c>
      <c r="Z7" s="136" t="s">
        <v>27</v>
      </c>
      <c r="AA7" s="136" t="s">
        <v>27</v>
      </c>
      <c r="AB7" s="136" t="s">
        <v>27</v>
      </c>
    </row>
    <row r="8" spans="1:28" s="135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0" t="s">
        <v>490</v>
      </c>
      <c r="B1" s="160" t="s">
        <v>27</v>
      </c>
      <c r="C1" s="160" t="s">
        <v>27</v>
      </c>
      <c r="D1" s="160" t="s">
        <v>27</v>
      </c>
      <c r="E1" s="160" t="s">
        <v>27</v>
      </c>
      <c r="F1" s="160" t="s">
        <v>27</v>
      </c>
      <c r="G1" s="160" t="s">
        <v>27</v>
      </c>
      <c r="H1" s="160" t="s">
        <v>27</v>
      </c>
      <c r="I1" s="160" t="s">
        <v>27</v>
      </c>
      <c r="J1" s="160" t="s">
        <v>27</v>
      </c>
      <c r="K1" s="160" t="s">
        <v>27</v>
      </c>
      <c r="L1" s="160" t="s">
        <v>27</v>
      </c>
      <c r="M1" s="160" t="s">
        <v>27</v>
      </c>
      <c r="N1" s="160" t="s">
        <v>27</v>
      </c>
      <c r="O1" s="160" t="s">
        <v>27</v>
      </c>
      <c r="P1" s="160" t="s">
        <v>27</v>
      </c>
      <c r="Q1" s="160" t="s">
        <v>27</v>
      </c>
      <c r="R1" s="160" t="s">
        <v>27</v>
      </c>
      <c r="S1" s="160" t="s">
        <v>27</v>
      </c>
      <c r="T1" s="160" t="s">
        <v>27</v>
      </c>
      <c r="U1" s="160" t="s">
        <v>27</v>
      </c>
      <c r="V1" s="160" t="s">
        <v>27</v>
      </c>
      <c r="W1" s="160" t="s">
        <v>27</v>
      </c>
      <c r="X1" s="160" t="s">
        <v>27</v>
      </c>
      <c r="Y1" s="160" t="s">
        <v>27</v>
      </c>
      <c r="Z1" s="160" t="s">
        <v>27</v>
      </c>
      <c r="AA1" s="160" t="s">
        <v>27</v>
      </c>
      <c r="AB1" s="160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460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56">
        <v>1.07</v>
      </c>
      <c r="K3" s="109" t="s">
        <v>495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496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483</v>
      </c>
      <c r="E4" s="112" t="s">
        <v>27</v>
      </c>
      <c r="F4" s="112">
        <v>262823</v>
      </c>
      <c r="G4" s="112" t="s">
        <v>489</v>
      </c>
      <c r="H4" s="112">
        <v>300</v>
      </c>
      <c r="I4" s="113">
        <v>0.36599999999999999</v>
      </c>
      <c r="J4" s="113">
        <v>1.57</v>
      </c>
      <c r="K4" s="112" t="s">
        <v>488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487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483</v>
      </c>
      <c r="E5" s="112" t="s">
        <v>27</v>
      </c>
      <c r="F5" s="112">
        <v>262824</v>
      </c>
      <c r="G5" s="112" t="s">
        <v>486</v>
      </c>
      <c r="H5" s="112">
        <v>350</v>
      </c>
      <c r="I5" s="113">
        <v>0.63900000000000001</v>
      </c>
      <c r="J5" s="113">
        <v>1.9019999999999999</v>
      </c>
      <c r="K5" s="112" t="s">
        <v>485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484</v>
      </c>
    </row>
    <row r="6" spans="1:28" s="51" customFormat="1" ht="25.05" customHeight="1" x14ac:dyDescent="0.3">
      <c r="A6" s="109">
        <v>4</v>
      </c>
      <c r="B6" s="111" t="s">
        <v>460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497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498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483</v>
      </c>
      <c r="E7" s="112" t="s">
        <v>27</v>
      </c>
      <c r="F7" s="112">
        <v>262825</v>
      </c>
      <c r="G7" s="112" t="s">
        <v>482</v>
      </c>
      <c r="H7" s="112">
        <v>1175</v>
      </c>
      <c r="I7" s="113">
        <v>0.49199999999999999</v>
      </c>
      <c r="J7" s="113">
        <v>0.87</v>
      </c>
      <c r="K7" s="112" t="s">
        <v>481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480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57" t="s">
        <v>479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1" t="s">
        <v>478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472</v>
      </c>
      <c r="C4" s="100" t="s">
        <v>35</v>
      </c>
      <c r="D4" s="100" t="s">
        <v>466</v>
      </c>
      <c r="E4" s="100" t="s">
        <v>27</v>
      </c>
      <c r="F4" s="100">
        <v>262800</v>
      </c>
      <c r="G4" s="100" t="s">
        <v>471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477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472</v>
      </c>
      <c r="C6" s="100" t="s">
        <v>35</v>
      </c>
      <c r="D6" s="107">
        <v>46297</v>
      </c>
      <c r="E6" s="100"/>
      <c r="F6" s="100">
        <v>262827</v>
      </c>
      <c r="G6" s="100" t="s">
        <v>493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494</v>
      </c>
    </row>
    <row r="7" spans="1:28" s="106" customFormat="1" ht="25.05" customHeight="1" x14ac:dyDescent="0.3">
      <c r="A7" s="100">
        <v>5</v>
      </c>
      <c r="B7" s="101" t="s">
        <v>467</v>
      </c>
      <c r="C7" s="100" t="s">
        <v>35</v>
      </c>
      <c r="D7" s="100" t="s">
        <v>466</v>
      </c>
      <c r="E7" s="100" t="s">
        <v>27</v>
      </c>
      <c r="F7" s="100">
        <v>262802</v>
      </c>
      <c r="G7" s="100" t="s">
        <v>465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476</v>
      </c>
    </row>
    <row r="8" spans="1:28" s="155" customFormat="1" ht="25.05" customHeight="1" x14ac:dyDescent="0.3">
      <c r="A8" s="149">
        <v>6</v>
      </c>
      <c r="B8" s="150" t="s">
        <v>463</v>
      </c>
      <c r="C8" s="149" t="s">
        <v>35</v>
      </c>
      <c r="D8" s="149" t="s">
        <v>404</v>
      </c>
      <c r="E8" s="149" t="s">
        <v>27</v>
      </c>
      <c r="F8" s="149">
        <v>262794</v>
      </c>
      <c r="G8" s="149" t="s">
        <v>462</v>
      </c>
      <c r="H8" s="149">
        <v>5000</v>
      </c>
      <c r="I8" s="151">
        <v>0.46</v>
      </c>
      <c r="J8" s="151">
        <v>0.92</v>
      </c>
      <c r="K8" s="149" t="s">
        <v>33</v>
      </c>
      <c r="L8" s="151">
        <v>2116</v>
      </c>
      <c r="M8" s="152">
        <v>1533.3</v>
      </c>
      <c r="N8" s="153">
        <v>0.14199999999999999</v>
      </c>
      <c r="O8" s="154">
        <v>8.52</v>
      </c>
      <c r="P8" s="149">
        <v>666.5</v>
      </c>
      <c r="Q8" s="149">
        <v>3</v>
      </c>
      <c r="R8" s="149">
        <v>1400</v>
      </c>
      <c r="S8" s="151">
        <v>1.38</v>
      </c>
      <c r="T8" s="149">
        <v>20</v>
      </c>
      <c r="U8" s="153">
        <v>1.43E-2</v>
      </c>
      <c r="V8" s="149" t="s">
        <v>28</v>
      </c>
      <c r="W8" s="149" t="s">
        <v>28</v>
      </c>
      <c r="X8" s="149" t="s">
        <v>28</v>
      </c>
      <c r="Y8" s="149" t="s">
        <v>27</v>
      </c>
      <c r="Z8" s="149" t="s">
        <v>27</v>
      </c>
      <c r="AA8" s="149" t="s">
        <v>31</v>
      </c>
      <c r="AB8" s="149" t="s">
        <v>475</v>
      </c>
    </row>
    <row r="9" spans="1:28" s="106" customFormat="1" ht="25.05" customHeight="1" x14ac:dyDescent="0.3">
      <c r="A9" s="100">
        <v>7</v>
      </c>
      <c r="B9" s="101" t="s">
        <v>467</v>
      </c>
      <c r="C9" s="100" t="s">
        <v>35</v>
      </c>
      <c r="D9" s="100" t="s">
        <v>466</v>
      </c>
      <c r="E9" s="100" t="s">
        <v>27</v>
      </c>
      <c r="F9" s="100">
        <v>262804</v>
      </c>
      <c r="G9" s="100" t="s">
        <v>465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472</v>
      </c>
      <c r="C10" s="100" t="s">
        <v>35</v>
      </c>
      <c r="D10" s="100" t="s">
        <v>466</v>
      </c>
      <c r="E10" s="100" t="s">
        <v>27</v>
      </c>
      <c r="F10" s="100">
        <v>262799</v>
      </c>
      <c r="G10" s="100" t="s">
        <v>471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474</v>
      </c>
    </row>
    <row r="11" spans="1:28" s="155" customFormat="1" ht="25.05" customHeight="1" x14ac:dyDescent="0.3">
      <c r="A11" s="149">
        <v>9</v>
      </c>
      <c r="B11" s="150" t="s">
        <v>463</v>
      </c>
      <c r="C11" s="149" t="s">
        <v>35</v>
      </c>
      <c r="D11" s="149" t="s">
        <v>404</v>
      </c>
      <c r="E11" s="149" t="s">
        <v>27</v>
      </c>
      <c r="F11" s="149">
        <v>262795</v>
      </c>
      <c r="G11" s="149" t="s">
        <v>462</v>
      </c>
      <c r="H11" s="149">
        <v>1000</v>
      </c>
      <c r="I11" s="151">
        <v>0.66</v>
      </c>
      <c r="J11" s="151">
        <v>0.82</v>
      </c>
      <c r="K11" s="149" t="s">
        <v>33</v>
      </c>
      <c r="L11" s="151">
        <v>541.20000000000005</v>
      </c>
      <c r="M11" s="152">
        <v>410</v>
      </c>
      <c r="N11" s="153">
        <v>5.6899999999999999E-2</v>
      </c>
      <c r="O11" s="154">
        <v>3.42</v>
      </c>
      <c r="P11" s="149">
        <v>170.5</v>
      </c>
      <c r="Q11" s="149">
        <v>2</v>
      </c>
      <c r="R11" s="149">
        <v>1350</v>
      </c>
      <c r="S11" s="151">
        <v>1.32</v>
      </c>
      <c r="T11" s="149">
        <v>30</v>
      </c>
      <c r="U11" s="153">
        <v>2.2200000000000001E-2</v>
      </c>
      <c r="V11" s="149" t="s">
        <v>28</v>
      </c>
      <c r="W11" s="149" t="s">
        <v>28</v>
      </c>
      <c r="X11" s="149" t="s">
        <v>28</v>
      </c>
      <c r="Y11" s="149" t="s">
        <v>27</v>
      </c>
      <c r="Z11" s="149" t="s">
        <v>27</v>
      </c>
      <c r="AA11" s="149" t="s">
        <v>38</v>
      </c>
      <c r="AB11" s="149" t="s">
        <v>473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472</v>
      </c>
      <c r="C13" s="100" t="s">
        <v>35</v>
      </c>
      <c r="D13" s="100" t="s">
        <v>466</v>
      </c>
      <c r="E13" s="100" t="s">
        <v>27</v>
      </c>
      <c r="F13" s="100">
        <v>262798</v>
      </c>
      <c r="G13" s="100" t="s">
        <v>471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470</v>
      </c>
    </row>
    <row r="14" spans="1:28" s="106" customFormat="1" ht="25.05" customHeight="1" x14ac:dyDescent="0.3">
      <c r="A14" s="100">
        <v>12</v>
      </c>
      <c r="B14" s="101" t="s">
        <v>467</v>
      </c>
      <c r="C14" s="100" t="s">
        <v>35</v>
      </c>
      <c r="D14" s="100" t="s">
        <v>466</v>
      </c>
      <c r="E14" s="100" t="s">
        <v>27</v>
      </c>
      <c r="F14" s="100">
        <v>262803</v>
      </c>
      <c r="G14" s="100" t="s">
        <v>465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469</v>
      </c>
    </row>
    <row r="15" spans="1:28" s="155" customFormat="1" ht="25.05" customHeight="1" x14ac:dyDescent="0.3">
      <c r="A15" s="149">
        <v>13</v>
      </c>
      <c r="B15" s="150" t="s">
        <v>463</v>
      </c>
      <c r="C15" s="149" t="s">
        <v>35</v>
      </c>
      <c r="D15" s="149" t="s">
        <v>404</v>
      </c>
      <c r="E15" s="149" t="s">
        <v>27</v>
      </c>
      <c r="F15" s="149">
        <v>262797</v>
      </c>
      <c r="G15" s="149" t="s">
        <v>462</v>
      </c>
      <c r="H15" s="149">
        <v>500</v>
      </c>
      <c r="I15" s="151">
        <v>0.59</v>
      </c>
      <c r="J15" s="151">
        <v>0.88</v>
      </c>
      <c r="K15" s="149" t="s">
        <v>33</v>
      </c>
      <c r="L15" s="151">
        <v>259.60000000000002</v>
      </c>
      <c r="M15" s="152">
        <v>220</v>
      </c>
      <c r="N15" s="153">
        <v>3.0599999999999999E-2</v>
      </c>
      <c r="O15" s="154">
        <v>1.83</v>
      </c>
      <c r="P15" s="149">
        <v>81.8</v>
      </c>
      <c r="Q15" s="149">
        <v>2</v>
      </c>
      <c r="R15" s="149">
        <v>1200</v>
      </c>
      <c r="S15" s="151">
        <v>1.18</v>
      </c>
      <c r="T15" s="149">
        <v>20</v>
      </c>
      <c r="U15" s="153">
        <v>1.67E-2</v>
      </c>
      <c r="V15" s="149" t="s">
        <v>28</v>
      </c>
      <c r="W15" s="149" t="s">
        <v>28</v>
      </c>
      <c r="X15" s="149" t="s">
        <v>28</v>
      </c>
      <c r="Y15" s="149" t="s">
        <v>27</v>
      </c>
      <c r="Z15" s="149" t="s">
        <v>27</v>
      </c>
      <c r="AA15" s="149" t="s">
        <v>38</v>
      </c>
      <c r="AB15" s="149" t="s">
        <v>468</v>
      </c>
    </row>
    <row r="16" spans="1:28" s="106" customFormat="1" ht="25.05" customHeight="1" x14ac:dyDescent="0.3">
      <c r="A16" s="100">
        <v>14</v>
      </c>
      <c r="B16" s="101" t="s">
        <v>467</v>
      </c>
      <c r="C16" s="100" t="s">
        <v>35</v>
      </c>
      <c r="D16" s="100" t="s">
        <v>466</v>
      </c>
      <c r="E16" s="100" t="s">
        <v>27</v>
      </c>
      <c r="F16" s="100">
        <v>262801</v>
      </c>
      <c r="G16" s="100" t="s">
        <v>465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464</v>
      </c>
    </row>
    <row r="17" spans="1:28" s="155" customFormat="1" ht="25.05" customHeight="1" x14ac:dyDescent="0.3">
      <c r="A17" s="149">
        <v>15</v>
      </c>
      <c r="B17" s="150" t="s">
        <v>463</v>
      </c>
      <c r="C17" s="149" t="s">
        <v>35</v>
      </c>
      <c r="D17" s="149" t="s">
        <v>404</v>
      </c>
      <c r="E17" s="149" t="s">
        <v>27</v>
      </c>
      <c r="F17" s="149">
        <v>262796</v>
      </c>
      <c r="G17" s="149" t="s">
        <v>462</v>
      </c>
      <c r="H17" s="149">
        <v>1000</v>
      </c>
      <c r="I17" s="151">
        <v>0.56000000000000005</v>
      </c>
      <c r="J17" s="151">
        <v>0.62</v>
      </c>
      <c r="K17" s="149" t="s">
        <v>33</v>
      </c>
      <c r="L17" s="151">
        <v>347.2</v>
      </c>
      <c r="M17" s="152">
        <v>310</v>
      </c>
      <c r="N17" s="153">
        <v>4.3099999999999999E-2</v>
      </c>
      <c r="O17" s="154">
        <v>2.58</v>
      </c>
      <c r="P17" s="149">
        <v>109.4</v>
      </c>
      <c r="Q17" s="149">
        <v>2</v>
      </c>
      <c r="R17" s="149">
        <v>1150</v>
      </c>
      <c r="S17" s="151">
        <v>1.1200000000000001</v>
      </c>
      <c r="T17" s="149">
        <v>30</v>
      </c>
      <c r="U17" s="153">
        <v>2.6100000000000002E-2</v>
      </c>
      <c r="V17" s="149" t="s">
        <v>28</v>
      </c>
      <c r="W17" s="149" t="s">
        <v>28</v>
      </c>
      <c r="X17" s="149" t="s">
        <v>28</v>
      </c>
      <c r="Y17" s="149" t="s">
        <v>27</v>
      </c>
      <c r="Z17" s="149" t="s">
        <v>27</v>
      </c>
      <c r="AA17" s="149" t="s">
        <v>38</v>
      </c>
      <c r="AB17" s="149" t="s">
        <v>461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472</v>
      </c>
      <c r="C20" s="100" t="s">
        <v>35</v>
      </c>
      <c r="D20" s="107">
        <v>46296</v>
      </c>
      <c r="E20" s="100"/>
      <c r="F20" s="100">
        <v>262826</v>
      </c>
      <c r="G20" s="100" t="s">
        <v>491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42" t="s">
        <v>90</v>
      </c>
      <c r="C5" s="137" t="s">
        <v>44</v>
      </c>
      <c r="D5" s="137" t="s">
        <v>483</v>
      </c>
      <c r="E5" s="137" t="s">
        <v>27</v>
      </c>
      <c r="F5" s="137">
        <v>262837</v>
      </c>
      <c r="G5" s="137" t="s">
        <v>512</v>
      </c>
      <c r="H5" s="137">
        <v>140</v>
      </c>
      <c r="I5" s="139">
        <v>1.494</v>
      </c>
      <c r="J5" s="139">
        <v>2.2309999999999999</v>
      </c>
      <c r="K5" s="137" t="s">
        <v>511</v>
      </c>
      <c r="L5" s="139">
        <v>466.63600000000002</v>
      </c>
      <c r="M5" s="141">
        <v>312.3</v>
      </c>
      <c r="N5" s="138">
        <v>8.6800000000000002E-2</v>
      </c>
      <c r="O5" s="140">
        <v>5.21</v>
      </c>
      <c r="P5" s="137">
        <v>265</v>
      </c>
      <c r="Q5" s="137">
        <v>1</v>
      </c>
      <c r="R5" s="137">
        <v>1550</v>
      </c>
      <c r="S5" s="139">
        <v>1.494</v>
      </c>
      <c r="T5" s="137">
        <v>56</v>
      </c>
      <c r="U5" s="138">
        <v>3.61E-2</v>
      </c>
      <c r="V5" s="137" t="s">
        <v>34</v>
      </c>
      <c r="W5" s="137" t="s">
        <v>39</v>
      </c>
      <c r="X5" s="137" t="s">
        <v>34</v>
      </c>
      <c r="Y5" s="137" t="s">
        <v>34</v>
      </c>
      <c r="Z5" s="137" t="s">
        <v>34</v>
      </c>
      <c r="AA5" s="137" t="s">
        <v>38</v>
      </c>
      <c r="AB5" s="137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572</v>
      </c>
    </row>
    <row r="11" spans="1:28" s="98" customFormat="1" ht="25.05" customHeight="1" x14ac:dyDescent="0.3">
      <c r="A11" s="45">
        <v>9</v>
      </c>
      <c r="B11" s="142" t="s">
        <v>90</v>
      </c>
      <c r="C11" s="137" t="s">
        <v>35</v>
      </c>
      <c r="D11" s="137" t="s">
        <v>483</v>
      </c>
      <c r="E11" s="137" t="s">
        <v>27</v>
      </c>
      <c r="F11" s="137">
        <v>262839</v>
      </c>
      <c r="G11" s="137" t="s">
        <v>515</v>
      </c>
      <c r="H11" s="137">
        <v>150</v>
      </c>
      <c r="I11" s="139">
        <v>1.3160000000000001</v>
      </c>
      <c r="J11" s="139">
        <v>1.244</v>
      </c>
      <c r="K11" s="137" t="s">
        <v>514</v>
      </c>
      <c r="L11" s="139">
        <v>245.566</v>
      </c>
      <c r="M11" s="141">
        <v>186.6</v>
      </c>
      <c r="N11" s="138">
        <v>5.1799999999999999E-2</v>
      </c>
      <c r="O11" s="140">
        <v>3.11</v>
      </c>
      <c r="P11" s="137">
        <v>77.400000000000006</v>
      </c>
      <c r="Q11" s="137">
        <v>1</v>
      </c>
      <c r="R11" s="137">
        <v>1350</v>
      </c>
      <c r="S11" s="139">
        <v>1.3160000000000001</v>
      </c>
      <c r="T11" s="137">
        <v>34</v>
      </c>
      <c r="U11" s="138">
        <v>2.52E-2</v>
      </c>
      <c r="V11" s="137" t="s">
        <v>28</v>
      </c>
      <c r="W11" s="137" t="s">
        <v>28</v>
      </c>
      <c r="X11" s="137" t="s">
        <v>28</v>
      </c>
      <c r="Y11" s="137" t="s">
        <v>27</v>
      </c>
      <c r="Z11" s="137" t="s">
        <v>27</v>
      </c>
      <c r="AA11" s="137" t="s">
        <v>38</v>
      </c>
      <c r="AB11" s="137" t="s">
        <v>513</v>
      </c>
    </row>
    <row r="12" spans="1:28" s="98" customFormat="1" ht="25.05" customHeight="1" x14ac:dyDescent="0.3">
      <c r="A12" s="45">
        <v>10</v>
      </c>
      <c r="B12" s="142" t="s">
        <v>90</v>
      </c>
      <c r="C12" s="137" t="s">
        <v>35</v>
      </c>
      <c r="D12" s="137" t="s">
        <v>483</v>
      </c>
      <c r="E12" s="137" t="s">
        <v>27</v>
      </c>
      <c r="F12" s="137">
        <v>262835</v>
      </c>
      <c r="G12" s="137" t="s">
        <v>518</v>
      </c>
      <c r="H12" s="137">
        <v>500</v>
      </c>
      <c r="I12" s="139">
        <v>0.6</v>
      </c>
      <c r="J12" s="139">
        <v>2.367</v>
      </c>
      <c r="K12" s="137" t="s">
        <v>517</v>
      </c>
      <c r="L12" s="139">
        <v>710.1</v>
      </c>
      <c r="M12" s="141">
        <v>591.79999999999995</v>
      </c>
      <c r="N12" s="138">
        <v>8.2199999999999995E-2</v>
      </c>
      <c r="O12" s="140">
        <v>4.93</v>
      </c>
      <c r="P12" s="137">
        <v>223.7</v>
      </c>
      <c r="Q12" s="137">
        <v>2</v>
      </c>
      <c r="R12" s="137">
        <v>1250</v>
      </c>
      <c r="S12" s="139">
        <v>1.2</v>
      </c>
      <c r="T12" s="137">
        <v>50</v>
      </c>
      <c r="U12" s="138">
        <v>0.04</v>
      </c>
      <c r="V12" s="137" t="s">
        <v>28</v>
      </c>
      <c r="W12" s="137" t="s">
        <v>28</v>
      </c>
      <c r="X12" s="137" t="s">
        <v>28</v>
      </c>
      <c r="Y12" s="137" t="s">
        <v>27</v>
      </c>
      <c r="Z12" s="137" t="s">
        <v>27</v>
      </c>
      <c r="AA12" s="137" t="s">
        <v>32</v>
      </c>
      <c r="AB12" s="137" t="s">
        <v>516</v>
      </c>
    </row>
    <row r="13" spans="1:28" s="98" customFormat="1" ht="25.05" customHeight="1" x14ac:dyDescent="0.3">
      <c r="A13" s="45">
        <v>11</v>
      </c>
      <c r="B13" s="142" t="s">
        <v>90</v>
      </c>
      <c r="C13" s="137" t="s">
        <v>35</v>
      </c>
      <c r="D13" s="137" t="s">
        <v>483</v>
      </c>
      <c r="E13" s="137" t="s">
        <v>27</v>
      </c>
      <c r="F13" s="137">
        <v>262834</v>
      </c>
      <c r="G13" s="137" t="s">
        <v>521</v>
      </c>
      <c r="H13" s="137">
        <v>200</v>
      </c>
      <c r="I13" s="139">
        <v>1.1100000000000001</v>
      </c>
      <c r="J13" s="139">
        <v>2.3029999999999999</v>
      </c>
      <c r="K13" s="137" t="s">
        <v>520</v>
      </c>
      <c r="L13" s="139">
        <v>511.26600000000002</v>
      </c>
      <c r="M13" s="141">
        <v>460.6</v>
      </c>
      <c r="N13" s="138">
        <v>0.12790000000000001</v>
      </c>
      <c r="O13" s="140">
        <v>7.68</v>
      </c>
      <c r="P13" s="137">
        <v>161</v>
      </c>
      <c r="Q13" s="137">
        <v>1</v>
      </c>
      <c r="R13" s="137">
        <v>1150</v>
      </c>
      <c r="S13" s="139">
        <v>1.1100000000000001</v>
      </c>
      <c r="T13" s="137">
        <v>40</v>
      </c>
      <c r="U13" s="138">
        <v>3.4799999999999998E-2</v>
      </c>
      <c r="V13" s="137" t="s">
        <v>28</v>
      </c>
      <c r="W13" s="137" t="s">
        <v>28</v>
      </c>
      <c r="X13" s="137" t="s">
        <v>28</v>
      </c>
      <c r="Y13" s="137" t="s">
        <v>27</v>
      </c>
      <c r="Z13" s="137" t="s">
        <v>27</v>
      </c>
      <c r="AA13" s="137" t="s">
        <v>38</v>
      </c>
      <c r="AB13" s="137" t="s">
        <v>519</v>
      </c>
    </row>
    <row r="14" spans="1:28" s="98" customFormat="1" ht="25.05" customHeight="1" x14ac:dyDescent="0.3">
      <c r="A14" s="45">
        <v>12</v>
      </c>
      <c r="B14" s="142" t="s">
        <v>90</v>
      </c>
      <c r="C14" s="137" t="s">
        <v>35</v>
      </c>
      <c r="D14" s="137" t="s">
        <v>483</v>
      </c>
      <c r="E14" s="137" t="s">
        <v>27</v>
      </c>
      <c r="F14" s="137">
        <v>262838</v>
      </c>
      <c r="G14" s="137" t="s">
        <v>524</v>
      </c>
      <c r="H14" s="137">
        <v>1200</v>
      </c>
      <c r="I14" s="139">
        <v>0.99299999999999999</v>
      </c>
      <c r="J14" s="139">
        <v>0.627</v>
      </c>
      <c r="K14" s="137" t="s">
        <v>523</v>
      </c>
      <c r="L14" s="139">
        <v>747.13300000000004</v>
      </c>
      <c r="M14" s="141">
        <v>752.4</v>
      </c>
      <c r="N14" s="138">
        <v>0.20899999999999999</v>
      </c>
      <c r="O14" s="140">
        <v>12.54</v>
      </c>
      <c r="P14" s="137">
        <v>235.3</v>
      </c>
      <c r="Q14" s="137">
        <v>1</v>
      </c>
      <c r="R14" s="137">
        <v>1050</v>
      </c>
      <c r="S14" s="139">
        <v>0.99299999999999999</v>
      </c>
      <c r="T14" s="137">
        <v>57</v>
      </c>
      <c r="U14" s="138">
        <v>5.4300000000000001E-2</v>
      </c>
      <c r="V14" s="137" t="s">
        <v>28</v>
      </c>
      <c r="W14" s="137" t="s">
        <v>28</v>
      </c>
      <c r="X14" s="137" t="s">
        <v>28</v>
      </c>
      <c r="Y14" s="137" t="s">
        <v>27</v>
      </c>
      <c r="Z14" s="137" t="s">
        <v>27</v>
      </c>
      <c r="AA14" s="137" t="s">
        <v>38</v>
      </c>
      <c r="AB14" s="137" t="s">
        <v>522</v>
      </c>
    </row>
    <row r="15" spans="1:28" s="98" customFormat="1" ht="25.05" customHeight="1" x14ac:dyDescent="0.3">
      <c r="A15" s="45">
        <v>13</v>
      </c>
      <c r="B15" s="142" t="s">
        <v>90</v>
      </c>
      <c r="C15" s="137" t="s">
        <v>35</v>
      </c>
      <c r="D15" s="137" t="s">
        <v>483</v>
      </c>
      <c r="E15" s="137" t="s">
        <v>27</v>
      </c>
      <c r="F15" s="137">
        <v>262836</v>
      </c>
      <c r="G15" s="137" t="s">
        <v>526</v>
      </c>
      <c r="H15" s="137">
        <v>800</v>
      </c>
      <c r="I15" s="139">
        <v>1</v>
      </c>
      <c r="J15" s="139">
        <v>3.4</v>
      </c>
      <c r="K15" s="137" t="s">
        <v>33</v>
      </c>
      <c r="L15" s="139">
        <v>2720</v>
      </c>
      <c r="M15" s="141">
        <v>2720</v>
      </c>
      <c r="N15" s="138">
        <v>0.75560000000000005</v>
      </c>
      <c r="O15" s="140">
        <v>45.33</v>
      </c>
      <c r="P15" s="137">
        <v>856.8</v>
      </c>
      <c r="Q15" s="137">
        <v>1</v>
      </c>
      <c r="R15" s="137">
        <v>1050</v>
      </c>
      <c r="S15" s="139">
        <v>1</v>
      </c>
      <c r="T15" s="137">
        <v>50</v>
      </c>
      <c r="U15" s="138">
        <v>4.7600000000000003E-2</v>
      </c>
      <c r="V15" s="137" t="s">
        <v>28</v>
      </c>
      <c r="W15" s="137" t="s">
        <v>28</v>
      </c>
      <c r="X15" s="137" t="s">
        <v>28</v>
      </c>
      <c r="Y15" s="137" t="s">
        <v>27</v>
      </c>
      <c r="Z15" s="137" t="s">
        <v>27</v>
      </c>
      <c r="AA15" s="137" t="s">
        <v>32</v>
      </c>
      <c r="AB15" s="137" t="s">
        <v>525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262737</v>
      </c>
      <c r="G16" s="45" t="s">
        <v>379</v>
      </c>
      <c r="H16" s="45">
        <v>600</v>
      </c>
      <c r="I16" s="47">
        <v>0.47</v>
      </c>
      <c r="J16" s="47">
        <v>1.7869999999999999</v>
      </c>
      <c r="K16" s="45" t="s">
        <v>384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383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262739</v>
      </c>
      <c r="G17" s="45" t="s">
        <v>379</v>
      </c>
      <c r="H17" s="45">
        <v>300</v>
      </c>
      <c r="I17" s="47">
        <v>0.86</v>
      </c>
      <c r="J17" s="47">
        <v>1.8029999999999999</v>
      </c>
      <c r="K17" s="45" t="s">
        <v>382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381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380</v>
      </c>
      <c r="E18" s="45" t="s">
        <v>27</v>
      </c>
      <c r="F18" s="45">
        <v>262738</v>
      </c>
      <c r="G18" s="45" t="s">
        <v>379</v>
      </c>
      <c r="H18" s="45">
        <v>600</v>
      </c>
      <c r="I18" s="47">
        <v>0.39</v>
      </c>
      <c r="J18" s="47">
        <v>1.7829999999999999</v>
      </c>
      <c r="K18" s="45" t="s">
        <v>378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377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58" t="s">
        <v>376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1" t="s">
        <v>364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58" t="s">
        <v>247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tabSelected="1"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234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65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57" t="s">
        <v>181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7" t="s">
        <v>173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1" t="s">
        <v>123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3" t="s">
        <v>105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4" t="s">
        <v>80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IPE EMBALAGENS LTDA 1254</vt:lpstr>
      <vt:lpstr>RR STELLA 1253</vt:lpstr>
      <vt:lpstr>FAVINCO EMBALAGENS 1252</vt:lpstr>
      <vt:lpstr>DR EMBALAGENS 1250</vt:lpstr>
      <vt:lpstr>HARMONY EMBALAGENS 1249 P</vt:lpstr>
      <vt:lpstr>FAVINCO 1248 AMOSTRA</vt:lpstr>
      <vt:lpstr>ABAPEL 1246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2026-10-05T17:11:58Z</cp:lastPrinted>
  <dcterms:created xsi:type="dcterms:W3CDTF">2026-07-02T17:42:15Z</dcterms:created>
  <dcterms:modified xsi:type="dcterms:W3CDTF">2026-10-05T17:14:06Z</dcterms:modified>
</cp:coreProperties>
</file>