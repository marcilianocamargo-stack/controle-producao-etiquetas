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22D6158-3CF4-4EB9-B99D-68AFF3481CA6}" xr6:coauthVersionLast="47" xr6:coauthVersionMax="47" xr10:uidLastSave="{00000000-0000-0000-0000-000000000000}"/>
  <bookViews>
    <workbookView xWindow="-38510" yWindow="-10830" windowWidth="38620" windowHeight="21100" firstSheet="3" activeTab="9" xr2:uid="{00000000-000D-0000-FFFF-FFFF00000000}"/>
  </bookViews>
  <sheets>
    <sheet name="PCBOX  - IPE 1266 P" sheetId="191" r:id="rId1"/>
    <sheet name="Tolecaixas 1264" sheetId="190" r:id="rId2"/>
    <sheet name="RM Embalagens 1263 P" sheetId="189" r:id="rId3"/>
    <sheet name="HARMONY EMBALAGENS 1262 P" sheetId="188" r:id="rId4"/>
    <sheet name="HARMONY EMBALAGENS 1260" sheetId="187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7" i="191" l="1"/>
  <c r="Q17" i="191"/>
  <c r="P9" i="175"/>
  <c r="H9" i="175"/>
  <c r="R7" i="180"/>
  <c r="H7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<sst xmlns="http://schemas.openxmlformats.org/spreadsheetml/2006/main" count="7084" uniqueCount="698">
  <si>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</si>
  <si>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</si>
  <si>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</si>
  <si>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</si>
  <si>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</si>
  <si>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</si>
  <si>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</si>
  <si>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</si>
  <si>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</si>
  <si>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</si>
  <si>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</si>
  <si>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</si>
  <si>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</si>
  <si>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</si>
  <si>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</si>
  <si>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</si>
  <si>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</si>
  <si>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</si>
  <si>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</si>
  <si>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</si>
  <si>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</si>
  <si>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</si>
  <si>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</si>
  <si>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</si>
  <si>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</si>
  <si>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</si>
  <si>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</si>
  <si>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</si>
  <si>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</si>
  <si>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</si>
  <si>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</si>
  <si>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</si>
  <si>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</si>
  <si>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</si>
  <si>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</si>
  <si>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</si>
  <si>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</si>
  <si>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</si>
  <si>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</si>
  <si>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</si>
  <si>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</si>
  <si>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</si>
  <si>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</si>
  <si>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</si>
  <si>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</si>
  <si>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</si>
  <si>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</si>
  <si>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</si>
  <si>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</si>
  <si>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</si>
  <si>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</si>
  <si>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</si>
  <si>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</si>
  <si>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</si>
  <si>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</si>
  <si>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</si>
  <si>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</si>
  <si>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</si>
  <si>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</si>
  <si>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</si>
  <si>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</si>
  <si>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</si>
  <si>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</si>
  <si>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</si>
  <si>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</si>
  <si>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</si>
  <si>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</si>
  <si>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</si>
  <si>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</si>
  <si>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</si>
  <si>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</si>
  <si>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</si>
  <si>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</si>
  <si>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</si>
  <si>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</si>
  <si>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</si>
  <si>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</si>
  <si>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</si>
  <si>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</si>
  <si>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</si>
  <si>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</si>
  <si>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</si>
  <si>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</si>
  <si>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</si>
  <si>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</si>
  <si>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</si>
  <si>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</si>
  <si>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</si>
  <si>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</si>
  <si>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</si>
  <si>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</si>
  <si>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</si>
  <si>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</si>
  <si>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</si>
  <si>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</si>
  <si>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</si>
  <si>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</si>
  <si>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</si>
  <si>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</si>
  <si>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</si>
  <si>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</si>
  <si>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</si>
  <si>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</si>
  <si>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</si>
  <si>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</si>
  <si>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</si>
  <si>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</si>
  <si>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</si>
  <si>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</si>
  <si>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</si>
  <si>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</si>
  <si>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</si>
  <si>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</si>
  <si>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</si>
  <si>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</si>
  <si>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</si>
  <si>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</si>
  <si>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</si>
  <si>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</si>
  <si>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</si>
  <si>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</si>
  <si>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</si>
  <si>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</si>
  <si>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</si>
  <si>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</si>
  <si>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</si>
  <si>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</si>
  <si>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</si>
  <si>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</si>
  <si>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</si>
  <si>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</si>
  <si>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</si>
  <si>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</si>
  <si>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</si>
  <si>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</si>
  <si>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</si>
  <si>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</si>
  <si>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</si>
  <si>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</si>
  <si>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</si>
  <si>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</si>
  <si>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</si>
  <si>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</si>
  <si>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</si>
  <si>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</si>
  <si>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</si>
  <si>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</si>
  <si>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</si>
  <si>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</si>
  <si>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</si>
  <si>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</si>
  <si>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</si>
  <si>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</si>
  <si>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</si>
  <si>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</si>
  <si>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</si>
  <si>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</si>
  <si>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</si>
  <si>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</si>
  <si>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</si>
  <si>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</si>
  <si>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</si>
  <si>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</si>
  <si>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</si>
  <si>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</si>
  <si>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</si>
  <si>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</si>
  <si>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</si>
  <si>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</si>
  <si>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</si>
  <si>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</si>
  <si>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</si>
  <si>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</si>
  <si>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</si>
  <si>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</si>
  <si>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</si>
  <si>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</si>
  <si>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</si>
  <si>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</si>
  <si>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</si>
  <si>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</si>
  <si>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</si>
  <si>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</si>
  <si>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</si>
  <si>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</si>
  <si>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</si>
  <si>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</si>
  <si>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</si>
  <si>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</si>
  <si>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</si>
  <si>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</si>
  <si>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</si>
  <si>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</si>
  <si>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</si>
  <si>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</si>
  <si>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</si>
  <si>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</si>
  <si>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</si>
  <si>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</si>
  <si>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</si>
  <si>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</si>
  <si>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</si>
  <si>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</si>
  <si>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</si>
  <si>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</si>
  <si>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</si>
  <si>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</si>
  <si>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</si>
  <si>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</si>
  <si>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</si>
  <si>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</si>
  <si>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</si>
  <si>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</si>
  <si>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</si>
  <si>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</si>
  <si>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</si>
  <si>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</si>
  <si>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</si>
  <si>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</si>
  <si>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</si>
  <si>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</si>
  <si>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</si>
  <si>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</si>
  <si>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</si>
  <si>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</si>
  <si>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</si>
  <si>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</si>
  <si>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</si>
  <si>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</si>
  <si>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</si>
  <si>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</si>
  <si>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</si>
  <si>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</si>
  <si>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</si>
  <si>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</si>
  <si>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</si>
  <si>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</si>
  <si>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</si>
  <si>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</si>
  <si>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</si>
  <si>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</si>
  <si>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</si>
  <si>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</si>
  <si>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</si>
  <si>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</si>
  <si>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</si>
  <si>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</si>
  <si>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</si>
  <si>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</si>
  <si>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</si>
  <si>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</si>
  <si>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</si>
  <si>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</si>
  <si>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</si>
  <si>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</si>
  <si>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</si>
  <si>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</si>
  <si>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</si>
  <si>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</si>
  <si>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</si>
  <si>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</si>
  <si>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</si>
  <si>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</si>
  <si>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</si>
  <si>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</si>
  <si>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</si>
  <si>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</si>
  <si>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</si>
  <si>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</si>
  <si>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</si>
  <si>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</si>
  <si>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</si>
  <si>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</si>
  <si>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</si>
  <si>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</si>
  <si>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</si>
  <si>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</si>
  <si>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</si>
  <si>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</si>
  <si>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</si>
  <si>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</si>
  <si>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</si>
  <si>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</si>
  <si>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</si>
  <si>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</si>
  <si>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</si>
  <si>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</si>
  <si>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</si>
  <si>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</si>
  <si>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</si>
  <si>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</si>
  <si>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</si>
  <si>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</si>
  <si>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</si>
  <si>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</si>
  <si>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</si>
  <si>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</si>
  <si>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</si>
  <si>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</si>
  <si>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</si>
  <si>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</si>
  <si>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</si>
  <si>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</si>
  <si>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</si>
  <si>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</si>
  <si>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</si>
  <si>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</si>
  <si>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</si>
  <si>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</si>
  <si>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</si>
  <si>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</si>
  <si>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</si>
  <si>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</si>
  <si>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</si>
  <si>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</si>
  <si>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</si>
  <si>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</si>
  <si>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</si>
  <si>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</si>
  <si>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</si>
  <si>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</si>
  <si>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</si>
  <si>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</si>
  <si>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</si>
  <si>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</si>
  <si>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</si>
  <si>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</si>
  <si>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</si>
  <si>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</si>
  <si>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</si>
  <si>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</si>
  <si>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</si>
  <si>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</si>
  <si>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</si>
  <si>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</si>
  <si>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</si>
  <si>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</si>
  <si>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</si>
  <si>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</si>
  <si>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</si>
  <si>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</si>
  <si>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</si>
  <si>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</si>
  <si>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</si>
  <si>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</si>
  <si>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</si>
  <si>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</si>
  <si>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</si>
  <si>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</si>
  <si>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</si>
  <si>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</si>
  <si>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</si>
  <si>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</si>
  <si>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</si>
  <si>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</si>
  <si>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</si>
  <si>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</si>
  <si>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</si>
  <si>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</si>
  <si>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</si>
  <si>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</si>
  <si>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</si>
  <si>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</si>
  <si>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</si>
  <si>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</si>
  <si>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</si>
  <si>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</si>
  <si>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</si>
  <si>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</si>
  <si>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</si>
  <si>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</si>
  <si>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</si>
  <si>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</si>
  <si>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</si>
  <si>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</si>
  <si>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</si>
  <si>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</si>
  <si>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</si>
  <si>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</si>
  <si>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</si>
  <si>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</si>
  <si>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</si>
  <si>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</si>
  <si>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</si>
  <si>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</si>
  <si>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</si>
  <si>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</si>
  <si>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</si>
  <si>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</si>
  <si>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</si>
  <si>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</si>
  <si>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</si>
  <si>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</si>
  <si>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</si>
  <si>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</si>
  <si>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</si>
  <si>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</si>
  <si>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</si>
  <si>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</si>
  <si>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</si>
  <si>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</si>
  <si>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</si>
  <si>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</si>
  <si>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</si>
  <si>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</si>
  <si>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</si>
  <si>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</si>
  <si>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</si>
  <si>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</si>
  <si>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</si>
  <si>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</si>
  <si>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</si>
  <si>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</si>
  <si>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</si>
  <si>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</si>
  <si>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</si>
  <si>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</si>
  <si>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</si>
  <si>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</si>
  <si>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</si>
  <si>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</si>
  <si>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</si>
  <si>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</si>
  <si>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</si>
  <si>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</si>
  <si>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</si>
  <si>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</si>
  <si>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</si>
  <si>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</si>
  <si>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</si>
  <si>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</si>
  <si>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</si>
  <si>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</si>
  <si>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</si>
  <si>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</si>
  <si>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</si>
  <si>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</si>
  <si>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</si>
  <si>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</si>
  <si>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</si>
  <si>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</si>
  <si>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</si>
  <si>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</si>
  <si>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</si>
  <si>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</si>
  <si>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</si>
  <si>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</si>
  <si>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</si>
  <si>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</si>
  <si>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</si>
  <si>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</si>
  <si>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</si>
  <si>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</si>
  <si>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</si>
  <si>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</si>
  <si>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</si>
  <si>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</si>
  <si>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</si>
  <si>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</si>
  <si>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</si>
  <si>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</si>
  <si>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</si>
  <si>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</si>
  <si>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</si>
  <si>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</si>
  <si>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</si>
  <si>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</si>
  <si>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</si>
  <si>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</si>
  <si>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</si>
  <si>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</si>
  <si>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</si>
  <si>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</si>
  <si>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</si>
  <si>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</si>
  <si>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</si>
  <si>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</si>
  <si>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</si>
  <si>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</si>
  <si>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</si>
  <si>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</si>
  <si>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</si>
  <si>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</si>
  <si>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</si>
  <si>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</si>
  <si>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</si>
  <si>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</si>
  <si>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</si>
  <si>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</si>
  <si>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</si>
  <si>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</si>
  <si>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</si>
  <si>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</si>
  <si>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</si>
  <si>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</si>
  <si>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</si>
  <si>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</si>
  <si>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</si>
  <si>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</si>
  <si>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</si>
  <si>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</si>
  <si>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</si>
  <si>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</si>
  <si>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</si>
  <si>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</si>
  <si>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</si>
  <si>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</si>
  <si>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</si>
  <si>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</si>
  <si>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</si>
  <si>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</si>
  <si>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</si>
  <si>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</si>
  <si>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</si>
  <si>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</si>
  <si>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</si>
  <si>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</si>
  <si>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</si>
  <si>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</si>
  <si>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</si>
  <si>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</si>
  <si>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</si>
  <si>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</si>
  <si>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</si>
  <si>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</si>
  <si>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</si>
  <si>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</si>
  <si>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</si>
  <si>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</si>
  <si>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</si>
  <si>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</si>
  <si>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</si>
  <si>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</si>
  <si>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</si>
  <si>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</si>
  <si>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</si>
  <si>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</si>
  <si>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</si>
  <si>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</si>
  <si>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</si>
  <si>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</si>
  <si>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</si>
  <si>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</si>
  <si>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</si>
  <si>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</si>
  <si>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</si>
  <si>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</si>
  <si>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</si>
  <si>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</si>
  <si>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</si>
  <si>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</si>
  <si>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</si>
  <si>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</si>
  <si>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</si>
  <si>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</si>
  <si>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</si>
  <si>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</si>
  <si>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</si>
  <si>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</si>
  <si>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</si>
  <si>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</si>
  <si>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</si>
  <si>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</si>
  <si>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</si>
  <si>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</si>
  <si>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</si>
  <si>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</si>
  <si>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</si>
  <si>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</si>
  <si>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</si>
  <si>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</si>
  <si>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</si>
  <si>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</si>
  <si>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</si>
  <si>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</si>
  <si>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</si>
  <si>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</si>
  <si>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</si>
  <si>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</si>
  <si>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</si>
  <si>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</si>
  <si>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</si>
  <si>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</si>
  <si>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</si>
  <si>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</si>
  <si>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</si>
  <si>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</si>
  <si>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</si>
  <si>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</si>
  <si>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</si>
  <si>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</si>
  <si>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</si>
  <si>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</si>
  <si>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</si>
  <si>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</si>
  <si>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</si>
  <si>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</si>
  <si>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</si>
  <si>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</si>
  <si>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</si>
  <si>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</si>
  <si>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</si>
  <si>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</si>
  <si>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</si>
  <si>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</si>
  <si>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</si>
  <si>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</si>
  <si>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</si>
  <si>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</si>
  <si>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</si>
  <si>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</si>
  <si>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</si>
  <si>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</si>
  <si>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</si>
  <si>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</si>
  <si>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</si>
  <si>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</si>
  <si>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</si>
  <si>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</si>
  <si>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</si>
  <si>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</si>
  <si>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</si>
  <si>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</si>
  <si>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</si>
  <si>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</si>
  <si>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</si>
  <si>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</si>
  <si>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</si>
  <si>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</si>
  <si>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</si>
  <si>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</si>
  <si>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</si>
  <si>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</si>
  <si>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</si>
  <si>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</si>
  <si>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</si>
  <si>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</si>
  <si>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</si>
  <si>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</si>
  <si>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</si>
  <si>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</si>
  <si>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</si>
  <si>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</si>
  <si>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</si>
  <si>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</si>
  <si>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</si>
  <si>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</si>
  <si>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</si>
  <si>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</si>
  <si>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</si>
  <si>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</si>
  <si>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</si>
  <si>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</si>
  <si>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</si>
  <si>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</si>
  <si>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</si>
  <si>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</si>
  <si>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</si>
  <si>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</si>
  <si>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</si>
  <si>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</si>
  <si>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</si>
  <si>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</si>
  <si>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</si>
  <si>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980x1370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</si>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</sst>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0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3" fillId="2" borderId="1" xfId="1" applyNumberFormat="1" applyFont="1" applyFill="1" applyBorder="1" applyAlignment="1">
      <alignment horizontal="left"/>
    </xf>
    <xf numFmtId="1" fontId="2" fillId="3" borderId="1" xfId="1" applyNumberFormat="1" applyFill="1" applyBorder="1" applyAlignment="1">
      <alignment horizontal="left"/>
    </xf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2" fillId="3" borderId="1" xfId="3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4" fontId="2" fillId="3" borderId="1" xfId="3" applyNumberFormat="1" applyFont="1" applyFill="1" applyBorder="1" applyAlignment="1">
      <alignment horizontal="center" vertical="center"/>
    </xf>
    <xf numFmtId="165" fontId="2" fillId="3" borderId="1" xfId="3" applyNumberFormat="1" applyFont="1" applyFill="1" applyBorder="1" applyAlignment="1">
      <alignment horizontal="center" vertical="center"/>
    </xf>
    <xf numFmtId="166" fontId="2" fillId="3" borderId="1" xfId="3" applyNumberFormat="1" applyFont="1" applyFill="1" applyBorder="1" applyAlignment="1">
      <alignment horizontal="center" vertical="center"/>
    </xf>
    <xf numFmtId="2" fontId="2" fillId="3" borderId="1" xfId="3" applyNumberFormat="1" applyFont="1" applyFill="1" applyBorder="1" applyAlignment="1">
      <alignment horizontal="center" vertical="center"/>
    </xf>
    <xf numFmtId="0" fontId="25" fillId="0" borderId="0" xfId="1" applyFont="1"/>
    <xf numFmtId="0" fontId="6" fillId="0" borderId="0" xfId="3" applyFont="1"/>
    <xf numFmtId="0" fontId="17" fillId="0" borderId="0" xfId="3" applyFont="1"/>
    <xf numFmtId="0" fontId="6" fillId="0" borderId="0" xfId="1" applyFont="1"/>
    <xf numFmtId="0" fontId="6" fillId="0" borderId="0" xfId="1" applyFont="1" applyAlignment="1">
      <alignment vertical="center"/>
    </xf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sqref="A1:AC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180" t="s">
        <v>697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  <c r="AC1" s="180" t="s">
        <v>27</v>
      </c>
    </row>
    <row r="2" spans="1:29" ht="40.799999999999997" customHeight="1" x14ac:dyDescent="0.3">
      <c r="A2" s="188" t="s">
        <v>0</v>
      </c>
      <c r="B2" s="188" t="s">
        <v>36</v>
      </c>
      <c r="C2" s="188" t="s">
        <v>1</v>
      </c>
      <c r="D2" s="188" t="s">
        <v>2</v>
      </c>
      <c r="E2" s="188" t="s">
        <v>53</v>
      </c>
      <c r="F2" s="188" t="s">
        <v>4</v>
      </c>
      <c r="G2" s="188" t="s">
        <v>5</v>
      </c>
      <c r="H2" s="188" t="s">
        <v>6</v>
      </c>
      <c r="I2" s="188" t="s">
        <v>7</v>
      </c>
      <c r="J2" s="188" t="s">
        <v>27</v>
      </c>
      <c r="K2" s="188" t="s">
        <v>8</v>
      </c>
      <c r="L2" s="188" t="s">
        <v>27</v>
      </c>
      <c r="M2" s="188" t="s">
        <v>9</v>
      </c>
      <c r="N2" s="188" t="s">
        <v>10</v>
      </c>
      <c r="O2" s="188" t="s">
        <v>11</v>
      </c>
      <c r="P2" s="188" t="s">
        <v>12</v>
      </c>
      <c r="Q2" s="188" t="s">
        <v>13</v>
      </c>
      <c r="R2" s="188" t="s">
        <v>14</v>
      </c>
      <c r="S2" s="188" t="s">
        <v>15</v>
      </c>
      <c r="T2" s="188" t="s">
        <v>16</v>
      </c>
      <c r="U2" s="188" t="s">
        <v>17</v>
      </c>
      <c r="V2" s="188" t="s">
        <v>18</v>
      </c>
      <c r="W2" s="188" t="s">
        <v>19</v>
      </c>
      <c r="X2" s="188" t="s">
        <v>20</v>
      </c>
      <c r="Y2" s="188" t="s">
        <v>21</v>
      </c>
      <c r="Z2" s="188" t="s">
        <v>22</v>
      </c>
      <c r="AA2" s="188" t="s">
        <v>23</v>
      </c>
      <c r="AB2" s="188" t="s">
        <v>24</v>
      </c>
      <c r="AC2" s="188" t="s">
        <v>25</v>
      </c>
    </row>
    <row r="3" spans="1:29" s="172" customFormat="1" ht="25.05" customHeight="1" x14ac:dyDescent="0.3">
      <c r="A3" s="190">
        <v>1</v>
      </c>
      <c r="B3" s="191" t="s">
        <v>90</v>
      </c>
      <c r="C3" s="190" t="s">
        <v>44</v>
      </c>
      <c r="D3" s="190" t="s">
        <v>696</v>
      </c>
      <c r="E3" s="190">
        <v>262920</v>
      </c>
      <c r="F3" s="190" t="s">
        <v>695</v>
      </c>
      <c r="G3" s="190">
        <v>160</v>
      </c>
      <c r="H3" s="192">
        <v>1.1379999999999999</v>
      </c>
      <c r="I3" s="192">
        <v>1.597</v>
      </c>
      <c r="J3" s="190" t="s">
        <v>27</v>
      </c>
      <c r="K3" s="190" t="s">
        <v>694</v>
      </c>
      <c r="L3" s="190"/>
      <c r="M3" s="192">
        <v>290.78199999999998</v>
      </c>
      <c r="N3" s="193">
        <v>255.5</v>
      </c>
      <c r="O3" s="194">
        <v>7.0999999999999994E-2</v>
      </c>
      <c r="P3" s="195">
        <v>4.26</v>
      </c>
      <c r="Q3" s="190">
        <v>165.2</v>
      </c>
      <c r="R3" s="190">
        <v>1</v>
      </c>
      <c r="S3" s="190">
        <v>1200</v>
      </c>
      <c r="T3" s="192">
        <v>1.1379999999999999</v>
      </c>
      <c r="U3" s="190">
        <v>62</v>
      </c>
      <c r="V3" s="194">
        <v>5.1700000000000003E-2</v>
      </c>
      <c r="W3" s="190" t="s">
        <v>34</v>
      </c>
      <c r="X3" s="190" t="s">
        <v>39</v>
      </c>
      <c r="Y3" s="190" t="s">
        <v>34</v>
      </c>
      <c r="Z3" s="190" t="s">
        <v>34</v>
      </c>
      <c r="AA3" s="190" t="s">
        <v>34</v>
      </c>
      <c r="AB3" s="190" t="s">
        <v>38</v>
      </c>
      <c r="AC3" s="190" t="s">
        <v>693</v>
      </c>
    </row>
    <row r="4" spans="1:29" s="172" customFormat="1" ht="25.05" customHeight="1" x14ac:dyDescent="0.3">
      <c r="A4" s="196">
        <v>6</v>
      </c>
      <c r="B4" s="191" t="s">
        <v>92</v>
      </c>
      <c r="C4" s="190" t="s">
        <v>44</v>
      </c>
      <c r="D4" s="190" t="s">
        <v>222</v>
      </c>
      <c r="E4" s="190">
        <v>252635</v>
      </c>
      <c r="F4" s="190" t="s">
        <v>223</v>
      </c>
      <c r="G4" s="190">
        <v>5000</v>
      </c>
      <c r="H4" s="192">
        <v>0.55900000000000005</v>
      </c>
      <c r="I4" s="192">
        <v>1.389</v>
      </c>
      <c r="J4" s="192"/>
      <c r="K4" s="196" t="s">
        <v>33</v>
      </c>
      <c r="L4" s="192"/>
      <c r="M4" s="193">
        <v>3472.5</v>
      </c>
      <c r="N4" s="194">
        <v>0.48230000000000001</v>
      </c>
      <c r="O4" s="195">
        <v>28.94</v>
      </c>
      <c r="P4" s="195"/>
      <c r="Q4" s="190">
        <v>2205.1</v>
      </c>
      <c r="R4" s="190">
        <v>2</v>
      </c>
      <c r="S4" s="190">
        <v>1150</v>
      </c>
      <c r="T4" s="192">
        <v>1.1180000000000001</v>
      </c>
      <c r="U4" s="190">
        <v>32</v>
      </c>
      <c r="V4" s="194">
        <v>2.7799999999999998E-2</v>
      </c>
      <c r="W4" s="190" t="s">
        <v>34</v>
      </c>
      <c r="X4" s="190" t="s">
        <v>39</v>
      </c>
      <c r="Y4" s="190" t="s">
        <v>34</v>
      </c>
      <c r="Z4" s="190" t="s">
        <v>34</v>
      </c>
      <c r="AA4" s="190" t="s">
        <v>34</v>
      </c>
      <c r="AB4" s="190" t="s">
        <v>66</v>
      </c>
      <c r="AC4" s="190" t="s">
        <v>91</v>
      </c>
    </row>
    <row r="5" spans="1:29" s="172" customFormat="1" ht="25.05" customHeight="1" x14ac:dyDescent="0.3">
      <c r="A5" s="190">
        <v>2</v>
      </c>
      <c r="B5" s="191" t="s">
        <v>92</v>
      </c>
      <c r="C5" s="190" t="s">
        <v>35</v>
      </c>
      <c r="D5" s="190" t="s">
        <v>576</v>
      </c>
      <c r="E5" s="190">
        <v>262928</v>
      </c>
      <c r="F5" s="190" t="s">
        <v>692</v>
      </c>
      <c r="G5" s="190">
        <v>1000</v>
      </c>
      <c r="H5" s="192">
        <v>1.359</v>
      </c>
      <c r="I5" s="192">
        <v>2.1949999999999998</v>
      </c>
      <c r="J5" s="190" t="s">
        <v>27</v>
      </c>
      <c r="K5" s="190" t="s">
        <v>691</v>
      </c>
      <c r="L5" s="190"/>
      <c r="M5" s="192">
        <v>2983.0050000000001</v>
      </c>
      <c r="N5" s="193">
        <v>2195</v>
      </c>
      <c r="O5" s="194">
        <v>0.60970000000000002</v>
      </c>
      <c r="P5" s="195">
        <v>36.58</v>
      </c>
      <c r="Q5" s="190">
        <v>939.6</v>
      </c>
      <c r="R5" s="190">
        <v>1</v>
      </c>
      <c r="S5" s="190">
        <v>1400</v>
      </c>
      <c r="T5" s="192">
        <v>1.359</v>
      </c>
      <c r="U5" s="190">
        <v>41</v>
      </c>
      <c r="V5" s="194">
        <v>2.93E-2</v>
      </c>
      <c r="W5" s="190" t="s">
        <v>28</v>
      </c>
      <c r="X5" s="190" t="s">
        <v>28</v>
      </c>
      <c r="Y5" s="190" t="s">
        <v>28</v>
      </c>
      <c r="Z5" s="190" t="s">
        <v>27</v>
      </c>
      <c r="AA5" s="190" t="s">
        <v>27</v>
      </c>
      <c r="AB5" s="190" t="s">
        <v>30</v>
      </c>
      <c r="AC5" s="190" t="s">
        <v>690</v>
      </c>
    </row>
    <row r="6" spans="1:29" s="172" customFormat="1" ht="25.05" customHeight="1" x14ac:dyDescent="0.3">
      <c r="A6" s="190">
        <v>1</v>
      </c>
      <c r="B6" s="191" t="s">
        <v>92</v>
      </c>
      <c r="C6" s="190" t="s">
        <v>35</v>
      </c>
      <c r="D6" s="190" t="s">
        <v>599</v>
      </c>
      <c r="E6" s="190">
        <v>262884</v>
      </c>
      <c r="F6" s="190" t="s">
        <v>689</v>
      </c>
      <c r="G6" s="190">
        <v>200</v>
      </c>
      <c r="H6" s="192">
        <v>1.304</v>
      </c>
      <c r="I6" s="192">
        <v>2.1259999999999999</v>
      </c>
      <c r="J6" s="192"/>
      <c r="K6" s="190" t="s">
        <v>33</v>
      </c>
      <c r="L6" s="192"/>
      <c r="M6" s="193">
        <v>425.2</v>
      </c>
      <c r="N6" s="194">
        <v>0.1181</v>
      </c>
      <c r="O6" s="195">
        <v>7.09</v>
      </c>
      <c r="P6" s="195"/>
      <c r="Q6" s="190">
        <v>174.7</v>
      </c>
      <c r="R6" s="190">
        <v>1</v>
      </c>
      <c r="S6" s="190">
        <v>1350</v>
      </c>
      <c r="T6" s="192">
        <v>1.304</v>
      </c>
      <c r="U6" s="190">
        <v>46</v>
      </c>
      <c r="V6" s="194">
        <v>3.4099999999999998E-2</v>
      </c>
      <c r="W6" s="190" t="s">
        <v>28</v>
      </c>
      <c r="X6" s="190" t="s">
        <v>28</v>
      </c>
      <c r="Y6" s="190" t="s">
        <v>28</v>
      </c>
      <c r="Z6" s="190" t="s">
        <v>27</v>
      </c>
      <c r="AA6" s="190" t="s">
        <v>27</v>
      </c>
      <c r="AB6" s="190" t="s">
        <v>38</v>
      </c>
      <c r="AC6" s="190" t="s">
        <v>688</v>
      </c>
    </row>
    <row r="7" spans="1:29" s="172" customFormat="1" ht="25.05" customHeight="1" x14ac:dyDescent="0.3">
      <c r="A7" s="190">
        <v>3</v>
      </c>
      <c r="B7" s="191" t="s">
        <v>92</v>
      </c>
      <c r="C7" s="190" t="s">
        <v>35</v>
      </c>
      <c r="D7" s="190" t="s">
        <v>576</v>
      </c>
      <c r="E7" s="190">
        <v>262929</v>
      </c>
      <c r="F7" s="190" t="s">
        <v>687</v>
      </c>
      <c r="G7" s="190">
        <v>170</v>
      </c>
      <c r="H7" s="192">
        <v>1.3</v>
      </c>
      <c r="I7" s="192">
        <v>2.0529999999999999</v>
      </c>
      <c r="J7" s="190" t="s">
        <v>27</v>
      </c>
      <c r="K7" s="190" t="s">
        <v>33</v>
      </c>
      <c r="L7" s="190"/>
      <c r="M7" s="192">
        <v>453.71300000000002</v>
      </c>
      <c r="N7" s="193">
        <v>349</v>
      </c>
      <c r="O7" s="194">
        <v>9.69E-2</v>
      </c>
      <c r="P7" s="195">
        <v>5.82</v>
      </c>
      <c r="Q7" s="190">
        <v>142.9</v>
      </c>
      <c r="R7" s="190">
        <v>1</v>
      </c>
      <c r="S7" s="190">
        <v>1350</v>
      </c>
      <c r="T7" s="192">
        <v>1.3</v>
      </c>
      <c r="U7" s="190">
        <v>50</v>
      </c>
      <c r="V7" s="194">
        <v>3.6999999999999998E-2</v>
      </c>
      <c r="W7" s="190" t="s">
        <v>28</v>
      </c>
      <c r="X7" s="190" t="s">
        <v>28</v>
      </c>
      <c r="Y7" s="190" t="s">
        <v>28</v>
      </c>
      <c r="Z7" s="190" t="s">
        <v>27</v>
      </c>
      <c r="AA7" s="190" t="s">
        <v>27</v>
      </c>
      <c r="AB7" s="190" t="s">
        <v>38</v>
      </c>
      <c r="AC7" s="190" t="s">
        <v>686</v>
      </c>
    </row>
    <row r="8" spans="1:29" s="172" customFormat="1" ht="25.05" customHeight="1" x14ac:dyDescent="0.3">
      <c r="A8" s="190">
        <v>4</v>
      </c>
      <c r="B8" s="191" t="s">
        <v>90</v>
      </c>
      <c r="C8" s="190" t="s">
        <v>35</v>
      </c>
      <c r="D8" s="190" t="s">
        <v>443</v>
      </c>
      <c r="E8" s="190">
        <v>262924</v>
      </c>
      <c r="F8" s="190" t="s">
        <v>682</v>
      </c>
      <c r="G8" s="190">
        <v>600</v>
      </c>
      <c r="H8" s="192">
        <v>0.66</v>
      </c>
      <c r="I8" s="192">
        <v>1.385</v>
      </c>
      <c r="J8" s="190" t="s">
        <v>27</v>
      </c>
      <c r="K8" s="190" t="s">
        <v>33</v>
      </c>
      <c r="L8" s="190"/>
      <c r="M8" s="192">
        <v>548.46</v>
      </c>
      <c r="N8" s="193">
        <v>415.5</v>
      </c>
      <c r="O8" s="194">
        <v>5.7700000000000001E-2</v>
      </c>
      <c r="P8" s="195">
        <v>3.46</v>
      </c>
      <c r="Q8" s="190">
        <v>172.8</v>
      </c>
      <c r="R8" s="190">
        <v>2</v>
      </c>
      <c r="S8" s="190">
        <v>1350</v>
      </c>
      <c r="T8" s="192">
        <v>1.32</v>
      </c>
      <c r="U8" s="190">
        <v>30</v>
      </c>
      <c r="V8" s="194">
        <v>2.2200000000000001E-2</v>
      </c>
      <c r="W8" s="190" t="s">
        <v>28</v>
      </c>
      <c r="X8" s="190" t="s">
        <v>28</v>
      </c>
      <c r="Y8" s="190" t="s">
        <v>28</v>
      </c>
      <c r="Z8" s="190" t="s">
        <v>27</v>
      </c>
      <c r="AA8" s="190" t="s">
        <v>27</v>
      </c>
      <c r="AB8" s="190" t="s">
        <v>32</v>
      </c>
      <c r="AC8" s="190" t="s">
        <v>685</v>
      </c>
    </row>
    <row r="9" spans="1:29" s="172" customFormat="1" ht="25.05" customHeight="1" x14ac:dyDescent="0.3">
      <c r="A9" s="190">
        <v>5</v>
      </c>
      <c r="B9" s="191" t="s">
        <v>90</v>
      </c>
      <c r="C9" s="190" t="s">
        <v>35</v>
      </c>
      <c r="D9" s="190" t="s">
        <v>443</v>
      </c>
      <c r="E9" s="190">
        <v>262925</v>
      </c>
      <c r="F9" s="190" t="s">
        <v>682</v>
      </c>
      <c r="G9" s="190">
        <v>500</v>
      </c>
      <c r="H9" s="192">
        <v>0.66</v>
      </c>
      <c r="I9" s="192">
        <v>1.6950000000000001</v>
      </c>
      <c r="J9" s="190" t="s">
        <v>27</v>
      </c>
      <c r="K9" s="190" t="s">
        <v>33</v>
      </c>
      <c r="L9" s="190"/>
      <c r="M9" s="192">
        <v>559.35</v>
      </c>
      <c r="N9" s="193">
        <v>423.8</v>
      </c>
      <c r="O9" s="194">
        <v>5.8900000000000001E-2</v>
      </c>
      <c r="P9" s="195">
        <v>3.53</v>
      </c>
      <c r="Q9" s="190">
        <v>176.2</v>
      </c>
      <c r="R9" s="190">
        <v>2</v>
      </c>
      <c r="S9" s="190">
        <v>1350</v>
      </c>
      <c r="T9" s="192">
        <v>1.32</v>
      </c>
      <c r="U9" s="190">
        <v>30</v>
      </c>
      <c r="V9" s="194">
        <v>2.2200000000000001E-2</v>
      </c>
      <c r="W9" s="190" t="s">
        <v>28</v>
      </c>
      <c r="X9" s="190" t="s">
        <v>28</v>
      </c>
      <c r="Y9" s="190" t="s">
        <v>28</v>
      </c>
      <c r="Z9" s="190" t="s">
        <v>27</v>
      </c>
      <c r="AA9" s="190" t="s">
        <v>27</v>
      </c>
      <c r="AB9" s="190" t="s">
        <v>30</v>
      </c>
      <c r="AC9" s="190" t="s">
        <v>684</v>
      </c>
    </row>
    <row r="10" spans="1:29" s="172" customFormat="1" ht="25.05" customHeight="1" x14ac:dyDescent="0.3">
      <c r="A10" s="190">
        <v>6</v>
      </c>
      <c r="B10" s="191" t="s">
        <v>90</v>
      </c>
      <c r="C10" s="190" t="s">
        <v>35</v>
      </c>
      <c r="D10" s="190" t="s">
        <v>443</v>
      </c>
      <c r="E10" s="190">
        <v>262926</v>
      </c>
      <c r="F10" s="190" t="s">
        <v>682</v>
      </c>
      <c r="G10" s="190">
        <v>1000</v>
      </c>
      <c r="H10" s="192">
        <v>0.66</v>
      </c>
      <c r="I10" s="192">
        <v>1.865</v>
      </c>
      <c r="J10" s="190" t="s">
        <v>27</v>
      </c>
      <c r="K10" s="190" t="s">
        <v>33</v>
      </c>
      <c r="L10" s="190"/>
      <c r="M10" s="192">
        <v>1230.9000000000001</v>
      </c>
      <c r="N10" s="193">
        <v>932.5</v>
      </c>
      <c r="O10" s="194">
        <v>0.1295</v>
      </c>
      <c r="P10" s="195">
        <v>7.77</v>
      </c>
      <c r="Q10" s="190">
        <v>387.7</v>
      </c>
      <c r="R10" s="190">
        <v>2</v>
      </c>
      <c r="S10" s="190">
        <v>1350</v>
      </c>
      <c r="T10" s="192">
        <v>1.32</v>
      </c>
      <c r="U10" s="190">
        <v>30</v>
      </c>
      <c r="V10" s="194">
        <v>2.2200000000000001E-2</v>
      </c>
      <c r="W10" s="190" t="s">
        <v>28</v>
      </c>
      <c r="X10" s="190" t="s">
        <v>28</v>
      </c>
      <c r="Y10" s="190" t="s">
        <v>28</v>
      </c>
      <c r="Z10" s="190" t="s">
        <v>27</v>
      </c>
      <c r="AA10" s="190" t="s">
        <v>27</v>
      </c>
      <c r="AB10" s="190" t="s">
        <v>32</v>
      </c>
      <c r="AC10" s="190" t="s">
        <v>683</v>
      </c>
    </row>
    <row r="11" spans="1:29" s="172" customFormat="1" ht="25.05" customHeight="1" x14ac:dyDescent="0.3">
      <c r="A11" s="190">
        <v>7</v>
      </c>
      <c r="B11" s="191" t="s">
        <v>90</v>
      </c>
      <c r="C11" s="190" t="s">
        <v>35</v>
      </c>
      <c r="D11" s="190" t="s">
        <v>443</v>
      </c>
      <c r="E11" s="190">
        <v>262927</v>
      </c>
      <c r="F11" s="190" t="s">
        <v>682</v>
      </c>
      <c r="G11" s="190">
        <v>800</v>
      </c>
      <c r="H11" s="192">
        <v>0.66</v>
      </c>
      <c r="I11" s="192">
        <v>2.0499999999999998</v>
      </c>
      <c r="J11" s="190" t="s">
        <v>27</v>
      </c>
      <c r="K11" s="190" t="s">
        <v>33</v>
      </c>
      <c r="L11" s="190"/>
      <c r="M11" s="192">
        <v>1082.4000000000001</v>
      </c>
      <c r="N11" s="193">
        <v>820</v>
      </c>
      <c r="O11" s="194">
        <v>0.1139</v>
      </c>
      <c r="P11" s="195">
        <v>6.83</v>
      </c>
      <c r="Q11" s="190">
        <v>341</v>
      </c>
      <c r="R11" s="190">
        <v>2</v>
      </c>
      <c r="S11" s="190">
        <v>1350</v>
      </c>
      <c r="T11" s="192">
        <v>1.32</v>
      </c>
      <c r="U11" s="190">
        <v>30</v>
      </c>
      <c r="V11" s="194">
        <v>2.2200000000000001E-2</v>
      </c>
      <c r="W11" s="190" t="s">
        <v>28</v>
      </c>
      <c r="X11" s="190" t="s">
        <v>28</v>
      </c>
      <c r="Y11" s="190" t="s">
        <v>28</v>
      </c>
      <c r="Z11" s="190" t="s">
        <v>27</v>
      </c>
      <c r="AA11" s="190" t="s">
        <v>27</v>
      </c>
      <c r="AB11" s="190" t="s">
        <v>32</v>
      </c>
      <c r="AC11" s="190" t="s">
        <v>681</v>
      </c>
    </row>
    <row r="12" spans="1:29" s="172" customFormat="1" ht="25.05" customHeight="1" x14ac:dyDescent="0.3">
      <c r="A12" s="190">
        <v>8</v>
      </c>
      <c r="B12" s="191" t="s">
        <v>90</v>
      </c>
      <c r="C12" s="190" t="s">
        <v>35</v>
      </c>
      <c r="D12" s="190" t="s">
        <v>440</v>
      </c>
      <c r="E12" s="190">
        <v>262921</v>
      </c>
      <c r="F12" s="190" t="s">
        <v>680</v>
      </c>
      <c r="G12" s="190">
        <v>300</v>
      </c>
      <c r="H12" s="192">
        <v>1.272</v>
      </c>
      <c r="I12" s="192">
        <v>1.4810000000000001</v>
      </c>
      <c r="J12" s="190" t="s">
        <v>27</v>
      </c>
      <c r="K12" s="190" t="s">
        <v>679</v>
      </c>
      <c r="L12" s="190"/>
      <c r="M12" s="192">
        <v>565.15</v>
      </c>
      <c r="N12" s="193">
        <v>444.3</v>
      </c>
      <c r="O12" s="194">
        <v>0.1234</v>
      </c>
      <c r="P12" s="195">
        <v>7.41</v>
      </c>
      <c r="Q12" s="190">
        <v>178</v>
      </c>
      <c r="R12" s="190">
        <v>1</v>
      </c>
      <c r="S12" s="190">
        <v>1300</v>
      </c>
      <c r="T12" s="192">
        <v>1.272</v>
      </c>
      <c r="U12" s="190">
        <v>28</v>
      </c>
      <c r="V12" s="194">
        <v>2.1499999999999998E-2</v>
      </c>
      <c r="W12" s="190" t="s">
        <v>28</v>
      </c>
      <c r="X12" s="190" t="s">
        <v>28</v>
      </c>
      <c r="Y12" s="190" t="s">
        <v>28</v>
      </c>
      <c r="Z12" s="190" t="s">
        <v>27</v>
      </c>
      <c r="AA12" s="190" t="s">
        <v>27</v>
      </c>
      <c r="AB12" s="190" t="s">
        <v>38</v>
      </c>
      <c r="AC12" s="190" t="s">
        <v>678</v>
      </c>
    </row>
    <row r="13" spans="1:29" s="172" customFormat="1" ht="25.05" customHeight="1" x14ac:dyDescent="0.3">
      <c r="A13" s="190">
        <v>9</v>
      </c>
      <c r="B13" s="191" t="s">
        <v>90</v>
      </c>
      <c r="C13" s="190" t="s">
        <v>35</v>
      </c>
      <c r="D13" s="190" t="s">
        <v>672</v>
      </c>
      <c r="E13" s="190">
        <v>262923</v>
      </c>
      <c r="F13" s="190" t="s">
        <v>671</v>
      </c>
      <c r="G13" s="190">
        <v>250</v>
      </c>
      <c r="H13" s="192">
        <v>0.56999999999999995</v>
      </c>
      <c r="I13" s="192">
        <v>0.45300000000000001</v>
      </c>
      <c r="J13" s="190" t="s">
        <v>27</v>
      </c>
      <c r="K13" s="190" t="s">
        <v>33</v>
      </c>
      <c r="L13" s="190"/>
      <c r="M13" s="192">
        <v>64.552000000000007</v>
      </c>
      <c r="N13" s="193">
        <v>56.6</v>
      </c>
      <c r="O13" s="194">
        <v>7.9000000000000008E-3</v>
      </c>
      <c r="P13" s="195">
        <v>0.47</v>
      </c>
      <c r="Q13" s="190">
        <v>20.3</v>
      </c>
      <c r="R13" s="190">
        <v>2</v>
      </c>
      <c r="S13" s="190">
        <v>1200</v>
      </c>
      <c r="T13" s="192">
        <v>1.1399999999999999</v>
      </c>
      <c r="U13" s="190">
        <v>60</v>
      </c>
      <c r="V13" s="194">
        <v>0.05</v>
      </c>
      <c r="W13" s="190" t="s">
        <v>28</v>
      </c>
      <c r="X13" s="190" t="s">
        <v>28</v>
      </c>
      <c r="Y13" s="190" t="s">
        <v>28</v>
      </c>
      <c r="Z13" s="190" t="s">
        <v>27</v>
      </c>
      <c r="AA13" s="190" t="s">
        <v>27</v>
      </c>
      <c r="AB13" s="190" t="s">
        <v>38</v>
      </c>
      <c r="AC13" s="190" t="s">
        <v>677</v>
      </c>
    </row>
    <row r="14" spans="1:29" s="172" customFormat="1" ht="25.05" customHeight="1" x14ac:dyDescent="0.3">
      <c r="A14" s="197">
        <v>1</v>
      </c>
      <c r="B14" s="198" t="s">
        <v>92</v>
      </c>
      <c r="C14" s="197" t="s">
        <v>35</v>
      </c>
      <c r="D14" s="197" t="s">
        <v>586</v>
      </c>
      <c r="E14" s="197">
        <v>262870</v>
      </c>
      <c r="F14" s="197" t="s">
        <v>676</v>
      </c>
      <c r="G14" s="197">
        <v>200</v>
      </c>
      <c r="H14" s="199">
        <v>0.93600000000000005</v>
      </c>
      <c r="I14" s="199">
        <v>1.829</v>
      </c>
      <c r="J14" s="199"/>
      <c r="K14" s="197" t="s">
        <v>33</v>
      </c>
      <c r="L14" s="199"/>
      <c r="M14" s="200">
        <v>365.8</v>
      </c>
      <c r="N14" s="201">
        <v>0.1016</v>
      </c>
      <c r="O14" s="202">
        <v>6.1</v>
      </c>
      <c r="P14" s="202"/>
      <c r="Q14" s="197">
        <v>107.9</v>
      </c>
      <c r="R14" s="197">
        <v>1</v>
      </c>
      <c r="S14" s="197">
        <v>1000</v>
      </c>
      <c r="T14" s="199">
        <v>0.93600000000000005</v>
      </c>
      <c r="U14" s="197">
        <v>64</v>
      </c>
      <c r="V14" s="201">
        <v>6.4000000000000001E-2</v>
      </c>
      <c r="W14" s="197" t="s">
        <v>28</v>
      </c>
      <c r="X14" s="197" t="s">
        <v>28</v>
      </c>
      <c r="Y14" s="197" t="s">
        <v>28</v>
      </c>
      <c r="Z14" s="197" t="s">
        <v>27</v>
      </c>
      <c r="AA14" s="197" t="s">
        <v>27</v>
      </c>
      <c r="AB14" s="197" t="s">
        <v>38</v>
      </c>
      <c r="AC14" s="197" t="s">
        <v>675</v>
      </c>
    </row>
    <row r="15" spans="1:29" s="172" customFormat="1" ht="25.05" customHeight="1" x14ac:dyDescent="0.3">
      <c r="A15" s="190">
        <v>2</v>
      </c>
      <c r="B15" s="191" t="s">
        <v>92</v>
      </c>
      <c r="C15" s="190" t="s">
        <v>42</v>
      </c>
      <c r="D15" s="190" t="s">
        <v>599</v>
      </c>
      <c r="E15" s="190">
        <v>262885</v>
      </c>
      <c r="F15" s="190" t="s">
        <v>674</v>
      </c>
      <c r="G15" s="190">
        <v>200</v>
      </c>
      <c r="H15" s="192">
        <v>0.88300000000000001</v>
      </c>
      <c r="I15" s="192">
        <v>1.5349999999999999</v>
      </c>
      <c r="J15" s="192"/>
      <c r="K15" s="190" t="s">
        <v>33</v>
      </c>
      <c r="L15" s="192"/>
      <c r="M15" s="193">
        <v>307</v>
      </c>
      <c r="N15" s="194">
        <v>8.5300000000000001E-2</v>
      </c>
      <c r="O15" s="195">
        <v>5.12</v>
      </c>
      <c r="P15" s="195"/>
      <c r="Q15" s="190">
        <v>93.5</v>
      </c>
      <c r="R15" s="190">
        <v>1</v>
      </c>
      <c r="S15" s="190">
        <v>950</v>
      </c>
      <c r="T15" s="192">
        <v>0.88300000000000001</v>
      </c>
      <c r="U15" s="190">
        <v>67</v>
      </c>
      <c r="V15" s="194">
        <v>7.0499999999999993E-2</v>
      </c>
      <c r="W15" s="190" t="s">
        <v>29</v>
      </c>
      <c r="X15" s="190" t="s">
        <v>29</v>
      </c>
      <c r="Y15" s="190" t="s">
        <v>28</v>
      </c>
      <c r="Z15" s="190" t="s">
        <v>27</v>
      </c>
      <c r="AA15" s="190" t="s">
        <v>27</v>
      </c>
      <c r="AB15" s="190" t="s">
        <v>38</v>
      </c>
      <c r="AC15" s="190" t="s">
        <v>673</v>
      </c>
    </row>
    <row r="16" spans="1:29" s="172" customFormat="1" ht="25.05" customHeight="1" x14ac:dyDescent="0.3">
      <c r="A16" s="190">
        <v>10</v>
      </c>
      <c r="B16" s="191" t="s">
        <v>90</v>
      </c>
      <c r="C16" s="190" t="s">
        <v>35</v>
      </c>
      <c r="D16" s="190" t="s">
        <v>672</v>
      </c>
      <c r="E16" s="190">
        <v>262922</v>
      </c>
      <c r="F16" s="190" t="s">
        <v>671</v>
      </c>
      <c r="G16" s="190">
        <v>500</v>
      </c>
      <c r="H16" s="192">
        <v>0.42599999999999999</v>
      </c>
      <c r="I16" s="192">
        <v>2.3199999999999998</v>
      </c>
      <c r="J16" s="190" t="s">
        <v>27</v>
      </c>
      <c r="K16" s="190" t="s">
        <v>670</v>
      </c>
      <c r="L16" s="190"/>
      <c r="M16" s="192">
        <v>494.16</v>
      </c>
      <c r="N16" s="193">
        <v>580</v>
      </c>
      <c r="O16" s="194">
        <v>8.0600000000000005E-2</v>
      </c>
      <c r="P16" s="195">
        <v>4.83</v>
      </c>
      <c r="Q16" s="190">
        <v>155.69999999999999</v>
      </c>
      <c r="R16" s="190">
        <v>2</v>
      </c>
      <c r="S16" s="190">
        <v>900</v>
      </c>
      <c r="T16" s="192">
        <v>0.85199999999999998</v>
      </c>
      <c r="U16" s="190">
        <v>48</v>
      </c>
      <c r="V16" s="194">
        <v>5.33E-2</v>
      </c>
      <c r="W16" s="190" t="s">
        <v>28</v>
      </c>
      <c r="X16" s="190" t="s">
        <v>28</v>
      </c>
      <c r="Y16" s="190" t="s">
        <v>28</v>
      </c>
      <c r="Z16" s="190" t="s">
        <v>27</v>
      </c>
      <c r="AA16" s="190" t="s">
        <v>27</v>
      </c>
      <c r="AB16" s="190" t="s">
        <v>32</v>
      </c>
      <c r="AC16" s="190" t="s">
        <v>669</v>
      </c>
    </row>
    <row r="17" spans="1:29" s="51" customFormat="1" ht="25.05" customHeight="1" x14ac:dyDescent="0.3">
      <c r="A17" s="189" t="s">
        <v>27</v>
      </c>
      <c r="B17" s="189" t="s">
        <v>27</v>
      </c>
      <c r="C17" s="189" t="s">
        <v>27</v>
      </c>
      <c r="D17" s="189" t="s">
        <v>27</v>
      </c>
      <c r="E17" s="189" t="s">
        <v>27</v>
      </c>
      <c r="F17" s="189" t="s">
        <v>27</v>
      </c>
      <c r="G17" s="189">
        <f>SUM(G3:G16)</f>
        <v>10880</v>
      </c>
      <c r="H17" s="189" t="s">
        <v>27</v>
      </c>
      <c r="I17" s="189" t="s">
        <v>27</v>
      </c>
      <c r="J17" s="189" t="s">
        <v>27</v>
      </c>
      <c r="K17" s="189" t="s">
        <v>27</v>
      </c>
      <c r="L17" s="189" t="s">
        <v>27</v>
      </c>
      <c r="M17" s="189" t="s">
        <v>27</v>
      </c>
      <c r="N17" s="189" t="s">
        <v>27</v>
      </c>
      <c r="O17" s="189" t="s">
        <v>27</v>
      </c>
      <c r="P17" s="189" t="s">
        <v>27</v>
      </c>
      <c r="Q17" s="189">
        <f>SUM(Q3:Q16)</f>
        <v>5260.5999999999995</v>
      </c>
      <c r="R17" s="189" t="s">
        <v>27</v>
      </c>
      <c r="S17" s="189" t="s">
        <v>27</v>
      </c>
      <c r="T17" s="189" t="s">
        <v>27</v>
      </c>
      <c r="U17" s="189" t="s">
        <v>27</v>
      </c>
      <c r="V17" s="189" t="s">
        <v>27</v>
      </c>
      <c r="W17" s="189" t="s">
        <v>27</v>
      </c>
      <c r="X17" s="189" t="s">
        <v>27</v>
      </c>
      <c r="Y17" s="189" t="s">
        <v>27</v>
      </c>
      <c r="Z17" s="189" t="s">
        <v>27</v>
      </c>
      <c r="AA17" s="189" t="s">
        <v>27</v>
      </c>
      <c r="AB17" s="189" t="s">
        <v>27</v>
      </c>
      <c r="AC17" s="18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9"/>
  <sheetViews>
    <sheetView workbookViewId="0">
      <selection activeCell="AI10" sqref="AI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79" t="s">
        <v>665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  <c r="AC1" s="179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71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107</v>
      </c>
      <c r="C3" s="126" t="s">
        <v>49</v>
      </c>
      <c r="D3" s="126" t="s">
        <v>661</v>
      </c>
      <c r="E3" s="126">
        <v>262917</v>
      </c>
      <c r="F3" s="170">
        <v>71026</v>
      </c>
      <c r="G3" s="126">
        <v>5086</v>
      </c>
      <c r="H3" s="127">
        <v>0.39</v>
      </c>
      <c r="I3" s="127">
        <v>0.71</v>
      </c>
      <c r="J3" s="126" t="s">
        <v>27</v>
      </c>
      <c r="K3" s="126" t="s">
        <v>33</v>
      </c>
      <c r="L3" s="126" t="s">
        <v>27</v>
      </c>
      <c r="M3" s="123">
        <v>1408.3130000000001</v>
      </c>
      <c r="N3" s="125">
        <v>902.8</v>
      </c>
      <c r="O3" s="122">
        <v>6.2700000000000006E-2</v>
      </c>
      <c r="P3" s="124">
        <v>3.76</v>
      </c>
      <c r="Q3" s="121">
        <v>500</v>
      </c>
      <c r="R3" s="121">
        <v>4</v>
      </c>
      <c r="S3" s="121">
        <v>1600</v>
      </c>
      <c r="T3" s="123">
        <v>1.56</v>
      </c>
      <c r="U3" s="121">
        <v>40</v>
      </c>
      <c r="V3" s="122">
        <v>2.5000000000000001E-2</v>
      </c>
      <c r="W3" s="121" t="s">
        <v>29</v>
      </c>
      <c r="X3" s="121" t="s">
        <v>28</v>
      </c>
      <c r="Y3" s="121" t="s">
        <v>29</v>
      </c>
      <c r="Z3" s="121" t="s">
        <v>27</v>
      </c>
      <c r="AA3" s="121" t="s">
        <v>27</v>
      </c>
      <c r="AB3" s="121" t="s">
        <v>32</v>
      </c>
      <c r="AC3" s="121" t="s">
        <v>108</v>
      </c>
    </row>
    <row r="4" spans="1:29" x14ac:dyDescent="0.3">
      <c r="A4" s="126">
        <v>2</v>
      </c>
      <c r="B4" s="128" t="s">
        <v>107</v>
      </c>
      <c r="C4" s="126" t="s">
        <v>55</v>
      </c>
      <c r="D4" s="126" t="s">
        <v>661</v>
      </c>
      <c r="E4" s="126">
        <v>262916</v>
      </c>
      <c r="F4" s="170">
        <v>71026</v>
      </c>
      <c r="G4" s="126">
        <v>1268</v>
      </c>
      <c r="H4" s="127">
        <v>0.48</v>
      </c>
      <c r="I4" s="127">
        <v>1.35</v>
      </c>
      <c r="J4" s="126" t="s">
        <v>27</v>
      </c>
      <c r="K4" s="126" t="s">
        <v>33</v>
      </c>
      <c r="L4" s="126" t="s">
        <v>27</v>
      </c>
      <c r="M4" s="123">
        <v>821.66399999999999</v>
      </c>
      <c r="N4" s="125">
        <v>570.6</v>
      </c>
      <c r="O4" s="122">
        <v>5.28E-2</v>
      </c>
      <c r="P4" s="124">
        <v>3.17</v>
      </c>
      <c r="Q4" s="121">
        <v>299.89999999999998</v>
      </c>
      <c r="R4" s="121">
        <v>3</v>
      </c>
      <c r="S4" s="121">
        <v>1500</v>
      </c>
      <c r="T4" s="123">
        <v>1.44</v>
      </c>
      <c r="U4" s="121">
        <v>60</v>
      </c>
      <c r="V4" s="122">
        <v>0.04</v>
      </c>
      <c r="W4" s="121" t="s">
        <v>37</v>
      </c>
      <c r="X4" s="121" t="s">
        <v>29</v>
      </c>
      <c r="Y4" s="121" t="s">
        <v>34</v>
      </c>
      <c r="Z4" s="121" t="s">
        <v>27</v>
      </c>
      <c r="AA4" s="121" t="s">
        <v>27</v>
      </c>
      <c r="AB4" s="121" t="s">
        <v>32</v>
      </c>
      <c r="AC4" s="121" t="s">
        <v>664</v>
      </c>
    </row>
    <row r="5" spans="1:29" x14ac:dyDescent="0.3">
      <c r="A5" s="126">
        <v>3</v>
      </c>
      <c r="B5" s="128" t="s">
        <v>107</v>
      </c>
      <c r="C5" s="126" t="s">
        <v>55</v>
      </c>
      <c r="D5" s="126" t="s">
        <v>661</v>
      </c>
      <c r="E5" s="126">
        <v>262914</v>
      </c>
      <c r="F5" s="170">
        <v>71026</v>
      </c>
      <c r="G5" s="126">
        <v>1378</v>
      </c>
      <c r="H5" s="127">
        <v>0.67</v>
      </c>
      <c r="I5" s="127">
        <v>0.89</v>
      </c>
      <c r="J5" s="126" t="s">
        <v>27</v>
      </c>
      <c r="K5" s="126" t="s">
        <v>33</v>
      </c>
      <c r="L5" s="126" t="s">
        <v>27</v>
      </c>
      <c r="M5" s="123">
        <v>821.70100000000002</v>
      </c>
      <c r="N5" s="125">
        <v>613.20000000000005</v>
      </c>
      <c r="O5" s="122">
        <v>8.5199999999999998E-2</v>
      </c>
      <c r="P5" s="124">
        <v>5.1100000000000003</v>
      </c>
      <c r="Q5" s="121">
        <v>299.89999999999998</v>
      </c>
      <c r="R5" s="121">
        <v>2</v>
      </c>
      <c r="S5" s="121">
        <v>1400</v>
      </c>
      <c r="T5" s="123">
        <v>1.34</v>
      </c>
      <c r="U5" s="121">
        <v>60</v>
      </c>
      <c r="V5" s="122">
        <v>4.2900000000000001E-2</v>
      </c>
      <c r="W5" s="121" t="s">
        <v>37</v>
      </c>
      <c r="X5" s="121" t="s">
        <v>29</v>
      </c>
      <c r="Y5" s="121" t="s">
        <v>34</v>
      </c>
      <c r="Z5" s="121" t="s">
        <v>27</v>
      </c>
      <c r="AA5" s="121" t="s">
        <v>27</v>
      </c>
      <c r="AB5" s="121" t="s">
        <v>32</v>
      </c>
      <c r="AC5" s="121" t="s">
        <v>663</v>
      </c>
    </row>
    <row r="6" spans="1:29" x14ac:dyDescent="0.3">
      <c r="A6" s="126">
        <v>4</v>
      </c>
      <c r="B6" s="128" t="s">
        <v>107</v>
      </c>
      <c r="C6" s="126" t="s">
        <v>55</v>
      </c>
      <c r="D6" s="126" t="s">
        <v>661</v>
      </c>
      <c r="E6" s="126">
        <v>262913</v>
      </c>
      <c r="F6" s="170">
        <v>71026</v>
      </c>
      <c r="G6" s="126">
        <v>1662</v>
      </c>
      <c r="H6" s="127">
        <v>0.43</v>
      </c>
      <c r="I6" s="127">
        <v>1.1499999999999999</v>
      </c>
      <c r="J6" s="126" t="s">
        <v>27</v>
      </c>
      <c r="K6" s="126" t="s">
        <v>33</v>
      </c>
      <c r="L6" s="126" t="s">
        <v>27</v>
      </c>
      <c r="M6" s="123">
        <v>821.85900000000004</v>
      </c>
      <c r="N6" s="125">
        <v>637.1</v>
      </c>
      <c r="O6" s="122">
        <v>5.8999999999999997E-2</v>
      </c>
      <c r="P6" s="124">
        <v>3.54</v>
      </c>
      <c r="Q6" s="121">
        <v>300</v>
      </c>
      <c r="R6" s="121">
        <v>3</v>
      </c>
      <c r="S6" s="121">
        <v>1350</v>
      </c>
      <c r="T6" s="123">
        <v>1.29</v>
      </c>
      <c r="U6" s="121">
        <v>60</v>
      </c>
      <c r="V6" s="122">
        <v>4.4400000000000002E-2</v>
      </c>
      <c r="W6" s="121" t="s">
        <v>37</v>
      </c>
      <c r="X6" s="121" t="s">
        <v>29</v>
      </c>
      <c r="Y6" s="121" t="s">
        <v>34</v>
      </c>
      <c r="Z6" s="121" t="s">
        <v>27</v>
      </c>
      <c r="AA6" s="121" t="s">
        <v>27</v>
      </c>
      <c r="AB6" s="121" t="s">
        <v>32</v>
      </c>
      <c r="AC6" s="121" t="s">
        <v>238</v>
      </c>
    </row>
    <row r="7" spans="1:29" x14ac:dyDescent="0.3">
      <c r="A7" s="126">
        <v>5</v>
      </c>
      <c r="B7" s="128" t="s">
        <v>107</v>
      </c>
      <c r="C7" s="126" t="s">
        <v>55</v>
      </c>
      <c r="D7" s="126" t="s">
        <v>661</v>
      </c>
      <c r="E7" s="126">
        <v>262915</v>
      </c>
      <c r="F7" s="170">
        <v>71026</v>
      </c>
      <c r="G7" s="126">
        <v>1287</v>
      </c>
      <c r="H7" s="127">
        <v>0.56999999999999995</v>
      </c>
      <c r="I7" s="127">
        <v>1.1200000000000001</v>
      </c>
      <c r="J7" s="126" t="s">
        <v>27</v>
      </c>
      <c r="K7" s="126" t="s">
        <v>33</v>
      </c>
      <c r="L7" s="126" t="s">
        <v>27</v>
      </c>
      <c r="M7" s="123">
        <v>821.62099999999998</v>
      </c>
      <c r="N7" s="125">
        <v>720.7</v>
      </c>
      <c r="O7" s="122">
        <v>0.10009999999999999</v>
      </c>
      <c r="P7" s="124">
        <v>6.01</v>
      </c>
      <c r="Q7" s="121">
        <v>299.89999999999998</v>
      </c>
      <c r="R7" s="121">
        <v>2</v>
      </c>
      <c r="S7" s="121">
        <v>1200</v>
      </c>
      <c r="T7" s="123">
        <v>1.1399999999999999</v>
      </c>
      <c r="U7" s="121">
        <v>60</v>
      </c>
      <c r="V7" s="122">
        <v>0.05</v>
      </c>
      <c r="W7" s="121" t="s">
        <v>37</v>
      </c>
      <c r="X7" s="121" t="s">
        <v>29</v>
      </c>
      <c r="Y7" s="121" t="s">
        <v>34</v>
      </c>
      <c r="Z7" s="121" t="s">
        <v>27</v>
      </c>
      <c r="AA7" s="121" t="s">
        <v>27</v>
      </c>
      <c r="AB7" s="121" t="s">
        <v>32</v>
      </c>
      <c r="AC7" s="121" t="s">
        <v>662</v>
      </c>
    </row>
    <row r="8" spans="1:29" x14ac:dyDescent="0.3">
      <c r="A8" s="126">
        <v>6</v>
      </c>
      <c r="B8" s="128" t="s">
        <v>107</v>
      </c>
      <c r="C8" s="126" t="s">
        <v>49</v>
      </c>
      <c r="D8" s="126" t="s">
        <v>661</v>
      </c>
      <c r="E8" s="126">
        <v>262918</v>
      </c>
      <c r="F8" s="170">
        <v>71026</v>
      </c>
      <c r="G8" s="126">
        <v>2764</v>
      </c>
      <c r="H8" s="127">
        <v>0.56000000000000005</v>
      </c>
      <c r="I8" s="127">
        <v>0.91</v>
      </c>
      <c r="J8" s="126" t="s">
        <v>27</v>
      </c>
      <c r="K8" s="126" t="s">
        <v>33</v>
      </c>
      <c r="L8" s="126" t="s">
        <v>27</v>
      </c>
      <c r="M8" s="123">
        <v>1408.5340000000001</v>
      </c>
      <c r="N8" s="125">
        <v>1257.5999999999999</v>
      </c>
      <c r="O8" s="122">
        <v>0.17469999999999999</v>
      </c>
      <c r="P8" s="124">
        <v>10.48</v>
      </c>
      <c r="Q8" s="121">
        <v>500</v>
      </c>
      <c r="R8" s="121">
        <v>2</v>
      </c>
      <c r="S8" s="121">
        <v>1150</v>
      </c>
      <c r="T8" s="123">
        <v>1.1200000000000001</v>
      </c>
      <c r="U8" s="121">
        <v>30</v>
      </c>
      <c r="V8" s="122">
        <v>2.6100000000000002E-2</v>
      </c>
      <c r="W8" s="121" t="s">
        <v>29</v>
      </c>
      <c r="X8" s="121" t="s">
        <v>28</v>
      </c>
      <c r="Y8" s="121" t="s">
        <v>29</v>
      </c>
      <c r="Z8" s="121" t="s">
        <v>27</v>
      </c>
      <c r="AA8" s="121" t="s">
        <v>27</v>
      </c>
      <c r="AB8" s="121" t="s">
        <v>32</v>
      </c>
      <c r="AC8" s="121" t="s">
        <v>106</v>
      </c>
    </row>
    <row r="9" spans="1:29" x14ac:dyDescent="0.3">
      <c r="A9" s="120" t="s">
        <v>27</v>
      </c>
      <c r="B9" s="120" t="s">
        <v>27</v>
      </c>
      <c r="C9" s="120" t="s">
        <v>27</v>
      </c>
      <c r="D9" s="120" t="s">
        <v>27</v>
      </c>
      <c r="E9" s="120" t="s">
        <v>27</v>
      </c>
      <c r="F9" s="169" t="s">
        <v>27</v>
      </c>
      <c r="G9" s="120">
        <v>13445</v>
      </c>
      <c r="H9" s="120" t="s">
        <v>27</v>
      </c>
      <c r="I9" s="120" t="s">
        <v>27</v>
      </c>
      <c r="J9" s="120" t="s">
        <v>27</v>
      </c>
      <c r="K9" s="120" t="s">
        <v>27</v>
      </c>
      <c r="L9" s="120" t="s">
        <v>27</v>
      </c>
      <c r="M9" s="119" t="s">
        <v>27</v>
      </c>
      <c r="N9" s="119" t="s">
        <v>27</v>
      </c>
      <c r="O9" s="119" t="s">
        <v>27</v>
      </c>
      <c r="P9" s="119" t="s">
        <v>27</v>
      </c>
      <c r="Q9" s="119">
        <v>2199.6999999999998</v>
      </c>
      <c r="R9" s="119" t="s">
        <v>27</v>
      </c>
      <c r="S9" s="119" t="s">
        <v>27</v>
      </c>
      <c r="T9" s="119" t="s">
        <v>27</v>
      </c>
      <c r="U9" s="119" t="s">
        <v>27</v>
      </c>
      <c r="V9" s="119" t="s">
        <v>27</v>
      </c>
      <c r="W9" s="119" t="s">
        <v>27</v>
      </c>
      <c r="X9" s="119" t="s">
        <v>27</v>
      </c>
      <c r="Y9" s="119" t="s">
        <v>27</v>
      </c>
      <c r="Z9" s="119" t="s">
        <v>27</v>
      </c>
      <c r="AA9" s="119" t="s">
        <v>27</v>
      </c>
      <c r="AB9" s="119" t="s">
        <v>27</v>
      </c>
      <c r="AC9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80" t="s">
        <v>660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/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  <c r="AC1" s="180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80" t="s">
        <v>645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/>
      <c r="L1" s="180" t="s">
        <v>27</v>
      </c>
      <c r="M1" s="180" t="s">
        <v>27</v>
      </c>
      <c r="N1" s="180" t="s">
        <v>27</v>
      </c>
      <c r="O1" s="180" t="s">
        <v>27</v>
      </c>
      <c r="P1" s="180"/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  <c r="AC1" s="180" t="s">
        <v>27</v>
      </c>
      <c r="AD1" s="180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81" t="s">
        <v>622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80" t="s">
        <v>614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82" t="s">
        <v>606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80" t="s">
        <v>595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79" t="s">
        <v>585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D7"/>
  <sheetViews>
    <sheetView tabSelected="1" zoomScale="220" zoomScaleNormal="220" workbookViewId="0">
      <selection activeCell="Q10" sqref="Q1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9" style="1" customWidth="1"/>
    <col min="7" max="7" width="4.44140625" style="1" customWidth="1"/>
    <col min="8" max="8" width="6.44140625" style="1" customWidth="1"/>
    <col min="9" max="9" width="7.77734375" style="1" customWidth="1"/>
    <col min="10" max="11" width="7.109375" style="1" customWidth="1"/>
    <col min="12" max="12" width="11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6.6640625" style="1" customWidth="1"/>
    <col min="19" max="19" width="3.77734375" style="1" customWidth="1"/>
    <col min="20" max="20" width="6.21875" style="1" customWidth="1"/>
    <col min="21" max="21" width="6.6640625" style="1" customWidth="1"/>
    <col min="22" max="22" width="11.77734375" style="1" hidden="1" customWidth="1"/>
    <col min="23" max="23" width="8.77734375" style="1" hidden="1" customWidth="1"/>
    <col min="24" max="24" width="8.33203125" style="1" customWidth="1"/>
    <col min="25" max="25" width="7.44140625" style="1" customWidth="1"/>
    <col min="26" max="26" width="8" style="1" customWidth="1"/>
    <col min="27" max="27" width="7" style="1" customWidth="1"/>
    <col min="28" max="28" width="7.5546875" style="1" customWidth="1"/>
    <col min="29" max="29" width="4.6640625" style="1" customWidth="1"/>
    <col min="30" max="30" width="10.5546875" style="1" customWidth="1"/>
    <col min="31" max="16384" width="8.88671875" style="1"/>
  </cols>
  <sheetData>
    <row r="1" spans="1:30" ht="18" customHeight="1" x14ac:dyDescent="0.3">
      <c r="A1" s="183" t="s">
        <v>578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/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/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  <c r="AC1" s="183" t="s">
        <v>27</v>
      </c>
      <c r="AD1" s="183" t="s">
        <v>27</v>
      </c>
    </row>
    <row r="2" spans="1:30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/>
      <c r="L2" s="2" t="s">
        <v>8</v>
      </c>
      <c r="M2" s="2" t="s">
        <v>9</v>
      </c>
      <c r="N2" s="2" t="s">
        <v>10</v>
      </c>
      <c r="O2" s="2" t="s">
        <v>11</v>
      </c>
      <c r="P2" s="2" t="s">
        <v>12</v>
      </c>
      <c r="Q2" s="2"/>
      <c r="R2" s="2" t="s">
        <v>13</v>
      </c>
      <c r="S2" s="2" t="s">
        <v>14</v>
      </c>
      <c r="T2" s="2" t="s">
        <v>15</v>
      </c>
      <c r="U2" s="2" t="s">
        <v>16</v>
      </c>
      <c r="V2" s="2" t="s">
        <v>17</v>
      </c>
      <c r="W2" s="2" t="s">
        <v>18</v>
      </c>
      <c r="X2" s="2" t="s">
        <v>19</v>
      </c>
      <c r="Y2" s="2" t="s">
        <v>20</v>
      </c>
      <c r="Z2" s="2" t="s">
        <v>21</v>
      </c>
      <c r="AA2" s="2" t="s">
        <v>22</v>
      </c>
      <c r="AB2" s="2" t="s">
        <v>23</v>
      </c>
      <c r="AC2" s="2" t="s">
        <v>24</v>
      </c>
      <c r="AD2" s="2" t="s">
        <v>25</v>
      </c>
    </row>
    <row r="3" spans="1:30" s="12" customFormat="1" ht="25.05" customHeight="1" x14ac:dyDescent="0.3">
      <c r="A3" s="5">
        <v>1</v>
      </c>
      <c r="B3" s="10" t="s">
        <v>93</v>
      </c>
      <c r="C3" s="5" t="s">
        <v>35</v>
      </c>
      <c r="D3" s="5" t="s">
        <v>576</v>
      </c>
      <c r="E3" s="5" t="s">
        <v>27</v>
      </c>
      <c r="F3" s="5">
        <v>262865</v>
      </c>
      <c r="G3" s="5" t="s">
        <v>575</v>
      </c>
      <c r="H3" s="5">
        <v>1400</v>
      </c>
      <c r="I3" s="7">
        <v>0.44500000000000001</v>
      </c>
      <c r="J3" s="7">
        <v>0.83</v>
      </c>
      <c r="K3" s="7"/>
      <c r="L3" s="5" t="s">
        <v>577</v>
      </c>
      <c r="M3" s="7">
        <v>517.09</v>
      </c>
      <c r="N3" s="9">
        <v>387.3</v>
      </c>
      <c r="O3" s="6">
        <v>3.5900000000000001E-2</v>
      </c>
      <c r="P3" s="8">
        <v>2.15</v>
      </c>
      <c r="Q3" s="8"/>
      <c r="R3" s="5">
        <v>162.9</v>
      </c>
      <c r="S3" s="5">
        <v>3</v>
      </c>
      <c r="T3" s="5">
        <v>1400</v>
      </c>
      <c r="U3" s="7">
        <v>1.335</v>
      </c>
      <c r="V3" s="5">
        <v>65</v>
      </c>
      <c r="W3" s="6">
        <v>4.6399999999999997E-2</v>
      </c>
      <c r="X3" s="5" t="s">
        <v>28</v>
      </c>
      <c r="Y3" s="5" t="s">
        <v>28</v>
      </c>
      <c r="Z3" s="5" t="s">
        <v>28</v>
      </c>
      <c r="AA3" s="5" t="s">
        <v>27</v>
      </c>
      <c r="AB3" s="5" t="s">
        <v>27</v>
      </c>
      <c r="AC3" s="5" t="s">
        <v>38</v>
      </c>
      <c r="AD3" s="5" t="s">
        <v>574</v>
      </c>
    </row>
    <row r="4" spans="1:30" s="12" customFormat="1" ht="25.05" customHeight="1" x14ac:dyDescent="0.3">
      <c r="A4" s="5">
        <v>2</v>
      </c>
      <c r="B4" s="10" t="s">
        <v>93</v>
      </c>
      <c r="C4" s="5" t="s">
        <v>35</v>
      </c>
      <c r="D4" s="5" t="s">
        <v>576</v>
      </c>
      <c r="E4" s="5" t="s">
        <v>27</v>
      </c>
      <c r="F4" s="5">
        <v>262866</v>
      </c>
      <c r="G4" s="5">
        <v>83</v>
      </c>
      <c r="H4" s="5">
        <v>1000</v>
      </c>
      <c r="I4" s="7">
        <v>0.63</v>
      </c>
      <c r="J4" s="7">
        <v>1</v>
      </c>
      <c r="K4" s="7"/>
      <c r="L4" s="5" t="s">
        <v>33</v>
      </c>
      <c r="M4" s="7">
        <v>630</v>
      </c>
      <c r="N4" s="9">
        <v>500</v>
      </c>
      <c r="O4" s="6">
        <v>6.9400000000000003E-2</v>
      </c>
      <c r="P4" s="8">
        <v>4.17</v>
      </c>
      <c r="Q4" s="8"/>
      <c r="R4" s="5">
        <v>198.4</v>
      </c>
      <c r="S4" s="5">
        <v>2</v>
      </c>
      <c r="T4" s="5">
        <v>1300</v>
      </c>
      <c r="U4" s="7">
        <v>1.26</v>
      </c>
      <c r="V4" s="5">
        <v>40</v>
      </c>
      <c r="W4" s="6">
        <v>3.0800000000000001E-2</v>
      </c>
      <c r="X4" s="5" t="s">
        <v>28</v>
      </c>
      <c r="Y4" s="5" t="s">
        <v>28</v>
      </c>
      <c r="Z4" s="5" t="s">
        <v>28</v>
      </c>
      <c r="AA4" s="5" t="s">
        <v>27</v>
      </c>
      <c r="AB4" s="5" t="s">
        <v>27</v>
      </c>
      <c r="AC4" s="5" t="s">
        <v>38</v>
      </c>
      <c r="AD4" s="5" t="s">
        <v>574</v>
      </c>
    </row>
    <row r="5" spans="1:30" s="51" customFormat="1" ht="25.05" customHeight="1" x14ac:dyDescent="0.3">
      <c r="A5" s="5">
        <v>3</v>
      </c>
      <c r="B5" s="174" t="s">
        <v>126</v>
      </c>
      <c r="C5" s="173" t="s">
        <v>35</v>
      </c>
      <c r="D5" s="173"/>
      <c r="E5" s="173"/>
      <c r="F5" s="173">
        <v>262919</v>
      </c>
      <c r="G5" s="173" t="s">
        <v>666</v>
      </c>
      <c r="H5" s="173">
        <v>4500</v>
      </c>
      <c r="I5" s="175">
        <v>0.58099999999999996</v>
      </c>
      <c r="J5" s="175">
        <v>1.9059999999999999</v>
      </c>
      <c r="K5" s="175"/>
      <c r="L5" s="173" t="s">
        <v>667</v>
      </c>
      <c r="M5" s="175"/>
      <c r="N5" s="176"/>
      <c r="O5" s="177"/>
      <c r="P5" s="178"/>
      <c r="Q5" s="178"/>
      <c r="R5" s="173">
        <v>1569.7</v>
      </c>
      <c r="S5" s="173">
        <v>2</v>
      </c>
      <c r="T5" s="173">
        <v>1200</v>
      </c>
      <c r="U5" s="175">
        <v>1.1619999999999999</v>
      </c>
      <c r="V5" s="173">
        <v>38</v>
      </c>
      <c r="W5" s="177">
        <v>3.1699999999999999E-2</v>
      </c>
      <c r="X5" s="173" t="s">
        <v>28</v>
      </c>
      <c r="Y5" s="173" t="s">
        <v>28</v>
      </c>
      <c r="Z5" s="173" t="s">
        <v>28</v>
      </c>
      <c r="AA5" s="173" t="s">
        <v>27</v>
      </c>
      <c r="AB5" s="173" t="s">
        <v>27</v>
      </c>
      <c r="AC5" s="173" t="s">
        <v>40</v>
      </c>
      <c r="AD5" s="173" t="s">
        <v>668</v>
      </c>
    </row>
    <row r="6" spans="1:30" s="98" customFormat="1" ht="25.05" customHeight="1" x14ac:dyDescent="0.3">
      <c r="A6" s="5">
        <v>4</v>
      </c>
      <c r="B6" s="92" t="s">
        <v>126</v>
      </c>
      <c r="C6" s="91" t="s">
        <v>49</v>
      </c>
      <c r="D6" s="91" t="s">
        <v>599</v>
      </c>
      <c r="E6" s="91" t="s">
        <v>27</v>
      </c>
      <c r="F6" s="91">
        <v>262890</v>
      </c>
      <c r="G6" s="91" t="s">
        <v>625</v>
      </c>
      <c r="H6" s="91">
        <v>1000</v>
      </c>
      <c r="I6" s="93">
        <v>0.55000000000000004</v>
      </c>
      <c r="J6" s="93">
        <v>1.45</v>
      </c>
      <c r="K6" s="93"/>
      <c r="L6" s="91" t="s">
        <v>623</v>
      </c>
      <c r="M6" s="93">
        <v>797.5</v>
      </c>
      <c r="N6" s="94">
        <v>725</v>
      </c>
      <c r="O6" s="95">
        <v>0.1007</v>
      </c>
      <c r="P6" s="96">
        <v>6.04</v>
      </c>
      <c r="Q6" s="96"/>
      <c r="R6" s="91">
        <v>283.10000000000002</v>
      </c>
      <c r="S6" s="91">
        <v>2</v>
      </c>
      <c r="T6" s="91">
        <v>1150</v>
      </c>
      <c r="U6" s="93">
        <v>1.1000000000000001</v>
      </c>
      <c r="V6" s="91">
        <v>50</v>
      </c>
      <c r="W6" s="95">
        <v>4.3499999999999997E-2</v>
      </c>
      <c r="X6" s="91" t="s">
        <v>29</v>
      </c>
      <c r="Y6" s="91" t="s">
        <v>28</v>
      </c>
      <c r="Z6" s="91" t="s">
        <v>29</v>
      </c>
      <c r="AA6" s="91" t="s">
        <v>27</v>
      </c>
      <c r="AB6" s="91" t="s">
        <v>27</v>
      </c>
      <c r="AC6" s="91" t="s">
        <v>32</v>
      </c>
      <c r="AD6" s="91" t="s">
        <v>624</v>
      </c>
    </row>
    <row r="7" spans="1:30" s="129" customForma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f>SUM(H3:H6)</f>
        <v>7900</v>
      </c>
      <c r="I7" s="11" t="s">
        <v>27</v>
      </c>
      <c r="J7" s="11" t="s">
        <v>27</v>
      </c>
      <c r="K7" s="11"/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/>
      <c r="R7" s="11">
        <f>SUM(R3:R6)</f>
        <v>2214.1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  <c r="AD7" s="11" t="s">
        <v>27</v>
      </c>
    </row>
  </sheetData>
  <mergeCells count="1">
    <mergeCell ref="A1:AD1"/>
  </mergeCells>
  <pageMargins left="0.511811024" right="0.511811024" top="1.39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2" t="s">
        <v>573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80" t="s">
        <v>566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82" t="s">
        <v>528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82" t="s">
        <v>508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589</v>
      </c>
      <c r="H6" s="91">
        <v>600</v>
      </c>
      <c r="I6" s="93">
        <v>0.86799999999999999</v>
      </c>
      <c r="J6" s="93">
        <v>1.32</v>
      </c>
      <c r="K6" s="91" t="s">
        <v>591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590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84" t="s">
        <v>489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82" t="s">
        <v>478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85" t="s">
        <v>477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80" t="s">
        <v>458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80" t="s">
        <v>395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80" t="s">
        <v>593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85" t="s">
        <v>364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80" t="s">
        <v>321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2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2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2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2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2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2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2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2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2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2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2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2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2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2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2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2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2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80" t="s">
        <v>296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80" t="s">
        <v>278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80" t="s">
        <v>264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81" t="s">
        <v>247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80" t="s">
        <v>234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80" t="s">
        <v>228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80" t="s">
        <v>218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80" t="s">
        <v>235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82" t="s">
        <v>181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2" t="s">
        <v>173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80" t="s">
        <v>143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80" t="s">
        <v>139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85" t="s">
        <v>123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6" t="s">
        <v>105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7" t="s">
        <v>80</v>
      </c>
      <c r="B1" s="187" t="s">
        <v>27</v>
      </c>
      <c r="C1" s="187" t="s">
        <v>27</v>
      </c>
      <c r="D1" s="187" t="s">
        <v>27</v>
      </c>
      <c r="E1" s="187" t="s">
        <v>27</v>
      </c>
      <c r="F1" s="187" t="s">
        <v>27</v>
      </c>
      <c r="G1" s="187" t="s">
        <v>27</v>
      </c>
      <c r="H1" s="187" t="s">
        <v>27</v>
      </c>
      <c r="I1" s="187" t="s">
        <v>27</v>
      </c>
      <c r="J1" s="187" t="s">
        <v>27</v>
      </c>
      <c r="K1" s="187" t="s">
        <v>27</v>
      </c>
      <c r="L1" s="187" t="s">
        <v>27</v>
      </c>
      <c r="M1" s="187" t="s">
        <v>27</v>
      </c>
      <c r="N1" s="187" t="s">
        <v>27</v>
      </c>
      <c r="O1" s="187" t="s">
        <v>27</v>
      </c>
      <c r="P1" s="187" t="s">
        <v>27</v>
      </c>
      <c r="Q1" s="187" t="s">
        <v>27</v>
      </c>
      <c r="R1" s="187" t="s">
        <v>27</v>
      </c>
      <c r="S1" s="187" t="s">
        <v>27</v>
      </c>
      <c r="T1" s="187" t="s">
        <v>27</v>
      </c>
      <c r="U1" s="187" t="s">
        <v>27</v>
      </c>
      <c r="V1" s="187" t="s">
        <v>27</v>
      </c>
      <c r="W1" s="187" t="s">
        <v>27</v>
      </c>
      <c r="X1" s="187" t="s">
        <v>27</v>
      </c>
      <c r="Y1" s="187" t="s">
        <v>27</v>
      </c>
      <c r="Z1" s="187" t="s">
        <v>27</v>
      </c>
      <c r="AA1" s="187" t="s">
        <v>27</v>
      </c>
      <c r="AB1" s="18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2026-10-07T20:14:43Z</cp:lastPrinted>
  <dcterms:created xsi:type="dcterms:W3CDTF">2026-07-02T17:42:15Z</dcterms:created>
  <dcterms:modified xsi:type="dcterms:W3CDTF">2026-10-07T21:03:18Z</dcterms:modified>
</cp:coreProperties>
</file>