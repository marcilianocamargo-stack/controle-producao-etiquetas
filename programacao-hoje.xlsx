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B5937FB1-BC85-4B4B-9437-055E2314B65F}" xr6:coauthVersionLast="47" xr6:coauthVersionMax="47" xr10:uidLastSave="{00000000-0000-0000-0000-000000000000}"/>
  <bookViews>
    <workbookView xWindow="-21720" yWindow="-120" windowWidth="21840" windowHeight="13020" xr2:uid="{00000000-000D-0000-FFFF-FFFF00000000}"/>
  </bookViews>
  <sheets>
    <sheet name="Renovapel 1190" sheetId="145" r:id="rId1"/>
    <sheet name="DR EMBALAGENS 1189 " sheetId="144" r:id="rId2"/>
    <sheet name="FAVINCO EMBALAGENS 1188" sheetId="143" r:id="rId3"/>
    <sheet name="PCBOX - IPE 1187" sheetId="142" r:id="rId4"/>
    <sheet name="RM Embalagens 1184" sheetId="141" r:id="rId5"/>
    <sheet name="CARTOMIL EMBALAGENS LTDA 1183 P" sheetId="140" r:id="rId6"/>
    <sheet name="Z4A EMBALAGENS LTDA 1182" sheetId="139" r:id="rId7"/>
    <sheet name="Tolecaixas 1181 P" sheetId="138" r:id="rId8"/>
    <sheet name="HARMONY EMBALAGENS 1180 P" sheetId="137" r:id="rId9"/>
    <sheet name="RM Embalagens 1179 P" sheetId="136" r:id="rId10"/>
    <sheet name="ABAPEL 1178" sheetId="135" r:id="rId11"/>
    <sheet name="FAVINCO EMBALAGENS 1177 P" sheetId="134" r:id="rId12"/>
    <sheet name="IPE EMBALAGENS 1176 P" sheetId="133" r:id="rId13"/>
    <sheet name="PCBOX EMBALAGENS 1175 P" sheetId="132" r:id="rId14"/>
    <sheet name="ABAPEL 1174" sheetId="131" r:id="rId15"/>
    <sheet name="PCBOX EMBALAGENS 1171 P" sheetId="127" r:id="rId16"/>
    <sheet name="HARMONY EMBALAGENS 1169 P" sheetId="125" r:id="rId17"/>
    <sheet name="DR EMBALAGEM 1167 P" sheetId="124" r:id="rId18"/>
    <sheet name="Z4A EMBALAGENS  1166 P" sheetId="123" r:id="rId19"/>
    <sheet name="RM Embalagens 1165 P" sheetId="122" r:id="rId20"/>
    <sheet name="Carpel 1158 P" sheetId="119" r:id="rId21"/>
    <sheet name="ABAPEL 1155 P" sheetId="118" r:id="rId22"/>
    <sheet name="IPE - PCBOX 1154 P" sheetId="117" r:id="rId23"/>
    <sheet name="ABAPEL 1143 " sheetId="109" r:id="rId24"/>
    <sheet name="HARMONY EMBALAGENS 1138 P" sheetId="102" r:id="rId25"/>
    <sheet name="ABAPEL 1127 P" sheetId="97" r:id="rId26"/>
    <sheet name="ABAPEL 1105 P" sheetId="85" r:id="rId27"/>
    <sheet name="IVAIR SILVA 1122 P" sheetId="91" r:id="rId28"/>
    <sheet name="RENOVAPEL 1115 P" sheetId="88" r:id="rId2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2" i="135"/>
  <c r="H12" i="135"/>
</calcChain>
</file>

<file path=xl/sharedStrings.xml><?xml version="1.0" encoding="utf-8"?>
<sst xmlns="http://schemas.openxmlformats.org/spreadsheetml/2006/main" count="5240" uniqueCount="617">
  <si>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</si>
  <si>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</si>
  <si>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</si>
  <si>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</si>
  <si>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</si>
  <si>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</si>
  <si>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</si>
  <si>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</si>
  <si>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</si>
  <si>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</si>
  <si>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</si>
  <si>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</si>
  <si>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</si>
  <si>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</si>
  <si>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</si>
  <si>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</si>
  <si>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</si>
  <si>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</si>
  <si>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</si>
  <si>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</si>
  <si>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</si>
  <si>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</si>
  <si>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</si>
  <si>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</si>
  <si>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</si>
  <si>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</si>
  <si>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</si>
  <si>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</si>
  <si>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</si>
  <si>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</si>
  <si>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</si>
  <si>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</si>
  <si>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</si>
  <si>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</si>
  <si>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</si>
  <si>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</si>
  <si>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</si>
  <si>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</si>
  <si>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</si>
  <si>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</si>
  <si>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</si>
  <si>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</si>
  <si>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</si>
  <si>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</si>
  <si>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</si>
  <si>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</si>
  <si>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</si>
  <si>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</si>
  <si>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</si>
  <si>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</si>
  <si>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</si>
  <si>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</si>
  <si>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</si>
  <si>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</si>
  <si>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</si>
  <si>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</si>
  <si>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</si>
  <si>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</si>
  <si>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</si>
  <si>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</si>
  <si>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</si>
  <si>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</si>
  <si>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</si>
  <si>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</si>
  <si>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</si>
  <si>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</si>
  <si>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</si>
  <si>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</si>
  <si>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</si>
  <si>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</si>
  <si>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</si>
  <si>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</si>
  <si>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</si>
  <si>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</si>
  <si>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</si>
  <si>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</si>
  <si>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</si>
  <si>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</si>
  <si>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</si>
  <si>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</si>
  <si>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</si>
  <si>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</si>
  <si>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</si>
  <si>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</si>
  <si>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</si>
  <si>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</si>
  <si>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</si>
  <si>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</si>
  <si>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</si>
  <si>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</si>
  <si>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</si>
  <si>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</si>
  <si>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</si>
  <si>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</si>
  <si>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</si>
  <si>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</si>
  <si>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</si>
  <si>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</si>
  <si>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</si>
  <si>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</si>
  <si>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</si>
  <si>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</si>
  <si>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</si>
  <si>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</si>
  <si>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</si>
  <si>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</si>
  <si>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</si>
  <si>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</si>
  <si>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</si>
  <si>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</si>
  <si>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</si>
  <si>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</si>
  <si>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</si>
  <si>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</si>
  <si>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</si>
  <si>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</si>
  <si>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</si>
  <si>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</si>
  <si>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</si>
  <si>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</si>
  <si>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</si>
  <si>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</si>
  <si>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</si>
  <si>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</si>
  <si>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</si>
  <si>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</si>
  <si>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</si>
  <si>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</si>
  <si>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</si>
  <si>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</si>
  <si>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</si>
  <si>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</si>
  <si>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</si>
  <si>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</si>
  <si>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</si>
  <si>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</si>
  <si>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</si>
  <si>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</si>
  <si>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</si>
  <si>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</si>
  <si>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</si>
  <si>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</si>
  <si>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</si>
  <si>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</si>
  <si>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</si>
  <si>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</si>
  <si>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</si>
  <si>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</si>
  <si>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</si>
  <si>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</si>
  <si>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</si>
  <si>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</si>
  <si>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</si>
  <si>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</si>
  <si>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</si>
  <si>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</si>
  <si>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</si>
  <si>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</si>
  <si>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</si>
  <si>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</si>
  <si>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</si>
  <si>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</si>
  <si>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</si>
  <si>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</si>
  <si>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</si>
  <si>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</si>
  <si>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</si>
  <si>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</si>
  <si>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</si>
  <si>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</si>
  <si>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</si>
  <si>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</si>
  <si>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</si>
  <si>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</si>
  <si>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</si>
  <si>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</si>
  <si>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</si>
  <si>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</si>
  <si>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</si>
  <si>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</si>
  <si>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</si>
  <si>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</si>
  <si>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</si>
  <si>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</si>
  <si>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</si>
  <si>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</si>
  <si>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</si>
  <si>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</si>
  <si>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</si>
  <si>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</si>
  <si>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</si>
  <si>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</si>
  <si>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</si>
  <si>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</si>
  <si>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</si>
  <si>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</si>
  <si>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</si>
  <si>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</si>
  <si>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</si>
  <si>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</si>
  <si>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</si>
  <si>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</si>
  <si>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</si>
  <si>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</si>
  <si>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</si>
  <si>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</si>
  <si>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</si>
  <si>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</si>
  <si>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</si>
  <si>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</si>
  <si>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</si>
  <si>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</si>
  <si>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</si>
  <si>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</si>
  <si>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</si>
  <si>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</si>
  <si>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</si>
  <si>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</si>
  <si>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</si>
  <si>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</si>
  <si>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</si>
  <si>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</si>
  <si>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</si>
  <si>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</si>
  <si>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</si>
  <si>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</si>
  <si>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</si>
  <si>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</si>
  <si>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</si>
  <si>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</si>
  <si>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</si>
  <si>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</si>
  <si>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</si>
  <si>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</si>
  <si>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</si>
  <si>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</si>
  <si>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</si>
  <si>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</si>
  <si>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</si>
  <si>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</si>
  <si>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</si>
  <si>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</si>
  <si>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</si>
  <si>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</si>
  <si>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</si>
  <si>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</si>
  <si>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</si>
  <si>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</si>
  <si>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</si>
  <si>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</si>
  <si>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</si>
  <si>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</si>
  <si>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</si>
  <si>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</si>
  <si>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</si>
  <si>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</si>
  <si>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</si>
  <si>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</si>
  <si>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</si>
  <si>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</si>
  <si>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</si>
  <si>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</si>
  <si>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</si>
  <si>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</si>
  <si>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</si>
  <si>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</si>
  <si>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</si>
  <si>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</si>
  <si>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</si>
  <si>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</si>
  <si>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</si>
  <si>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</si>
  <si>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</si>
  <si>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</si>
  <si>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</si>
  <si>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</si>
  <si>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</si>
  <si>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</si>
  <si>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</si>
  <si>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</si>
  <si>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</si>
  <si>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</si>
  <si>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</si>
  <si>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</si>
  <si>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</si>
  <si>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</si>
  <si>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</si>
  <si>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</si>
  <si>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</si>
  <si>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</si>
  <si>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</si>
  <si>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</si>
  <si>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</si>
  <si>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</si>
  <si>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</si>
  <si>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</si>
  <si>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</si>
  <si>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</si>
  <si>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</si>
  <si>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</si>
  <si>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</si>
  <si>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</si>
  <si>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</si>
  <si>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</si>
  <si>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</si>
  <si>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</si>
  <si>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</si>
  <si>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</si>
  <si>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</si>
  <si>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</si>
  <si>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</si>
  <si>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</si>
  <si>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</si>
  <si>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</si>
  <si>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</si>
  <si>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</si>
  <si>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</si>
  <si>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</si>
  <si>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</si>
  <si>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</si>
  <si>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</si>
  <si>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</si>
  <si>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</si>
  <si>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</si>
  <si>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</si>
  <si>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</si>
  <si>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</si>
  <si>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</si>
  <si>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</si>
  <si>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</si>
  <si>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</si>
  <si>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</si>
  <si>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</si>
  <si>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</si>
  <si>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</si>
  <si>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</si>
  <si>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</si>
  <si>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</si>
  <si>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</si>
  <si>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</si>
  <si>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</si>
  <si>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</si>
  <si>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</si>
  <si>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</si>
  <si>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</si>
  <si>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</si>
  <si>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</si>
  <si>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</si>
  <si>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</si>
  <si>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</si>
  <si>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</si>
  <si>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</si>
  <si>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</si>
  <si>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</si>
  <si>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</si>
  <si>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</si>
  <si>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</si>
  <si>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</si>
  <si>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</si>
  <si>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</si>
  <si>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</si>
  <si>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</si>
  <si>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</si>
  <si>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</si>
  <si>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</si>
  <si>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</si>
  <si>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</si>
  <si>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</si>
  <si>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</si>
  <si>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</si>
  <si>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</si>
  <si>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</si>
  <si>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</si>
  <si>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</si>
  <si>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</si>
  <si>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</si>
  <si>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</si>
  <si>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</si>
  <si>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</si>
  <si>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</si>
  <si>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</si>
  <si>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</si>
  <si>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</si>
  <si>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</si>
  <si>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</si>
  <si>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</si>
  <si>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</si>
  <si>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</si>
  <si>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</si>
  <si>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</si>
  <si>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</si>
  <si>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</si>
  <si>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</si>
  <si>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</si>
  <si>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</si>
  <si>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</si>
  <si>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</si>
  <si>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</si>
  <si>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</si>
  <si>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</si>
  <si>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</si>
  <si>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</si>
  <si>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</si>
  <si>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</si>
  <si>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</si>
  <si>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</si>
  <si>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</si>
  <si>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</si>
  <si>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</si>
  <si>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</si>
  <si>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</si>
  <si>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</si>
  <si>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</si>
  <si>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</si>
  <si>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</si>
  <si>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</si>
  <si>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</si>
  <si>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</si>
  <si>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</si>
  <si>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</si>
  <si>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</si>
  <si>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</si>
  <si>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</si>
  <si>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</si>
  <si>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</si>
  <si>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</si>
  <si>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</si>
  <si>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</si>
  <si>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</si>
  <si>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</si>
  <si>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</si>
  <si>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</si>
  <si>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</si>
  <si>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</si>
  <si>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</si>
  <si>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</si>
  <si>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</si>
  <si>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</si>
  <si>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</si>
  <si>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</si>
  <si>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</si>
  <si>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</si>
  <si>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</si>
  <si>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</si>
  <si>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</si>
  <si>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</si>
  <si>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</si>
  <si>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</si>
  <si>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</si>
  <si>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</si>
  <si>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</si>
  <si>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</si>
  <si>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</si>
  <si>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</si>
  <si>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</si>
  <si>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</si>
  <si>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</si>
  <si>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</si>
  <si>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</si>
  <si>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</si>
  <si>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</si>
  <si>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</si>
  <si>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</si>
  <si>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</si>
  <si>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</si>
  <si>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</si>
  <si>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</si>
  <si>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</si>
  <si>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</si>
  <si>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</si>
  <si>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</si>
  <si>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</si>
  <si>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</si>
  <si>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</si>
  <si>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</si>
  <si>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</si>
  <si>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</si>
  <si>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</si>
  <si>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</si>
  <si>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</si>
  <si>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</si>
  <si>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</si>
  <si>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</si>
  <si>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</si>
  <si>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</si>
  <si>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</si>
  <si>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</si>
  <si>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</si>
  <si>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</si>
  <si>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</si>
  <si>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</si>
  <si>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</si>
  <si>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</si>
  <si>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</si>
  <si>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</si>
  <si>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</si>
  <si>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</si>
  <si>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</si>
  <si>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</si>
  <si>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</si>
  <si>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</si>
  <si>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</si>
  <si>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</si>
  <si>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</si>
  <si>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</si>
  <si>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</si>
  <si>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</si>
  <si>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</si>
  <si>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</si>
  <si>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</si>
  <si>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</si>
  <si>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</si>
  <si>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</si>
  <si>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</si>
  <si>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</si>
  <si>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</si>
  <si>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</si>
  <si>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</si>
  <si>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</si>
  <si>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</si>
  <si>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</si>
  <si>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</si>
  <si>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</si>
  <si>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</si>
  <si>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</si>
  <si>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</si>
  <si>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</si>
  <si>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</si>
  <si>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</si>
  <si>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</si>
  <si>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</si>
  <si>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</si>
  <si>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</si>
  <si>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</si>
  <si>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</si>
  <si>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</si>
  <si>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</si>
  <si>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</si>
  <si>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</si>
  <si>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</si>
  <si>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</si>
  <si>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</si>
  <si>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</si>
  <si>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</si>
  <si>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</si>
  <si>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</si>
  <si>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</si>
  <si>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</si>
  <si>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</si>
  <si>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</si>
  <si>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</si>
  <si>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</si>
  <si>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</si>
  <si>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</si>
  <si>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</si>
  <si>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</si>
  <si>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</si>
  <si>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</si>
  <si>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</si>
  <si>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</si>
  <si>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</si>
  <si>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</si>
  <si>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</si>
  <si>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</si>
  <si>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</si>
  <si>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</si>
  <si>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</si>
  <si>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</si>
  <si>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</si>
  <si>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</si>
  <si>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</si>
  <si>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</si>
  <si>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</si>
  <si>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</si>
  <si>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</si>
  <si>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</si>
  <si>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</si>
  <si>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</si>
  <si>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</si>
  <si>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</si>
  <si>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</si>
  <si>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</si>
  <si>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</si>
  <si>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</si>
  <si>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</si>
  <si>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</si>
  <si>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</si>
  <si>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</si>
  <si>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</si>
  <si>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</si>
  <si>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</si>
  <si>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</si>
  <si>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</si>
  <si>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</si>
  <si>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</si>
  <si>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</si>
  <si>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</si>
  <si>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</si>
  <si>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</si>
  <si>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</si>
  <si>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</si>
  <si>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</si>
  <si>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</si>
  <si>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</si>
  <si>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</si>
  <si>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</si>
  <si>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</si>
  <si>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</si>
  <si>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</si>
  <si>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</si>
  <si>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</si>
  <si>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</si>
  <si>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</si>
  <si>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</si>
  <si>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</si>
  <si>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</si>
  <si>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PROGRAMAÇÃO ONDULADEIRA - Renovapel Reciclagem de Papeis Ltda  —  OF: 001190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</si>
</sst>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17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2" fillId="0" borderId="0" xfId="1" applyFont="1"/>
    <xf numFmtId="0" fontId="21" fillId="0" borderId="0" xfId="3" applyFont="1"/>
    <xf numFmtId="0" fontId="8" fillId="0" borderId="0" xfId="1" applyFont="1"/>
    <xf numFmtId="0" fontId="8" fillId="0" borderId="0" xfId="3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theme" Target="theme/theme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BF6B8-CFBA-4B9C-B657-7DDF380CCF63}">
  <dimension ref="A1:AB7"/>
  <sheetViews>
    <sheetView tabSelected="1" workbookViewId="0">
      <selection activeCell="AD6" sqref="AD6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10.77734375" style="108" customWidth="1"/>
    <col min="6" max="6" width="7.6640625" style="108" customWidth="1"/>
    <col min="7" max="7" width="5.109375" style="108" customWidth="1"/>
    <col min="8" max="8" width="6.33203125" style="108" customWidth="1"/>
    <col min="9" max="9" width="6" style="108" customWidth="1"/>
    <col min="10" max="10" width="6.21875" style="108" customWidth="1"/>
    <col min="11" max="11" width="10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5546875" style="108" customWidth="1"/>
    <col min="17" max="17" width="3.88671875" style="108" customWidth="1"/>
    <col min="18" max="18" width="5.33203125" style="108" customWidth="1"/>
    <col min="19" max="19" width="6.21875" style="108" customWidth="1"/>
    <col min="20" max="20" width="11.77734375" style="108" hidden="1" customWidth="1"/>
    <col min="21" max="21" width="8.77734375" style="108" hidden="1" customWidth="1"/>
    <col min="22" max="22" width="7.5546875" style="108" customWidth="1"/>
    <col min="23" max="24" width="7.77734375" style="108" customWidth="1"/>
    <col min="25" max="25" width="8.44140625" style="108" customWidth="1"/>
    <col min="26" max="26" width="8.88671875" style="108" customWidth="1"/>
    <col min="27" max="27" width="4.33203125" style="108" customWidth="1"/>
    <col min="28" max="28" width="10.6640625" style="108" customWidth="1"/>
    <col min="29" max="16384" width="8.88671875" style="108"/>
  </cols>
  <sheetData>
    <row r="1" spans="1:28" ht="18" customHeight="1" x14ac:dyDescent="0.35">
      <c r="A1" s="151" t="s">
        <v>616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4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x14ac:dyDescent="0.3">
      <c r="A3" s="170">
        <v>1</v>
      </c>
      <c r="B3" s="171" t="s">
        <v>610</v>
      </c>
      <c r="C3" s="170" t="s">
        <v>296</v>
      </c>
      <c r="D3" s="170" t="s">
        <v>602</v>
      </c>
      <c r="E3" s="170" t="s">
        <v>27</v>
      </c>
      <c r="F3" s="170">
        <v>262533</v>
      </c>
      <c r="G3" s="170" t="s">
        <v>609</v>
      </c>
      <c r="H3" s="170">
        <v>1000</v>
      </c>
      <c r="I3" s="172">
        <v>0.55500000000000005</v>
      </c>
      <c r="J3" s="172">
        <v>0.875</v>
      </c>
      <c r="K3" s="170" t="s">
        <v>34</v>
      </c>
      <c r="L3" s="172">
        <v>485.625</v>
      </c>
      <c r="M3" s="173">
        <v>437.5</v>
      </c>
      <c r="N3" s="174">
        <v>6.08E-2</v>
      </c>
      <c r="O3" s="175">
        <v>3.65</v>
      </c>
      <c r="P3" s="170">
        <v>186</v>
      </c>
      <c r="Q3" s="170">
        <v>2</v>
      </c>
      <c r="R3" s="170">
        <v>1150</v>
      </c>
      <c r="S3" s="172">
        <v>1.1100000000000001</v>
      </c>
      <c r="T3" s="170">
        <v>40</v>
      </c>
      <c r="U3" s="174">
        <v>3.4799999999999998E-2</v>
      </c>
      <c r="V3" s="170" t="s">
        <v>42</v>
      </c>
      <c r="W3" s="170" t="s">
        <v>29</v>
      </c>
      <c r="X3" s="170" t="s">
        <v>28</v>
      </c>
      <c r="Y3" s="170" t="s">
        <v>27</v>
      </c>
      <c r="Z3" s="170" t="s">
        <v>27</v>
      </c>
      <c r="AA3" s="170" t="s">
        <v>39</v>
      </c>
      <c r="AB3" s="170" t="s">
        <v>615</v>
      </c>
    </row>
    <row r="4" spans="1:28" s="176" customFormat="1" x14ac:dyDescent="0.3">
      <c r="A4" s="170">
        <v>2</v>
      </c>
      <c r="B4" s="171" t="s">
        <v>610</v>
      </c>
      <c r="C4" s="170" t="s">
        <v>296</v>
      </c>
      <c r="D4" s="170" t="s">
        <v>602</v>
      </c>
      <c r="E4" s="170" t="s">
        <v>27</v>
      </c>
      <c r="F4" s="170">
        <v>262530</v>
      </c>
      <c r="G4" s="170" t="s">
        <v>609</v>
      </c>
      <c r="H4" s="170">
        <v>1000</v>
      </c>
      <c r="I4" s="172">
        <v>0.34799999999999998</v>
      </c>
      <c r="J4" s="172">
        <v>0.88500000000000001</v>
      </c>
      <c r="K4" s="170" t="s">
        <v>614</v>
      </c>
      <c r="L4" s="172">
        <v>307.98</v>
      </c>
      <c r="M4" s="173">
        <v>442.5</v>
      </c>
      <c r="N4" s="174">
        <v>6.1499999999999999E-2</v>
      </c>
      <c r="O4" s="175">
        <v>3.69</v>
      </c>
      <c r="P4" s="170">
        <v>118</v>
      </c>
      <c r="Q4" s="170">
        <v>2</v>
      </c>
      <c r="R4" s="170">
        <v>750</v>
      </c>
      <c r="S4" s="172">
        <v>0.69599999999999995</v>
      </c>
      <c r="T4" s="170">
        <v>54</v>
      </c>
      <c r="U4" s="174">
        <v>7.1999999999999995E-2</v>
      </c>
      <c r="V4" s="170" t="s">
        <v>42</v>
      </c>
      <c r="W4" s="170" t="s">
        <v>29</v>
      </c>
      <c r="X4" s="170" t="s">
        <v>28</v>
      </c>
      <c r="Y4" s="170" t="s">
        <v>27</v>
      </c>
      <c r="Z4" s="170" t="s">
        <v>27</v>
      </c>
      <c r="AA4" s="170" t="s">
        <v>39</v>
      </c>
      <c r="AB4" s="170" t="s">
        <v>613</v>
      </c>
    </row>
    <row r="5" spans="1:28" s="176" customFormat="1" x14ac:dyDescent="0.3">
      <c r="A5" s="170">
        <v>3</v>
      </c>
      <c r="B5" s="171" t="s">
        <v>610</v>
      </c>
      <c r="C5" s="170" t="s">
        <v>296</v>
      </c>
      <c r="D5" s="170" t="s">
        <v>602</v>
      </c>
      <c r="E5" s="170" t="s">
        <v>27</v>
      </c>
      <c r="F5" s="170">
        <v>262531</v>
      </c>
      <c r="G5" s="170" t="s">
        <v>609</v>
      </c>
      <c r="H5" s="170">
        <v>8000</v>
      </c>
      <c r="I5" s="172">
        <v>0.32700000000000001</v>
      </c>
      <c r="J5" s="172">
        <v>0.88500000000000001</v>
      </c>
      <c r="K5" s="170" t="s">
        <v>612</v>
      </c>
      <c r="L5" s="172">
        <v>2315.16</v>
      </c>
      <c r="M5" s="173">
        <v>3540</v>
      </c>
      <c r="N5" s="174">
        <v>0.49170000000000003</v>
      </c>
      <c r="O5" s="175">
        <v>29.5</v>
      </c>
      <c r="P5" s="170">
        <v>886.7</v>
      </c>
      <c r="Q5" s="170">
        <v>2</v>
      </c>
      <c r="R5" s="170">
        <v>700</v>
      </c>
      <c r="S5" s="172">
        <v>0.65400000000000003</v>
      </c>
      <c r="T5" s="170">
        <v>46</v>
      </c>
      <c r="U5" s="174">
        <v>6.5699999999999995E-2</v>
      </c>
      <c r="V5" s="170" t="s">
        <v>42</v>
      </c>
      <c r="W5" s="170" t="s">
        <v>29</v>
      </c>
      <c r="X5" s="170" t="s">
        <v>28</v>
      </c>
      <c r="Y5" s="170" t="s">
        <v>27</v>
      </c>
      <c r="Z5" s="170" t="s">
        <v>27</v>
      </c>
      <c r="AA5" s="170" t="s">
        <v>32</v>
      </c>
      <c r="AB5" s="170" t="s">
        <v>611</v>
      </c>
    </row>
    <row r="6" spans="1:28" s="176" customFormat="1" x14ac:dyDescent="0.3">
      <c r="A6" s="170">
        <v>4</v>
      </c>
      <c r="B6" s="171" t="s">
        <v>610</v>
      </c>
      <c r="C6" s="170" t="s">
        <v>296</v>
      </c>
      <c r="D6" s="170" t="s">
        <v>602</v>
      </c>
      <c r="E6" s="170" t="s">
        <v>27</v>
      </c>
      <c r="F6" s="170">
        <v>262532</v>
      </c>
      <c r="G6" s="170" t="s">
        <v>609</v>
      </c>
      <c r="H6" s="170">
        <v>1000</v>
      </c>
      <c r="I6" s="172">
        <v>0.30299999999999999</v>
      </c>
      <c r="J6" s="172">
        <v>0.94499999999999995</v>
      </c>
      <c r="K6" s="170" t="s">
        <v>608</v>
      </c>
      <c r="L6" s="172">
        <v>286.33499999999998</v>
      </c>
      <c r="M6" s="173">
        <v>472.5</v>
      </c>
      <c r="N6" s="174">
        <v>6.5600000000000006E-2</v>
      </c>
      <c r="O6" s="175">
        <v>3.94</v>
      </c>
      <c r="P6" s="170">
        <v>109.7</v>
      </c>
      <c r="Q6" s="170">
        <v>2</v>
      </c>
      <c r="R6" s="170">
        <v>650</v>
      </c>
      <c r="S6" s="172">
        <v>0.60599999999999998</v>
      </c>
      <c r="T6" s="170">
        <v>44</v>
      </c>
      <c r="U6" s="174">
        <v>6.7699999999999996E-2</v>
      </c>
      <c r="V6" s="170" t="s">
        <v>42</v>
      </c>
      <c r="W6" s="170" t="s">
        <v>29</v>
      </c>
      <c r="X6" s="170" t="s">
        <v>28</v>
      </c>
      <c r="Y6" s="170" t="s">
        <v>27</v>
      </c>
      <c r="Z6" s="170" t="s">
        <v>27</v>
      </c>
      <c r="AA6" s="170" t="s">
        <v>39</v>
      </c>
      <c r="AB6" s="170" t="s">
        <v>607</v>
      </c>
    </row>
    <row r="7" spans="1:28" s="176" customFormat="1" x14ac:dyDescent="0.3">
      <c r="A7" s="177" t="s">
        <v>27</v>
      </c>
      <c r="B7" s="177" t="s">
        <v>27</v>
      </c>
      <c r="C7" s="177" t="s">
        <v>27</v>
      </c>
      <c r="D7" s="177" t="s">
        <v>27</v>
      </c>
      <c r="E7" s="177" t="s">
        <v>27</v>
      </c>
      <c r="F7" s="177" t="s">
        <v>27</v>
      </c>
      <c r="G7" s="177" t="s">
        <v>27</v>
      </c>
      <c r="H7" s="177">
        <v>11000</v>
      </c>
      <c r="I7" s="177" t="s">
        <v>27</v>
      </c>
      <c r="J7" s="177" t="s">
        <v>27</v>
      </c>
      <c r="K7" s="177" t="s">
        <v>27</v>
      </c>
      <c r="L7" s="177" t="s">
        <v>27</v>
      </c>
      <c r="M7" s="177" t="s">
        <v>27</v>
      </c>
      <c r="N7" s="177" t="s">
        <v>27</v>
      </c>
      <c r="O7" s="177" t="s">
        <v>27</v>
      </c>
      <c r="P7" s="177">
        <v>1300.3</v>
      </c>
      <c r="Q7" s="177" t="s">
        <v>27</v>
      </c>
      <c r="R7" s="177" t="s">
        <v>27</v>
      </c>
      <c r="S7" s="177" t="s">
        <v>27</v>
      </c>
      <c r="T7" s="177" t="s">
        <v>27</v>
      </c>
      <c r="U7" s="177" t="s">
        <v>27</v>
      </c>
      <c r="V7" s="177" t="s">
        <v>27</v>
      </c>
      <c r="W7" s="177" t="s">
        <v>27</v>
      </c>
      <c r="X7" s="177" t="s">
        <v>27</v>
      </c>
      <c r="Y7" s="177" t="s">
        <v>27</v>
      </c>
      <c r="Z7" s="177" t="s">
        <v>27</v>
      </c>
      <c r="AA7" s="177" t="s">
        <v>27</v>
      </c>
      <c r="AB7" s="17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dimension ref="A1:AB11"/>
  <sheetViews>
    <sheetView workbookViewId="0">
      <selection activeCell="K22" sqref="K22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51" t="s">
        <v>606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x14ac:dyDescent="0.3">
      <c r="A3" s="159">
        <v>1</v>
      </c>
      <c r="B3" s="160" t="s">
        <v>603</v>
      </c>
      <c r="C3" s="159" t="s">
        <v>36</v>
      </c>
      <c r="D3" s="159" t="s">
        <v>602</v>
      </c>
      <c r="E3" s="159" t="s">
        <v>27</v>
      </c>
      <c r="F3" s="159">
        <v>262522</v>
      </c>
      <c r="G3" s="159" t="s">
        <v>601</v>
      </c>
      <c r="H3" s="159">
        <v>8000</v>
      </c>
      <c r="I3" s="161">
        <v>0.46</v>
      </c>
      <c r="J3" s="161">
        <v>0.92</v>
      </c>
      <c r="K3" s="159" t="s">
        <v>34</v>
      </c>
      <c r="L3" s="161">
        <v>3385.6</v>
      </c>
      <c r="M3" s="162">
        <v>2453.3000000000002</v>
      </c>
      <c r="N3" s="163">
        <v>0.22720000000000001</v>
      </c>
      <c r="O3" s="164">
        <v>13.63</v>
      </c>
      <c r="P3" s="159">
        <v>1168</v>
      </c>
      <c r="Q3" s="159">
        <v>3</v>
      </c>
      <c r="R3" s="159">
        <v>1400</v>
      </c>
      <c r="S3" s="161">
        <v>1.38</v>
      </c>
      <c r="T3" s="159">
        <v>20</v>
      </c>
      <c r="U3" s="163">
        <v>1.43E-2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49</v>
      </c>
      <c r="AB3" s="159" t="s">
        <v>64</v>
      </c>
    </row>
    <row r="4" spans="1:28" s="165" customFormat="1" x14ac:dyDescent="0.3">
      <c r="A4" s="159">
        <v>2</v>
      </c>
      <c r="B4" s="160" t="s">
        <v>603</v>
      </c>
      <c r="C4" s="159" t="s">
        <v>60</v>
      </c>
      <c r="D4" s="159" t="s">
        <v>602</v>
      </c>
      <c r="E4" s="159" t="s">
        <v>27</v>
      </c>
      <c r="F4" s="159">
        <v>262524</v>
      </c>
      <c r="G4" s="159" t="s">
        <v>601</v>
      </c>
      <c r="H4" s="159">
        <v>3000</v>
      </c>
      <c r="I4" s="161">
        <v>0.46</v>
      </c>
      <c r="J4" s="161">
        <v>0.92</v>
      </c>
      <c r="K4" s="159" t="s">
        <v>34</v>
      </c>
      <c r="L4" s="161">
        <v>1269.5999999999999</v>
      </c>
      <c r="M4" s="162">
        <v>920</v>
      </c>
      <c r="N4" s="163">
        <v>8.5199999999999998E-2</v>
      </c>
      <c r="O4" s="164">
        <v>5.1100000000000003</v>
      </c>
      <c r="P4" s="159">
        <v>479.9</v>
      </c>
      <c r="Q4" s="159">
        <v>3</v>
      </c>
      <c r="R4" s="159">
        <v>1400</v>
      </c>
      <c r="S4" s="161">
        <v>1.38</v>
      </c>
      <c r="T4" s="159">
        <v>20</v>
      </c>
      <c r="U4" s="163">
        <v>1.43E-2</v>
      </c>
      <c r="V4" s="159" t="s">
        <v>38</v>
      </c>
      <c r="W4" s="159" t="s">
        <v>29</v>
      </c>
      <c r="X4" s="159" t="s">
        <v>35</v>
      </c>
      <c r="Y4" s="159" t="s">
        <v>27</v>
      </c>
      <c r="Z4" s="159" t="s">
        <v>27</v>
      </c>
      <c r="AA4" s="159" t="s">
        <v>33</v>
      </c>
      <c r="AB4" s="159" t="s">
        <v>64</v>
      </c>
    </row>
    <row r="5" spans="1:28" s="165" customFormat="1" x14ac:dyDescent="0.3">
      <c r="A5" s="159">
        <v>3</v>
      </c>
      <c r="B5" s="160" t="s">
        <v>603</v>
      </c>
      <c r="C5" s="159" t="s">
        <v>36</v>
      </c>
      <c r="D5" s="159" t="s">
        <v>602</v>
      </c>
      <c r="E5" s="159" t="s">
        <v>27</v>
      </c>
      <c r="F5" s="159">
        <v>262527</v>
      </c>
      <c r="G5" s="159" t="s">
        <v>601</v>
      </c>
      <c r="H5" s="159">
        <v>1000</v>
      </c>
      <c r="I5" s="161">
        <v>0.41</v>
      </c>
      <c r="J5" s="161">
        <v>0.82</v>
      </c>
      <c r="K5" s="159" t="s">
        <v>34</v>
      </c>
      <c r="L5" s="161">
        <v>336.2</v>
      </c>
      <c r="M5" s="162">
        <v>273.3</v>
      </c>
      <c r="N5" s="163">
        <v>2.53E-2</v>
      </c>
      <c r="O5" s="164">
        <v>1.52</v>
      </c>
      <c r="P5" s="159">
        <v>116</v>
      </c>
      <c r="Q5" s="159">
        <v>3</v>
      </c>
      <c r="R5" s="159">
        <v>1250</v>
      </c>
      <c r="S5" s="161">
        <v>1.23</v>
      </c>
      <c r="T5" s="159">
        <v>20</v>
      </c>
      <c r="U5" s="163">
        <v>1.6E-2</v>
      </c>
      <c r="V5" s="159" t="s">
        <v>28</v>
      </c>
      <c r="W5" s="159" t="s">
        <v>28</v>
      </c>
      <c r="X5" s="159" t="s">
        <v>28</v>
      </c>
      <c r="Y5" s="159" t="s">
        <v>27</v>
      </c>
      <c r="Z5" s="159" t="s">
        <v>27</v>
      </c>
      <c r="AA5" s="159" t="s">
        <v>39</v>
      </c>
      <c r="AB5" s="159" t="s">
        <v>605</v>
      </c>
    </row>
    <row r="6" spans="1:28" s="165" customFormat="1" x14ac:dyDescent="0.3">
      <c r="A6" s="159">
        <v>4</v>
      </c>
      <c r="B6" s="160" t="s">
        <v>603</v>
      </c>
      <c r="C6" s="159" t="s">
        <v>60</v>
      </c>
      <c r="D6" s="159" t="s">
        <v>602</v>
      </c>
      <c r="E6" s="159" t="s">
        <v>27</v>
      </c>
      <c r="F6" s="159">
        <v>262528</v>
      </c>
      <c r="G6" s="159" t="s">
        <v>601</v>
      </c>
      <c r="H6" s="159">
        <v>2000</v>
      </c>
      <c r="I6" s="161">
        <v>0.41</v>
      </c>
      <c r="J6" s="161">
        <v>0.82</v>
      </c>
      <c r="K6" s="159" t="s">
        <v>34</v>
      </c>
      <c r="L6" s="161">
        <v>672.4</v>
      </c>
      <c r="M6" s="162">
        <v>546.70000000000005</v>
      </c>
      <c r="N6" s="163">
        <v>5.0599999999999999E-2</v>
      </c>
      <c r="O6" s="164">
        <v>3.04</v>
      </c>
      <c r="P6" s="159">
        <v>254.2</v>
      </c>
      <c r="Q6" s="159">
        <v>3</v>
      </c>
      <c r="R6" s="159">
        <v>1250</v>
      </c>
      <c r="S6" s="161">
        <v>1.23</v>
      </c>
      <c r="T6" s="159">
        <v>20</v>
      </c>
      <c r="U6" s="163">
        <v>1.6E-2</v>
      </c>
      <c r="V6" s="159" t="s">
        <v>38</v>
      </c>
      <c r="W6" s="159" t="s">
        <v>29</v>
      </c>
      <c r="X6" s="159" t="s">
        <v>35</v>
      </c>
      <c r="Y6" s="159" t="s">
        <v>27</v>
      </c>
      <c r="Z6" s="159" t="s">
        <v>27</v>
      </c>
      <c r="AA6" s="159" t="s">
        <v>33</v>
      </c>
      <c r="AB6" s="159" t="s">
        <v>605</v>
      </c>
    </row>
    <row r="7" spans="1:28" s="165" customFormat="1" x14ac:dyDescent="0.3">
      <c r="A7" s="159">
        <v>5</v>
      </c>
      <c r="B7" s="160" t="s">
        <v>603</v>
      </c>
      <c r="C7" s="159" t="s">
        <v>36</v>
      </c>
      <c r="D7" s="159" t="s">
        <v>602</v>
      </c>
      <c r="E7" s="159" t="s">
        <v>27</v>
      </c>
      <c r="F7" s="159">
        <v>262523</v>
      </c>
      <c r="G7" s="159" t="s">
        <v>601</v>
      </c>
      <c r="H7" s="159">
        <v>500</v>
      </c>
      <c r="I7" s="161">
        <v>0.56000000000000005</v>
      </c>
      <c r="J7" s="161">
        <v>1.1200000000000001</v>
      </c>
      <c r="K7" s="159" t="s">
        <v>34</v>
      </c>
      <c r="L7" s="161">
        <v>313.60000000000002</v>
      </c>
      <c r="M7" s="162">
        <v>280</v>
      </c>
      <c r="N7" s="163">
        <v>3.8899999999999997E-2</v>
      </c>
      <c r="O7" s="164">
        <v>2.33</v>
      </c>
      <c r="P7" s="159">
        <v>108.2</v>
      </c>
      <c r="Q7" s="159">
        <v>2</v>
      </c>
      <c r="R7" s="159">
        <v>1150</v>
      </c>
      <c r="S7" s="161">
        <v>1.1200000000000001</v>
      </c>
      <c r="T7" s="159">
        <v>30</v>
      </c>
      <c r="U7" s="163">
        <v>2.6100000000000002E-2</v>
      </c>
      <c r="V7" s="159" t="s">
        <v>28</v>
      </c>
      <c r="W7" s="159" t="s">
        <v>28</v>
      </c>
      <c r="X7" s="159" t="s">
        <v>28</v>
      </c>
      <c r="Y7" s="159" t="s">
        <v>27</v>
      </c>
      <c r="Z7" s="159" t="s">
        <v>27</v>
      </c>
      <c r="AA7" s="159" t="s">
        <v>39</v>
      </c>
      <c r="AB7" s="159" t="s">
        <v>604</v>
      </c>
    </row>
    <row r="8" spans="1:28" s="165" customFormat="1" x14ac:dyDescent="0.3">
      <c r="A8" s="159">
        <v>6</v>
      </c>
      <c r="B8" s="160" t="s">
        <v>603</v>
      </c>
      <c r="C8" s="159" t="s">
        <v>60</v>
      </c>
      <c r="D8" s="159" t="s">
        <v>602</v>
      </c>
      <c r="E8" s="159" t="s">
        <v>27</v>
      </c>
      <c r="F8" s="159">
        <v>262525</v>
      </c>
      <c r="G8" s="159" t="s">
        <v>601</v>
      </c>
      <c r="H8" s="159">
        <v>1500</v>
      </c>
      <c r="I8" s="161">
        <v>0.56000000000000005</v>
      </c>
      <c r="J8" s="161">
        <v>1.1200000000000001</v>
      </c>
      <c r="K8" s="159" t="s">
        <v>34</v>
      </c>
      <c r="L8" s="161">
        <v>940.8</v>
      </c>
      <c r="M8" s="162">
        <v>840</v>
      </c>
      <c r="N8" s="163">
        <v>0.1167</v>
      </c>
      <c r="O8" s="164">
        <v>7</v>
      </c>
      <c r="P8" s="159">
        <v>355.6</v>
      </c>
      <c r="Q8" s="159">
        <v>2</v>
      </c>
      <c r="R8" s="159">
        <v>1150</v>
      </c>
      <c r="S8" s="161">
        <v>1.1200000000000001</v>
      </c>
      <c r="T8" s="159">
        <v>30</v>
      </c>
      <c r="U8" s="163">
        <v>2.6100000000000002E-2</v>
      </c>
      <c r="V8" s="159" t="s">
        <v>38</v>
      </c>
      <c r="W8" s="159" t="s">
        <v>29</v>
      </c>
      <c r="X8" s="159" t="s">
        <v>35</v>
      </c>
      <c r="Y8" s="159" t="s">
        <v>27</v>
      </c>
      <c r="Z8" s="159" t="s">
        <v>27</v>
      </c>
      <c r="AA8" s="159" t="s">
        <v>33</v>
      </c>
      <c r="AB8" s="159" t="s">
        <v>604</v>
      </c>
    </row>
    <row r="9" spans="1:28" s="165" customFormat="1" x14ac:dyDescent="0.3">
      <c r="A9" s="159">
        <v>7</v>
      </c>
      <c r="B9" s="160" t="s">
        <v>603</v>
      </c>
      <c r="C9" s="159" t="s">
        <v>36</v>
      </c>
      <c r="D9" s="159" t="s">
        <v>602</v>
      </c>
      <c r="E9" s="159" t="s">
        <v>27</v>
      </c>
      <c r="F9" s="159">
        <v>262526</v>
      </c>
      <c r="G9" s="159" t="s">
        <v>601</v>
      </c>
      <c r="H9" s="159">
        <v>1500</v>
      </c>
      <c r="I9" s="161">
        <v>0.36</v>
      </c>
      <c r="J9" s="161">
        <v>0.72</v>
      </c>
      <c r="K9" s="159" t="s">
        <v>34</v>
      </c>
      <c r="L9" s="161">
        <v>388.8</v>
      </c>
      <c r="M9" s="162">
        <v>360</v>
      </c>
      <c r="N9" s="163">
        <v>3.3300000000000003E-2</v>
      </c>
      <c r="O9" s="164">
        <v>2</v>
      </c>
      <c r="P9" s="159">
        <v>134.1</v>
      </c>
      <c r="Q9" s="159">
        <v>3</v>
      </c>
      <c r="R9" s="159">
        <v>1100</v>
      </c>
      <c r="S9" s="161">
        <v>1.08</v>
      </c>
      <c r="T9" s="159">
        <v>20</v>
      </c>
      <c r="U9" s="163">
        <v>1.8200000000000001E-2</v>
      </c>
      <c r="V9" s="159" t="s">
        <v>28</v>
      </c>
      <c r="W9" s="159" t="s">
        <v>28</v>
      </c>
      <c r="X9" s="159" t="s">
        <v>28</v>
      </c>
      <c r="Y9" s="159" t="s">
        <v>27</v>
      </c>
      <c r="Z9" s="159" t="s">
        <v>27</v>
      </c>
      <c r="AA9" s="159" t="s">
        <v>39</v>
      </c>
      <c r="AB9" s="159" t="s">
        <v>600</v>
      </c>
    </row>
    <row r="10" spans="1:28" s="165" customFormat="1" x14ac:dyDescent="0.3">
      <c r="A10" s="159">
        <v>8</v>
      </c>
      <c r="B10" s="160" t="s">
        <v>603</v>
      </c>
      <c r="C10" s="159" t="s">
        <v>60</v>
      </c>
      <c r="D10" s="159" t="s">
        <v>602</v>
      </c>
      <c r="E10" s="159" t="s">
        <v>27</v>
      </c>
      <c r="F10" s="159">
        <v>262529</v>
      </c>
      <c r="G10" s="159" t="s">
        <v>601</v>
      </c>
      <c r="H10" s="159">
        <v>2500</v>
      </c>
      <c r="I10" s="161">
        <v>0.36</v>
      </c>
      <c r="J10" s="161">
        <v>0.72</v>
      </c>
      <c r="K10" s="159" t="s">
        <v>34</v>
      </c>
      <c r="L10" s="161">
        <v>648</v>
      </c>
      <c r="M10" s="162">
        <v>600</v>
      </c>
      <c r="N10" s="163">
        <v>5.5599999999999997E-2</v>
      </c>
      <c r="O10" s="164">
        <v>3.33</v>
      </c>
      <c r="P10" s="159">
        <v>244.9</v>
      </c>
      <c r="Q10" s="159">
        <v>3</v>
      </c>
      <c r="R10" s="159">
        <v>1100</v>
      </c>
      <c r="S10" s="161">
        <v>1.08</v>
      </c>
      <c r="T10" s="159">
        <v>20</v>
      </c>
      <c r="U10" s="163">
        <v>1.8200000000000001E-2</v>
      </c>
      <c r="V10" s="159" t="s">
        <v>38</v>
      </c>
      <c r="W10" s="159" t="s">
        <v>29</v>
      </c>
      <c r="X10" s="159" t="s">
        <v>35</v>
      </c>
      <c r="Y10" s="159" t="s">
        <v>27</v>
      </c>
      <c r="Z10" s="159" t="s">
        <v>27</v>
      </c>
      <c r="AA10" s="159" t="s">
        <v>39</v>
      </c>
      <c r="AB10" s="159" t="s">
        <v>600</v>
      </c>
    </row>
    <row r="11" spans="1:28" s="165" customFormat="1" x14ac:dyDescent="0.3">
      <c r="A11" s="166" t="s">
        <v>27</v>
      </c>
      <c r="B11" s="166" t="s">
        <v>27</v>
      </c>
      <c r="C11" s="166" t="s">
        <v>27</v>
      </c>
      <c r="D11" s="166" t="s">
        <v>27</v>
      </c>
      <c r="E11" s="166" t="s">
        <v>27</v>
      </c>
      <c r="F11" s="166" t="s">
        <v>27</v>
      </c>
      <c r="G11" s="166" t="s">
        <v>27</v>
      </c>
      <c r="H11" s="166">
        <v>20000</v>
      </c>
      <c r="I11" s="166" t="s">
        <v>27</v>
      </c>
      <c r="J11" s="166" t="s">
        <v>27</v>
      </c>
      <c r="K11" s="166" t="s">
        <v>27</v>
      </c>
      <c r="L11" s="166" t="s">
        <v>27</v>
      </c>
      <c r="M11" s="166" t="s">
        <v>27</v>
      </c>
      <c r="N11" s="166" t="s">
        <v>27</v>
      </c>
      <c r="O11" s="166" t="s">
        <v>27</v>
      </c>
      <c r="P11" s="166">
        <v>2861</v>
      </c>
      <c r="Q11" s="166" t="s">
        <v>27</v>
      </c>
      <c r="R11" s="166" t="s">
        <v>27</v>
      </c>
      <c r="S11" s="166" t="s">
        <v>27</v>
      </c>
      <c r="T11" s="166" t="s">
        <v>27</v>
      </c>
      <c r="U11" s="166" t="s">
        <v>27</v>
      </c>
      <c r="V11" s="166" t="s">
        <v>27</v>
      </c>
      <c r="W11" s="166" t="s">
        <v>27</v>
      </c>
      <c r="X11" s="166" t="s">
        <v>27</v>
      </c>
      <c r="Y11" s="166" t="s">
        <v>27</v>
      </c>
      <c r="Z11" s="166" t="s">
        <v>27</v>
      </c>
      <c r="AA11" s="166" t="s">
        <v>27</v>
      </c>
      <c r="AB11" s="16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dimension ref="A1:AB7"/>
  <sheetViews>
    <sheetView workbookViewId="0">
      <selection activeCell="W13" sqref="W13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51" t="s">
        <v>599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5" customFormat="1" ht="25.05" customHeight="1" x14ac:dyDescent="0.3">
      <c r="A3" s="159">
        <v>1</v>
      </c>
      <c r="B3" s="160" t="s">
        <v>480</v>
      </c>
      <c r="C3" s="159" t="s">
        <v>36</v>
      </c>
      <c r="D3" s="159" t="s">
        <v>596</v>
      </c>
      <c r="E3" s="159" t="s">
        <v>27</v>
      </c>
      <c r="F3" s="159">
        <v>262520</v>
      </c>
      <c r="G3" s="159" t="s">
        <v>595</v>
      </c>
      <c r="H3" s="159">
        <v>300</v>
      </c>
      <c r="I3" s="161">
        <v>0.45600000000000002</v>
      </c>
      <c r="J3" s="161">
        <v>1.39</v>
      </c>
      <c r="K3" s="159" t="s">
        <v>598</v>
      </c>
      <c r="L3" s="161">
        <v>190.15199999999999</v>
      </c>
      <c r="M3" s="162">
        <v>208.5</v>
      </c>
      <c r="N3" s="163">
        <v>2.9000000000000001E-2</v>
      </c>
      <c r="O3" s="164">
        <v>1.74</v>
      </c>
      <c r="P3" s="159">
        <v>65.599999999999994</v>
      </c>
      <c r="Q3" s="159">
        <v>2</v>
      </c>
      <c r="R3" s="159">
        <v>950</v>
      </c>
      <c r="S3" s="161">
        <v>0.91200000000000003</v>
      </c>
      <c r="T3" s="159">
        <v>38</v>
      </c>
      <c r="U3" s="163">
        <v>0.04</v>
      </c>
      <c r="V3" s="159" t="s">
        <v>28</v>
      </c>
      <c r="W3" s="159" t="s">
        <v>28</v>
      </c>
      <c r="X3" s="159" t="s">
        <v>28</v>
      </c>
      <c r="Y3" s="159" t="s">
        <v>27</v>
      </c>
      <c r="Z3" s="159" t="s">
        <v>27</v>
      </c>
      <c r="AA3" s="159" t="s">
        <v>39</v>
      </c>
      <c r="AB3" s="159" t="s">
        <v>597</v>
      </c>
    </row>
    <row r="4" spans="1:28" s="165" customFormat="1" ht="25.05" customHeight="1" x14ac:dyDescent="0.3">
      <c r="A4" s="159">
        <v>2</v>
      </c>
      <c r="B4" s="160" t="s">
        <v>480</v>
      </c>
      <c r="C4" s="159" t="s">
        <v>36</v>
      </c>
      <c r="D4" s="159" t="s">
        <v>596</v>
      </c>
      <c r="E4" s="159" t="s">
        <v>27</v>
      </c>
      <c r="F4" s="159">
        <v>262521</v>
      </c>
      <c r="G4" s="159" t="s">
        <v>595</v>
      </c>
      <c r="H4" s="159">
        <v>250</v>
      </c>
      <c r="I4" s="161">
        <v>0.439</v>
      </c>
      <c r="J4" s="161">
        <v>1.33</v>
      </c>
      <c r="K4" s="159" t="s">
        <v>594</v>
      </c>
      <c r="L4" s="161">
        <v>145.96799999999999</v>
      </c>
      <c r="M4" s="162">
        <v>166.3</v>
      </c>
      <c r="N4" s="163">
        <v>2.3099999999999999E-2</v>
      </c>
      <c r="O4" s="164">
        <v>1.39</v>
      </c>
      <c r="P4" s="159">
        <v>50.4</v>
      </c>
      <c r="Q4" s="159">
        <v>2</v>
      </c>
      <c r="R4" s="159">
        <v>900</v>
      </c>
      <c r="S4" s="161">
        <v>0.878</v>
      </c>
      <c r="T4" s="159">
        <v>22</v>
      </c>
      <c r="U4" s="163">
        <v>2.4400000000000002E-2</v>
      </c>
      <c r="V4" s="159" t="s">
        <v>28</v>
      </c>
      <c r="W4" s="159" t="s">
        <v>28</v>
      </c>
      <c r="X4" s="159" t="s">
        <v>28</v>
      </c>
      <c r="Y4" s="159" t="s">
        <v>27</v>
      </c>
      <c r="Z4" s="159" t="s">
        <v>27</v>
      </c>
      <c r="AA4" s="159" t="s">
        <v>39</v>
      </c>
      <c r="AB4" s="159" t="s">
        <v>593</v>
      </c>
    </row>
    <row r="5" spans="1:28" s="165" customFormat="1" ht="25.05" customHeight="1" x14ac:dyDescent="0.3">
      <c r="A5" s="166" t="s">
        <v>27</v>
      </c>
      <c r="B5" s="166" t="s">
        <v>27</v>
      </c>
      <c r="C5" s="166" t="s">
        <v>27</v>
      </c>
      <c r="D5" s="166" t="s">
        <v>27</v>
      </c>
      <c r="E5" s="166" t="s">
        <v>27</v>
      </c>
      <c r="F5" s="166" t="s">
        <v>27</v>
      </c>
      <c r="G5" s="166" t="s">
        <v>27</v>
      </c>
      <c r="H5" s="166">
        <v>550</v>
      </c>
      <c r="I5" s="166" t="s">
        <v>27</v>
      </c>
      <c r="J5" s="166" t="s">
        <v>27</v>
      </c>
      <c r="K5" s="166" t="s">
        <v>27</v>
      </c>
      <c r="L5" s="166" t="s">
        <v>27</v>
      </c>
      <c r="M5" s="166" t="s">
        <v>27</v>
      </c>
      <c r="N5" s="166" t="s">
        <v>27</v>
      </c>
      <c r="O5" s="166" t="s">
        <v>27</v>
      </c>
      <c r="P5" s="166">
        <v>116</v>
      </c>
      <c r="Q5" s="166" t="s">
        <v>27</v>
      </c>
      <c r="R5" s="166" t="s">
        <v>27</v>
      </c>
      <c r="S5" s="166" t="s">
        <v>27</v>
      </c>
      <c r="T5" s="166" t="s">
        <v>27</v>
      </c>
      <c r="U5" s="166" t="s">
        <v>27</v>
      </c>
      <c r="V5" s="166" t="s">
        <v>27</v>
      </c>
      <c r="W5" s="166" t="s">
        <v>27</v>
      </c>
      <c r="X5" s="166" t="s">
        <v>27</v>
      </c>
      <c r="Y5" s="166" t="s">
        <v>27</v>
      </c>
      <c r="Z5" s="166" t="s">
        <v>27</v>
      </c>
      <c r="AA5" s="166" t="s">
        <v>27</v>
      </c>
      <c r="AB5" s="166" t="s">
        <v>27</v>
      </c>
    </row>
    <row r="7" spans="1:28" x14ac:dyDescent="0.3">
      <c r="D7" s="167"/>
      <c r="J7" s="168"/>
      <c r="L7" s="16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dimension ref="A1:AB10"/>
  <sheetViews>
    <sheetView workbookViewId="0">
      <selection activeCell="AE3" sqref="AE3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50" t="s">
        <v>592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34">
        <v>1</v>
      </c>
      <c r="B3" s="36" t="s">
        <v>444</v>
      </c>
      <c r="C3" s="34" t="s">
        <v>45</v>
      </c>
      <c r="D3" s="34" t="s">
        <v>534</v>
      </c>
      <c r="E3" s="34" t="s">
        <v>27</v>
      </c>
      <c r="F3" s="34">
        <v>262513</v>
      </c>
      <c r="G3" s="34" t="s">
        <v>591</v>
      </c>
      <c r="H3" s="34">
        <v>700</v>
      </c>
      <c r="I3" s="35">
        <v>0.64</v>
      </c>
      <c r="J3" s="35">
        <v>1.403</v>
      </c>
      <c r="K3" s="34" t="s">
        <v>590</v>
      </c>
      <c r="L3" s="31">
        <v>628.54399999999998</v>
      </c>
      <c r="M3" s="33">
        <v>491.1</v>
      </c>
      <c r="N3" s="30">
        <v>6.8199999999999997E-2</v>
      </c>
      <c r="O3" s="32">
        <v>4.09</v>
      </c>
      <c r="P3" s="29">
        <v>380.9</v>
      </c>
      <c r="Q3" s="29">
        <v>2</v>
      </c>
      <c r="R3" s="29">
        <v>1300</v>
      </c>
      <c r="S3" s="31">
        <v>1.28</v>
      </c>
      <c r="T3" s="29">
        <v>20</v>
      </c>
      <c r="U3" s="30">
        <v>1.54E-2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32</v>
      </c>
      <c r="AB3" s="29" t="s">
        <v>589</v>
      </c>
    </row>
    <row r="4" spans="1:28" x14ac:dyDescent="0.3">
      <c r="A4" s="34">
        <v>2</v>
      </c>
      <c r="B4" s="36" t="s">
        <v>448</v>
      </c>
      <c r="C4" s="34" t="s">
        <v>45</v>
      </c>
      <c r="D4" s="34" t="s">
        <v>534</v>
      </c>
      <c r="E4" s="34" t="s">
        <v>27</v>
      </c>
      <c r="F4" s="34">
        <v>262514</v>
      </c>
      <c r="G4" s="34" t="s">
        <v>588</v>
      </c>
      <c r="H4" s="34">
        <v>2000</v>
      </c>
      <c r="I4" s="35">
        <v>0.70399999999999996</v>
      </c>
      <c r="J4" s="35">
        <v>1.903</v>
      </c>
      <c r="K4" s="34" t="s">
        <v>453</v>
      </c>
      <c r="L4" s="31">
        <v>2679.424</v>
      </c>
      <c r="M4" s="33">
        <v>1903</v>
      </c>
      <c r="N4" s="30">
        <v>0.26429999999999998</v>
      </c>
      <c r="O4" s="32">
        <v>15.86</v>
      </c>
      <c r="P4" s="29">
        <v>1623.7</v>
      </c>
      <c r="Q4" s="29">
        <v>2</v>
      </c>
      <c r="R4" s="29">
        <v>1450</v>
      </c>
      <c r="S4" s="31">
        <v>1.4079999999999999</v>
      </c>
      <c r="T4" s="29">
        <v>42</v>
      </c>
      <c r="U4" s="30">
        <v>2.9000000000000001E-2</v>
      </c>
      <c r="V4" s="29" t="s">
        <v>35</v>
      </c>
      <c r="W4" s="29" t="s">
        <v>40</v>
      </c>
      <c r="X4" s="29" t="s">
        <v>35</v>
      </c>
      <c r="Y4" s="29" t="s">
        <v>35</v>
      </c>
      <c r="Z4" s="29" t="s">
        <v>35</v>
      </c>
      <c r="AA4" s="29" t="s">
        <v>72</v>
      </c>
      <c r="AB4" s="29" t="s">
        <v>452</v>
      </c>
    </row>
    <row r="5" spans="1:28" x14ac:dyDescent="0.3">
      <c r="A5" s="34">
        <v>3</v>
      </c>
      <c r="B5" s="36" t="s">
        <v>448</v>
      </c>
      <c r="C5" s="34" t="s">
        <v>45</v>
      </c>
      <c r="D5" s="34" t="s">
        <v>534</v>
      </c>
      <c r="E5" s="34" t="s">
        <v>27</v>
      </c>
      <c r="F5" s="34">
        <v>262515</v>
      </c>
      <c r="G5" s="34" t="s">
        <v>588</v>
      </c>
      <c r="H5" s="34">
        <v>5000</v>
      </c>
      <c r="I5" s="35">
        <v>0.55900000000000005</v>
      </c>
      <c r="J5" s="35">
        <v>1.389</v>
      </c>
      <c r="K5" s="34" t="s">
        <v>446</v>
      </c>
      <c r="L5" s="31">
        <v>3882.2550000000001</v>
      </c>
      <c r="M5" s="33">
        <v>3472.5</v>
      </c>
      <c r="N5" s="30">
        <v>0.48230000000000001</v>
      </c>
      <c r="O5" s="32">
        <v>28.94</v>
      </c>
      <c r="P5" s="29">
        <v>2352.6</v>
      </c>
      <c r="Q5" s="29">
        <v>2</v>
      </c>
      <c r="R5" s="29">
        <v>1150</v>
      </c>
      <c r="S5" s="31">
        <v>1.1180000000000001</v>
      </c>
      <c r="T5" s="29">
        <v>32</v>
      </c>
      <c r="U5" s="30">
        <v>2.7799999999999998E-2</v>
      </c>
      <c r="V5" s="29" t="s">
        <v>35</v>
      </c>
      <c r="W5" s="29" t="s">
        <v>40</v>
      </c>
      <c r="X5" s="29" t="s">
        <v>35</v>
      </c>
      <c r="Y5" s="29" t="s">
        <v>35</v>
      </c>
      <c r="Z5" s="29" t="s">
        <v>35</v>
      </c>
      <c r="AA5" s="29" t="s">
        <v>73</v>
      </c>
      <c r="AB5" s="29" t="s">
        <v>445</v>
      </c>
    </row>
    <row r="6" spans="1:28" x14ac:dyDescent="0.3">
      <c r="A6" s="34">
        <v>4</v>
      </c>
      <c r="B6" s="36" t="s">
        <v>444</v>
      </c>
      <c r="C6" s="34" t="s">
        <v>36</v>
      </c>
      <c r="D6" s="34" t="s">
        <v>534</v>
      </c>
      <c r="E6" s="34" t="s">
        <v>27</v>
      </c>
      <c r="F6" s="34">
        <v>262516</v>
      </c>
      <c r="G6" s="34" t="s">
        <v>581</v>
      </c>
      <c r="H6" s="34">
        <v>200</v>
      </c>
      <c r="I6" s="35">
        <v>0.94899999999999995</v>
      </c>
      <c r="J6" s="35">
        <v>1.536</v>
      </c>
      <c r="K6" s="34" t="s">
        <v>587</v>
      </c>
      <c r="L6" s="31">
        <v>291.53300000000002</v>
      </c>
      <c r="M6" s="33">
        <v>307.2</v>
      </c>
      <c r="N6" s="30">
        <v>8.5300000000000001E-2</v>
      </c>
      <c r="O6" s="32">
        <v>5.12</v>
      </c>
      <c r="P6" s="29">
        <v>100.6</v>
      </c>
      <c r="Q6" s="29">
        <v>1</v>
      </c>
      <c r="R6" s="29">
        <v>1000</v>
      </c>
      <c r="S6" s="31">
        <v>0.94899999999999995</v>
      </c>
      <c r="T6" s="29">
        <v>51</v>
      </c>
      <c r="U6" s="30">
        <v>5.0999999999999997E-2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39</v>
      </c>
      <c r="AB6" s="29" t="s">
        <v>586</v>
      </c>
    </row>
    <row r="7" spans="1:28" x14ac:dyDescent="0.3">
      <c r="A7" s="34">
        <v>5</v>
      </c>
      <c r="B7" s="36" t="s">
        <v>444</v>
      </c>
      <c r="C7" s="34" t="s">
        <v>36</v>
      </c>
      <c r="D7" s="34" t="s">
        <v>534</v>
      </c>
      <c r="E7" s="34" t="s">
        <v>27</v>
      </c>
      <c r="F7" s="34">
        <v>262517</v>
      </c>
      <c r="G7" s="34" t="s">
        <v>581</v>
      </c>
      <c r="H7" s="34">
        <v>200</v>
      </c>
      <c r="I7" s="35">
        <v>1.3089999999999999</v>
      </c>
      <c r="J7" s="35">
        <v>1.151</v>
      </c>
      <c r="K7" s="34" t="s">
        <v>585</v>
      </c>
      <c r="L7" s="31">
        <v>301.33199999999999</v>
      </c>
      <c r="M7" s="33">
        <v>230.2</v>
      </c>
      <c r="N7" s="30">
        <v>6.3899999999999998E-2</v>
      </c>
      <c r="O7" s="32">
        <v>3.84</v>
      </c>
      <c r="P7" s="29">
        <v>104</v>
      </c>
      <c r="Q7" s="29">
        <v>1</v>
      </c>
      <c r="R7" s="29">
        <v>1350</v>
      </c>
      <c r="S7" s="31">
        <v>1.3089999999999999</v>
      </c>
      <c r="T7" s="29">
        <v>41</v>
      </c>
      <c r="U7" s="30">
        <v>3.04E-2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39</v>
      </c>
      <c r="AB7" s="29" t="s">
        <v>584</v>
      </c>
    </row>
    <row r="8" spans="1:28" x14ac:dyDescent="0.3">
      <c r="A8" s="34">
        <v>6</v>
      </c>
      <c r="B8" s="36" t="s">
        <v>444</v>
      </c>
      <c r="C8" s="34" t="s">
        <v>36</v>
      </c>
      <c r="D8" s="34" t="s">
        <v>534</v>
      </c>
      <c r="E8" s="34" t="s">
        <v>27</v>
      </c>
      <c r="F8" s="34">
        <v>262518</v>
      </c>
      <c r="G8" s="34" t="s">
        <v>581</v>
      </c>
      <c r="H8" s="34">
        <v>200</v>
      </c>
      <c r="I8" s="35">
        <v>1.2430000000000001</v>
      </c>
      <c r="J8" s="35">
        <v>1.5249999999999999</v>
      </c>
      <c r="K8" s="34" t="s">
        <v>583</v>
      </c>
      <c r="L8" s="31">
        <v>379.11500000000001</v>
      </c>
      <c r="M8" s="33">
        <v>305</v>
      </c>
      <c r="N8" s="30">
        <v>8.4699999999999998E-2</v>
      </c>
      <c r="O8" s="32">
        <v>5.08</v>
      </c>
      <c r="P8" s="29">
        <v>130.80000000000001</v>
      </c>
      <c r="Q8" s="29">
        <v>1</v>
      </c>
      <c r="R8" s="29">
        <v>1300</v>
      </c>
      <c r="S8" s="31">
        <v>1.2430000000000001</v>
      </c>
      <c r="T8" s="29">
        <v>57</v>
      </c>
      <c r="U8" s="30">
        <v>4.3799999999999999E-2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39</v>
      </c>
      <c r="AB8" s="29" t="s">
        <v>582</v>
      </c>
    </row>
    <row r="9" spans="1:28" x14ac:dyDescent="0.3">
      <c r="A9" s="34">
        <v>7</v>
      </c>
      <c r="B9" s="36" t="s">
        <v>444</v>
      </c>
      <c r="C9" s="34" t="s">
        <v>36</v>
      </c>
      <c r="D9" s="34" t="s">
        <v>534</v>
      </c>
      <c r="E9" s="34" t="s">
        <v>27</v>
      </c>
      <c r="F9" s="34">
        <v>262519</v>
      </c>
      <c r="G9" s="34" t="s">
        <v>581</v>
      </c>
      <c r="H9" s="34">
        <v>200</v>
      </c>
      <c r="I9" s="35">
        <v>1.2749999999999999</v>
      </c>
      <c r="J9" s="35">
        <v>1.7569999999999999</v>
      </c>
      <c r="K9" s="34" t="s">
        <v>580</v>
      </c>
      <c r="L9" s="31">
        <v>448.03500000000003</v>
      </c>
      <c r="M9" s="33">
        <v>351.4</v>
      </c>
      <c r="N9" s="30">
        <v>9.7600000000000006E-2</v>
      </c>
      <c r="O9" s="32">
        <v>5.86</v>
      </c>
      <c r="P9" s="29">
        <v>154.6</v>
      </c>
      <c r="Q9" s="29">
        <v>1</v>
      </c>
      <c r="R9" s="29">
        <v>1300</v>
      </c>
      <c r="S9" s="31">
        <v>1.2749999999999999</v>
      </c>
      <c r="T9" s="29">
        <v>25</v>
      </c>
      <c r="U9" s="30">
        <v>1.9199999999999998E-2</v>
      </c>
      <c r="V9" s="29" t="s">
        <v>28</v>
      </c>
      <c r="W9" s="29" t="s">
        <v>28</v>
      </c>
      <c r="X9" s="29" t="s">
        <v>28</v>
      </c>
      <c r="Y9" s="29" t="s">
        <v>27</v>
      </c>
      <c r="Z9" s="29" t="s">
        <v>27</v>
      </c>
      <c r="AA9" s="29" t="s">
        <v>39</v>
      </c>
      <c r="AB9" s="29" t="s">
        <v>579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8500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4847.2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workbookViewId="0">
      <selection activeCell="AF8" sqref="AF8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51" t="s">
        <v>554</v>
      </c>
      <c r="B1" s="151" t="s">
        <v>27</v>
      </c>
      <c r="C1" s="151" t="s">
        <v>27</v>
      </c>
      <c r="D1" s="151" t="s">
        <v>27</v>
      </c>
      <c r="E1" s="151" t="s">
        <v>27</v>
      </c>
      <c r="F1" s="151" t="s">
        <v>27</v>
      </c>
      <c r="G1" s="151" t="s">
        <v>27</v>
      </c>
      <c r="H1" s="151" t="s">
        <v>27</v>
      </c>
      <c r="I1" s="151" t="s">
        <v>27</v>
      </c>
      <c r="J1" s="151" t="s">
        <v>27</v>
      </c>
      <c r="K1" s="151" t="s">
        <v>27</v>
      </c>
      <c r="L1" s="151" t="s">
        <v>27</v>
      </c>
      <c r="M1" s="151" t="s">
        <v>27</v>
      </c>
      <c r="N1" s="151" t="s">
        <v>27</v>
      </c>
      <c r="O1" s="151" t="s">
        <v>27</v>
      </c>
      <c r="P1" s="151" t="s">
        <v>27</v>
      </c>
      <c r="Q1" s="151" t="s">
        <v>27</v>
      </c>
      <c r="R1" s="151" t="s">
        <v>27</v>
      </c>
      <c r="S1" s="151" t="s">
        <v>27</v>
      </c>
      <c r="T1" s="151" t="s">
        <v>27</v>
      </c>
      <c r="U1" s="151" t="s">
        <v>27</v>
      </c>
      <c r="V1" s="151" t="s">
        <v>27</v>
      </c>
      <c r="W1" s="151" t="s">
        <v>27</v>
      </c>
      <c r="X1" s="151" t="s">
        <v>27</v>
      </c>
      <c r="Y1" s="151" t="s">
        <v>27</v>
      </c>
      <c r="Z1" s="151" t="s">
        <v>27</v>
      </c>
      <c r="AA1" s="151" t="s">
        <v>27</v>
      </c>
      <c r="AB1" s="151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52" t="s">
        <v>539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50" t="s">
        <v>535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53" t="s">
        <v>531</v>
      </c>
      <c r="B1" s="153" t="s">
        <v>27</v>
      </c>
      <c r="C1" s="153" t="s">
        <v>27</v>
      </c>
      <c r="D1" s="153" t="s">
        <v>27</v>
      </c>
      <c r="E1" s="153" t="s">
        <v>27</v>
      </c>
      <c r="F1" s="153" t="s">
        <v>27</v>
      </c>
      <c r="G1" s="153" t="s">
        <v>27</v>
      </c>
      <c r="H1" s="153" t="s">
        <v>27</v>
      </c>
      <c r="I1" s="153" t="s">
        <v>27</v>
      </c>
      <c r="J1" s="153" t="s">
        <v>27</v>
      </c>
      <c r="K1" s="153" t="s">
        <v>27</v>
      </c>
      <c r="L1" s="153" t="s">
        <v>27</v>
      </c>
      <c r="M1" s="153" t="s">
        <v>27</v>
      </c>
      <c r="N1" s="153" t="s">
        <v>27</v>
      </c>
      <c r="O1" s="153" t="s">
        <v>27</v>
      </c>
      <c r="P1" s="153" t="s">
        <v>27</v>
      </c>
      <c r="Q1" s="153" t="s">
        <v>27</v>
      </c>
      <c r="R1" s="153" t="s">
        <v>27</v>
      </c>
      <c r="S1" s="153" t="s">
        <v>27</v>
      </c>
      <c r="T1" s="153" t="s">
        <v>27</v>
      </c>
      <c r="U1" s="153" t="s">
        <v>27</v>
      </c>
      <c r="V1" s="153" t="s">
        <v>27</v>
      </c>
      <c r="W1" s="153" t="s">
        <v>27</v>
      </c>
      <c r="X1" s="153" t="s">
        <v>27</v>
      </c>
      <c r="Y1" s="153" t="s">
        <v>27</v>
      </c>
      <c r="Z1" s="153" t="s">
        <v>27</v>
      </c>
      <c r="AA1" s="153" t="s">
        <v>27</v>
      </c>
      <c r="AB1" s="153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54" t="s">
        <v>523</v>
      </c>
      <c r="B1" s="154" t="s">
        <v>27</v>
      </c>
      <c r="C1" s="154" t="s">
        <v>27</v>
      </c>
      <c r="D1" s="154" t="s">
        <v>27</v>
      </c>
      <c r="E1" s="154" t="s">
        <v>27</v>
      </c>
      <c r="F1" s="154" t="s">
        <v>27</v>
      </c>
      <c r="G1" s="154" t="s">
        <v>27</v>
      </c>
      <c r="H1" s="154" t="s">
        <v>27</v>
      </c>
      <c r="I1" s="154" t="s">
        <v>27</v>
      </c>
      <c r="J1" s="154" t="s">
        <v>27</v>
      </c>
      <c r="K1" s="154" t="s">
        <v>27</v>
      </c>
      <c r="L1" s="154" t="s">
        <v>27</v>
      </c>
      <c r="M1" s="154" t="s">
        <v>27</v>
      </c>
      <c r="N1" s="154" t="s">
        <v>27</v>
      </c>
      <c r="O1" s="154" t="s">
        <v>27</v>
      </c>
      <c r="P1" s="154" t="s">
        <v>27</v>
      </c>
      <c r="Q1" s="154" t="s">
        <v>27</v>
      </c>
      <c r="R1" s="154" t="s">
        <v>27</v>
      </c>
      <c r="S1" s="154" t="s">
        <v>27</v>
      </c>
      <c r="T1" s="154" t="s">
        <v>27</v>
      </c>
      <c r="U1" s="154" t="s">
        <v>27</v>
      </c>
      <c r="V1" s="154" t="s">
        <v>27</v>
      </c>
      <c r="W1" s="154" t="s">
        <v>27</v>
      </c>
      <c r="X1" s="154" t="s">
        <v>27</v>
      </c>
      <c r="Y1" s="154" t="s">
        <v>27</v>
      </c>
      <c r="Z1" s="154" t="s">
        <v>27</v>
      </c>
      <c r="AA1" s="154" t="s">
        <v>27</v>
      </c>
      <c r="AB1" s="154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55" t="s">
        <v>512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2"/>
  <sheetViews>
    <sheetView workbookViewId="0">
      <selection activeCell="H12" sqref="H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50" t="s">
        <v>496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33" t="s">
        <v>457</v>
      </c>
      <c r="E4" s="133" t="s">
        <v>27</v>
      </c>
      <c r="F4" s="133">
        <v>262506</v>
      </c>
      <c r="G4" s="133" t="s">
        <v>560</v>
      </c>
      <c r="H4" s="133">
        <v>1300</v>
      </c>
      <c r="I4" s="135">
        <v>0.66800000000000004</v>
      </c>
      <c r="J4" s="135">
        <v>1.548</v>
      </c>
      <c r="K4" s="133" t="s">
        <v>559</v>
      </c>
      <c r="L4" s="135">
        <v>1344.2829999999999</v>
      </c>
      <c r="M4" s="136">
        <v>1006.2</v>
      </c>
      <c r="N4" s="137">
        <v>0.13969999999999999</v>
      </c>
      <c r="O4" s="138">
        <v>8.3800000000000008</v>
      </c>
      <c r="P4" s="133">
        <v>797.2</v>
      </c>
      <c r="Q4" s="133">
        <v>2</v>
      </c>
      <c r="R4" s="133">
        <v>1400</v>
      </c>
      <c r="S4" s="135">
        <v>1.3360000000000001</v>
      </c>
      <c r="T4" s="133">
        <v>64</v>
      </c>
      <c r="U4" s="137">
        <v>4.5699999999999998E-2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 t="s">
        <v>57</v>
      </c>
      <c r="AB4" s="133" t="s">
        <v>558</v>
      </c>
    </row>
    <row r="5" spans="1:28" s="12" customFormat="1" ht="25.05" customHeight="1" x14ac:dyDescent="0.3">
      <c r="A5" s="5">
        <v>1</v>
      </c>
      <c r="B5" s="10" t="s">
        <v>63</v>
      </c>
      <c r="C5" s="5" t="s">
        <v>26</v>
      </c>
      <c r="D5" s="5" t="s">
        <v>489</v>
      </c>
      <c r="E5" s="5" t="s">
        <v>27</v>
      </c>
      <c r="F5" s="5">
        <v>262467</v>
      </c>
      <c r="G5" s="5" t="s">
        <v>488</v>
      </c>
      <c r="H5" s="5">
        <v>800</v>
      </c>
      <c r="I5" s="7">
        <v>0.56799999999999995</v>
      </c>
      <c r="J5" s="7">
        <v>1.508</v>
      </c>
      <c r="K5" s="5" t="s">
        <v>495</v>
      </c>
      <c r="L5" s="7">
        <v>685.23500000000001</v>
      </c>
      <c r="M5" s="9">
        <v>603.20000000000005</v>
      </c>
      <c r="N5" s="6">
        <v>8.3799999999999999E-2</v>
      </c>
      <c r="O5" s="8">
        <v>5.03</v>
      </c>
      <c r="P5" s="5">
        <v>406.3</v>
      </c>
      <c r="Q5" s="5">
        <v>2</v>
      </c>
      <c r="R5" s="5">
        <v>1200</v>
      </c>
      <c r="S5" s="7">
        <v>1.1359999999999999</v>
      </c>
      <c r="T5" s="5">
        <v>64</v>
      </c>
      <c r="U5" s="6">
        <v>5.33E-2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494</v>
      </c>
    </row>
    <row r="6" spans="1:28" s="12" customFormat="1" ht="25.05" customHeight="1" x14ac:dyDescent="0.3">
      <c r="A6" s="5">
        <v>2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262468</v>
      </c>
      <c r="G6" s="5" t="s">
        <v>488</v>
      </c>
      <c r="H6" s="5">
        <v>1000</v>
      </c>
      <c r="I6" s="7">
        <v>0.46400000000000002</v>
      </c>
      <c r="J6" s="7">
        <v>1.208</v>
      </c>
      <c r="K6" s="5" t="s">
        <v>493</v>
      </c>
      <c r="L6" s="7">
        <v>560.51199999999994</v>
      </c>
      <c r="M6" s="9">
        <v>604</v>
      </c>
      <c r="N6" s="6">
        <v>8.3900000000000002E-2</v>
      </c>
      <c r="O6" s="8">
        <v>5.03</v>
      </c>
      <c r="P6" s="5">
        <v>332.4</v>
      </c>
      <c r="Q6" s="5">
        <v>2</v>
      </c>
      <c r="R6" s="5">
        <v>950</v>
      </c>
      <c r="S6" s="7">
        <v>0.92800000000000005</v>
      </c>
      <c r="T6" s="5">
        <v>22</v>
      </c>
      <c r="U6" s="6">
        <v>2.3199999999999998E-2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492</v>
      </c>
    </row>
    <row r="7" spans="1:28" s="12" customFormat="1" ht="25.05" customHeight="1" x14ac:dyDescent="0.3">
      <c r="A7" s="5">
        <v>3</v>
      </c>
      <c r="B7" s="10" t="s">
        <v>63</v>
      </c>
      <c r="C7" s="5" t="s">
        <v>65</v>
      </c>
      <c r="D7" s="5" t="s">
        <v>489</v>
      </c>
      <c r="E7" s="5" t="s">
        <v>27</v>
      </c>
      <c r="F7" s="5">
        <v>262465</v>
      </c>
      <c r="G7" s="5" t="s">
        <v>488</v>
      </c>
      <c r="H7" s="5">
        <v>900</v>
      </c>
      <c r="I7" s="7">
        <v>0.78200000000000003</v>
      </c>
      <c r="J7" s="7">
        <v>1.5680000000000001</v>
      </c>
      <c r="K7" s="5" t="s">
        <v>491</v>
      </c>
      <c r="L7" s="7">
        <v>1103.558</v>
      </c>
      <c r="M7" s="9">
        <v>705.6</v>
      </c>
      <c r="N7" s="6">
        <v>9.8000000000000004E-2</v>
      </c>
      <c r="O7" s="8">
        <v>5.88</v>
      </c>
      <c r="P7" s="5">
        <v>380.7</v>
      </c>
      <c r="Q7" s="5">
        <v>2</v>
      </c>
      <c r="R7" s="5">
        <v>1600</v>
      </c>
      <c r="S7" s="7">
        <v>1.5640000000000001</v>
      </c>
      <c r="T7" s="5">
        <v>36</v>
      </c>
      <c r="U7" s="6">
        <v>2.2499999999999999E-2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30</v>
      </c>
      <c r="AB7" s="5" t="s">
        <v>490</v>
      </c>
    </row>
    <row r="8" spans="1:28" s="38" customFormat="1" ht="25.05" customHeight="1" x14ac:dyDescent="0.3">
      <c r="A8" s="133">
        <v>3</v>
      </c>
      <c r="B8" s="134" t="s">
        <v>63</v>
      </c>
      <c r="C8" s="133" t="s">
        <v>65</v>
      </c>
      <c r="D8" s="133" t="s">
        <v>534</v>
      </c>
      <c r="E8" s="133" t="s">
        <v>27</v>
      </c>
      <c r="F8" s="133">
        <v>262510</v>
      </c>
      <c r="G8" s="133" t="s">
        <v>557</v>
      </c>
      <c r="H8" s="133">
        <v>1100</v>
      </c>
      <c r="I8" s="135">
        <v>0.77200000000000002</v>
      </c>
      <c r="J8" s="135">
        <v>1.7589999999999999</v>
      </c>
      <c r="K8" s="133" t="s">
        <v>556</v>
      </c>
      <c r="L8" s="135">
        <v>1493.7429999999999</v>
      </c>
      <c r="M8" s="136">
        <v>967.4</v>
      </c>
      <c r="N8" s="137">
        <v>0.13439999999999999</v>
      </c>
      <c r="O8" s="138">
        <v>8.06</v>
      </c>
      <c r="P8" s="133">
        <v>515.29999999999995</v>
      </c>
      <c r="Q8" s="133">
        <v>2</v>
      </c>
      <c r="R8" s="133">
        <v>1600</v>
      </c>
      <c r="S8" s="135">
        <v>1.544</v>
      </c>
      <c r="T8" s="133">
        <v>56</v>
      </c>
      <c r="U8" s="137">
        <v>3.5000000000000003E-2</v>
      </c>
      <c r="V8" s="133" t="s">
        <v>28</v>
      </c>
      <c r="W8" s="133" t="s">
        <v>28</v>
      </c>
      <c r="X8" s="133" t="s">
        <v>28</v>
      </c>
      <c r="Y8" s="133" t="s">
        <v>27</v>
      </c>
      <c r="Z8" s="133" t="s">
        <v>27</v>
      </c>
      <c r="AA8" s="133" t="s">
        <v>32</v>
      </c>
      <c r="AB8" s="133" t="s">
        <v>562</v>
      </c>
    </row>
    <row r="9" spans="1:28" s="38" customFormat="1" ht="25.05" customHeight="1" x14ac:dyDescent="0.3">
      <c r="A9" s="133">
        <v>4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262509</v>
      </c>
      <c r="G9" s="133" t="s">
        <v>557</v>
      </c>
      <c r="H9" s="133">
        <v>650</v>
      </c>
      <c r="I9" s="135">
        <v>1.0680000000000001</v>
      </c>
      <c r="J9" s="135">
        <v>1.375</v>
      </c>
      <c r="K9" s="133" t="s">
        <v>120</v>
      </c>
      <c r="L9" s="135">
        <v>954.52499999999998</v>
      </c>
      <c r="M9" s="136">
        <v>893.8</v>
      </c>
      <c r="N9" s="137">
        <v>0.24829999999999999</v>
      </c>
      <c r="O9" s="138">
        <v>14.9</v>
      </c>
      <c r="P9" s="133">
        <v>329.3</v>
      </c>
      <c r="Q9" s="133">
        <v>1</v>
      </c>
      <c r="R9" s="133">
        <v>1100</v>
      </c>
      <c r="S9" s="135">
        <v>1.0680000000000001</v>
      </c>
      <c r="T9" s="133">
        <v>32</v>
      </c>
      <c r="U9" s="137">
        <v>2.9100000000000001E-2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30</v>
      </c>
      <c r="AB9" s="133" t="s">
        <v>561</v>
      </c>
    </row>
    <row r="10" spans="1:28" s="38" customFormat="1" ht="25.05" customHeight="1" x14ac:dyDescent="0.3">
      <c r="A10" s="133">
        <v>5</v>
      </c>
      <c r="B10" s="134" t="s">
        <v>63</v>
      </c>
      <c r="C10" s="133" t="s">
        <v>36</v>
      </c>
      <c r="D10" s="133" t="s">
        <v>534</v>
      </c>
      <c r="E10" s="133" t="s">
        <v>27</v>
      </c>
      <c r="F10" s="133">
        <v>262508</v>
      </c>
      <c r="G10" s="133" t="s">
        <v>557</v>
      </c>
      <c r="H10" s="133">
        <v>1650</v>
      </c>
      <c r="I10" s="135">
        <v>0.47199999999999998</v>
      </c>
      <c r="J10" s="135">
        <v>1.2589999999999999</v>
      </c>
      <c r="K10" s="133" t="s">
        <v>564</v>
      </c>
      <c r="L10" s="135">
        <v>980.50900000000001</v>
      </c>
      <c r="M10" s="136">
        <v>1038.7</v>
      </c>
      <c r="N10" s="137">
        <v>0.14430000000000001</v>
      </c>
      <c r="O10" s="138">
        <v>8.66</v>
      </c>
      <c r="P10" s="133">
        <v>338.3</v>
      </c>
      <c r="Q10" s="133">
        <v>2</v>
      </c>
      <c r="R10" s="133">
        <v>1000</v>
      </c>
      <c r="S10" s="135">
        <v>0.94399999999999995</v>
      </c>
      <c r="T10" s="133">
        <v>56</v>
      </c>
      <c r="U10" s="137">
        <v>5.6000000000000001E-2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563</v>
      </c>
    </row>
    <row r="11" spans="1:28" s="12" customFormat="1" ht="25.05" customHeight="1" x14ac:dyDescent="0.3">
      <c r="A11" s="5">
        <v>4</v>
      </c>
      <c r="B11" s="10" t="s">
        <v>63</v>
      </c>
      <c r="C11" s="5" t="s">
        <v>36</v>
      </c>
      <c r="D11" s="5" t="s">
        <v>489</v>
      </c>
      <c r="E11" s="5" t="s">
        <v>27</v>
      </c>
      <c r="F11" s="5">
        <v>262466</v>
      </c>
      <c r="G11" s="5" t="s">
        <v>488</v>
      </c>
      <c r="H11" s="5">
        <v>2000</v>
      </c>
      <c r="I11" s="7">
        <v>0.90900000000000003</v>
      </c>
      <c r="J11" s="7">
        <v>0.65900000000000003</v>
      </c>
      <c r="K11" s="5" t="s">
        <v>34</v>
      </c>
      <c r="L11" s="7">
        <v>1198.0619999999999</v>
      </c>
      <c r="M11" s="9">
        <v>1318</v>
      </c>
      <c r="N11" s="6">
        <v>0.36609999999999998</v>
      </c>
      <c r="O11" s="8">
        <v>21.97</v>
      </c>
      <c r="P11" s="5">
        <v>413.3</v>
      </c>
      <c r="Q11" s="5">
        <v>1</v>
      </c>
      <c r="R11" s="5">
        <v>950</v>
      </c>
      <c r="S11" s="7">
        <v>0.90900000000000003</v>
      </c>
      <c r="T11" s="5">
        <v>41</v>
      </c>
      <c r="U11" s="6">
        <v>4.3200000000000002E-2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33</v>
      </c>
      <c r="AB11" s="5" t="s">
        <v>487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f>SUM(H3:H11)</f>
        <v>9950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f>SUM(P3:P11)</f>
        <v>3955.9000000000005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52" t="s">
        <v>486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52" t="s">
        <v>475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52" t="s">
        <v>454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activeCell="K18" sqref="K18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50" t="s">
        <v>440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52" t="s">
        <v>403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56" t="s">
        <v>380</v>
      </c>
      <c r="B1" s="156" t="s">
        <v>27</v>
      </c>
      <c r="C1" s="156" t="s">
        <v>27</v>
      </c>
      <c r="D1" s="156" t="s">
        <v>27</v>
      </c>
      <c r="E1" s="156" t="s">
        <v>27</v>
      </c>
      <c r="F1" s="156" t="s">
        <v>27</v>
      </c>
      <c r="G1" s="156" t="s">
        <v>27</v>
      </c>
      <c r="H1" s="156" t="s">
        <v>27</v>
      </c>
      <c r="I1" s="156" t="s">
        <v>27</v>
      </c>
      <c r="J1" s="156" t="s">
        <v>27</v>
      </c>
      <c r="K1" s="156" t="s">
        <v>27</v>
      </c>
      <c r="L1" s="156" t="s">
        <v>27</v>
      </c>
      <c r="M1" s="156" t="s">
        <v>27</v>
      </c>
      <c r="N1" s="156" t="s">
        <v>27</v>
      </c>
      <c r="O1" s="156" t="s">
        <v>27</v>
      </c>
      <c r="P1" s="156" t="s">
        <v>27</v>
      </c>
      <c r="Q1" s="156" t="s">
        <v>27</v>
      </c>
      <c r="R1" s="156" t="s">
        <v>27</v>
      </c>
      <c r="S1" s="156" t="s">
        <v>27</v>
      </c>
      <c r="T1" s="156" t="s">
        <v>27</v>
      </c>
      <c r="U1" s="156" t="s">
        <v>27</v>
      </c>
      <c r="V1" s="156" t="s">
        <v>27</v>
      </c>
      <c r="W1" s="156" t="s">
        <v>27</v>
      </c>
      <c r="X1" s="156" t="s">
        <v>27</v>
      </c>
      <c r="Y1" s="156" t="s">
        <v>27</v>
      </c>
      <c r="Z1" s="156" t="s">
        <v>27</v>
      </c>
      <c r="AA1" s="156" t="s">
        <v>27</v>
      </c>
      <c r="AB1" s="156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55" t="s">
        <v>332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52" t="s">
        <v>329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9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324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55" t="s">
        <v>281</v>
      </c>
      <c r="B1" s="155" t="s">
        <v>27</v>
      </c>
      <c r="C1" s="155" t="s">
        <v>27</v>
      </c>
      <c r="D1" s="155" t="s">
        <v>27</v>
      </c>
      <c r="E1" s="155" t="s">
        <v>27</v>
      </c>
      <c r="F1" s="155" t="s">
        <v>27</v>
      </c>
      <c r="G1" s="155" t="s">
        <v>27</v>
      </c>
      <c r="H1" s="155" t="s">
        <v>27</v>
      </c>
      <c r="I1" s="155" t="s">
        <v>27</v>
      </c>
      <c r="J1" s="155" t="s">
        <v>27</v>
      </c>
      <c r="K1" s="155" t="s">
        <v>27</v>
      </c>
      <c r="L1" s="155" t="s">
        <v>27</v>
      </c>
      <c r="M1" s="155" t="s">
        <v>27</v>
      </c>
      <c r="N1" s="155" t="s">
        <v>27</v>
      </c>
      <c r="O1" s="155" t="s">
        <v>27</v>
      </c>
      <c r="P1" s="155" t="s">
        <v>27</v>
      </c>
      <c r="Q1" s="155" t="s">
        <v>27</v>
      </c>
      <c r="R1" s="155" t="s">
        <v>27</v>
      </c>
      <c r="S1" s="155" t="s">
        <v>27</v>
      </c>
      <c r="T1" s="155" t="s">
        <v>27</v>
      </c>
      <c r="U1" s="155" t="s">
        <v>27</v>
      </c>
      <c r="V1" s="155" t="s">
        <v>27</v>
      </c>
      <c r="W1" s="155" t="s">
        <v>27</v>
      </c>
      <c r="X1" s="155" t="s">
        <v>27</v>
      </c>
      <c r="Y1" s="155" t="s">
        <v>27</v>
      </c>
      <c r="Z1" s="155" t="s">
        <v>27</v>
      </c>
      <c r="AA1" s="155" t="s">
        <v>27</v>
      </c>
      <c r="AB1" s="155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52" t="s">
        <v>258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52" t="s">
        <v>240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activeCell="I11" sqref="I1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8" width="4.5546875" style="1" customWidth="1"/>
    <col min="9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50" t="s">
        <v>202</v>
      </c>
      <c r="B1" s="150" t="s">
        <v>27</v>
      </c>
      <c r="C1" s="150" t="s">
        <v>27</v>
      </c>
      <c r="D1" s="150" t="s">
        <v>27</v>
      </c>
      <c r="E1" s="150" t="s">
        <v>27</v>
      </c>
      <c r="F1" s="150" t="s">
        <v>27</v>
      </c>
      <c r="G1" s="150" t="s">
        <v>27</v>
      </c>
      <c r="H1" s="150" t="s">
        <v>27</v>
      </c>
      <c r="I1" s="150" t="s">
        <v>27</v>
      </c>
      <c r="J1" s="150" t="s">
        <v>27</v>
      </c>
      <c r="K1" s="150" t="s">
        <v>27</v>
      </c>
      <c r="L1" s="150" t="s">
        <v>27</v>
      </c>
      <c r="M1" s="150" t="s">
        <v>27</v>
      </c>
      <c r="N1" s="150" t="s">
        <v>27</v>
      </c>
      <c r="O1" s="150" t="s">
        <v>27</v>
      </c>
      <c r="P1" s="150" t="s">
        <v>27</v>
      </c>
      <c r="Q1" s="150" t="s">
        <v>27</v>
      </c>
      <c r="R1" s="150" t="s">
        <v>27</v>
      </c>
      <c r="S1" s="150" t="s">
        <v>27</v>
      </c>
      <c r="T1" s="150" t="s">
        <v>27</v>
      </c>
      <c r="U1" s="150" t="s">
        <v>27</v>
      </c>
      <c r="V1" s="150" t="s">
        <v>27</v>
      </c>
      <c r="W1" s="150" t="s">
        <v>27</v>
      </c>
      <c r="X1" s="150" t="s">
        <v>27</v>
      </c>
      <c r="Y1" s="150" t="s">
        <v>27</v>
      </c>
      <c r="Z1" s="150" t="s">
        <v>27</v>
      </c>
      <c r="AA1" s="150" t="s">
        <v>27</v>
      </c>
      <c r="AB1" s="150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2" customFormat="1" ht="25.05" customHeight="1" x14ac:dyDescent="0.3">
      <c r="A4" s="5">
        <v>1</v>
      </c>
      <c r="B4" s="10" t="s">
        <v>63</v>
      </c>
      <c r="C4" s="5" t="s">
        <v>26</v>
      </c>
      <c r="D4" s="5" t="s">
        <v>199</v>
      </c>
      <c r="E4" s="5" t="s">
        <v>27</v>
      </c>
      <c r="F4" s="5">
        <v>262278</v>
      </c>
      <c r="G4" s="5" t="s">
        <v>201</v>
      </c>
      <c r="H4" s="5">
        <v>210</v>
      </c>
      <c r="I4" s="7">
        <v>1.389</v>
      </c>
      <c r="J4" s="7">
        <v>1.91</v>
      </c>
      <c r="K4" s="5" t="s">
        <v>34</v>
      </c>
      <c r="L4" s="7">
        <v>557.12800000000004</v>
      </c>
      <c r="M4" s="9">
        <v>401.1</v>
      </c>
      <c r="N4" s="6">
        <v>0.1114</v>
      </c>
      <c r="O4" s="8">
        <v>6.68</v>
      </c>
      <c r="P4" s="5">
        <v>330.4</v>
      </c>
      <c r="Q4" s="5">
        <v>1</v>
      </c>
      <c r="R4" s="5">
        <v>1450</v>
      </c>
      <c r="S4" s="7">
        <v>1.389</v>
      </c>
      <c r="T4" s="5">
        <v>61</v>
      </c>
      <c r="U4" s="6">
        <v>4.2099999999999999E-2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33</v>
      </c>
      <c r="AB4" s="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210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330.4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6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52" t="s">
        <v>192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57" t="s">
        <v>155</v>
      </c>
      <c r="B1" s="157" t="s">
        <v>27</v>
      </c>
      <c r="C1" s="157" t="s">
        <v>27</v>
      </c>
      <c r="D1" s="157" t="s">
        <v>27</v>
      </c>
      <c r="E1" s="157" t="s">
        <v>27</v>
      </c>
      <c r="F1" s="157" t="s">
        <v>27</v>
      </c>
      <c r="G1" s="157" t="s">
        <v>27</v>
      </c>
      <c r="H1" s="157" t="s">
        <v>27</v>
      </c>
      <c r="I1" s="157" t="s">
        <v>27</v>
      </c>
      <c r="J1" s="157" t="s">
        <v>27</v>
      </c>
      <c r="K1" s="157" t="s">
        <v>27</v>
      </c>
      <c r="L1" s="157" t="s">
        <v>27</v>
      </c>
      <c r="M1" s="157" t="s">
        <v>27</v>
      </c>
      <c r="N1" s="157" t="s">
        <v>27</v>
      </c>
      <c r="O1" s="157" t="s">
        <v>27</v>
      </c>
      <c r="P1" s="157" t="s">
        <v>27</v>
      </c>
      <c r="Q1" s="157" t="s">
        <v>27</v>
      </c>
      <c r="R1" s="157" t="s">
        <v>27</v>
      </c>
      <c r="S1" s="157" t="s">
        <v>27</v>
      </c>
      <c r="T1" s="157" t="s">
        <v>27</v>
      </c>
      <c r="U1" s="157" t="s">
        <v>27</v>
      </c>
      <c r="V1" s="157" t="s">
        <v>27</v>
      </c>
      <c r="W1" s="157" t="s">
        <v>27</v>
      </c>
      <c r="X1" s="157" t="s">
        <v>27</v>
      </c>
      <c r="Y1" s="157" t="s">
        <v>27</v>
      </c>
      <c r="Z1" s="157" t="s">
        <v>27</v>
      </c>
      <c r="AA1" s="157" t="s">
        <v>27</v>
      </c>
      <c r="AB1" s="157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52" t="s">
        <v>79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52" t="s">
        <v>134</v>
      </c>
      <c r="B1" s="152" t="s">
        <v>27</v>
      </c>
      <c r="C1" s="152" t="s">
        <v>27</v>
      </c>
      <c r="D1" s="152" t="s">
        <v>27</v>
      </c>
      <c r="E1" s="152" t="s">
        <v>27</v>
      </c>
      <c r="F1" s="152" t="s">
        <v>27</v>
      </c>
      <c r="G1" s="152" t="s">
        <v>27</v>
      </c>
      <c r="H1" s="152" t="s">
        <v>27</v>
      </c>
      <c r="I1" s="152" t="s">
        <v>27</v>
      </c>
      <c r="J1" s="152" t="s">
        <v>27</v>
      </c>
      <c r="K1" s="152" t="s">
        <v>27</v>
      </c>
      <c r="L1" s="152" t="s">
        <v>27</v>
      </c>
      <c r="M1" s="152" t="s">
        <v>27</v>
      </c>
      <c r="N1" s="152" t="s">
        <v>27</v>
      </c>
      <c r="O1" s="152" t="s">
        <v>27</v>
      </c>
      <c r="P1" s="152" t="s">
        <v>27</v>
      </c>
      <c r="Q1" s="152" t="s">
        <v>27</v>
      </c>
      <c r="R1" s="152" t="s">
        <v>27</v>
      </c>
      <c r="S1" s="152" t="s">
        <v>27</v>
      </c>
      <c r="T1" s="152" t="s">
        <v>27</v>
      </c>
      <c r="U1" s="152" t="s">
        <v>27</v>
      </c>
      <c r="V1" s="152" t="s">
        <v>27</v>
      </c>
      <c r="W1" s="152" t="s">
        <v>27</v>
      </c>
      <c r="X1" s="152" t="s">
        <v>27</v>
      </c>
      <c r="Y1" s="152" t="s">
        <v>27</v>
      </c>
      <c r="Z1" s="152" t="s">
        <v>27</v>
      </c>
      <c r="AA1" s="152" t="s">
        <v>27</v>
      </c>
      <c r="AB1" s="152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58" t="s">
        <v>109</v>
      </c>
      <c r="B1" s="158" t="s">
        <v>27</v>
      </c>
      <c r="C1" s="158" t="s">
        <v>27</v>
      </c>
      <c r="D1" s="158" t="s">
        <v>27</v>
      </c>
      <c r="E1" s="158" t="s">
        <v>27</v>
      </c>
      <c r="F1" s="158" t="s">
        <v>27</v>
      </c>
      <c r="G1" s="158" t="s">
        <v>27</v>
      </c>
      <c r="H1" s="158" t="s">
        <v>27</v>
      </c>
      <c r="I1" s="158" t="s">
        <v>27</v>
      </c>
      <c r="J1" s="158" t="s">
        <v>27</v>
      </c>
      <c r="K1" s="158" t="s">
        <v>27</v>
      </c>
      <c r="L1" s="158" t="s">
        <v>27</v>
      </c>
      <c r="M1" s="158" t="s">
        <v>27</v>
      </c>
      <c r="N1" s="158" t="s">
        <v>27</v>
      </c>
      <c r="O1" s="158" t="s">
        <v>27</v>
      </c>
      <c r="P1" s="158" t="s">
        <v>27</v>
      </c>
      <c r="Q1" s="158" t="s">
        <v>27</v>
      </c>
      <c r="R1" s="158" t="s">
        <v>27</v>
      </c>
      <c r="S1" s="158" t="s">
        <v>27</v>
      </c>
      <c r="T1" s="158" t="s">
        <v>27</v>
      </c>
      <c r="U1" s="158" t="s">
        <v>27</v>
      </c>
      <c r="V1" s="158" t="s">
        <v>27</v>
      </c>
      <c r="W1" s="158" t="s">
        <v>27</v>
      </c>
      <c r="X1" s="158" t="s">
        <v>27</v>
      </c>
      <c r="Y1" s="158" t="s">
        <v>27</v>
      </c>
      <c r="Z1" s="158" t="s">
        <v>27</v>
      </c>
      <c r="AA1" s="158" t="s">
        <v>27</v>
      </c>
      <c r="AB1" s="158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29</vt:i4>
      </vt:variant>
    </vt:vector>
  </HeadingPairs>
  <TitlesOfParts>
    <vt:vector size="29" baseType="lpstr">
      <vt:lpstr>Renovapel 1190</vt:lpstr>
      <vt:lpstr>DR EMBALAGENS 1189 </vt:lpstr>
      <vt:lpstr>FAVINCO EMBALAGENS 1188</vt:lpstr>
      <vt:lpstr>PCBOX - IPE 1187</vt:lpstr>
      <vt:lpstr>RM Embalagens 1184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2026-09-10T18:43:52Z</cp:lastPrinted>
  <dcterms:created xsi:type="dcterms:W3CDTF">2026-07-02T17:42:15Z</dcterms:created>
  <dcterms:modified xsi:type="dcterms:W3CDTF">2026-09-10T18:56:04Z</dcterms:modified>
</cp:coreProperties>
</file>