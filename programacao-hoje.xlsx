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82804A4-BE2A-4522-B1C1-6257661B8B46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PCBOX EMBALAGENS 1316" sheetId="222" r:id="rId1"/>
    <sheet name="HARMONY EMBALAGENS 1315 P" sheetId="221" r:id="rId2"/>
    <sheet name="FAVINCO EMBALAGENS 1314" sheetId="220" r:id="rId3"/>
    <sheet name="CAIXAS  KRAFT 1312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22" l="1"/>
  <c r="G9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<sst xmlns="http://schemas.openxmlformats.org/spreadsheetml/2006/main" count="2740" uniqueCount="285">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</sst>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6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9"/>
  <sheetViews>
    <sheetView workbookViewId="0">
      <selection activeCell="X18" sqref="X18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280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61"/>
      <c r="B6" s="62" t="s">
        <v>267</v>
      </c>
      <c r="C6" s="62" t="s">
        <v>34</v>
      </c>
      <c r="D6" s="62" t="s">
        <v>250</v>
      </c>
      <c r="E6" s="61">
        <v>263131</v>
      </c>
      <c r="F6" s="62" t="s">
        <v>281</v>
      </c>
      <c r="G6" s="61">
        <v>1010</v>
      </c>
      <c r="H6" s="63">
        <v>0.69</v>
      </c>
      <c r="I6" s="63">
        <v>1</v>
      </c>
      <c r="J6" s="61"/>
      <c r="K6" s="62" t="s">
        <v>32</v>
      </c>
      <c r="L6" s="61"/>
      <c r="M6" s="63">
        <v>696.9</v>
      </c>
      <c r="N6" s="64">
        <v>505</v>
      </c>
      <c r="O6" s="65">
        <v>7.0099999999999996E-2</v>
      </c>
      <c r="P6" s="66">
        <v>4.21</v>
      </c>
      <c r="Q6" s="61">
        <v>223</v>
      </c>
      <c r="R6" s="61">
        <v>2</v>
      </c>
      <c r="S6" s="61">
        <v>1400</v>
      </c>
      <c r="T6" s="63">
        <v>1.38</v>
      </c>
      <c r="U6" s="61">
        <v>20</v>
      </c>
      <c r="V6" s="65">
        <v>1.43E-2</v>
      </c>
      <c r="W6" s="62" t="s">
        <v>27</v>
      </c>
      <c r="X6" s="62" t="s">
        <v>27</v>
      </c>
      <c r="Y6" s="62" t="s">
        <v>27</v>
      </c>
      <c r="Z6" s="62"/>
      <c r="AA6" s="62"/>
      <c r="AB6" s="62" t="s">
        <v>37</v>
      </c>
      <c r="AC6" s="62" t="s">
        <v>283</v>
      </c>
    </row>
    <row r="7" spans="1:29" s="12" customFormat="1" ht="25.05" customHeight="1" x14ac:dyDescent="0.3">
      <c r="A7" s="61"/>
      <c r="B7" s="62" t="s">
        <v>267</v>
      </c>
      <c r="C7" s="62" t="s">
        <v>34</v>
      </c>
      <c r="D7" s="62" t="s">
        <v>250</v>
      </c>
      <c r="E7" s="61">
        <v>263132</v>
      </c>
      <c r="F7" s="62" t="s">
        <v>281</v>
      </c>
      <c r="G7" s="61">
        <v>880</v>
      </c>
      <c r="H7" s="63">
        <v>0.63</v>
      </c>
      <c r="I7" s="63">
        <v>1</v>
      </c>
      <c r="J7" s="61"/>
      <c r="K7" s="62" t="s">
        <v>32</v>
      </c>
      <c r="L7" s="61"/>
      <c r="M7" s="63">
        <v>554.4</v>
      </c>
      <c r="N7" s="64">
        <v>440</v>
      </c>
      <c r="O7" s="65">
        <v>6.1100000000000002E-2</v>
      </c>
      <c r="P7" s="66">
        <v>3.67</v>
      </c>
      <c r="Q7" s="61">
        <v>177.4</v>
      </c>
      <c r="R7" s="61">
        <v>2</v>
      </c>
      <c r="S7" s="61">
        <v>1300</v>
      </c>
      <c r="T7" s="63">
        <v>1.26</v>
      </c>
      <c r="U7" s="61">
        <v>40</v>
      </c>
      <c r="V7" s="65">
        <v>3.0800000000000001E-2</v>
      </c>
      <c r="W7" s="62" t="s">
        <v>27</v>
      </c>
      <c r="X7" s="62" t="s">
        <v>27</v>
      </c>
      <c r="Y7" s="62" t="s">
        <v>27</v>
      </c>
      <c r="Z7" s="62"/>
      <c r="AA7" s="62"/>
      <c r="AB7" s="62" t="s">
        <v>37</v>
      </c>
      <c r="AC7" s="62" t="s">
        <v>284</v>
      </c>
    </row>
    <row r="8" spans="1:29" s="12" customFormat="1" ht="25.05" customHeight="1" x14ac:dyDescent="0.3">
      <c r="A8" s="61"/>
      <c r="B8" s="62" t="s">
        <v>267</v>
      </c>
      <c r="C8" s="62" t="s">
        <v>34</v>
      </c>
      <c r="D8" s="62" t="s">
        <v>250</v>
      </c>
      <c r="E8" s="61">
        <v>263130</v>
      </c>
      <c r="F8" s="62" t="s">
        <v>281</v>
      </c>
      <c r="G8" s="61">
        <v>1070</v>
      </c>
      <c r="H8" s="63">
        <v>0.6</v>
      </c>
      <c r="I8" s="63">
        <v>1.02</v>
      </c>
      <c r="J8" s="61"/>
      <c r="K8" s="62" t="s">
        <v>32</v>
      </c>
      <c r="L8" s="61"/>
      <c r="M8" s="63">
        <v>654.84</v>
      </c>
      <c r="N8" s="64">
        <v>545.70000000000005</v>
      </c>
      <c r="O8" s="65">
        <v>7.5800000000000006E-2</v>
      </c>
      <c r="P8" s="66">
        <v>4.55</v>
      </c>
      <c r="Q8" s="61">
        <v>209.5</v>
      </c>
      <c r="R8" s="61">
        <v>2</v>
      </c>
      <c r="S8" s="61">
        <v>1250</v>
      </c>
      <c r="T8" s="63">
        <v>1.2</v>
      </c>
      <c r="U8" s="61">
        <v>50</v>
      </c>
      <c r="V8" s="65">
        <v>0.04</v>
      </c>
      <c r="W8" s="62" t="s">
        <v>27</v>
      </c>
      <c r="X8" s="62" t="s">
        <v>27</v>
      </c>
      <c r="Y8" s="62" t="s">
        <v>27</v>
      </c>
      <c r="Z8" s="62"/>
      <c r="AA8" s="62"/>
      <c r="AB8" s="62" t="s">
        <v>37</v>
      </c>
      <c r="AC8" s="62" t="s">
        <v>282</v>
      </c>
    </row>
    <row r="9" spans="1:29" s="12" customFormat="1" ht="25.05" customHeight="1" x14ac:dyDescent="0.3">
      <c r="A9" s="13" t="s">
        <v>26</v>
      </c>
      <c r="B9" s="13" t="s">
        <v>26</v>
      </c>
      <c r="C9" s="13" t="s">
        <v>26</v>
      </c>
      <c r="D9" s="13" t="s">
        <v>26</v>
      </c>
      <c r="E9" s="13" t="s">
        <v>26</v>
      </c>
      <c r="F9" s="13" t="s">
        <v>26</v>
      </c>
      <c r="G9" s="13">
        <f>SUM(G3:G8)</f>
        <v>4460</v>
      </c>
      <c r="H9" s="13" t="s">
        <v>26</v>
      </c>
      <c r="I9" s="13" t="s">
        <v>26</v>
      </c>
      <c r="J9" s="13" t="s">
        <v>26</v>
      </c>
      <c r="K9" s="13" t="s">
        <v>26</v>
      </c>
      <c r="L9" s="13" t="s">
        <v>26</v>
      </c>
      <c r="M9" s="13" t="s">
        <v>26</v>
      </c>
      <c r="N9" s="13" t="s">
        <v>26</v>
      </c>
      <c r="O9" s="13" t="s">
        <v>26</v>
      </c>
      <c r="P9" s="13" t="s">
        <v>26</v>
      </c>
      <c r="Q9" s="13">
        <f>SUM(Q3:Q8)</f>
        <v>3398.7000000000003</v>
      </c>
      <c r="R9" s="13" t="s">
        <v>26</v>
      </c>
      <c r="S9" s="13" t="s">
        <v>26</v>
      </c>
      <c r="T9" s="13" t="s">
        <v>26</v>
      </c>
      <c r="U9" s="13" t="s">
        <v>26</v>
      </c>
      <c r="V9" s="13" t="s">
        <v>26</v>
      </c>
      <c r="W9" s="13" t="s">
        <v>26</v>
      </c>
      <c r="X9" s="13" t="s">
        <v>26</v>
      </c>
      <c r="Y9" s="13" t="s">
        <v>26</v>
      </c>
      <c r="Z9" s="13" t="s">
        <v>26</v>
      </c>
      <c r="AA9" s="13" t="s">
        <v>26</v>
      </c>
      <c r="AB9" s="13" t="s">
        <v>26</v>
      </c>
      <c r="AC9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tabSelected="1" workbookViewId="0">
      <selection activeCell="AB14" sqref="AB14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AX22" sqref="AX22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7" t="s">
        <v>0</v>
      </c>
      <c r="B2" s="67" t="s">
        <v>35</v>
      </c>
      <c r="C2" s="67" t="s">
        <v>1</v>
      </c>
      <c r="D2" s="67" t="s">
        <v>2</v>
      </c>
      <c r="E2" s="67" t="s">
        <v>45</v>
      </c>
      <c r="F2" s="67" t="s">
        <v>3</v>
      </c>
      <c r="G2" s="67" t="s">
        <v>4</v>
      </c>
      <c r="H2" s="67" t="s">
        <v>5</v>
      </c>
      <c r="I2" s="67" t="s">
        <v>6</v>
      </c>
      <c r="J2" s="67" t="s">
        <v>26</v>
      </c>
      <c r="K2" s="67" t="s">
        <v>7</v>
      </c>
      <c r="L2" s="67" t="s">
        <v>26</v>
      </c>
      <c r="M2" s="67" t="s">
        <v>8</v>
      </c>
      <c r="N2" s="67" t="s">
        <v>9</v>
      </c>
      <c r="O2" s="67" t="s">
        <v>10</v>
      </c>
      <c r="P2" s="67" t="s">
        <v>11</v>
      </c>
      <c r="Q2" s="67" t="s">
        <v>12</v>
      </c>
      <c r="R2" s="67" t="s">
        <v>13</v>
      </c>
      <c r="S2" s="67" t="s">
        <v>14</v>
      </c>
      <c r="T2" s="67" t="s">
        <v>15</v>
      </c>
      <c r="U2" s="67" t="s">
        <v>16</v>
      </c>
      <c r="V2" s="67" t="s">
        <v>17</v>
      </c>
      <c r="W2" s="67" t="s">
        <v>18</v>
      </c>
      <c r="X2" s="67" t="s">
        <v>19</v>
      </c>
      <c r="Y2" s="67" t="s">
        <v>20</v>
      </c>
      <c r="Z2" s="67" t="s">
        <v>21</v>
      </c>
      <c r="AA2" s="67" t="s">
        <v>22</v>
      </c>
      <c r="AB2" s="67" t="s">
        <v>23</v>
      </c>
      <c r="AC2" s="67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9"/>
      <c r="B4" s="70" t="s">
        <v>234</v>
      </c>
      <c r="C4" s="69" t="s">
        <v>25</v>
      </c>
      <c r="D4" s="69" t="s">
        <v>147</v>
      </c>
      <c r="E4" s="69">
        <v>263109</v>
      </c>
      <c r="F4" s="69" t="s">
        <v>238</v>
      </c>
      <c r="G4" s="69">
        <v>1100</v>
      </c>
      <c r="H4" s="71">
        <v>0.58499999999999996</v>
      </c>
      <c r="I4" s="71">
        <v>1.268</v>
      </c>
      <c r="J4" s="69" t="s">
        <v>26</v>
      </c>
      <c r="K4" s="69" t="s">
        <v>240</v>
      </c>
      <c r="L4" s="69" t="s">
        <v>26</v>
      </c>
      <c r="M4" s="71">
        <v>815.95799999999997</v>
      </c>
      <c r="N4" s="72">
        <v>697.4</v>
      </c>
      <c r="O4" s="73">
        <v>9.69E-2</v>
      </c>
      <c r="P4" s="74">
        <v>5.81</v>
      </c>
      <c r="Q4" s="69">
        <v>439</v>
      </c>
      <c r="R4" s="69">
        <v>2</v>
      </c>
      <c r="S4" s="69">
        <v>1200</v>
      </c>
      <c r="T4" s="71">
        <v>1.17</v>
      </c>
      <c r="U4" s="69">
        <v>30</v>
      </c>
      <c r="V4" s="73">
        <v>2.5000000000000001E-2</v>
      </c>
      <c r="W4" s="69" t="s">
        <v>27</v>
      </c>
      <c r="X4" s="69" t="s">
        <v>28</v>
      </c>
      <c r="Y4" s="69" t="s">
        <v>27</v>
      </c>
      <c r="Z4" s="69" t="s">
        <v>27</v>
      </c>
      <c r="AA4" s="69" t="s">
        <v>27</v>
      </c>
      <c r="AB4" s="69" t="s">
        <v>29</v>
      </c>
      <c r="AC4" s="69" t="s">
        <v>239</v>
      </c>
    </row>
    <row r="5" spans="1:29" ht="25.05" customHeight="1" x14ac:dyDescent="0.3">
      <c r="A5" s="69"/>
      <c r="B5" s="70" t="s">
        <v>234</v>
      </c>
      <c r="C5" s="69" t="s">
        <v>25</v>
      </c>
      <c r="D5" s="69" t="s">
        <v>147</v>
      </c>
      <c r="E5" s="69">
        <v>263108</v>
      </c>
      <c r="F5" s="69" t="s">
        <v>238</v>
      </c>
      <c r="G5" s="69">
        <v>310</v>
      </c>
      <c r="H5" s="71">
        <v>0.878</v>
      </c>
      <c r="I5" s="71">
        <v>1.99</v>
      </c>
      <c r="J5" s="69" t="s">
        <v>26</v>
      </c>
      <c r="K5" s="69" t="s">
        <v>237</v>
      </c>
      <c r="L5" s="69" t="s">
        <v>26</v>
      </c>
      <c r="M5" s="71">
        <v>541.63800000000003</v>
      </c>
      <c r="N5" s="72">
        <v>616.9</v>
      </c>
      <c r="O5" s="73">
        <v>0.1714</v>
      </c>
      <c r="P5" s="74">
        <v>10.28</v>
      </c>
      <c r="Q5" s="69">
        <v>291.39999999999998</v>
      </c>
      <c r="R5" s="69">
        <v>1</v>
      </c>
      <c r="S5" s="69">
        <v>900</v>
      </c>
      <c r="T5" s="71">
        <v>0.878</v>
      </c>
      <c r="U5" s="69">
        <v>22</v>
      </c>
      <c r="V5" s="73">
        <v>2.4400000000000002E-2</v>
      </c>
      <c r="W5" s="69" t="s">
        <v>27</v>
      </c>
      <c r="X5" s="69" t="s">
        <v>28</v>
      </c>
      <c r="Y5" s="69" t="s">
        <v>27</v>
      </c>
      <c r="Z5" s="69" t="s">
        <v>27</v>
      </c>
      <c r="AA5" s="69" t="s">
        <v>27</v>
      </c>
      <c r="AB5" s="69" t="s">
        <v>31</v>
      </c>
      <c r="AC5" s="69" t="s">
        <v>236</v>
      </c>
    </row>
    <row r="6" spans="1:29" ht="25.05" customHeight="1" x14ac:dyDescent="0.3">
      <c r="A6" s="69"/>
      <c r="B6" s="70" t="s">
        <v>234</v>
      </c>
      <c r="C6" s="69" t="s">
        <v>49</v>
      </c>
      <c r="D6" s="69" t="s">
        <v>147</v>
      </c>
      <c r="E6" s="69">
        <v>263110</v>
      </c>
      <c r="F6" s="69" t="s">
        <v>233</v>
      </c>
      <c r="G6" s="69">
        <v>360</v>
      </c>
      <c r="H6" s="71">
        <v>1.546</v>
      </c>
      <c r="I6" s="71">
        <v>1.788</v>
      </c>
      <c r="J6" s="69" t="s">
        <v>26</v>
      </c>
      <c r="K6" s="69" t="s">
        <v>32</v>
      </c>
      <c r="L6" s="69" t="s">
        <v>26</v>
      </c>
      <c r="M6" s="71">
        <v>995.12900000000002</v>
      </c>
      <c r="N6" s="72">
        <v>643.70000000000005</v>
      </c>
      <c r="O6" s="73">
        <v>0.17879999999999999</v>
      </c>
      <c r="P6" s="74">
        <v>10.73</v>
      </c>
      <c r="Q6" s="69">
        <v>328.4</v>
      </c>
      <c r="R6" s="69">
        <v>1</v>
      </c>
      <c r="S6" s="69">
        <v>1600</v>
      </c>
      <c r="T6" s="71">
        <v>1.546</v>
      </c>
      <c r="U6" s="69">
        <v>54</v>
      </c>
      <c r="V6" s="73">
        <v>3.3799999999999997E-2</v>
      </c>
      <c r="W6" s="69" t="s">
        <v>27</v>
      </c>
      <c r="X6" s="69" t="s">
        <v>27</v>
      </c>
      <c r="Y6" s="69" t="s">
        <v>27</v>
      </c>
      <c r="Z6" s="69" t="s">
        <v>26</v>
      </c>
      <c r="AA6" s="69" t="s">
        <v>26</v>
      </c>
      <c r="AB6" s="69" t="s">
        <v>31</v>
      </c>
      <c r="AC6" s="69" t="s">
        <v>235</v>
      </c>
    </row>
    <row r="7" spans="1:29" ht="25.05" customHeight="1" x14ac:dyDescent="0.3">
      <c r="A7" s="69"/>
      <c r="B7" s="70" t="s">
        <v>234</v>
      </c>
      <c r="C7" s="69" t="s">
        <v>49</v>
      </c>
      <c r="D7" s="69" t="s">
        <v>147</v>
      </c>
      <c r="E7" s="69">
        <v>263111</v>
      </c>
      <c r="F7" s="69" t="s">
        <v>233</v>
      </c>
      <c r="G7" s="69">
        <v>440</v>
      </c>
      <c r="H7" s="71">
        <v>0.98199999999999998</v>
      </c>
      <c r="I7" s="71">
        <v>2.2599999999999998</v>
      </c>
      <c r="J7" s="69" t="s">
        <v>26</v>
      </c>
      <c r="K7" s="69" t="s">
        <v>232</v>
      </c>
      <c r="L7" s="69" t="s">
        <v>26</v>
      </c>
      <c r="M7" s="71">
        <v>976.50099999999998</v>
      </c>
      <c r="N7" s="72">
        <v>994.4</v>
      </c>
      <c r="O7" s="73">
        <v>0.2762</v>
      </c>
      <c r="P7" s="74">
        <v>16.57</v>
      </c>
      <c r="Q7" s="69">
        <v>322.2</v>
      </c>
      <c r="R7" s="69">
        <v>1</v>
      </c>
      <c r="S7" s="69">
        <v>1050</v>
      </c>
      <c r="T7" s="71">
        <v>0.98199999999999998</v>
      </c>
      <c r="U7" s="69">
        <v>68</v>
      </c>
      <c r="V7" s="73">
        <v>6.4799999999999996E-2</v>
      </c>
      <c r="W7" s="69" t="s">
        <v>27</v>
      </c>
      <c r="X7" s="69" t="s">
        <v>27</v>
      </c>
      <c r="Y7" s="69" t="s">
        <v>27</v>
      </c>
      <c r="Z7" s="69" t="s">
        <v>26</v>
      </c>
      <c r="AA7" s="69" t="s">
        <v>26</v>
      </c>
      <c r="AB7" s="69" t="s">
        <v>31</v>
      </c>
      <c r="AC7" s="69" t="s">
        <v>231</v>
      </c>
    </row>
    <row r="8" spans="1:29" ht="25.05" customHeight="1" x14ac:dyDescent="0.3">
      <c r="A8" s="68" t="s">
        <v>26</v>
      </c>
      <c r="B8" s="68" t="s">
        <v>26</v>
      </c>
      <c r="C8" s="68" t="s">
        <v>26</v>
      </c>
      <c r="D8" s="68" t="s">
        <v>26</v>
      </c>
      <c r="E8" s="68" t="s">
        <v>26</v>
      </c>
      <c r="F8" s="68" t="s">
        <v>26</v>
      </c>
      <c r="G8" s="68">
        <f>SUM(G3:G7)</f>
        <v>2910</v>
      </c>
      <c r="H8" s="68" t="s">
        <v>26</v>
      </c>
      <c r="I8" s="68" t="s">
        <v>26</v>
      </c>
      <c r="J8" s="68" t="s">
        <v>26</v>
      </c>
      <c r="K8" s="68" t="s">
        <v>26</v>
      </c>
      <c r="L8" s="68" t="s">
        <v>26</v>
      </c>
      <c r="M8" s="68" t="s">
        <v>26</v>
      </c>
      <c r="N8" s="68" t="s">
        <v>26</v>
      </c>
      <c r="O8" s="68" t="s">
        <v>26</v>
      </c>
      <c r="P8" s="68" t="s">
        <v>26</v>
      </c>
      <c r="Q8" s="68">
        <f>SUM(Q3:Q7)</f>
        <v>1799.3999999999999</v>
      </c>
      <c r="R8" s="68" t="s">
        <v>26</v>
      </c>
      <c r="S8" s="68" t="s">
        <v>26</v>
      </c>
      <c r="T8" s="68" t="s">
        <v>26</v>
      </c>
      <c r="U8" s="68" t="s">
        <v>26</v>
      </c>
      <c r="V8" s="68" t="s">
        <v>26</v>
      </c>
      <c r="W8" s="68" t="s">
        <v>26</v>
      </c>
      <c r="X8" s="68" t="s">
        <v>26</v>
      </c>
      <c r="Y8" s="68" t="s">
        <v>26</v>
      </c>
      <c r="Z8" s="68" t="s">
        <v>26</v>
      </c>
      <c r="AA8" s="68" t="s">
        <v>26</v>
      </c>
      <c r="AB8" s="68" t="s">
        <v>26</v>
      </c>
      <c r="AC8" s="6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7" t="s">
        <v>0</v>
      </c>
      <c r="B2" s="67" t="s">
        <v>35</v>
      </c>
      <c r="C2" s="67" t="s">
        <v>1</v>
      </c>
      <c r="D2" s="67" t="s">
        <v>2</v>
      </c>
      <c r="E2" s="67" t="s">
        <v>45</v>
      </c>
      <c r="F2" s="67" t="s">
        <v>3</v>
      </c>
      <c r="G2" s="67" t="s">
        <v>4</v>
      </c>
      <c r="H2" s="67" t="s">
        <v>5</v>
      </c>
      <c r="I2" s="67" t="s">
        <v>6</v>
      </c>
      <c r="J2" s="67" t="s">
        <v>26</v>
      </c>
      <c r="K2" s="67" t="s">
        <v>7</v>
      </c>
      <c r="L2" s="67" t="s">
        <v>26</v>
      </c>
      <c r="M2" s="67" t="s">
        <v>8</v>
      </c>
      <c r="N2" s="67" t="s">
        <v>9</v>
      </c>
      <c r="O2" s="67" t="s">
        <v>10</v>
      </c>
      <c r="P2" s="67" t="s">
        <v>11</v>
      </c>
      <c r="Q2" s="67" t="s">
        <v>12</v>
      </c>
      <c r="R2" s="67" t="s">
        <v>13</v>
      </c>
      <c r="S2" s="67" t="s">
        <v>14</v>
      </c>
      <c r="T2" s="67" t="s">
        <v>15</v>
      </c>
      <c r="U2" s="67" t="s">
        <v>16</v>
      </c>
      <c r="V2" s="67" t="s">
        <v>17</v>
      </c>
      <c r="W2" s="67" t="s">
        <v>18</v>
      </c>
      <c r="X2" s="67" t="s">
        <v>19</v>
      </c>
      <c r="Y2" s="67" t="s">
        <v>20</v>
      </c>
      <c r="Z2" s="67" t="s">
        <v>21</v>
      </c>
      <c r="AA2" s="67" t="s">
        <v>22</v>
      </c>
      <c r="AB2" s="67" t="s">
        <v>23</v>
      </c>
      <c r="AC2" s="67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9"/>
      <c r="B4" s="70" t="s">
        <v>122</v>
      </c>
      <c r="C4" s="69" t="s">
        <v>78</v>
      </c>
      <c r="D4" s="69" t="s">
        <v>188</v>
      </c>
      <c r="E4" s="69">
        <v>263083</v>
      </c>
      <c r="F4" s="69" t="s">
        <v>196</v>
      </c>
      <c r="G4" s="69">
        <v>200</v>
      </c>
      <c r="H4" s="71">
        <v>0.502</v>
      </c>
      <c r="I4" s="71">
        <v>1.2350000000000001</v>
      </c>
      <c r="J4" s="69" t="s">
        <v>26</v>
      </c>
      <c r="K4" s="69" t="s">
        <v>202</v>
      </c>
      <c r="L4" s="69" t="s">
        <v>26</v>
      </c>
      <c r="M4" s="71">
        <v>123.994</v>
      </c>
      <c r="N4" s="72">
        <v>82.3</v>
      </c>
      <c r="O4" s="73">
        <v>7.6E-3</v>
      </c>
      <c r="P4" s="74">
        <v>0.46</v>
      </c>
      <c r="Q4" s="69">
        <v>58.3</v>
      </c>
      <c r="R4" s="69">
        <v>3</v>
      </c>
      <c r="S4" s="69">
        <v>1550</v>
      </c>
      <c r="T4" s="71">
        <v>1.506</v>
      </c>
      <c r="U4" s="69">
        <v>44</v>
      </c>
      <c r="V4" s="73">
        <v>2.8400000000000002E-2</v>
      </c>
      <c r="W4" s="69" t="s">
        <v>77</v>
      </c>
      <c r="X4" s="69" t="s">
        <v>39</v>
      </c>
      <c r="Y4" s="69" t="s">
        <v>77</v>
      </c>
      <c r="Z4" s="69" t="s">
        <v>26</v>
      </c>
      <c r="AA4" s="69" t="s">
        <v>26</v>
      </c>
      <c r="AB4" s="69" t="s">
        <v>37</v>
      </c>
      <c r="AC4" s="69" t="s">
        <v>201</v>
      </c>
    </row>
    <row r="5" spans="1:29" s="12" customFormat="1" ht="25.05" customHeight="1" x14ac:dyDescent="0.3">
      <c r="A5" s="69"/>
      <c r="B5" s="70" t="s">
        <v>122</v>
      </c>
      <c r="C5" s="69" t="s">
        <v>78</v>
      </c>
      <c r="D5" s="69" t="s">
        <v>188</v>
      </c>
      <c r="E5" s="69">
        <v>263086</v>
      </c>
      <c r="F5" s="69" t="s">
        <v>196</v>
      </c>
      <c r="G5" s="69">
        <v>200</v>
      </c>
      <c r="H5" s="71">
        <v>0.69199999999999995</v>
      </c>
      <c r="I5" s="71">
        <v>1.835</v>
      </c>
      <c r="J5" s="69" t="s">
        <v>26</v>
      </c>
      <c r="K5" s="69" t="s">
        <v>200</v>
      </c>
      <c r="L5" s="69" t="s">
        <v>26</v>
      </c>
      <c r="M5" s="71">
        <v>253.964</v>
      </c>
      <c r="N5" s="72">
        <v>183.5</v>
      </c>
      <c r="O5" s="73">
        <v>2.5499999999999998E-2</v>
      </c>
      <c r="P5" s="74">
        <v>1.53</v>
      </c>
      <c r="Q5" s="69">
        <v>119.4</v>
      </c>
      <c r="R5" s="69">
        <v>2</v>
      </c>
      <c r="S5" s="69">
        <v>1450</v>
      </c>
      <c r="T5" s="71">
        <v>1.3839999999999999</v>
      </c>
      <c r="U5" s="69">
        <v>66</v>
      </c>
      <c r="V5" s="73">
        <v>4.5499999999999999E-2</v>
      </c>
      <c r="W5" s="69" t="s">
        <v>77</v>
      </c>
      <c r="X5" s="69" t="s">
        <v>39</v>
      </c>
      <c r="Y5" s="69" t="s">
        <v>77</v>
      </c>
      <c r="Z5" s="69" t="s">
        <v>26</v>
      </c>
      <c r="AA5" s="69" t="s">
        <v>26</v>
      </c>
      <c r="AB5" s="69" t="s">
        <v>37</v>
      </c>
      <c r="AC5" s="69" t="s">
        <v>199</v>
      </c>
    </row>
    <row r="6" spans="1:29" s="12" customFormat="1" ht="25.05" customHeight="1" x14ac:dyDescent="0.3">
      <c r="A6" s="69"/>
      <c r="B6" s="70" t="s">
        <v>122</v>
      </c>
      <c r="C6" s="69" t="s">
        <v>78</v>
      </c>
      <c r="D6" s="69" t="s">
        <v>188</v>
      </c>
      <c r="E6" s="69">
        <v>263085</v>
      </c>
      <c r="F6" s="69" t="s">
        <v>196</v>
      </c>
      <c r="G6" s="69">
        <v>200</v>
      </c>
      <c r="H6" s="71">
        <v>0.30199999999999999</v>
      </c>
      <c r="I6" s="71">
        <v>0.73499999999999999</v>
      </c>
      <c r="J6" s="69" t="s">
        <v>26</v>
      </c>
      <c r="K6" s="69" t="s">
        <v>198</v>
      </c>
      <c r="L6" s="69" t="s">
        <v>26</v>
      </c>
      <c r="M6" s="71">
        <v>44.393999999999998</v>
      </c>
      <c r="N6" s="72">
        <v>36.799999999999997</v>
      </c>
      <c r="O6" s="73">
        <v>2.5999999999999999E-3</v>
      </c>
      <c r="P6" s="74">
        <v>0.15</v>
      </c>
      <c r="Q6" s="69">
        <v>20.9</v>
      </c>
      <c r="R6" s="69">
        <v>4</v>
      </c>
      <c r="S6" s="69">
        <v>1250</v>
      </c>
      <c r="T6" s="71">
        <v>1.208</v>
      </c>
      <c r="U6" s="69">
        <v>42</v>
      </c>
      <c r="V6" s="73">
        <v>3.3599999999999998E-2</v>
      </c>
      <c r="W6" s="69" t="s">
        <v>77</v>
      </c>
      <c r="X6" s="69" t="s">
        <v>39</v>
      </c>
      <c r="Y6" s="69" t="s">
        <v>77</v>
      </c>
      <c r="Z6" s="69" t="s">
        <v>26</v>
      </c>
      <c r="AA6" s="69" t="s">
        <v>26</v>
      </c>
      <c r="AB6" s="69" t="s">
        <v>37</v>
      </c>
      <c r="AC6" s="69" t="s">
        <v>197</v>
      </c>
    </row>
    <row r="7" spans="1:29" s="12" customFormat="1" ht="25.05" customHeight="1" x14ac:dyDescent="0.3">
      <c r="A7" s="69"/>
      <c r="B7" s="70" t="s">
        <v>122</v>
      </c>
      <c r="C7" s="69" t="s">
        <v>78</v>
      </c>
      <c r="D7" s="69" t="s">
        <v>188</v>
      </c>
      <c r="E7" s="69">
        <v>263084</v>
      </c>
      <c r="F7" s="69" t="s">
        <v>196</v>
      </c>
      <c r="G7" s="69">
        <v>200</v>
      </c>
      <c r="H7" s="71">
        <v>0.85199999999999998</v>
      </c>
      <c r="I7" s="71">
        <v>1.5349999999999999</v>
      </c>
      <c r="J7" s="69" t="s">
        <v>26</v>
      </c>
      <c r="K7" s="69" t="s">
        <v>195</v>
      </c>
      <c r="L7" s="69" t="s">
        <v>26</v>
      </c>
      <c r="M7" s="71">
        <v>261.56400000000002</v>
      </c>
      <c r="N7" s="72">
        <v>307</v>
      </c>
      <c r="O7" s="73">
        <v>8.5300000000000001E-2</v>
      </c>
      <c r="P7" s="74">
        <v>5.12</v>
      </c>
      <c r="Q7" s="69">
        <v>122.9</v>
      </c>
      <c r="R7" s="69">
        <v>1</v>
      </c>
      <c r="S7" s="69">
        <v>900</v>
      </c>
      <c r="T7" s="71">
        <v>0.85199999999999998</v>
      </c>
      <c r="U7" s="69">
        <v>48</v>
      </c>
      <c r="V7" s="73">
        <v>5.33E-2</v>
      </c>
      <c r="W7" s="69" t="s">
        <v>77</v>
      </c>
      <c r="X7" s="69" t="s">
        <v>39</v>
      </c>
      <c r="Y7" s="69" t="s">
        <v>77</v>
      </c>
      <c r="Z7" s="69" t="s">
        <v>26</v>
      </c>
      <c r="AA7" s="69" t="s">
        <v>26</v>
      </c>
      <c r="AB7" s="69" t="s">
        <v>37</v>
      </c>
      <c r="AC7" s="69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75" t="s">
        <v>26</v>
      </c>
      <c r="B9" s="75" t="s">
        <v>26</v>
      </c>
      <c r="C9" s="75" t="s">
        <v>26</v>
      </c>
      <c r="D9" s="75" t="s">
        <v>26</v>
      </c>
      <c r="E9" s="75" t="s">
        <v>26</v>
      </c>
      <c r="F9" s="75" t="s">
        <v>26</v>
      </c>
      <c r="G9" s="75">
        <f>SUM(G3:G8)</f>
        <v>1300</v>
      </c>
      <c r="H9" s="75" t="s">
        <v>26</v>
      </c>
      <c r="I9" s="75" t="s">
        <v>26</v>
      </c>
      <c r="J9" s="75" t="s">
        <v>26</v>
      </c>
      <c r="K9" s="75" t="s">
        <v>26</v>
      </c>
      <c r="L9" s="75" t="s">
        <v>26</v>
      </c>
      <c r="M9" s="75" t="s">
        <v>26</v>
      </c>
      <c r="N9" s="75" t="s">
        <v>26</v>
      </c>
      <c r="O9" s="75" t="s">
        <v>26</v>
      </c>
      <c r="P9" s="75" t="s">
        <v>26</v>
      </c>
      <c r="Q9" s="75">
        <f>SUM(Q3:Q8)</f>
        <v>485.9</v>
      </c>
      <c r="R9" s="75" t="s">
        <v>26</v>
      </c>
      <c r="S9" s="75" t="s">
        <v>26</v>
      </c>
      <c r="T9" s="75" t="s">
        <v>26</v>
      </c>
      <c r="U9" s="75" t="s">
        <v>26</v>
      </c>
      <c r="V9" s="75" t="s">
        <v>26</v>
      </c>
      <c r="W9" s="75" t="s">
        <v>26</v>
      </c>
      <c r="X9" s="75" t="s">
        <v>26</v>
      </c>
      <c r="Y9" s="75" t="s">
        <v>26</v>
      </c>
      <c r="Z9" s="75" t="s">
        <v>26</v>
      </c>
      <c r="AA9" s="75" t="s">
        <v>26</v>
      </c>
      <c r="AB9" s="75" t="s">
        <v>26</v>
      </c>
      <c r="AC9" s="75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2026-10-22T21:12:11Z</dcterms:modified>
</cp:coreProperties>
</file>