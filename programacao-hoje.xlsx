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995848A-21C0-4BEA-BEBB-F9A46DC59F1E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PCBOX EMBALAGENS 1316 P" sheetId="222" r:id="rId1"/>
    <sheet name="HARMONY EMBALAGENS 1315 P" sheetId="221" r:id="rId2"/>
    <sheet name="FAVINCO EMBALAGENS 1314 P" sheetId="220" r:id="rId3"/>
    <sheet name="CAIXAS  KRAFT 1312 P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 P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0" l="1"/>
  <c r="G8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<sst xmlns="http://schemas.openxmlformats.org/spreadsheetml/2006/main" count="2737" uniqueCount="285">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</sst>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65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12" fillId="0" borderId="0" xfId="5" applyFont="1"/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6"/>
  <sheetViews>
    <sheetView tabSelected="1" workbookViewId="0">
      <selection activeCell="R35" sqref="R35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8" t="s">
        <v>280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250</v>
      </c>
      <c r="E3" s="6">
        <v>263129</v>
      </c>
      <c r="F3" s="6" t="s">
        <v>276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279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250</v>
      </c>
      <c r="E4" s="6">
        <v>263128</v>
      </c>
      <c r="F4" s="6" t="s">
        <v>276</v>
      </c>
      <c r="G4" s="6">
        <v>500</v>
      </c>
      <c r="H4" s="8">
        <v>1.444</v>
      </c>
      <c r="I4" s="8">
        <v>2.383</v>
      </c>
      <c r="J4" s="6" t="s">
        <v>26</v>
      </c>
      <c r="K4" s="6" t="s">
        <v>278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277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250</v>
      </c>
      <c r="E5" s="6">
        <v>263127</v>
      </c>
      <c r="F5" s="6" t="s">
        <v>276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275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274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8" t="s">
        <v>273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8"/>
  <sheetViews>
    <sheetView workbookViewId="0">
      <selection sqref="A1:AC8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8" t="s">
        <v>271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48" t="s">
        <v>0</v>
      </c>
      <c r="B2" s="48" t="s">
        <v>35</v>
      </c>
      <c r="C2" s="48" t="s">
        <v>1</v>
      </c>
      <c r="D2" s="48" t="s">
        <v>2</v>
      </c>
      <c r="E2" s="48" t="s">
        <v>45</v>
      </c>
      <c r="F2" s="48" t="s">
        <v>3</v>
      </c>
      <c r="G2" s="48" t="s">
        <v>4</v>
      </c>
      <c r="H2" s="48" t="s">
        <v>5</v>
      </c>
      <c r="I2" s="48" t="s">
        <v>6</v>
      </c>
      <c r="J2" s="48" t="s">
        <v>26</v>
      </c>
      <c r="K2" s="48" t="s">
        <v>7</v>
      </c>
      <c r="L2" s="48" t="s">
        <v>26</v>
      </c>
      <c r="M2" s="48" t="s">
        <v>8</v>
      </c>
      <c r="N2" s="48" t="s">
        <v>9</v>
      </c>
      <c r="O2" s="48" t="s">
        <v>10</v>
      </c>
      <c r="P2" s="48" t="s">
        <v>11</v>
      </c>
      <c r="Q2" s="48" t="s">
        <v>12</v>
      </c>
      <c r="R2" s="48" t="s">
        <v>13</v>
      </c>
      <c r="S2" s="48" t="s">
        <v>14</v>
      </c>
      <c r="T2" s="48" t="s">
        <v>15</v>
      </c>
      <c r="U2" s="48" t="s">
        <v>16</v>
      </c>
      <c r="V2" s="48" t="s">
        <v>17</v>
      </c>
      <c r="W2" s="48" t="s">
        <v>18</v>
      </c>
      <c r="X2" s="48" t="s">
        <v>19</v>
      </c>
      <c r="Y2" s="48" t="s">
        <v>20</v>
      </c>
      <c r="Z2" s="48" t="s">
        <v>21</v>
      </c>
      <c r="AA2" s="48" t="s">
        <v>22</v>
      </c>
      <c r="AB2" s="48" t="s">
        <v>23</v>
      </c>
      <c r="AC2" s="48" t="s">
        <v>24</v>
      </c>
    </row>
    <row r="3" spans="1:29" s="12" customFormat="1" ht="25.05" customHeight="1" x14ac:dyDescent="0.3">
      <c r="A3" s="50"/>
      <c r="B3" s="51" t="s">
        <v>267</v>
      </c>
      <c r="C3" s="50" t="s">
        <v>25</v>
      </c>
      <c r="D3" s="50" t="s">
        <v>250</v>
      </c>
      <c r="E3" s="50">
        <v>263124</v>
      </c>
      <c r="F3" s="50" t="s">
        <v>270</v>
      </c>
      <c r="G3" s="50">
        <v>300</v>
      </c>
      <c r="H3" s="52">
        <v>0.39800000000000002</v>
      </c>
      <c r="I3" s="52">
        <v>1.524</v>
      </c>
      <c r="J3" s="50" t="s">
        <v>26</v>
      </c>
      <c r="K3" s="50" t="s">
        <v>269</v>
      </c>
      <c r="L3" s="50" t="s">
        <v>26</v>
      </c>
      <c r="M3" s="52">
        <v>181.96600000000001</v>
      </c>
      <c r="N3" s="53">
        <v>152.4</v>
      </c>
      <c r="O3" s="54">
        <v>1.41E-2</v>
      </c>
      <c r="P3" s="55">
        <v>0.85</v>
      </c>
      <c r="Q3" s="50">
        <v>97.9</v>
      </c>
      <c r="R3" s="50">
        <v>3</v>
      </c>
      <c r="S3" s="50">
        <v>1250</v>
      </c>
      <c r="T3" s="52">
        <v>1.194</v>
      </c>
      <c r="U3" s="50">
        <v>56</v>
      </c>
      <c r="V3" s="54">
        <v>4.48E-2</v>
      </c>
      <c r="W3" s="50" t="s">
        <v>27</v>
      </c>
      <c r="X3" s="50" t="s">
        <v>28</v>
      </c>
      <c r="Y3" s="50" t="s">
        <v>27</v>
      </c>
      <c r="Z3" s="50" t="s">
        <v>27</v>
      </c>
      <c r="AA3" s="50" t="s">
        <v>27</v>
      </c>
      <c r="AB3" s="50" t="s">
        <v>37</v>
      </c>
      <c r="AC3" s="50" t="s">
        <v>268</v>
      </c>
    </row>
    <row r="4" spans="1:29" s="12" customFormat="1" ht="25.05" customHeight="1" x14ac:dyDescent="0.3">
      <c r="A4" s="14"/>
      <c r="B4" s="15" t="s">
        <v>267</v>
      </c>
      <c r="C4" s="15" t="s">
        <v>34</v>
      </c>
      <c r="D4" s="15" t="s">
        <v>250</v>
      </c>
      <c r="E4" s="14">
        <v>263131</v>
      </c>
      <c r="F4" s="15" t="s">
        <v>281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283</v>
      </c>
    </row>
    <row r="5" spans="1:29" s="12" customFormat="1" ht="25.05" customHeight="1" x14ac:dyDescent="0.3">
      <c r="A5" s="14"/>
      <c r="B5" s="15" t="s">
        <v>267</v>
      </c>
      <c r="C5" s="15" t="s">
        <v>34</v>
      </c>
      <c r="D5" s="15" t="s">
        <v>250</v>
      </c>
      <c r="E5" s="14">
        <v>263132</v>
      </c>
      <c r="F5" s="15" t="s">
        <v>281</v>
      </c>
      <c r="G5" s="14">
        <v>880</v>
      </c>
      <c r="H5" s="16">
        <v>0.63</v>
      </c>
      <c r="I5" s="16">
        <v>1</v>
      </c>
      <c r="J5" s="14"/>
      <c r="K5" s="15" t="s">
        <v>32</v>
      </c>
      <c r="L5" s="14"/>
      <c r="M5" s="16">
        <v>554.4</v>
      </c>
      <c r="N5" s="17">
        <v>440</v>
      </c>
      <c r="O5" s="18">
        <v>6.1100000000000002E-2</v>
      </c>
      <c r="P5" s="19">
        <v>3.67</v>
      </c>
      <c r="Q5" s="14">
        <v>177.4</v>
      </c>
      <c r="R5" s="14">
        <v>2</v>
      </c>
      <c r="S5" s="14">
        <v>1300</v>
      </c>
      <c r="T5" s="16">
        <v>1.26</v>
      </c>
      <c r="U5" s="14">
        <v>40</v>
      </c>
      <c r="V5" s="18">
        <v>3.0800000000000001E-2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284</v>
      </c>
    </row>
    <row r="6" spans="1:29" s="12" customFormat="1" ht="25.05" customHeight="1" x14ac:dyDescent="0.3">
      <c r="A6" s="14"/>
      <c r="B6" s="15" t="s">
        <v>267</v>
      </c>
      <c r="C6" s="15" t="s">
        <v>34</v>
      </c>
      <c r="D6" s="15" t="s">
        <v>250</v>
      </c>
      <c r="E6" s="14">
        <v>263130</v>
      </c>
      <c r="F6" s="15" t="s">
        <v>281</v>
      </c>
      <c r="G6" s="14">
        <v>1070</v>
      </c>
      <c r="H6" s="16">
        <v>0.6</v>
      </c>
      <c r="I6" s="16">
        <v>1.02</v>
      </c>
      <c r="J6" s="14"/>
      <c r="K6" s="15" t="s">
        <v>32</v>
      </c>
      <c r="L6" s="14"/>
      <c r="M6" s="16">
        <v>654.84</v>
      </c>
      <c r="N6" s="17">
        <v>545.70000000000005</v>
      </c>
      <c r="O6" s="18">
        <v>7.5800000000000006E-2</v>
      </c>
      <c r="P6" s="19">
        <v>4.55</v>
      </c>
      <c r="Q6" s="14">
        <v>209.5</v>
      </c>
      <c r="R6" s="14">
        <v>2</v>
      </c>
      <c r="S6" s="14">
        <v>1250</v>
      </c>
      <c r="T6" s="16">
        <v>1.2</v>
      </c>
      <c r="U6" s="14">
        <v>50</v>
      </c>
      <c r="V6" s="18">
        <v>0.04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282</v>
      </c>
    </row>
    <row r="7" spans="1:29" s="12" customFormat="1" ht="25.05" customHeight="1" x14ac:dyDescent="0.3">
      <c r="A7" s="50"/>
      <c r="B7" s="51" t="s">
        <v>267</v>
      </c>
      <c r="C7" s="50" t="s">
        <v>266</v>
      </c>
      <c r="D7" s="50" t="s">
        <v>250</v>
      </c>
      <c r="E7" s="50">
        <v>263125</v>
      </c>
      <c r="F7" s="50" t="s">
        <v>265</v>
      </c>
      <c r="G7" s="50">
        <v>3500</v>
      </c>
      <c r="H7" s="52">
        <v>0.30499999999999999</v>
      </c>
      <c r="I7" s="52">
        <v>0.88</v>
      </c>
      <c r="J7" s="50" t="s">
        <v>26</v>
      </c>
      <c r="K7" s="50" t="s">
        <v>264</v>
      </c>
      <c r="L7" s="50" t="s">
        <v>26</v>
      </c>
      <c r="M7" s="52">
        <v>939.4</v>
      </c>
      <c r="N7" s="53">
        <v>770</v>
      </c>
      <c r="O7" s="54">
        <v>5.3499999999999999E-2</v>
      </c>
      <c r="P7" s="55">
        <v>3.21</v>
      </c>
      <c r="Q7" s="50">
        <v>364.5</v>
      </c>
      <c r="R7" s="50">
        <v>4</v>
      </c>
      <c r="S7" s="50">
        <v>1250</v>
      </c>
      <c r="T7" s="52">
        <v>1.22</v>
      </c>
      <c r="U7" s="50">
        <v>30</v>
      </c>
      <c r="V7" s="54">
        <v>2.4E-2</v>
      </c>
      <c r="W7" s="50" t="s">
        <v>38</v>
      </c>
      <c r="X7" s="50" t="s">
        <v>28</v>
      </c>
      <c r="Y7" s="50" t="s">
        <v>28</v>
      </c>
      <c r="Z7" s="50" t="s">
        <v>26</v>
      </c>
      <c r="AA7" s="50" t="s">
        <v>26</v>
      </c>
      <c r="AB7" s="50" t="s">
        <v>31</v>
      </c>
      <c r="AC7" s="50" t="s">
        <v>263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6760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3" t="s">
        <v>26</v>
      </c>
      <c r="N8" s="63" t="s">
        <v>26</v>
      </c>
      <c r="O8" s="63" t="s">
        <v>26</v>
      </c>
      <c r="P8" s="63" t="s">
        <v>26</v>
      </c>
      <c r="Q8" s="63">
        <f>SUM(Q3:Q7)</f>
        <v>1072.3</v>
      </c>
      <c r="R8" s="63" t="s">
        <v>26</v>
      </c>
      <c r="S8" s="63" t="s">
        <v>26</v>
      </c>
      <c r="T8" s="63" t="s">
        <v>26</v>
      </c>
      <c r="U8" s="63" t="s">
        <v>26</v>
      </c>
      <c r="V8" s="63" t="s">
        <v>26</v>
      </c>
      <c r="W8" s="63" t="s">
        <v>26</v>
      </c>
      <c r="X8" s="63" t="s">
        <v>26</v>
      </c>
      <c r="Y8" s="63" t="s">
        <v>26</v>
      </c>
      <c r="Z8" s="63" t="s">
        <v>26</v>
      </c>
      <c r="AA8" s="63" t="s">
        <v>26</v>
      </c>
      <c r="AB8" s="63" t="s">
        <v>26</v>
      </c>
      <c r="AC8" s="63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91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8" t="s">
        <v>256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1"/>
      <c r="B3" s="43" t="s">
        <v>251</v>
      </c>
      <c r="C3" s="41" t="s">
        <v>34</v>
      </c>
      <c r="D3" s="41" t="s">
        <v>250</v>
      </c>
      <c r="E3" s="41">
        <v>263119</v>
      </c>
      <c r="F3" s="41" t="s">
        <v>69</v>
      </c>
      <c r="G3" s="41">
        <v>300</v>
      </c>
      <c r="H3" s="42">
        <v>0.60799999999999998</v>
      </c>
      <c r="I3" s="42">
        <v>1.635</v>
      </c>
      <c r="J3" s="41" t="s">
        <v>26</v>
      </c>
      <c r="K3" s="41" t="s">
        <v>255</v>
      </c>
      <c r="L3" s="41" t="s">
        <v>26</v>
      </c>
      <c r="M3" s="38">
        <v>298.22399999999999</v>
      </c>
      <c r="N3" s="40">
        <v>245.3</v>
      </c>
      <c r="O3" s="37">
        <v>3.4099999999999998E-2</v>
      </c>
      <c r="P3" s="39">
        <v>2.04</v>
      </c>
      <c r="Q3" s="36">
        <v>95.4</v>
      </c>
      <c r="R3" s="36">
        <v>2</v>
      </c>
      <c r="S3" s="36">
        <v>1250</v>
      </c>
      <c r="T3" s="38">
        <v>1.216</v>
      </c>
      <c r="U3" s="36">
        <v>34</v>
      </c>
      <c r="V3" s="37">
        <v>2.7199999999999998E-2</v>
      </c>
      <c r="W3" s="36" t="s">
        <v>27</v>
      </c>
      <c r="X3" s="36" t="s">
        <v>27</v>
      </c>
      <c r="Y3" s="36" t="s">
        <v>27</v>
      </c>
      <c r="Z3" s="36" t="s">
        <v>26</v>
      </c>
      <c r="AA3" s="36" t="s">
        <v>26</v>
      </c>
      <c r="AB3" s="36" t="s">
        <v>37</v>
      </c>
      <c r="AC3" s="36" t="s">
        <v>254</v>
      </c>
    </row>
    <row r="4" spans="1:29" ht="25.05" customHeight="1" x14ac:dyDescent="0.3">
      <c r="A4" s="41"/>
      <c r="B4" s="43" t="s">
        <v>251</v>
      </c>
      <c r="C4" s="41" t="s">
        <v>34</v>
      </c>
      <c r="D4" s="41" t="s">
        <v>250</v>
      </c>
      <c r="E4" s="41">
        <v>263120</v>
      </c>
      <c r="F4" s="41" t="s">
        <v>69</v>
      </c>
      <c r="G4" s="41">
        <v>300</v>
      </c>
      <c r="H4" s="42">
        <v>0.85799999999999998</v>
      </c>
      <c r="I4" s="42">
        <v>1.7350000000000001</v>
      </c>
      <c r="J4" s="41" t="s">
        <v>26</v>
      </c>
      <c r="K4" s="41" t="s">
        <v>253</v>
      </c>
      <c r="L4" s="41" t="s">
        <v>26</v>
      </c>
      <c r="M4" s="38">
        <v>446.589</v>
      </c>
      <c r="N4" s="40">
        <v>520.5</v>
      </c>
      <c r="O4" s="37">
        <v>0.14460000000000001</v>
      </c>
      <c r="P4" s="39">
        <v>8.68</v>
      </c>
      <c r="Q4" s="36">
        <v>142.9</v>
      </c>
      <c r="R4" s="36">
        <v>1</v>
      </c>
      <c r="S4" s="36">
        <v>900</v>
      </c>
      <c r="T4" s="38">
        <v>0.85799999999999998</v>
      </c>
      <c r="U4" s="36">
        <v>42</v>
      </c>
      <c r="V4" s="37">
        <v>4.6699999999999998E-2</v>
      </c>
      <c r="W4" s="36" t="s">
        <v>27</v>
      </c>
      <c r="X4" s="36" t="s">
        <v>27</v>
      </c>
      <c r="Y4" s="36" t="s">
        <v>27</v>
      </c>
      <c r="Z4" s="36" t="s">
        <v>26</v>
      </c>
      <c r="AA4" s="36" t="s">
        <v>26</v>
      </c>
      <c r="AB4" s="36" t="s">
        <v>37</v>
      </c>
      <c r="AC4" s="36" t="s">
        <v>252</v>
      </c>
    </row>
    <row r="5" spans="1:29" ht="25.05" customHeight="1" x14ac:dyDescent="0.3">
      <c r="A5" s="41"/>
      <c r="B5" s="43" t="s">
        <v>251</v>
      </c>
      <c r="C5" s="41" t="s">
        <v>34</v>
      </c>
      <c r="D5" s="41" t="s">
        <v>250</v>
      </c>
      <c r="E5" s="41">
        <v>263121</v>
      </c>
      <c r="F5" s="41" t="s">
        <v>69</v>
      </c>
      <c r="G5" s="41">
        <v>300</v>
      </c>
      <c r="H5" s="42">
        <v>0.79800000000000004</v>
      </c>
      <c r="I5" s="42">
        <v>1.155</v>
      </c>
      <c r="J5" s="41" t="s">
        <v>26</v>
      </c>
      <c r="K5" s="41" t="s">
        <v>249</v>
      </c>
      <c r="L5" s="41" t="s">
        <v>26</v>
      </c>
      <c r="M5" s="38">
        <v>276.50700000000001</v>
      </c>
      <c r="N5" s="40">
        <v>346.5</v>
      </c>
      <c r="O5" s="37">
        <v>9.6299999999999997E-2</v>
      </c>
      <c r="P5" s="39">
        <v>5.78</v>
      </c>
      <c r="Q5" s="36">
        <v>88.5</v>
      </c>
      <c r="R5" s="36">
        <v>1</v>
      </c>
      <c r="S5" s="36">
        <v>850</v>
      </c>
      <c r="T5" s="38">
        <v>0.79800000000000004</v>
      </c>
      <c r="U5" s="36">
        <v>52</v>
      </c>
      <c r="V5" s="37">
        <v>6.1199999999999997E-2</v>
      </c>
      <c r="W5" s="36" t="s">
        <v>27</v>
      </c>
      <c r="X5" s="36" t="s">
        <v>27</v>
      </c>
      <c r="Y5" s="36" t="s">
        <v>27</v>
      </c>
      <c r="Z5" s="36" t="s">
        <v>26</v>
      </c>
      <c r="AA5" s="36" t="s">
        <v>26</v>
      </c>
      <c r="AB5" s="36" t="s">
        <v>37</v>
      </c>
      <c r="AC5" s="36" t="s">
        <v>248</v>
      </c>
    </row>
    <row r="6" spans="1:29" ht="25.05" customHeight="1" x14ac:dyDescent="0.3">
      <c r="A6" s="35" t="s">
        <v>26</v>
      </c>
      <c r="B6" s="35" t="s">
        <v>26</v>
      </c>
      <c r="C6" s="35" t="s">
        <v>26</v>
      </c>
      <c r="D6" s="35" t="s">
        <v>26</v>
      </c>
      <c r="E6" s="35" t="s">
        <v>26</v>
      </c>
      <c r="F6" s="35" t="s">
        <v>26</v>
      </c>
      <c r="G6" s="35">
        <v>900</v>
      </c>
      <c r="H6" s="35" t="s">
        <v>26</v>
      </c>
      <c r="I6" s="35" t="s">
        <v>26</v>
      </c>
      <c r="J6" s="35" t="s">
        <v>26</v>
      </c>
      <c r="K6" s="35" t="s">
        <v>26</v>
      </c>
      <c r="L6" s="35" t="s">
        <v>26</v>
      </c>
      <c r="M6" s="34" t="s">
        <v>26</v>
      </c>
      <c r="N6" s="34" t="s">
        <v>26</v>
      </c>
      <c r="O6" s="34" t="s">
        <v>26</v>
      </c>
      <c r="P6" s="34" t="s">
        <v>26</v>
      </c>
      <c r="Q6" s="34">
        <v>326.8</v>
      </c>
      <c r="R6" s="34" t="s">
        <v>26</v>
      </c>
      <c r="S6" s="34" t="s">
        <v>26</v>
      </c>
      <c r="T6" s="34" t="s">
        <v>26</v>
      </c>
      <c r="U6" s="34" t="s">
        <v>26</v>
      </c>
      <c r="V6" s="34" t="s">
        <v>26</v>
      </c>
      <c r="W6" s="34" t="s">
        <v>26</v>
      </c>
      <c r="X6" s="34" t="s">
        <v>26</v>
      </c>
      <c r="Y6" s="34" t="s">
        <v>26</v>
      </c>
      <c r="Z6" s="34" t="s">
        <v>26</v>
      </c>
      <c r="AA6" s="34" t="s">
        <v>26</v>
      </c>
      <c r="AB6" s="34" t="s">
        <v>26</v>
      </c>
      <c r="AC6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9" t="s">
        <v>241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9" customHeight="1" x14ac:dyDescent="0.3">
      <c r="A2" s="48" t="s">
        <v>0</v>
      </c>
      <c r="B2" s="48" t="s">
        <v>35</v>
      </c>
      <c r="C2" s="48" t="s">
        <v>1</v>
      </c>
      <c r="D2" s="48" t="s">
        <v>2</v>
      </c>
      <c r="E2" s="48" t="s">
        <v>45</v>
      </c>
      <c r="F2" s="48" t="s">
        <v>3</v>
      </c>
      <c r="G2" s="48" t="s">
        <v>4</v>
      </c>
      <c r="H2" s="48" t="s">
        <v>5</v>
      </c>
      <c r="I2" s="48" t="s">
        <v>6</v>
      </c>
      <c r="J2" s="48" t="s">
        <v>26</v>
      </c>
      <c r="K2" s="48" t="s">
        <v>7</v>
      </c>
      <c r="L2" s="48" t="s">
        <v>26</v>
      </c>
      <c r="M2" s="48" t="s">
        <v>8</v>
      </c>
      <c r="N2" s="48" t="s">
        <v>9</v>
      </c>
      <c r="O2" s="48" t="s">
        <v>10</v>
      </c>
      <c r="P2" s="48" t="s">
        <v>11</v>
      </c>
      <c r="Q2" s="48" t="s">
        <v>12</v>
      </c>
      <c r="R2" s="48" t="s">
        <v>13</v>
      </c>
      <c r="S2" s="48" t="s">
        <v>14</v>
      </c>
      <c r="T2" s="48" t="s">
        <v>15</v>
      </c>
      <c r="U2" s="48" t="s">
        <v>16</v>
      </c>
      <c r="V2" s="48" t="s">
        <v>17</v>
      </c>
      <c r="W2" s="48" t="s">
        <v>18</v>
      </c>
      <c r="X2" s="48" t="s">
        <v>19</v>
      </c>
      <c r="Y2" s="48" t="s">
        <v>20</v>
      </c>
      <c r="Z2" s="48" t="s">
        <v>21</v>
      </c>
      <c r="AA2" s="48" t="s">
        <v>22</v>
      </c>
      <c r="AB2" s="48" t="s">
        <v>23</v>
      </c>
      <c r="AC2" s="48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50"/>
      <c r="B4" s="51" t="s">
        <v>234</v>
      </c>
      <c r="C4" s="50" t="s">
        <v>25</v>
      </c>
      <c r="D4" s="50" t="s">
        <v>147</v>
      </c>
      <c r="E4" s="50">
        <v>263109</v>
      </c>
      <c r="F4" s="50" t="s">
        <v>238</v>
      </c>
      <c r="G4" s="50">
        <v>1100</v>
      </c>
      <c r="H4" s="52">
        <v>0.58499999999999996</v>
      </c>
      <c r="I4" s="52">
        <v>1.268</v>
      </c>
      <c r="J4" s="50" t="s">
        <v>26</v>
      </c>
      <c r="K4" s="50" t="s">
        <v>240</v>
      </c>
      <c r="L4" s="50" t="s">
        <v>26</v>
      </c>
      <c r="M4" s="52">
        <v>815.95799999999997</v>
      </c>
      <c r="N4" s="53">
        <v>697.4</v>
      </c>
      <c r="O4" s="54">
        <v>9.69E-2</v>
      </c>
      <c r="P4" s="55">
        <v>5.81</v>
      </c>
      <c r="Q4" s="50">
        <v>439</v>
      </c>
      <c r="R4" s="50">
        <v>2</v>
      </c>
      <c r="S4" s="50">
        <v>1200</v>
      </c>
      <c r="T4" s="52">
        <v>1.17</v>
      </c>
      <c r="U4" s="50">
        <v>30</v>
      </c>
      <c r="V4" s="54">
        <v>2.5000000000000001E-2</v>
      </c>
      <c r="W4" s="50" t="s">
        <v>27</v>
      </c>
      <c r="X4" s="50" t="s">
        <v>28</v>
      </c>
      <c r="Y4" s="50" t="s">
        <v>27</v>
      </c>
      <c r="Z4" s="50" t="s">
        <v>27</v>
      </c>
      <c r="AA4" s="50" t="s">
        <v>27</v>
      </c>
      <c r="AB4" s="50" t="s">
        <v>29</v>
      </c>
      <c r="AC4" s="50" t="s">
        <v>239</v>
      </c>
    </row>
    <row r="5" spans="1:29" ht="25.05" customHeight="1" x14ac:dyDescent="0.3">
      <c r="A5" s="50"/>
      <c r="B5" s="51" t="s">
        <v>234</v>
      </c>
      <c r="C5" s="50" t="s">
        <v>25</v>
      </c>
      <c r="D5" s="50" t="s">
        <v>147</v>
      </c>
      <c r="E5" s="50">
        <v>263108</v>
      </c>
      <c r="F5" s="50" t="s">
        <v>238</v>
      </c>
      <c r="G5" s="50">
        <v>310</v>
      </c>
      <c r="H5" s="52">
        <v>0.878</v>
      </c>
      <c r="I5" s="52">
        <v>1.99</v>
      </c>
      <c r="J5" s="50" t="s">
        <v>26</v>
      </c>
      <c r="K5" s="50" t="s">
        <v>237</v>
      </c>
      <c r="L5" s="50" t="s">
        <v>26</v>
      </c>
      <c r="M5" s="52">
        <v>541.63800000000003</v>
      </c>
      <c r="N5" s="53">
        <v>616.9</v>
      </c>
      <c r="O5" s="54">
        <v>0.1714</v>
      </c>
      <c r="P5" s="55">
        <v>10.28</v>
      </c>
      <c r="Q5" s="50">
        <v>291.39999999999998</v>
      </c>
      <c r="R5" s="50">
        <v>1</v>
      </c>
      <c r="S5" s="50">
        <v>900</v>
      </c>
      <c r="T5" s="52">
        <v>0.878</v>
      </c>
      <c r="U5" s="50">
        <v>22</v>
      </c>
      <c r="V5" s="54">
        <v>2.4400000000000002E-2</v>
      </c>
      <c r="W5" s="50" t="s">
        <v>27</v>
      </c>
      <c r="X5" s="50" t="s">
        <v>28</v>
      </c>
      <c r="Y5" s="50" t="s">
        <v>27</v>
      </c>
      <c r="Z5" s="50" t="s">
        <v>27</v>
      </c>
      <c r="AA5" s="50" t="s">
        <v>27</v>
      </c>
      <c r="AB5" s="50" t="s">
        <v>31</v>
      </c>
      <c r="AC5" s="50" t="s">
        <v>236</v>
      </c>
    </row>
    <row r="6" spans="1:29" ht="25.05" customHeight="1" x14ac:dyDescent="0.3">
      <c r="A6" s="50"/>
      <c r="B6" s="51" t="s">
        <v>234</v>
      </c>
      <c r="C6" s="50" t="s">
        <v>49</v>
      </c>
      <c r="D6" s="50" t="s">
        <v>147</v>
      </c>
      <c r="E6" s="50">
        <v>263110</v>
      </c>
      <c r="F6" s="50" t="s">
        <v>233</v>
      </c>
      <c r="G6" s="50">
        <v>360</v>
      </c>
      <c r="H6" s="52">
        <v>1.546</v>
      </c>
      <c r="I6" s="52">
        <v>1.788</v>
      </c>
      <c r="J6" s="50" t="s">
        <v>26</v>
      </c>
      <c r="K6" s="50" t="s">
        <v>32</v>
      </c>
      <c r="L6" s="50" t="s">
        <v>26</v>
      </c>
      <c r="M6" s="52">
        <v>995.12900000000002</v>
      </c>
      <c r="N6" s="53">
        <v>643.70000000000005</v>
      </c>
      <c r="O6" s="54">
        <v>0.17879999999999999</v>
      </c>
      <c r="P6" s="55">
        <v>10.73</v>
      </c>
      <c r="Q6" s="50">
        <v>328.4</v>
      </c>
      <c r="R6" s="50">
        <v>1</v>
      </c>
      <c r="S6" s="50">
        <v>1600</v>
      </c>
      <c r="T6" s="52">
        <v>1.546</v>
      </c>
      <c r="U6" s="50">
        <v>54</v>
      </c>
      <c r="V6" s="54">
        <v>3.3799999999999997E-2</v>
      </c>
      <c r="W6" s="50" t="s">
        <v>27</v>
      </c>
      <c r="X6" s="50" t="s">
        <v>27</v>
      </c>
      <c r="Y6" s="50" t="s">
        <v>27</v>
      </c>
      <c r="Z6" s="50" t="s">
        <v>26</v>
      </c>
      <c r="AA6" s="50" t="s">
        <v>26</v>
      </c>
      <c r="AB6" s="50" t="s">
        <v>31</v>
      </c>
      <c r="AC6" s="50" t="s">
        <v>235</v>
      </c>
    </row>
    <row r="7" spans="1:29" ht="25.05" customHeight="1" x14ac:dyDescent="0.3">
      <c r="A7" s="50"/>
      <c r="B7" s="51" t="s">
        <v>234</v>
      </c>
      <c r="C7" s="50" t="s">
        <v>49</v>
      </c>
      <c r="D7" s="50" t="s">
        <v>147</v>
      </c>
      <c r="E7" s="50">
        <v>263111</v>
      </c>
      <c r="F7" s="50" t="s">
        <v>233</v>
      </c>
      <c r="G7" s="50">
        <v>440</v>
      </c>
      <c r="H7" s="52">
        <v>0.98199999999999998</v>
      </c>
      <c r="I7" s="52">
        <v>2.2599999999999998</v>
      </c>
      <c r="J7" s="50" t="s">
        <v>26</v>
      </c>
      <c r="K7" s="50" t="s">
        <v>232</v>
      </c>
      <c r="L7" s="50" t="s">
        <v>26</v>
      </c>
      <c r="M7" s="52">
        <v>976.50099999999998</v>
      </c>
      <c r="N7" s="53">
        <v>994.4</v>
      </c>
      <c r="O7" s="54">
        <v>0.2762</v>
      </c>
      <c r="P7" s="55">
        <v>16.57</v>
      </c>
      <c r="Q7" s="50">
        <v>322.2</v>
      </c>
      <c r="R7" s="50">
        <v>1</v>
      </c>
      <c r="S7" s="50">
        <v>1050</v>
      </c>
      <c r="T7" s="52">
        <v>0.98199999999999998</v>
      </c>
      <c r="U7" s="50">
        <v>68</v>
      </c>
      <c r="V7" s="54">
        <v>6.4799999999999996E-2</v>
      </c>
      <c r="W7" s="50" t="s">
        <v>27</v>
      </c>
      <c r="X7" s="50" t="s">
        <v>27</v>
      </c>
      <c r="Y7" s="50" t="s">
        <v>27</v>
      </c>
      <c r="Z7" s="50" t="s">
        <v>26</v>
      </c>
      <c r="AA7" s="50" t="s">
        <v>26</v>
      </c>
      <c r="AB7" s="50" t="s">
        <v>31</v>
      </c>
      <c r="AC7" s="50" t="s">
        <v>231</v>
      </c>
    </row>
    <row r="8" spans="1:29" ht="25.05" customHeight="1" x14ac:dyDescent="0.3">
      <c r="A8" s="49" t="s">
        <v>26</v>
      </c>
      <c r="B8" s="49" t="s">
        <v>26</v>
      </c>
      <c r="C8" s="49" t="s">
        <v>26</v>
      </c>
      <c r="D8" s="49" t="s">
        <v>26</v>
      </c>
      <c r="E8" s="49" t="s">
        <v>26</v>
      </c>
      <c r="F8" s="49" t="s">
        <v>26</v>
      </c>
      <c r="G8" s="49">
        <f>SUM(G3:G7)</f>
        <v>2910</v>
      </c>
      <c r="H8" s="49" t="s">
        <v>26</v>
      </c>
      <c r="I8" s="49" t="s">
        <v>26</v>
      </c>
      <c r="J8" s="49" t="s">
        <v>26</v>
      </c>
      <c r="K8" s="49" t="s">
        <v>26</v>
      </c>
      <c r="L8" s="49" t="s">
        <v>26</v>
      </c>
      <c r="M8" s="49" t="s">
        <v>26</v>
      </c>
      <c r="N8" s="49" t="s">
        <v>26</v>
      </c>
      <c r="O8" s="49" t="s">
        <v>26</v>
      </c>
      <c r="P8" s="49" t="s">
        <v>26</v>
      </c>
      <c r="Q8" s="49">
        <f>SUM(Q3:Q7)</f>
        <v>1799.3999999999999</v>
      </c>
      <c r="R8" s="49" t="s">
        <v>26</v>
      </c>
      <c r="S8" s="49" t="s">
        <v>26</v>
      </c>
      <c r="T8" s="49" t="s">
        <v>26</v>
      </c>
      <c r="U8" s="49" t="s">
        <v>26</v>
      </c>
      <c r="V8" s="49" t="s">
        <v>26</v>
      </c>
      <c r="W8" s="49" t="s">
        <v>26</v>
      </c>
      <c r="X8" s="49" t="s">
        <v>26</v>
      </c>
      <c r="Y8" s="49" t="s">
        <v>26</v>
      </c>
      <c r="Z8" s="49" t="s">
        <v>26</v>
      </c>
      <c r="AA8" s="49" t="s">
        <v>26</v>
      </c>
      <c r="AB8" s="49" t="s">
        <v>26</v>
      </c>
      <c r="AC8" s="4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48" t="s">
        <v>0</v>
      </c>
      <c r="B2" s="48" t="s">
        <v>35</v>
      </c>
      <c r="C2" s="48" t="s">
        <v>1</v>
      </c>
      <c r="D2" s="48" t="s">
        <v>2</v>
      </c>
      <c r="E2" s="48" t="s">
        <v>45</v>
      </c>
      <c r="F2" s="48" t="s">
        <v>3</v>
      </c>
      <c r="G2" s="48" t="s">
        <v>4</v>
      </c>
      <c r="H2" s="48" t="s">
        <v>5</v>
      </c>
      <c r="I2" s="48" t="s">
        <v>6</v>
      </c>
      <c r="J2" s="48" t="s">
        <v>26</v>
      </c>
      <c r="K2" s="48" t="s">
        <v>7</v>
      </c>
      <c r="L2" s="48" t="s">
        <v>26</v>
      </c>
      <c r="M2" s="48" t="s">
        <v>8</v>
      </c>
      <c r="N2" s="48" t="s">
        <v>9</v>
      </c>
      <c r="O2" s="48" t="s">
        <v>10</v>
      </c>
      <c r="P2" s="48" t="s">
        <v>11</v>
      </c>
      <c r="Q2" s="48" t="s">
        <v>12</v>
      </c>
      <c r="R2" s="48" t="s">
        <v>13</v>
      </c>
      <c r="S2" s="48" t="s">
        <v>14</v>
      </c>
      <c r="T2" s="48" t="s">
        <v>15</v>
      </c>
      <c r="U2" s="48" t="s">
        <v>16</v>
      </c>
      <c r="V2" s="48" t="s">
        <v>17</v>
      </c>
      <c r="W2" s="48" t="s">
        <v>18</v>
      </c>
      <c r="X2" s="48" t="s">
        <v>19</v>
      </c>
      <c r="Y2" s="48" t="s">
        <v>20</v>
      </c>
      <c r="Z2" s="48" t="s">
        <v>21</v>
      </c>
      <c r="AA2" s="48" t="s">
        <v>22</v>
      </c>
      <c r="AB2" s="48" t="s">
        <v>23</v>
      </c>
      <c r="AC2" s="48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50"/>
      <c r="B4" s="51" t="s">
        <v>122</v>
      </c>
      <c r="C4" s="50" t="s">
        <v>78</v>
      </c>
      <c r="D4" s="50" t="s">
        <v>188</v>
      </c>
      <c r="E4" s="50">
        <v>263083</v>
      </c>
      <c r="F4" s="50" t="s">
        <v>196</v>
      </c>
      <c r="G4" s="50">
        <v>200</v>
      </c>
      <c r="H4" s="52">
        <v>0.502</v>
      </c>
      <c r="I4" s="52">
        <v>1.2350000000000001</v>
      </c>
      <c r="J4" s="50" t="s">
        <v>26</v>
      </c>
      <c r="K4" s="50" t="s">
        <v>202</v>
      </c>
      <c r="L4" s="50" t="s">
        <v>26</v>
      </c>
      <c r="M4" s="52">
        <v>123.994</v>
      </c>
      <c r="N4" s="53">
        <v>82.3</v>
      </c>
      <c r="O4" s="54">
        <v>7.6E-3</v>
      </c>
      <c r="P4" s="55">
        <v>0.46</v>
      </c>
      <c r="Q4" s="50">
        <v>58.3</v>
      </c>
      <c r="R4" s="50">
        <v>3</v>
      </c>
      <c r="S4" s="50">
        <v>1550</v>
      </c>
      <c r="T4" s="52">
        <v>1.506</v>
      </c>
      <c r="U4" s="50">
        <v>44</v>
      </c>
      <c r="V4" s="54">
        <v>2.8400000000000002E-2</v>
      </c>
      <c r="W4" s="50" t="s">
        <v>77</v>
      </c>
      <c r="X4" s="50" t="s">
        <v>39</v>
      </c>
      <c r="Y4" s="50" t="s">
        <v>77</v>
      </c>
      <c r="Z4" s="50" t="s">
        <v>26</v>
      </c>
      <c r="AA4" s="50" t="s">
        <v>26</v>
      </c>
      <c r="AB4" s="50" t="s">
        <v>37</v>
      </c>
      <c r="AC4" s="50" t="s">
        <v>201</v>
      </c>
    </row>
    <row r="5" spans="1:29" s="12" customFormat="1" ht="25.05" customHeight="1" x14ac:dyDescent="0.3">
      <c r="A5" s="50"/>
      <c r="B5" s="51" t="s">
        <v>122</v>
      </c>
      <c r="C5" s="50" t="s">
        <v>78</v>
      </c>
      <c r="D5" s="50" t="s">
        <v>188</v>
      </c>
      <c r="E5" s="50">
        <v>263086</v>
      </c>
      <c r="F5" s="50" t="s">
        <v>196</v>
      </c>
      <c r="G5" s="50">
        <v>200</v>
      </c>
      <c r="H5" s="52">
        <v>0.69199999999999995</v>
      </c>
      <c r="I5" s="52">
        <v>1.835</v>
      </c>
      <c r="J5" s="50" t="s">
        <v>26</v>
      </c>
      <c r="K5" s="50" t="s">
        <v>200</v>
      </c>
      <c r="L5" s="50" t="s">
        <v>26</v>
      </c>
      <c r="M5" s="52">
        <v>253.964</v>
      </c>
      <c r="N5" s="53">
        <v>183.5</v>
      </c>
      <c r="O5" s="54">
        <v>2.5499999999999998E-2</v>
      </c>
      <c r="P5" s="55">
        <v>1.53</v>
      </c>
      <c r="Q5" s="50">
        <v>119.4</v>
      </c>
      <c r="R5" s="50">
        <v>2</v>
      </c>
      <c r="S5" s="50">
        <v>1450</v>
      </c>
      <c r="T5" s="52">
        <v>1.3839999999999999</v>
      </c>
      <c r="U5" s="50">
        <v>66</v>
      </c>
      <c r="V5" s="54">
        <v>4.5499999999999999E-2</v>
      </c>
      <c r="W5" s="50" t="s">
        <v>77</v>
      </c>
      <c r="X5" s="50" t="s">
        <v>39</v>
      </c>
      <c r="Y5" s="50" t="s">
        <v>77</v>
      </c>
      <c r="Z5" s="50" t="s">
        <v>26</v>
      </c>
      <c r="AA5" s="50" t="s">
        <v>26</v>
      </c>
      <c r="AB5" s="50" t="s">
        <v>37</v>
      </c>
      <c r="AC5" s="50" t="s">
        <v>199</v>
      </c>
    </row>
    <row r="6" spans="1:29" s="12" customFormat="1" ht="25.05" customHeight="1" x14ac:dyDescent="0.3">
      <c r="A6" s="50"/>
      <c r="B6" s="51" t="s">
        <v>122</v>
      </c>
      <c r="C6" s="50" t="s">
        <v>78</v>
      </c>
      <c r="D6" s="50" t="s">
        <v>188</v>
      </c>
      <c r="E6" s="50">
        <v>263085</v>
      </c>
      <c r="F6" s="50" t="s">
        <v>196</v>
      </c>
      <c r="G6" s="50">
        <v>200</v>
      </c>
      <c r="H6" s="52">
        <v>0.30199999999999999</v>
      </c>
      <c r="I6" s="52">
        <v>0.73499999999999999</v>
      </c>
      <c r="J6" s="50" t="s">
        <v>26</v>
      </c>
      <c r="K6" s="50" t="s">
        <v>198</v>
      </c>
      <c r="L6" s="50" t="s">
        <v>26</v>
      </c>
      <c r="M6" s="52">
        <v>44.393999999999998</v>
      </c>
      <c r="N6" s="53">
        <v>36.799999999999997</v>
      </c>
      <c r="O6" s="54">
        <v>2.5999999999999999E-3</v>
      </c>
      <c r="P6" s="55">
        <v>0.15</v>
      </c>
      <c r="Q6" s="50">
        <v>20.9</v>
      </c>
      <c r="R6" s="50">
        <v>4</v>
      </c>
      <c r="S6" s="50">
        <v>1250</v>
      </c>
      <c r="T6" s="52">
        <v>1.208</v>
      </c>
      <c r="U6" s="50">
        <v>42</v>
      </c>
      <c r="V6" s="54">
        <v>3.3599999999999998E-2</v>
      </c>
      <c r="W6" s="50" t="s">
        <v>77</v>
      </c>
      <c r="X6" s="50" t="s">
        <v>39</v>
      </c>
      <c r="Y6" s="50" t="s">
        <v>77</v>
      </c>
      <c r="Z6" s="50" t="s">
        <v>26</v>
      </c>
      <c r="AA6" s="50" t="s">
        <v>26</v>
      </c>
      <c r="AB6" s="50" t="s">
        <v>37</v>
      </c>
      <c r="AC6" s="50" t="s">
        <v>197</v>
      </c>
    </row>
    <row r="7" spans="1:29" s="12" customFormat="1" ht="25.05" customHeight="1" x14ac:dyDescent="0.3">
      <c r="A7" s="50"/>
      <c r="B7" s="51" t="s">
        <v>122</v>
      </c>
      <c r="C7" s="50" t="s">
        <v>78</v>
      </c>
      <c r="D7" s="50" t="s">
        <v>188</v>
      </c>
      <c r="E7" s="50">
        <v>263084</v>
      </c>
      <c r="F7" s="50" t="s">
        <v>196</v>
      </c>
      <c r="G7" s="50">
        <v>200</v>
      </c>
      <c r="H7" s="52">
        <v>0.85199999999999998</v>
      </c>
      <c r="I7" s="52">
        <v>1.5349999999999999</v>
      </c>
      <c r="J7" s="50" t="s">
        <v>26</v>
      </c>
      <c r="K7" s="50" t="s">
        <v>195</v>
      </c>
      <c r="L7" s="50" t="s">
        <v>26</v>
      </c>
      <c r="M7" s="52">
        <v>261.56400000000002</v>
      </c>
      <c r="N7" s="53">
        <v>307</v>
      </c>
      <c r="O7" s="54">
        <v>8.5300000000000001E-2</v>
      </c>
      <c r="P7" s="55">
        <v>5.12</v>
      </c>
      <c r="Q7" s="50">
        <v>122.9</v>
      </c>
      <c r="R7" s="50">
        <v>1</v>
      </c>
      <c r="S7" s="50">
        <v>900</v>
      </c>
      <c r="T7" s="52">
        <v>0.85199999999999998</v>
      </c>
      <c r="U7" s="50">
        <v>48</v>
      </c>
      <c r="V7" s="54">
        <v>5.33E-2</v>
      </c>
      <c r="W7" s="50" t="s">
        <v>77</v>
      </c>
      <c r="X7" s="50" t="s">
        <v>39</v>
      </c>
      <c r="Y7" s="50" t="s">
        <v>77</v>
      </c>
      <c r="Z7" s="50" t="s">
        <v>26</v>
      </c>
      <c r="AA7" s="50" t="s">
        <v>26</v>
      </c>
      <c r="AB7" s="50" t="s">
        <v>37</v>
      </c>
      <c r="AC7" s="50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56" t="s">
        <v>26</v>
      </c>
      <c r="B9" s="56" t="s">
        <v>26</v>
      </c>
      <c r="C9" s="56" t="s">
        <v>26</v>
      </c>
      <c r="D9" s="56" t="s">
        <v>26</v>
      </c>
      <c r="E9" s="56" t="s">
        <v>26</v>
      </c>
      <c r="F9" s="56" t="s">
        <v>26</v>
      </c>
      <c r="G9" s="56">
        <f>SUM(G3:G8)</f>
        <v>1300</v>
      </c>
      <c r="H9" s="56" t="s">
        <v>26</v>
      </c>
      <c r="I9" s="56" t="s">
        <v>26</v>
      </c>
      <c r="J9" s="56" t="s">
        <v>26</v>
      </c>
      <c r="K9" s="56" t="s">
        <v>26</v>
      </c>
      <c r="L9" s="56" t="s">
        <v>26</v>
      </c>
      <c r="M9" s="56" t="s">
        <v>26</v>
      </c>
      <c r="N9" s="56" t="s">
        <v>26</v>
      </c>
      <c r="O9" s="56" t="s">
        <v>26</v>
      </c>
      <c r="P9" s="56" t="s">
        <v>26</v>
      </c>
      <c r="Q9" s="56">
        <f>SUM(Q3:Q8)</f>
        <v>485.9</v>
      </c>
      <c r="R9" s="56" t="s">
        <v>26</v>
      </c>
      <c r="S9" s="56" t="s">
        <v>26</v>
      </c>
      <c r="T9" s="56" t="s">
        <v>26</v>
      </c>
      <c r="U9" s="56" t="s">
        <v>26</v>
      </c>
      <c r="V9" s="56" t="s">
        <v>26</v>
      </c>
      <c r="W9" s="56" t="s">
        <v>26</v>
      </c>
      <c r="X9" s="56" t="s">
        <v>26</v>
      </c>
      <c r="Y9" s="56" t="s">
        <v>26</v>
      </c>
      <c r="Z9" s="56" t="s">
        <v>26</v>
      </c>
      <c r="AA9" s="56" t="s">
        <v>26</v>
      </c>
      <c r="AB9" s="56" t="s">
        <v>26</v>
      </c>
      <c r="AC9" s="56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7" t="s">
        <v>186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0" t="s">
        <v>166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7.799999999999997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45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2" customFormat="1" ht="25.05" customHeight="1" x14ac:dyDescent="0.3">
      <c r="A3" s="27"/>
      <c r="B3" s="28" t="s">
        <v>129</v>
      </c>
      <c r="C3" s="27" t="s">
        <v>41</v>
      </c>
      <c r="D3" s="27" t="s">
        <v>96</v>
      </c>
      <c r="E3" s="27">
        <v>263059</v>
      </c>
      <c r="F3" s="27" t="s">
        <v>163</v>
      </c>
      <c r="G3" s="27">
        <v>1200</v>
      </c>
      <c r="H3" s="29">
        <v>0.50800000000000001</v>
      </c>
      <c r="I3" s="29">
        <v>1.7030000000000001</v>
      </c>
      <c r="J3" s="27" t="s">
        <v>26</v>
      </c>
      <c r="K3" s="27" t="s">
        <v>32</v>
      </c>
      <c r="L3" s="27" t="s">
        <v>26</v>
      </c>
      <c r="M3" s="29">
        <v>1038.1489999999999</v>
      </c>
      <c r="N3" s="30">
        <v>681.2</v>
      </c>
      <c r="O3" s="31">
        <v>6.3100000000000003E-2</v>
      </c>
      <c r="P3" s="32">
        <v>3.78</v>
      </c>
      <c r="Q3" s="27">
        <v>589.70000000000005</v>
      </c>
      <c r="R3" s="27">
        <v>3</v>
      </c>
      <c r="S3" s="27">
        <v>1550</v>
      </c>
      <c r="T3" s="29">
        <v>1.524</v>
      </c>
      <c r="U3" s="27">
        <v>26</v>
      </c>
      <c r="V3" s="31">
        <v>1.6799999999999999E-2</v>
      </c>
      <c r="W3" s="27" t="s">
        <v>33</v>
      </c>
      <c r="X3" s="27" t="s">
        <v>38</v>
      </c>
      <c r="Y3" s="27" t="s">
        <v>33</v>
      </c>
      <c r="Z3" s="27" t="s">
        <v>33</v>
      </c>
      <c r="AA3" s="27" t="s">
        <v>33</v>
      </c>
      <c r="AB3" s="27" t="s">
        <v>30</v>
      </c>
      <c r="AC3" s="27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7"/>
      <c r="B5" s="28" t="s">
        <v>129</v>
      </c>
      <c r="C5" s="27" t="s">
        <v>41</v>
      </c>
      <c r="D5" s="27" t="s">
        <v>96</v>
      </c>
      <c r="E5" s="27">
        <v>263057</v>
      </c>
      <c r="F5" s="27" t="s">
        <v>163</v>
      </c>
      <c r="G5" s="27">
        <v>1200</v>
      </c>
      <c r="H5" s="29">
        <v>0.42799999999999999</v>
      </c>
      <c r="I5" s="29">
        <v>0.76300000000000001</v>
      </c>
      <c r="J5" s="27" t="s">
        <v>26</v>
      </c>
      <c r="K5" s="27" t="s">
        <v>32</v>
      </c>
      <c r="L5" s="27" t="s">
        <v>26</v>
      </c>
      <c r="M5" s="29">
        <v>391.87700000000001</v>
      </c>
      <c r="N5" s="30">
        <v>305.2</v>
      </c>
      <c r="O5" s="31">
        <v>2.8299999999999999E-2</v>
      </c>
      <c r="P5" s="32">
        <v>1.7</v>
      </c>
      <c r="Q5" s="27">
        <v>222.6</v>
      </c>
      <c r="R5" s="27">
        <v>3</v>
      </c>
      <c r="S5" s="27">
        <v>1350</v>
      </c>
      <c r="T5" s="29">
        <v>1.284</v>
      </c>
      <c r="U5" s="27">
        <v>66</v>
      </c>
      <c r="V5" s="31">
        <v>4.8899999999999999E-2</v>
      </c>
      <c r="W5" s="27" t="s">
        <v>33</v>
      </c>
      <c r="X5" s="27" t="s">
        <v>38</v>
      </c>
      <c r="Y5" s="27" t="s">
        <v>33</v>
      </c>
      <c r="Z5" s="27" t="s">
        <v>33</v>
      </c>
      <c r="AA5" s="27" t="s">
        <v>33</v>
      </c>
      <c r="AB5" s="27" t="s">
        <v>31</v>
      </c>
      <c r="AC5" s="27" t="s">
        <v>164</v>
      </c>
    </row>
    <row r="6" spans="1:29" s="2" customFormat="1" ht="25.05" customHeight="1" x14ac:dyDescent="0.3">
      <c r="A6" s="27"/>
      <c r="B6" s="28" t="s">
        <v>129</v>
      </c>
      <c r="C6" s="27" t="s">
        <v>41</v>
      </c>
      <c r="D6" s="27" t="s">
        <v>96</v>
      </c>
      <c r="E6" s="27">
        <v>263058</v>
      </c>
      <c r="F6" s="27" t="s">
        <v>163</v>
      </c>
      <c r="G6" s="27">
        <v>1200</v>
      </c>
      <c r="H6" s="29">
        <v>0.56799999999999995</v>
      </c>
      <c r="I6" s="29">
        <v>1.8129999999999999</v>
      </c>
      <c r="J6" s="27" t="s">
        <v>26</v>
      </c>
      <c r="K6" s="27" t="s">
        <v>32</v>
      </c>
      <c r="L6" s="27" t="s">
        <v>26</v>
      </c>
      <c r="M6" s="29">
        <v>1235.741</v>
      </c>
      <c r="N6" s="30">
        <v>1087.8</v>
      </c>
      <c r="O6" s="31">
        <v>0.15110000000000001</v>
      </c>
      <c r="P6" s="32">
        <v>9.06</v>
      </c>
      <c r="Q6" s="27">
        <v>701.9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33</v>
      </c>
      <c r="X6" s="27" t="s">
        <v>38</v>
      </c>
      <c r="Y6" s="27" t="s">
        <v>33</v>
      </c>
      <c r="Z6" s="27" t="s">
        <v>33</v>
      </c>
      <c r="AA6" s="27" t="s">
        <v>33</v>
      </c>
      <c r="AB6" s="27" t="s">
        <v>30</v>
      </c>
      <c r="AC6" s="27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33" t="s">
        <v>26</v>
      </c>
      <c r="B8" s="33" t="s">
        <v>26</v>
      </c>
      <c r="C8" s="33" t="s">
        <v>26</v>
      </c>
      <c r="D8" s="33" t="s">
        <v>26</v>
      </c>
      <c r="E8" s="33" t="s">
        <v>26</v>
      </c>
      <c r="F8" s="33" t="s">
        <v>26</v>
      </c>
      <c r="G8" s="33">
        <f>SUM(G3:G7)</f>
        <v>4375</v>
      </c>
      <c r="H8" s="33" t="s">
        <v>26</v>
      </c>
      <c r="I8" s="33" t="s">
        <v>26</v>
      </c>
      <c r="J8" s="33" t="s">
        <v>26</v>
      </c>
      <c r="K8" s="33" t="s">
        <v>26</v>
      </c>
      <c r="L8" s="33" t="s">
        <v>26</v>
      </c>
      <c r="M8" s="33" t="s">
        <v>26</v>
      </c>
      <c r="N8" s="33" t="s">
        <v>26</v>
      </c>
      <c r="O8" s="33" t="s">
        <v>26</v>
      </c>
      <c r="P8" s="33" t="s">
        <v>26</v>
      </c>
      <c r="Q8" s="33">
        <f>SUM(Q3:Q7)</f>
        <v>2233.3000000000002</v>
      </c>
      <c r="R8" s="33" t="s">
        <v>26</v>
      </c>
      <c r="S8" s="33" t="s">
        <v>26</v>
      </c>
      <c r="T8" s="33" t="s">
        <v>26</v>
      </c>
      <c r="U8" s="33" t="s">
        <v>26</v>
      </c>
      <c r="V8" s="33" t="s">
        <v>26</v>
      </c>
      <c r="W8" s="33" t="s">
        <v>26</v>
      </c>
      <c r="X8" s="33" t="s">
        <v>26</v>
      </c>
      <c r="Y8" s="33" t="s">
        <v>26</v>
      </c>
      <c r="Z8" s="33" t="s">
        <v>26</v>
      </c>
      <c r="AA8" s="33" t="s">
        <v>26</v>
      </c>
      <c r="AB8" s="33" t="s">
        <v>26</v>
      </c>
      <c r="AC8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sheetPr>
    <pageSetUpPr fitToPage="1"/>
  </sheetPr>
  <dimension ref="A1:AC24"/>
  <sheetViews>
    <sheetView workbookViewId="0">
      <selection sqref="A1:AC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8" t="s">
        <v>128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9.8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2</v>
      </c>
      <c r="B3" s="7" t="s">
        <v>125</v>
      </c>
      <c r="C3" s="6" t="s">
        <v>41</v>
      </c>
      <c r="D3" s="6" t="s">
        <v>98</v>
      </c>
      <c r="E3" s="6">
        <v>263009</v>
      </c>
      <c r="F3" s="6">
        <v>1410</v>
      </c>
      <c r="G3" s="6">
        <v>1395</v>
      </c>
      <c r="H3" s="8">
        <v>0.879</v>
      </c>
      <c r="I3" s="8">
        <v>1.48</v>
      </c>
      <c r="J3" s="6" t="s">
        <v>26</v>
      </c>
      <c r="K3" s="6" t="s">
        <v>68</v>
      </c>
      <c r="L3" s="6" t="s">
        <v>26</v>
      </c>
      <c r="M3" s="8">
        <v>1814.7829999999999</v>
      </c>
      <c r="N3" s="9">
        <v>2064.6</v>
      </c>
      <c r="O3" s="10">
        <v>0.57350000000000001</v>
      </c>
      <c r="P3" s="11">
        <v>34.409999999999997</v>
      </c>
      <c r="Q3" s="6">
        <v>1030.8</v>
      </c>
      <c r="R3" s="6">
        <v>1</v>
      </c>
      <c r="S3" s="6">
        <v>900</v>
      </c>
      <c r="T3" s="8">
        <v>0.879</v>
      </c>
      <c r="U3" s="6">
        <v>21</v>
      </c>
      <c r="V3" s="10">
        <v>2.3300000000000001E-2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44</v>
      </c>
      <c r="AC3" s="6" t="s">
        <v>67</v>
      </c>
    </row>
    <row r="4" spans="1:29" s="12" customFormat="1" ht="25.05" customHeight="1" x14ac:dyDescent="0.3">
      <c r="A4" s="6">
        <v>3</v>
      </c>
      <c r="B4" s="7" t="s">
        <v>125</v>
      </c>
      <c r="C4" s="6" t="s">
        <v>41</v>
      </c>
      <c r="D4" s="6" t="s">
        <v>98</v>
      </c>
      <c r="E4" s="6">
        <v>263007</v>
      </c>
      <c r="F4" s="6">
        <v>1410</v>
      </c>
      <c r="G4" s="6">
        <v>770</v>
      </c>
      <c r="H4" s="8">
        <v>0.79900000000000004</v>
      </c>
      <c r="I4" s="8">
        <v>1.0900000000000001</v>
      </c>
      <c r="J4" s="6" t="s">
        <v>26</v>
      </c>
      <c r="K4" s="6" t="s">
        <v>124</v>
      </c>
      <c r="L4" s="6" t="s">
        <v>26</v>
      </c>
      <c r="M4" s="8">
        <v>670.601</v>
      </c>
      <c r="N4" s="9">
        <v>839.3</v>
      </c>
      <c r="O4" s="10">
        <v>0.2331</v>
      </c>
      <c r="P4" s="11">
        <v>13.99</v>
      </c>
      <c r="Q4" s="6">
        <v>380.9</v>
      </c>
      <c r="R4" s="6">
        <v>1</v>
      </c>
      <c r="S4" s="6">
        <v>850</v>
      </c>
      <c r="T4" s="8">
        <v>0.79900000000000004</v>
      </c>
      <c r="U4" s="6">
        <v>51</v>
      </c>
      <c r="V4" s="10">
        <v>0.06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123</v>
      </c>
    </row>
    <row r="5" spans="1:29" s="12" customFormat="1" ht="25.05" customHeight="1" x14ac:dyDescent="0.3">
      <c r="A5" s="6">
        <v>1</v>
      </c>
      <c r="B5" s="7" t="s">
        <v>125</v>
      </c>
      <c r="C5" s="6" t="s">
        <v>257</v>
      </c>
      <c r="D5" s="6" t="s">
        <v>98</v>
      </c>
      <c r="E5" s="6">
        <v>263008</v>
      </c>
      <c r="F5" s="6">
        <v>1410</v>
      </c>
      <c r="G5" s="6">
        <v>3300</v>
      </c>
      <c r="H5" s="8">
        <v>0.497</v>
      </c>
      <c r="I5" s="8">
        <v>0.97</v>
      </c>
      <c r="J5" s="6" t="s">
        <v>26</v>
      </c>
      <c r="K5" s="6" t="s">
        <v>127</v>
      </c>
      <c r="L5" s="6" t="s">
        <v>26</v>
      </c>
      <c r="M5" s="8">
        <v>1590.8969999999999</v>
      </c>
      <c r="N5" s="9">
        <v>1067</v>
      </c>
      <c r="O5" s="10">
        <v>9.8799999999999999E-2</v>
      </c>
      <c r="P5" s="11">
        <v>5.93</v>
      </c>
      <c r="Q5" s="6">
        <v>903.6</v>
      </c>
      <c r="R5" s="6">
        <v>3</v>
      </c>
      <c r="S5" s="6">
        <v>1550</v>
      </c>
      <c r="T5" s="8">
        <v>1.4910000000000001</v>
      </c>
      <c r="U5" s="6">
        <v>59</v>
      </c>
      <c r="V5" s="10">
        <v>3.8100000000000002E-2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42</v>
      </c>
      <c r="AC5" s="6" t="s">
        <v>126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v>5465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v>2315.3000000000002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  <row r="24" spans="19:19" x14ac:dyDescent="0.3">
      <c r="S24" s="64"/>
    </row>
  </sheetData>
  <mergeCells count="1">
    <mergeCell ref="A1:AC1"/>
  </mergeCells>
  <pageMargins left="0.511811024" right="0.511811024" top="1.49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4" customWidth="1"/>
    <col min="2" max="2" width="20.77734375" style="44" hidden="1" customWidth="1"/>
    <col min="3" max="3" width="6.5546875" style="44" customWidth="1"/>
    <col min="4" max="4" width="11.77734375" style="44" hidden="1" customWidth="1"/>
    <col min="5" max="5" width="8.77734375" style="44" customWidth="1"/>
    <col min="6" max="6" width="7.77734375" style="44" customWidth="1"/>
    <col min="7" max="7" width="6.33203125" style="44" customWidth="1"/>
    <col min="8" max="8" width="7.109375" style="44" customWidth="1"/>
    <col min="9" max="9" width="8.77734375" style="44" customWidth="1"/>
    <col min="10" max="10" width="8.109375" style="44" customWidth="1"/>
    <col min="11" max="11" width="17" style="44" customWidth="1"/>
    <col min="12" max="12" width="8.77734375" style="44" customWidth="1"/>
    <col min="13" max="13" width="9.77734375" style="44" hidden="1" customWidth="1"/>
    <col min="14" max="14" width="8.77734375" style="44" hidden="1" customWidth="1"/>
    <col min="15" max="16" width="9.77734375" style="44" hidden="1" customWidth="1"/>
    <col min="17" max="17" width="7.77734375" style="44" customWidth="1"/>
    <col min="18" max="18" width="4.88671875" style="44" customWidth="1"/>
    <col min="19" max="19" width="7.21875" style="44" customWidth="1"/>
    <col min="20" max="20" width="6" style="44" customWidth="1"/>
    <col min="21" max="21" width="11.77734375" style="44" hidden="1" customWidth="1"/>
    <col min="22" max="22" width="8.77734375" style="44" hidden="1" customWidth="1"/>
    <col min="23" max="23" width="8" style="44" customWidth="1"/>
    <col min="24" max="25" width="7.5546875" style="44" customWidth="1"/>
    <col min="26" max="26" width="7.44140625" style="44" customWidth="1"/>
    <col min="27" max="27" width="7" style="44" customWidth="1"/>
    <col min="28" max="28" width="3.77734375" style="44" customWidth="1"/>
    <col min="29" max="29" width="11.21875" style="44" customWidth="1"/>
    <col min="30" max="16384" width="8.88671875" style="44"/>
  </cols>
  <sheetData>
    <row r="1" spans="1:29" ht="18" customHeight="1" x14ac:dyDescent="0.35">
      <c r="A1" s="61" t="s">
        <v>95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s="46" customFormat="1" ht="40.799999999999997" customHeight="1" x14ac:dyDescent="0.3">
      <c r="A2" s="45" t="s">
        <v>0</v>
      </c>
      <c r="B2" s="45" t="s">
        <v>35</v>
      </c>
      <c r="C2" s="45" t="s">
        <v>1</v>
      </c>
      <c r="D2" s="45" t="s">
        <v>2</v>
      </c>
      <c r="E2" s="45" t="s">
        <v>45</v>
      </c>
      <c r="F2" s="45" t="s">
        <v>3</v>
      </c>
      <c r="G2" s="45" t="s">
        <v>4</v>
      </c>
      <c r="H2" s="45" t="s">
        <v>5</v>
      </c>
      <c r="I2" s="45" t="s">
        <v>6</v>
      </c>
      <c r="J2" s="45" t="s">
        <v>26</v>
      </c>
      <c r="K2" s="45" t="s">
        <v>7</v>
      </c>
      <c r="L2" s="45" t="s">
        <v>26</v>
      </c>
      <c r="M2" s="45" t="s">
        <v>8</v>
      </c>
      <c r="N2" s="45" t="s">
        <v>9</v>
      </c>
      <c r="O2" s="45" t="s">
        <v>10</v>
      </c>
      <c r="P2" s="45" t="s">
        <v>11</v>
      </c>
      <c r="Q2" s="45" t="s">
        <v>12</v>
      </c>
      <c r="R2" s="45" t="s">
        <v>13</v>
      </c>
      <c r="S2" s="45" t="s">
        <v>14</v>
      </c>
      <c r="T2" s="45" t="s">
        <v>15</v>
      </c>
      <c r="U2" s="45" t="s">
        <v>16</v>
      </c>
      <c r="V2" s="45" t="s">
        <v>17</v>
      </c>
      <c r="W2" s="45" t="s">
        <v>18</v>
      </c>
      <c r="X2" s="45" t="s">
        <v>19</v>
      </c>
      <c r="Y2" s="45" t="s">
        <v>20</v>
      </c>
      <c r="Z2" s="45" t="s">
        <v>21</v>
      </c>
      <c r="AA2" s="45" t="s">
        <v>22</v>
      </c>
      <c r="AB2" s="45" t="s">
        <v>23</v>
      </c>
      <c r="AC2" s="45" t="s">
        <v>24</v>
      </c>
    </row>
    <row r="3" spans="1:29" s="3" customFormat="1" ht="25.05" customHeight="1" x14ac:dyDescent="0.3">
      <c r="A3" s="20">
        <v>1</v>
      </c>
      <c r="B3" s="21" t="s">
        <v>129</v>
      </c>
      <c r="C3" s="20" t="s">
        <v>25</v>
      </c>
      <c r="D3" s="20" t="s">
        <v>147</v>
      </c>
      <c r="E3" s="20">
        <v>263037</v>
      </c>
      <c r="F3" s="20" t="s">
        <v>146</v>
      </c>
      <c r="G3" s="20">
        <v>500</v>
      </c>
      <c r="H3" s="22">
        <v>1.2370000000000001</v>
      </c>
      <c r="I3" s="22">
        <v>1.621</v>
      </c>
      <c r="J3" s="20" t="s">
        <v>26</v>
      </c>
      <c r="K3" s="20" t="s">
        <v>145</v>
      </c>
      <c r="L3" s="20" t="s">
        <v>26</v>
      </c>
      <c r="M3" s="22">
        <v>1002.5890000000001</v>
      </c>
      <c r="N3" s="23">
        <v>810.5</v>
      </c>
      <c r="O3" s="24">
        <v>0.22509999999999999</v>
      </c>
      <c r="P3" s="25">
        <v>13.51</v>
      </c>
      <c r="Q3" s="20">
        <v>539.4</v>
      </c>
      <c r="R3" s="20">
        <v>1</v>
      </c>
      <c r="S3" s="20">
        <v>1300</v>
      </c>
      <c r="T3" s="22">
        <v>1.2370000000000001</v>
      </c>
      <c r="U3" s="20">
        <v>63</v>
      </c>
      <c r="V3" s="24">
        <v>4.8500000000000001E-2</v>
      </c>
      <c r="W3" s="20" t="s">
        <v>27</v>
      </c>
      <c r="X3" s="20" t="s">
        <v>28</v>
      </c>
      <c r="Y3" s="20" t="s">
        <v>27</v>
      </c>
      <c r="Z3" s="20" t="s">
        <v>27</v>
      </c>
      <c r="AA3" s="20" t="s">
        <v>27</v>
      </c>
      <c r="AB3" s="20" t="s">
        <v>37</v>
      </c>
      <c r="AC3" s="20" t="s">
        <v>144</v>
      </c>
    </row>
    <row r="4" spans="1:29" s="3" customFormat="1" ht="25.05" customHeight="1" x14ac:dyDescent="0.3">
      <c r="A4" s="20">
        <v>2</v>
      </c>
      <c r="B4" s="21" t="s">
        <v>129</v>
      </c>
      <c r="C4" s="20" t="s">
        <v>34</v>
      </c>
      <c r="D4" s="20" t="s">
        <v>130</v>
      </c>
      <c r="E4" s="20">
        <v>263035</v>
      </c>
      <c r="F4" s="20" t="s">
        <v>149</v>
      </c>
      <c r="G4" s="20">
        <v>500</v>
      </c>
      <c r="H4" s="22">
        <v>0.38</v>
      </c>
      <c r="I4" s="22">
        <v>0.92700000000000005</v>
      </c>
      <c r="J4" s="20" t="s">
        <v>26</v>
      </c>
      <c r="K4" s="20" t="s">
        <v>32</v>
      </c>
      <c r="L4" s="20" t="s">
        <v>26</v>
      </c>
      <c r="M4" s="22">
        <v>176.13</v>
      </c>
      <c r="N4" s="23">
        <v>115.9</v>
      </c>
      <c r="O4" s="24">
        <v>8.0000000000000002E-3</v>
      </c>
      <c r="P4" s="25">
        <v>0.48</v>
      </c>
      <c r="Q4" s="20">
        <v>56.4</v>
      </c>
      <c r="R4" s="20">
        <v>4</v>
      </c>
      <c r="S4" s="20">
        <v>1550</v>
      </c>
      <c r="T4" s="22">
        <v>1.52</v>
      </c>
      <c r="U4" s="20">
        <v>30</v>
      </c>
      <c r="V4" s="24">
        <v>1.9400000000000001E-2</v>
      </c>
      <c r="W4" s="20" t="s">
        <v>27</v>
      </c>
      <c r="X4" s="20" t="s">
        <v>27</v>
      </c>
      <c r="Y4" s="20" t="s">
        <v>27</v>
      </c>
      <c r="Z4" s="20" t="s">
        <v>26</v>
      </c>
      <c r="AA4" s="20" t="s">
        <v>26</v>
      </c>
      <c r="AB4" s="20" t="s">
        <v>37</v>
      </c>
      <c r="AC4" s="20" t="s">
        <v>148</v>
      </c>
    </row>
    <row r="5" spans="1:29" s="3" customFormat="1" ht="25.05" customHeight="1" x14ac:dyDescent="0.3">
      <c r="A5" s="20">
        <v>3</v>
      </c>
      <c r="B5" s="21" t="s">
        <v>129</v>
      </c>
      <c r="C5" s="20" t="s">
        <v>34</v>
      </c>
      <c r="D5" s="20" t="s">
        <v>130</v>
      </c>
      <c r="E5" s="20">
        <v>263036</v>
      </c>
      <c r="F5" s="20" t="s">
        <v>149</v>
      </c>
      <c r="G5" s="20">
        <v>500</v>
      </c>
      <c r="H5" s="22">
        <v>0.48499999999999999</v>
      </c>
      <c r="I5" s="22">
        <v>0.72699999999999998</v>
      </c>
      <c r="J5" s="20" t="s">
        <v>26</v>
      </c>
      <c r="K5" s="20" t="s">
        <v>32</v>
      </c>
      <c r="L5" s="20" t="s">
        <v>26</v>
      </c>
      <c r="M5" s="22">
        <v>176.297</v>
      </c>
      <c r="N5" s="23">
        <v>121.2</v>
      </c>
      <c r="O5" s="24">
        <v>1.12E-2</v>
      </c>
      <c r="P5" s="25">
        <v>0.67</v>
      </c>
      <c r="Q5" s="20">
        <v>56.4</v>
      </c>
      <c r="R5" s="20">
        <v>3</v>
      </c>
      <c r="S5" s="20">
        <v>1500</v>
      </c>
      <c r="T5" s="22">
        <v>1.4550000000000001</v>
      </c>
      <c r="U5" s="20">
        <v>45</v>
      </c>
      <c r="V5" s="24">
        <v>0.03</v>
      </c>
      <c r="W5" s="20" t="s">
        <v>27</v>
      </c>
      <c r="X5" s="20" t="s">
        <v>27</v>
      </c>
      <c r="Y5" s="20" t="s">
        <v>27</v>
      </c>
      <c r="Z5" s="20" t="s">
        <v>26</v>
      </c>
      <c r="AA5" s="20" t="s">
        <v>26</v>
      </c>
      <c r="AB5" s="20" t="s">
        <v>37</v>
      </c>
      <c r="AC5" s="20" t="s">
        <v>144</v>
      </c>
    </row>
    <row r="6" spans="1:29" s="3" customFormat="1" ht="25.05" customHeight="1" x14ac:dyDescent="0.3">
      <c r="A6" s="20">
        <v>4</v>
      </c>
      <c r="B6" s="21" t="s">
        <v>129</v>
      </c>
      <c r="C6" s="20" t="s">
        <v>34</v>
      </c>
      <c r="D6" s="20" t="s">
        <v>130</v>
      </c>
      <c r="E6" s="20">
        <v>263034</v>
      </c>
      <c r="F6" s="20" t="s">
        <v>149</v>
      </c>
      <c r="G6" s="20">
        <v>500</v>
      </c>
      <c r="H6" s="22">
        <v>0.57099999999999995</v>
      </c>
      <c r="I6" s="22">
        <v>1.2030000000000001</v>
      </c>
      <c r="J6" s="20" t="s">
        <v>26</v>
      </c>
      <c r="K6" s="20" t="s">
        <v>32</v>
      </c>
      <c r="L6" s="20" t="s">
        <v>26</v>
      </c>
      <c r="M6" s="22">
        <v>343.45699999999999</v>
      </c>
      <c r="N6" s="23">
        <v>300.8</v>
      </c>
      <c r="O6" s="24">
        <v>4.1799999999999997E-2</v>
      </c>
      <c r="P6" s="25">
        <v>2.5099999999999998</v>
      </c>
      <c r="Q6" s="20">
        <v>109.9</v>
      </c>
      <c r="R6" s="20">
        <v>2</v>
      </c>
      <c r="S6" s="20">
        <v>1200</v>
      </c>
      <c r="T6" s="22">
        <v>1.1419999999999999</v>
      </c>
      <c r="U6" s="20">
        <v>58</v>
      </c>
      <c r="V6" s="24">
        <v>4.8300000000000003E-2</v>
      </c>
      <c r="W6" s="20" t="s">
        <v>27</v>
      </c>
      <c r="X6" s="20" t="s">
        <v>27</v>
      </c>
      <c r="Y6" s="20" t="s">
        <v>27</v>
      </c>
      <c r="Z6" s="20" t="s">
        <v>26</v>
      </c>
      <c r="AA6" s="20" t="s">
        <v>26</v>
      </c>
      <c r="AB6" s="20" t="s">
        <v>37</v>
      </c>
      <c r="AC6" s="20" t="s">
        <v>150</v>
      </c>
    </row>
    <row r="7" spans="1:29" s="46" customFormat="1" ht="25.05" customHeight="1" x14ac:dyDescent="0.3">
      <c r="A7" s="47" t="s">
        <v>26</v>
      </c>
      <c r="B7" s="47" t="s">
        <v>26</v>
      </c>
      <c r="C7" s="47" t="s">
        <v>26</v>
      </c>
      <c r="D7" s="47" t="s">
        <v>26</v>
      </c>
      <c r="E7" s="47" t="s">
        <v>26</v>
      </c>
      <c r="F7" s="47" t="s">
        <v>26</v>
      </c>
      <c r="G7" s="47">
        <f>SUM(G4:G6)</f>
        <v>1500</v>
      </c>
      <c r="H7" s="47" t="s">
        <v>26</v>
      </c>
      <c r="I7" s="47" t="s">
        <v>26</v>
      </c>
      <c r="J7" s="47" t="s">
        <v>26</v>
      </c>
      <c r="K7" s="47" t="s">
        <v>26</v>
      </c>
      <c r="L7" s="47" t="s">
        <v>26</v>
      </c>
      <c r="M7" s="47" t="s">
        <v>26</v>
      </c>
      <c r="N7" s="47" t="s">
        <v>26</v>
      </c>
      <c r="O7" s="47" t="s">
        <v>26</v>
      </c>
      <c r="P7" s="47" t="s">
        <v>26</v>
      </c>
      <c r="Q7" s="47">
        <f>SUM(Q4:Q6)</f>
        <v>222.7</v>
      </c>
      <c r="R7" s="47" t="s">
        <v>26</v>
      </c>
      <c r="S7" s="47" t="s">
        <v>26</v>
      </c>
      <c r="T7" s="47" t="s">
        <v>26</v>
      </c>
      <c r="U7" s="47" t="s">
        <v>26</v>
      </c>
      <c r="V7" s="47" t="s">
        <v>26</v>
      </c>
      <c r="W7" s="47" t="s">
        <v>26</v>
      </c>
      <c r="X7" s="47" t="s">
        <v>26</v>
      </c>
      <c r="Y7" s="47" t="s">
        <v>26</v>
      </c>
      <c r="Z7" s="47" t="s">
        <v>26</v>
      </c>
      <c r="AA7" s="47" t="s">
        <v>26</v>
      </c>
      <c r="AB7" s="47" t="s">
        <v>26</v>
      </c>
      <c r="AC7" s="47" t="s">
        <v>26</v>
      </c>
    </row>
    <row r="8" spans="1:29" s="46" customFormat="1" x14ac:dyDescent="0.3"/>
    <row r="9" spans="1:29" s="46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2026-10-23T12:06:03Z</cp:lastPrinted>
  <dcterms:created xsi:type="dcterms:W3CDTF">2026-07-02T17:42:15Z</dcterms:created>
  <dcterms:modified xsi:type="dcterms:W3CDTF">2026-10-23T12:11:15Z</dcterms:modified>
</cp:coreProperties>
</file>