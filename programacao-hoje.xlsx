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5D795FB3-B1BA-474D-BE27-41592F843B88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FAVINCO EMBALAGENS 1329" sheetId="227" r:id="rId1"/>
    <sheet name="DR EMBALAGENS 1326 P" sheetId="226" r:id="rId2"/>
    <sheet name="HARMONY EMBALAGENS 1325 P" sheetId="225" r:id="rId3"/>
    <sheet name="HARMONY EMBALAGENS 1320 P" sheetId="224" r:id="rId4"/>
    <sheet name="FORBOX 1319 P" sheetId="223" r:id="rId5"/>
    <sheet name="PCBOX EMBALAGENS 1316 P" sheetId="222" r:id="rId6"/>
    <sheet name="FAVINCO EMBALAGENS 1314 P" sheetId="220" r:id="rId7"/>
    <sheet name="ABAPEL EMBALAGENS 1308 P" sheetId="215" r:id="rId8"/>
    <sheet name="RENOVAPEL 1306 P" sheetId="213" r:id="rId9"/>
    <sheet name="INTERNACIONAL - SEDAMED 1304 P" sheetId="212" r:id="rId10"/>
    <sheet name="RM EMBALAGENS 1303 P" sheetId="211" r:id="rId11"/>
    <sheet name="HARMONY EMBALAGENS 1301 P" sheetId="209" r:id="rId12"/>
    <sheet name="HARMONY EMBALAGENS 1285 P" sheetId="202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<sst xmlns="http://schemas.openxmlformats.org/spreadsheetml/2006/main" count="2470" uniqueCount="288">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</sst>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5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6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  <xf numFmtId="0" fontId="11" fillId="0" borderId="0" xfId="5" applyFont="1"/>
    <xf numFmtId="0" fontId="9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dimension ref="A1:AC4"/>
  <sheetViews>
    <sheetView workbookViewId="0">
      <selection activeCell="AE25" sqref="AE25"/>
    </sheetView>
  </sheetViews>
  <sheetFormatPr defaultRowHeight="14.4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>
      <c r="A1" s="58" t="s">
        <v>287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3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55" t="s">
        <v>275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4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>
      <c r="A8" s="59" t="s">
        <v>26</v>
      </c>
      <c r="B8" s="59" t="s">
        <v>26</v>
      </c>
      <c r="C8" s="59" t="s">
        <v>26</v>
      </c>
      <c r="D8" s="59" t="s">
        <v>26</v>
      </c>
      <c r="E8" s="59" t="s">
        <v>26</v>
      </c>
      <c r="F8" s="59" t="s">
        <v>26</v>
      </c>
      <c r="G8" s="59">
        <f>SUM(G3:G7)</f>
        <v>18500</v>
      </c>
      <c r="H8" s="59" t="s">
        <v>26</v>
      </c>
      <c r="I8" s="59" t="s">
        <v>26</v>
      </c>
      <c r="J8" s="59" t="s">
        <v>26</v>
      </c>
      <c r="K8" s="59" t="s">
        <v>26</v>
      </c>
      <c r="L8" s="59" t="s">
        <v>26</v>
      </c>
      <c r="M8" s="59" t="s">
        <v>26</v>
      </c>
      <c r="N8" s="59" t="s">
        <v>26</v>
      </c>
      <c r="O8" s="59" t="s">
        <v>26</v>
      </c>
      <c r="P8" s="59" t="s">
        <v>26</v>
      </c>
      <c r="Q8" s="59">
        <f>SUM(Q3:Q7)</f>
        <v>2347.1999999999998</v>
      </c>
      <c r="R8" s="59" t="s">
        <v>26</v>
      </c>
      <c r="S8" s="59" t="s">
        <v>26</v>
      </c>
      <c r="T8" s="59" t="s">
        <v>26</v>
      </c>
      <c r="U8" s="59" t="s">
        <v>26</v>
      </c>
      <c r="V8" s="59" t="s">
        <v>26</v>
      </c>
      <c r="W8" s="59" t="s">
        <v>26</v>
      </c>
      <c r="X8" s="59" t="s">
        <v>26</v>
      </c>
      <c r="Y8" s="59" t="s">
        <v>26</v>
      </c>
      <c r="Z8" s="59" t="s">
        <v>26</v>
      </c>
      <c r="AA8" s="59" t="s">
        <v>26</v>
      </c>
      <c r="AB8" s="59" t="s">
        <v>26</v>
      </c>
      <c r="AC8" s="59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tabSelected="1" workbookViewId="0">
      <selection activeCell="AE8" sqref="AE8"/>
    </sheetView>
  </sheetViews>
  <sheetFormatPr defaultRowHeight="14.4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55" t="s">
        <v>266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.6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>
      <c r="A13" s="13"/>
      <c r="B13" s="60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>
      <c r="A14" s="13"/>
      <c r="B14" s="60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>
      <c r="A15" s="13"/>
      <c r="B15" s="60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>
      <c r="A16" s="59" t="s">
        <v>26</v>
      </c>
      <c r="B16" s="59" t="s">
        <v>26</v>
      </c>
      <c r="C16" s="59" t="s">
        <v>26</v>
      </c>
      <c r="D16" s="59" t="s">
        <v>26</v>
      </c>
      <c r="E16" s="59" t="s">
        <v>26</v>
      </c>
      <c r="F16" s="59" t="s">
        <v>26</v>
      </c>
      <c r="G16" s="59">
        <f>SUM(G3:G15)</f>
        <v>4455</v>
      </c>
      <c r="H16" s="59" t="s">
        <v>26</v>
      </c>
      <c r="I16" s="59" t="s">
        <v>26</v>
      </c>
      <c r="J16" s="59" t="s">
        <v>26</v>
      </c>
      <c r="K16" s="59" t="s">
        <v>26</v>
      </c>
      <c r="L16" s="59" t="s">
        <v>26</v>
      </c>
      <c r="M16" s="59" t="s">
        <v>26</v>
      </c>
      <c r="N16" s="59" t="s">
        <v>26</v>
      </c>
      <c r="O16" s="59" t="s">
        <v>26</v>
      </c>
      <c r="P16" s="59" t="s">
        <v>26</v>
      </c>
      <c r="Q16" s="59">
        <f>SUM(Q3:Q15)</f>
        <v>2878.6</v>
      </c>
      <c r="R16" s="59" t="s">
        <v>26</v>
      </c>
      <c r="S16" s="59" t="s">
        <v>26</v>
      </c>
      <c r="T16" s="59" t="s">
        <v>26</v>
      </c>
      <c r="U16" s="59" t="s">
        <v>26</v>
      </c>
      <c r="V16" s="59" t="s">
        <v>26</v>
      </c>
      <c r="W16" s="59" t="s">
        <v>26</v>
      </c>
      <c r="X16" s="59" t="s">
        <v>26</v>
      </c>
      <c r="Y16" s="59" t="s">
        <v>26</v>
      </c>
      <c r="Z16" s="59" t="s">
        <v>26</v>
      </c>
      <c r="AA16" s="59" t="s">
        <v>26</v>
      </c>
      <c r="AB16" s="59" t="s">
        <v>26</v>
      </c>
      <c r="AC16" s="59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55" t="s">
        <v>229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56" t="s">
        <v>208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Z19" sqref="Z19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55" t="s">
        <v>193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55" t="s">
        <v>186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7" t="s">
        <v>167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55" t="s">
        <v>156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5" t="s">
        <v>146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E9" sqref="AE9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55" t="s">
        <v>139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119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102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FAVINCO EMBALAGENS 1329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2026-10-26T18:16:13Z</cp:lastPrinted>
  <dcterms:created xsi:type="dcterms:W3CDTF">2026-07-02T17:42:15Z</dcterms:created>
  <dcterms:modified xsi:type="dcterms:W3CDTF">2026-10-26T20:52:08Z</dcterms:modified>
</cp:coreProperties>
</file>