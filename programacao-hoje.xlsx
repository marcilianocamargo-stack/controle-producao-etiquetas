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F618506-4F09-4B5F-83D5-280BE7E07D3D}" xr6:coauthVersionLast="47" xr6:coauthVersionMax="47" xr10:uidLastSave="{00000000-0000-0000-0000-000000000000}"/>
  <bookViews>
    <workbookView xWindow="-21720" yWindow="-120" windowWidth="21840" windowHeight="13020" firstSheet="6" activeTab="6" xr2:uid="{00000000-000D-0000-FFFF-FFFF00000000}"/>
  </bookViews>
  <sheets>
    <sheet name="RM Embalagens P" sheetId="166" r:id="rId1"/>
    <sheet name="PCBOX EMBALAGENS LTDA 1222" sheetId="164" r:id="rId2"/>
    <sheet name="FORBOX 1220" sheetId="163" r:id="rId3"/>
    <sheet name="HARMONY EMBALAGENS 1217" sheetId="162" r:id="rId4"/>
    <sheet name="Z4A EMBALAGENS LTDA 1216" sheetId="161" r:id="rId5"/>
    <sheet name="Tolecaixas 1215" sheetId="160" r:id="rId6"/>
    <sheet name="ABAPEL 1213" sheetId="159" r:id="rId7"/>
    <sheet name="IPE - PCBOX 1212 P" sheetId="158" r:id="rId8"/>
    <sheet name="Z4A EMBALAGENS LTDA 1210 P" sheetId="157" r:id="rId9"/>
    <sheet name="RM Embalagens 1209 P" sheetId="156" r:id="rId10"/>
    <sheet name="ABAPEL 1201 P" sheetId="153" r:id="rId11"/>
    <sheet name="HARMONY EMBALAGENS 1200" sheetId="152" r:id="rId12"/>
    <sheet name="FAVINCO EMBALAGENS 1197 P" sheetId="150" r:id="rId13"/>
    <sheet name="ABAPEL 1196 P" sheetId="149" r:id="rId14"/>
    <sheet name="RM Embalagens 1184 P" sheetId="141" r:id="rId15"/>
    <sheet name="HARMONY EMBALAGENS 1180 P" sheetId="137" r:id="rId16"/>
    <sheet name="Carpel 1158 P" sheetId="119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64" l="1"/>
  <c r="H9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<sst xmlns="http://schemas.openxmlformats.org/spreadsheetml/2006/main" count="3100" uniqueCount="330">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</sst>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4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14" fontId="15" fillId="3" borderId="1" xfId="0" applyNumberFormat="1" applyFont="1" applyFill="1" applyBorder="1" applyAlignment="1">
      <alignment horizontal="center" vertical="center"/>
    </xf>
    <xf numFmtId="0" fontId="7" fillId="0" borderId="0" xfId="3" applyFont="1"/>
    <xf numFmtId="0" fontId="18" fillId="0" borderId="0" xfId="3" applyFont="1"/>
    <xf numFmtId="0" fontId="7" fillId="0" borderId="0" xfId="1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9"/>
  <sheetViews>
    <sheetView workbookViewId="0">
      <selection activeCell="AE6" sqref="AE6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52">
        <v>1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52">
        <v>2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52"/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52">
        <v>3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52">
        <v>4</v>
      </c>
      <c r="B8" s="53" t="s">
        <v>90</v>
      </c>
      <c r="C8" s="52" t="s">
        <v>42</v>
      </c>
      <c r="D8" s="52" t="s">
        <v>274</v>
      </c>
      <c r="E8" s="52" t="s">
        <v>27</v>
      </c>
      <c r="F8" s="52">
        <v>262677</v>
      </c>
      <c r="G8" s="52" t="s">
        <v>292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291</v>
      </c>
    </row>
    <row r="9" spans="1:28" s="58" customFormat="1" ht="25.05" customHeight="1" x14ac:dyDescent="0.3">
      <c r="A9" s="59" t="s">
        <v>27</v>
      </c>
      <c r="B9" s="59" t="s">
        <v>27</v>
      </c>
      <c r="C9" s="59" t="s">
        <v>27</v>
      </c>
      <c r="D9" s="59" t="s">
        <v>27</v>
      </c>
      <c r="E9" s="59" t="s">
        <v>27</v>
      </c>
      <c r="F9" s="59" t="s">
        <v>27</v>
      </c>
      <c r="G9" s="59" t="s">
        <v>27</v>
      </c>
      <c r="H9" s="59">
        <f>SUM(H3:H8)</f>
        <v>2800</v>
      </c>
      <c r="I9" s="59" t="s">
        <v>27</v>
      </c>
      <c r="J9" s="59" t="s">
        <v>27</v>
      </c>
      <c r="K9" s="59" t="s">
        <v>27</v>
      </c>
      <c r="L9" s="59" t="s">
        <v>27</v>
      </c>
      <c r="M9" s="59" t="s">
        <v>27</v>
      </c>
      <c r="N9" s="59" t="s">
        <v>27</v>
      </c>
      <c r="O9" s="59" t="s">
        <v>27</v>
      </c>
      <c r="P9" s="59">
        <f>SUM(P3:P8)</f>
        <v>1292.0999999999999</v>
      </c>
      <c r="Q9" s="59" t="s">
        <v>27</v>
      </c>
      <c r="R9" s="59" t="s">
        <v>27</v>
      </c>
      <c r="S9" s="59" t="s">
        <v>27</v>
      </c>
      <c r="T9" s="59" t="s">
        <v>27</v>
      </c>
      <c r="U9" s="59" t="s">
        <v>27</v>
      </c>
      <c r="V9" s="59" t="s">
        <v>27</v>
      </c>
      <c r="W9" s="59" t="s">
        <v>27</v>
      </c>
      <c r="X9" s="59" t="s">
        <v>27</v>
      </c>
      <c r="Y9" s="59" t="s">
        <v>27</v>
      </c>
      <c r="Z9" s="59" t="s">
        <v>27</v>
      </c>
      <c r="AA9" s="59" t="s">
        <v>27</v>
      </c>
      <c r="AB9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8" t="s">
        <v>266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tabSelected="1" workbookViewId="0">
      <selection activeCell="AE10" sqref="AE10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1" t="s">
        <v>123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2" t="s">
        <v>105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3" t="s">
        <v>80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RM Embalagens P</vt:lpstr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2026-09-23T16:20:42Z</cp:lastPrinted>
  <dcterms:created xsi:type="dcterms:W3CDTF">2026-07-02T17:42:15Z</dcterms:created>
  <dcterms:modified xsi:type="dcterms:W3CDTF">2026-09-24T12:27:22Z</dcterms:modified>
</cp:coreProperties>
</file>