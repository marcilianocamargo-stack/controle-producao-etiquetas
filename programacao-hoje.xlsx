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78871535-2B5C-4423-B4C3-082FFDB9376C}" xr6:coauthVersionLast="47" xr6:coauthVersionMax="47" xr10:uidLastSave="{00000000-0000-0000-0000-000000000000}"/>
  <bookViews>
    <workbookView xWindow="-38520" yWindow="-120" windowWidth="38640" windowHeight="21120" activeTab="4" xr2:uid="{00000000-000D-0000-FFFF-FFFF00000000}"/>
  </bookViews>
  <sheets>
    <sheet name="HARMONY EMBALAGENS 1320 P" sheetId="224" r:id="rId1"/>
    <sheet name="FORBOX 1319 P" sheetId="223" r:id="rId2"/>
    <sheet name="PCBOX EMBALAGENS 1316 P" sheetId="222" r:id="rId3"/>
    <sheet name="HARMONY EMBALAGENS 1315 P" sheetId="221" r:id="rId4"/>
    <sheet name="FAVINCO EMBALAGENS 1314 P" sheetId="220" r:id="rId5"/>
    <sheet name="CAIXAS  KRAFT 1312 P" sheetId="219" r:id="rId6"/>
    <sheet name="ABAPEL EMBALAGENS 1308 P" sheetId="215" r:id="rId7"/>
    <sheet name="CARPEL 1307 P" sheetId="214" r:id="rId8"/>
    <sheet name="RENOVAPEL 1306 P" sheetId="213" r:id="rId9"/>
    <sheet name="INTERNACIONAL - SEDAMED 1304 P" sheetId="212" r:id="rId10"/>
    <sheet name="RM EMBALAGENS 1303" sheetId="211" r:id="rId11"/>
    <sheet name="IPE EMBALAGENS 1302 P" sheetId="210" r:id="rId12"/>
    <sheet name="HARMONY EMBALAGENS 1301 P" sheetId="209" r:id="rId13"/>
    <sheet name="RENOVAPEL 1297 P" sheetId="208" r:id="rId14"/>
    <sheet name="HARMONY EMBALAGENS 1285 P" sheetId="202" r:id="rId15"/>
    <sheet name="PCBOX  - IPE 1266 P" sheetId="218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7" i="223" l="1"/>
  <c r="Q7" i="223"/>
  <c r="Q11" i="220" l="1"/>
  <c r="G11" i="220"/>
  <c r="Q6" i="222"/>
  <c r="G6" i="222"/>
  <c r="Q9" i="213"/>
  <c r="G9" i="213"/>
  <c r="G8" i="215" l="1"/>
  <c r="Q8" i="215"/>
  <c r="Q7" i="218"/>
  <c r="G7" i="218"/>
  <c r="Q8" i="210" l="1"/>
  <c r="G8" i="210"/>
</calcChain>
</file>

<file path=xl/sharedStrings.xml><?xml version="1.0" encoding="utf-8"?>
<sst xmlns="http://schemas.openxmlformats.org/spreadsheetml/2006/main" count="3008" uniqueCount="316">
  <si>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</si>
  <si>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</si>
  <si>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</si>
  <si>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</si>
  <si>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</si>
  <si>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</si>
  <si>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</si>
  <si>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</si>
  <si>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</si>
  <si>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</si>
  <si>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</si>
  <si>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</si>
  <si>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</si>
  <si>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</si>
  <si>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</si>
  <si>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</si>
  <si>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</si>
  <si>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</si>
  <si>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</si>
  <si>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</si>
  <si>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</si>
  <si>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</si>
  <si>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</si>
  <si>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</si>
  <si>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</si>
  <si>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</si>
  <si>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</si>
  <si>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</si>
  <si>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</si>
  <si>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</si>
  <si>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</si>
  <si>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</si>
  <si>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</si>
  <si>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</si>
  <si>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</si>
  <si>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</si>
  <si>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</si>
  <si>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</si>
  <si>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</si>
  <si>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</si>
  <si>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</si>
  <si>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</si>
  <si>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</si>
  <si>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</si>
  <si>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</si>
  <si>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</si>
  <si>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</si>
  <si>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PW40B</t>
  </si>
  <si>
    <t>P70D</t>
  </si>
  <si>
    <t>P25C</t>
  </si>
  <si>
    <t>HARMONY EMBALAGENS</t>
  </si>
  <si>
    <t>574x2224</t>
  </si>
  <si>
    <t>197x160x197</t>
  </si>
  <si>
    <t>9</t>
  </si>
  <si>
    <t>11</t>
  </si>
  <si>
    <t>13</t>
  </si>
  <si>
    <t>786x1450</t>
  </si>
  <si>
    <t>828x1410</t>
  </si>
  <si>
    <t>127x150x127</t>
  </si>
  <si>
    <t>P45B</t>
  </si>
  <si>
    <t>102x100x102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</si>
  <si>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</si>
  <si>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</si>
  <si>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</si>
  <si>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</si>
  <si>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</si>
  <si>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</si>
  <si>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</si>
  <si>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</si>
  <si>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SN</t>
  </si>
  <si>
    <t>966x1500</t>
  </si>
  <si>
    <t>929x1910</t>
  </si>
  <si>
    <t>89x125x89</t>
  </si>
  <si>
    <t>953x1994</t>
  </si>
  <si>
    <t>94x123x94</t>
  </si>
  <si>
    <t>1019x1770</t>
  </si>
  <si>
    <t>94x145x94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</si>
  <si>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</si>
  <si>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</si>
  <si>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</si>
  <si>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</si>
  <si>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</si>
  <si>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</si>
  <si>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</si>
  <si>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</si>
  <si>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CARPEL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</si>
  <si>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</si>
  <si>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</si>
  <si>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</si>
  <si>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</si>
  <si>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</si>
  <si>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</si>
  <si>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</si>
  <si>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</si>
  <si>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</si>
  <si>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PROGRAMAÇÃO ONDULADEIRA - PCBOX EMBALAGENS LTDA - IPE EMBALAGENS LTDA  —  OF: 001266</t>
  </si>
  <si>
    <t>08/10/2026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</si>
  <si>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</si>
  <si>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</si>
  <si>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</si>
  <si>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</si>
  <si>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</si>
  <si>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</si>
  <si>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</si>
  <si>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</si>
  <si>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</si>
  <si>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</si>
  <si>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</si>
  <si>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</si>
  <si>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</si>
  <si>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</si>
  <si>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</si>
  <si>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</si>
  <si>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</si>
  <si>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</si>
  <si>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</si>
  <si>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</si>
  <si>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</si>
  <si>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</si>
  <si>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</si>
  <si>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</si>
  <si>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</si>
  <si>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</si>
  <si>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</si>
  <si>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</si>
  <si>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</si>
  <si>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</si>
  <si>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19/10/2026</t>
  </si>
  <si>
    <t>1108x1510</t>
  </si>
  <si>
    <t>941x1690</t>
  </si>
  <si>
    <t>1001x1790</t>
  </si>
  <si>
    <t>96x135x96</t>
  </si>
  <si>
    <t>1155x1348</t>
  </si>
  <si>
    <t>106x120x106</t>
  </si>
  <si>
    <t>1019x1890</t>
  </si>
  <si>
    <t>99x135x99</t>
  </si>
  <si>
    <t>1034x1730</t>
  </si>
  <si>
    <t>84x170x84</t>
  </si>
  <si>
    <t>1106x1930</t>
  </si>
  <si>
    <t>101x160x101</t>
  </si>
  <si>
    <t>PROGRAMAÇÃO ONDULADEIRA - RENOVAPEL  —  OF: 001297</t>
  </si>
  <si>
    <t>990x1474</t>
  </si>
  <si>
    <t>192x853x192</t>
  </si>
  <si>
    <t>1843</t>
  </si>
  <si>
    <t>20/10/2026</t>
  </si>
  <si>
    <t>1160x1874</t>
  </si>
  <si>
    <t>1840</t>
  </si>
  <si>
    <t>1162x1223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</si>
  <si>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</si>
  <si>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</si>
  <si>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</si>
  <si>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</si>
  <si>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</si>
  <si>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</si>
  <si>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</si>
  <si>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</si>
  <si>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</si>
  <si>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</si>
  <si>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</si>
  <si>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1156x1833</t>
  </si>
  <si>
    <t>1813</t>
  </si>
  <si>
    <t>876x1546</t>
  </si>
  <si>
    <t>1036x1723</t>
  </si>
  <si>
    <t>PROGRAMAÇÃO ONDULADEIRA - IPE EMBALAGENS  —  OF: 001302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</si>
  <si>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</si>
  <si>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</si>
  <si>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</si>
  <si>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</si>
  <si>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</si>
  <si>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</si>
  <si>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</si>
  <si>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</si>
  <si>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</si>
  <si>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</si>
  <si>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</si>
  <si>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</si>
  <si>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</si>
  <si>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</si>
  <si>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</si>
  <si>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</si>
  <si>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</si>
  <si>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</si>
  <si>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</si>
  <si>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</si>
  <si>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</si>
  <si>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</si>
  <si>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</si>
  <si>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</si>
  <si>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</si>
  <si>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</si>
  <si>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</si>
  <si>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</si>
  <si>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</si>
  <si>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</si>
  <si>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</si>
  <si>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</si>
  <si>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</si>
  <si>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</si>
  <si>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</si>
  <si>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</si>
  <si>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</si>
  <si>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860x1780</t>
  </si>
  <si>
    <t>1148x2200</t>
  </si>
  <si>
    <t>197x170x197</t>
  </si>
  <si>
    <t>900x2132</t>
  </si>
  <si>
    <t>100x100x100x100x40</t>
  </si>
  <si>
    <t>950x1220</t>
  </si>
  <si>
    <t>50x830x50</t>
  </si>
  <si>
    <t>1088x1410</t>
  </si>
  <si>
    <t>127x280x127</t>
  </si>
  <si>
    <t>1180x1820</t>
  </si>
  <si>
    <t>40x520x40</t>
  </si>
  <si>
    <t>770x1850</t>
  </si>
  <si>
    <t>220x65x220x65x40</t>
  </si>
  <si>
    <t>932x1700</t>
  </si>
  <si>
    <t>944x1840</t>
  </si>
  <si>
    <t>940x1840</t>
  </si>
  <si>
    <t>920x1970</t>
  </si>
  <si>
    <t>920x1520</t>
  </si>
  <si>
    <t>1008x1580</t>
  </si>
  <si>
    <t>172x150x172</t>
  </si>
  <si>
    <t>1142x1700</t>
  </si>
  <si>
    <t>102x170x102</t>
  </si>
  <si>
    <t>940x1520</t>
  </si>
  <si>
    <t>730x1280</t>
  </si>
  <si>
    <t>730x1480</t>
  </si>
  <si>
    <t>770x2000</t>
  </si>
  <si>
    <t>PROGRAMAÇÃO ONDULADEIRA - CARPEL  —  OF: 001307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</si>
  <si>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</si>
  <si>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</si>
  <si>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</si>
  <si>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</si>
  <si>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</si>
  <si>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</si>
  <si>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</si>
  <si>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</si>
  <si>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</si>
  <si>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</si>
  <si>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</si>
  <si>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1847</t>
  </si>
  <si>
    <t>80x1000x80</t>
  </si>
  <si>
    <t>1180x1540</t>
  </si>
  <si>
    <t>8346</t>
  </si>
  <si>
    <t>261x115x261</t>
  </si>
  <si>
    <t>657x1764</t>
  </si>
  <si>
    <t>1175x1616</t>
  </si>
  <si>
    <t>141x516x141</t>
  </si>
  <si>
    <t>22/10/2026</t>
  </si>
  <si>
    <t>CAIXAS</t>
  </si>
  <si>
    <t>878x1755</t>
  </si>
  <si>
    <t>201x456x201</t>
  </si>
  <si>
    <t>628x1655</t>
  </si>
  <si>
    <t>176x256x176</t>
  </si>
  <si>
    <t>PROGRAMAÇÃO ONDULADEIRA - CAIXAS  —  OF: 001312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</si>
  <si>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</si>
  <si>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</si>
  <si>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</si>
  <si>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</si>
  <si>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</si>
  <si>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</si>
  <si>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</si>
  <si>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</si>
  <si>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</si>
  <si>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</si>
  <si>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</si>
  <si>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</si>
  <si>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</si>
  <si>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</si>
  <si>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</si>
  <si>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267x671x267</t>
  </si>
  <si>
    <t>PROGRAMAÇÃO ONDULADEIRA - HARMONY EMBALAGENS  —  OF: 001315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</si>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</sst>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2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  <xf numFmtId="0" fontId="2" fillId="0" borderId="0"/>
  </cellStyleXfs>
  <cellXfs count="81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0" borderId="0" xfId="5" applyAlignment="1">
      <alignment horizontal="center"/>
    </xf>
    <xf numFmtId="0" fontId="2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center" vertical="center"/>
    </xf>
    <xf numFmtId="165" fontId="2" fillId="5" borderId="2" xfId="0" applyNumberFormat="1" applyFont="1" applyFill="1" applyBorder="1" applyAlignment="1">
      <alignment horizontal="center" vertical="center"/>
    </xf>
    <xf numFmtId="166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1" fillId="4" borderId="3" xfId="1" applyFont="1" applyFill="1" applyBorder="1" applyAlignment="1">
      <alignment horizontal="center" vertical="center" wrapText="1"/>
    </xf>
    <xf numFmtId="0" fontId="2" fillId="3" borderId="2" xfId="1" applyFill="1" applyBorder="1" applyAlignment="1">
      <alignment horizontal="center" vertical="center"/>
    </xf>
    <xf numFmtId="0" fontId="3" fillId="3" borderId="2" xfId="1" applyFont="1" applyFill="1" applyBorder="1" applyAlignment="1">
      <alignment horizontal="center" vertical="center"/>
    </xf>
    <xf numFmtId="164" fontId="2" fillId="3" borderId="2" xfId="1" applyNumberFormat="1" applyFill="1" applyBorder="1" applyAlignment="1">
      <alignment horizontal="center" vertical="center"/>
    </xf>
    <xf numFmtId="165" fontId="2" fillId="3" borderId="2" xfId="1" applyNumberFormat="1" applyFill="1" applyBorder="1" applyAlignment="1">
      <alignment horizontal="center" vertical="center"/>
    </xf>
    <xf numFmtId="166" fontId="2" fillId="3" borderId="2" xfId="1" applyNumberFormat="1" applyFill="1" applyBorder="1" applyAlignment="1">
      <alignment horizontal="center" vertical="center"/>
    </xf>
    <xf numFmtId="2" fontId="2" fillId="3" borderId="2" xfId="1" applyNumberFormat="1" applyFill="1" applyBorder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9" fillId="2" borderId="1" xfId="5" applyFont="1" applyFill="1" applyBorder="1" applyAlignment="1">
      <alignment horizontal="right"/>
    </xf>
    <xf numFmtId="0" fontId="9" fillId="2" borderId="1" xfId="5" applyFont="1" applyFill="1" applyBorder="1" applyAlignment="1">
      <alignment horizontal="left"/>
    </xf>
    <xf numFmtId="0" fontId="8" fillId="3" borderId="1" xfId="5" applyFill="1" applyBorder="1" applyAlignment="1">
      <alignment horizontal="right"/>
    </xf>
    <xf numFmtId="166" fontId="8" fillId="3" borderId="1" xfId="5" applyNumberFormat="1" applyFill="1" applyBorder="1" applyAlignment="1">
      <alignment horizontal="right"/>
    </xf>
    <xf numFmtId="164" fontId="8" fillId="3" borderId="1" xfId="5" applyNumberFormat="1" applyFill="1" applyBorder="1" applyAlignment="1">
      <alignment horizontal="right"/>
    </xf>
    <xf numFmtId="2" fontId="8" fillId="3" borderId="1" xfId="5" applyNumberFormat="1" applyFill="1" applyBorder="1" applyAlignment="1">
      <alignment horizontal="right"/>
    </xf>
    <xf numFmtId="165" fontId="8" fillId="3" borderId="1" xfId="5" applyNumberFormat="1" applyFill="1" applyBorder="1" applyAlignment="1">
      <alignment horizontal="right"/>
    </xf>
    <xf numFmtId="0" fontId="8" fillId="3" borderId="1" xfId="5" applyFill="1" applyBorder="1" applyAlignment="1">
      <alignment horizontal="left"/>
    </xf>
    <xf numFmtId="164" fontId="8" fillId="3" borderId="1" xfId="5" applyNumberFormat="1" applyFill="1" applyBorder="1" applyAlignment="1">
      <alignment horizontal="left"/>
    </xf>
    <xf numFmtId="0" fontId="9" fillId="3" borderId="1" xfId="5" applyFont="1" applyFill="1" applyBorder="1" applyAlignment="1">
      <alignment horizontal="left"/>
    </xf>
    <xf numFmtId="0" fontId="2" fillId="0" borderId="0" xfId="6"/>
    <xf numFmtId="0" fontId="1" fillId="4" borderId="3" xfId="6" applyFont="1" applyFill="1" applyBorder="1" applyAlignment="1">
      <alignment horizontal="center" vertical="center" wrapText="1"/>
    </xf>
    <xf numFmtId="0" fontId="2" fillId="0" borderId="0" xfId="6" applyAlignment="1">
      <alignment horizontal="center" vertical="center"/>
    </xf>
    <xf numFmtId="0" fontId="3" fillId="2" borderId="2" xfId="6" applyFont="1" applyFill="1" applyBorder="1" applyAlignment="1">
      <alignment horizontal="center" vertical="center"/>
    </xf>
    <xf numFmtId="0" fontId="10" fillId="4" borderId="3" xfId="5" applyFont="1" applyFill="1" applyBorder="1" applyAlignment="1">
      <alignment horizontal="center" vertical="center" wrapText="1"/>
    </xf>
    <xf numFmtId="0" fontId="9" fillId="2" borderId="4" xfId="5" applyFont="1" applyFill="1" applyBorder="1" applyAlignment="1">
      <alignment horizontal="center" vertical="center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  <xf numFmtId="0" fontId="9" fillId="2" borderId="2" xfId="5" applyFont="1" applyFill="1" applyBorder="1" applyAlignment="1">
      <alignment horizontal="center" vertical="center"/>
    </xf>
    <xf numFmtId="0" fontId="11" fillId="0" borderId="0" xfId="5" applyFont="1"/>
    <xf numFmtId="0" fontId="5" fillId="0" borderId="0" xfId="5" applyFont="1"/>
    <xf numFmtId="0" fontId="5" fillId="0" borderId="0" xfId="5" applyFont="1" applyAlignment="1">
      <alignment horizontal="center" vertical="center"/>
    </xf>
    <xf numFmtId="0" fontId="5" fillId="0" borderId="0" xfId="1" applyFont="1"/>
    <xf numFmtId="0" fontId="5" fillId="0" borderId="0" xfId="6" applyFont="1"/>
    <xf numFmtId="0" fontId="9" fillId="2" borderId="4" xfId="5" applyFont="1" applyFill="1" applyBorder="1" applyAlignment="1">
      <alignment horizontal="left"/>
    </xf>
    <xf numFmtId="0" fontId="9" fillId="2" borderId="4" xfId="5" applyFont="1" applyFill="1" applyBorder="1" applyAlignment="1">
      <alignment horizontal="right"/>
    </xf>
    <xf numFmtId="0" fontId="8" fillId="0" borderId="0" xfId="5" applyAlignment="1"/>
    <xf numFmtId="0" fontId="3" fillId="2" borderId="1" xfId="1" applyFont="1" applyFill="1" applyBorder="1" applyAlignment="1">
      <alignment horizontal="center" vertical="center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2" fillId="0" borderId="0" xfId="7" applyAlignment="1">
      <alignment horizontal="center" vertical="center"/>
    </xf>
    <xf numFmtId="0" fontId="2" fillId="3" borderId="1" xfId="7" applyFill="1" applyBorder="1" applyAlignment="1">
      <alignment horizontal="center" vertical="center"/>
    </xf>
    <xf numFmtId="166" fontId="2" fillId="3" borderId="1" xfId="7" applyNumberFormat="1" applyFill="1" applyBorder="1" applyAlignment="1">
      <alignment horizontal="center" vertical="center"/>
    </xf>
    <xf numFmtId="164" fontId="2" fillId="3" borderId="1" xfId="7" applyNumberFormat="1" applyFill="1" applyBorder="1" applyAlignment="1">
      <alignment horizontal="center" vertical="center"/>
    </xf>
    <xf numFmtId="2" fontId="2" fillId="3" borderId="1" xfId="7" applyNumberFormat="1" applyFill="1" applyBorder="1" applyAlignment="1">
      <alignment horizontal="center" vertical="center"/>
    </xf>
    <xf numFmtId="165" fontId="2" fillId="3" borderId="1" xfId="7" applyNumberFormat="1" applyFill="1" applyBorder="1" applyAlignment="1">
      <alignment horizontal="center" vertical="center"/>
    </xf>
    <xf numFmtId="0" fontId="3" fillId="3" borderId="1" xfId="7" applyFont="1" applyFill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 wrapText="1"/>
    </xf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AA34" sqref="AA34"/>
    </sheetView>
  </sheetViews>
  <sheetFormatPr defaultRowHeight="14.4" x14ac:dyDescent="0.3"/>
  <cols>
    <col min="1" max="1" width="4.21875" style="4" customWidth="1"/>
    <col min="2" max="2" width="20.77734375" style="4" hidden="1" customWidth="1"/>
    <col min="3" max="3" width="6" style="4" customWidth="1"/>
    <col min="4" max="4" width="11.77734375" style="4" hidden="1" customWidth="1"/>
    <col min="5" max="5" width="7.5546875" style="4" customWidth="1"/>
    <col min="6" max="6" width="7.77734375" style="4" customWidth="1"/>
    <col min="7" max="7" width="6.88671875" style="4" customWidth="1"/>
    <col min="8" max="8" width="6.6640625" style="4" customWidth="1"/>
    <col min="9" max="9" width="7" style="4" customWidth="1"/>
    <col min="10" max="10" width="8.33203125" style="4" customWidth="1"/>
    <col min="11" max="11" width="12.88671875" style="4" customWidth="1"/>
    <col min="12" max="12" width="8.332031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5546875" style="4" customWidth="1"/>
    <col min="19" max="19" width="6.77734375" style="4" customWidth="1"/>
    <col min="20" max="20" width="6.44140625" style="4" customWidth="1"/>
    <col min="21" max="21" width="11.77734375" style="4" hidden="1" customWidth="1"/>
    <col min="22" max="22" width="8.77734375" style="4" hidden="1" customWidth="1"/>
    <col min="23" max="23" width="8.6640625" style="4" customWidth="1"/>
    <col min="24" max="24" width="7.77734375" style="4" customWidth="1"/>
    <col min="25" max="25" width="7.33203125" style="4" customWidth="1"/>
    <col min="26" max="26" width="7.88671875" style="4" customWidth="1"/>
    <col min="27" max="27" width="7.77734375" style="4" customWidth="1"/>
    <col min="28" max="28" width="4" style="4" customWidth="1"/>
    <col min="29" max="29" width="9.44140625" style="4" customWidth="1"/>
    <col min="30" max="16384" width="8.88671875" style="4"/>
  </cols>
  <sheetData>
    <row r="1" spans="1:29" ht="18" customHeight="1" x14ac:dyDescent="0.35">
      <c r="A1" s="59" t="s">
        <v>313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43.8" customHeight="1" x14ac:dyDescent="0.3">
      <c r="A2" s="49" t="s">
        <v>0</v>
      </c>
      <c r="B2" s="49" t="s">
        <v>35</v>
      </c>
      <c r="C2" s="49" t="s">
        <v>1</v>
      </c>
      <c r="D2" s="49" t="s">
        <v>2</v>
      </c>
      <c r="E2" s="49" t="s">
        <v>45</v>
      </c>
      <c r="F2" s="49" t="s">
        <v>3</v>
      </c>
      <c r="G2" s="49" t="s">
        <v>4</v>
      </c>
      <c r="H2" s="49" t="s">
        <v>5</v>
      </c>
      <c r="I2" s="49" t="s">
        <v>6</v>
      </c>
      <c r="J2" s="49" t="s">
        <v>26</v>
      </c>
      <c r="K2" s="49" t="s">
        <v>7</v>
      </c>
      <c r="L2" s="49" t="s">
        <v>26</v>
      </c>
      <c r="M2" s="49" t="s">
        <v>8</v>
      </c>
      <c r="N2" s="49" t="s">
        <v>9</v>
      </c>
      <c r="O2" s="49" t="s">
        <v>10</v>
      </c>
      <c r="P2" s="49" t="s">
        <v>11</v>
      </c>
      <c r="Q2" s="49" t="s">
        <v>12</v>
      </c>
      <c r="R2" s="49" t="s">
        <v>13</v>
      </c>
      <c r="S2" s="49" t="s">
        <v>14</v>
      </c>
      <c r="T2" s="49" t="s">
        <v>15</v>
      </c>
      <c r="U2" s="49" t="s">
        <v>16</v>
      </c>
      <c r="V2" s="49" t="s">
        <v>17</v>
      </c>
      <c r="W2" s="49" t="s">
        <v>18</v>
      </c>
      <c r="X2" s="49" t="s">
        <v>19</v>
      </c>
      <c r="Y2" s="49" t="s">
        <v>20</v>
      </c>
      <c r="Z2" s="49" t="s">
        <v>21</v>
      </c>
      <c r="AA2" s="49" t="s">
        <v>22</v>
      </c>
      <c r="AB2" s="49" t="s">
        <v>23</v>
      </c>
      <c r="AC2" s="49" t="s">
        <v>24</v>
      </c>
    </row>
    <row r="3" spans="1:29" s="12" customFormat="1" ht="25.05" customHeight="1" x14ac:dyDescent="0.3">
      <c r="A3" s="51">
        <v>1</v>
      </c>
      <c r="B3" s="52" t="s">
        <v>50</v>
      </c>
      <c r="C3" s="51" t="s">
        <v>25</v>
      </c>
      <c r="D3" s="51" t="s">
        <v>295</v>
      </c>
      <c r="E3" s="51">
        <v>263144</v>
      </c>
      <c r="F3" s="51" t="s">
        <v>294</v>
      </c>
      <c r="G3" s="51">
        <v>200</v>
      </c>
      <c r="H3" s="53">
        <v>0.624</v>
      </c>
      <c r="I3" s="53">
        <v>1.5189999999999999</v>
      </c>
      <c r="J3" s="51" t="s">
        <v>26</v>
      </c>
      <c r="K3" s="51" t="s">
        <v>312</v>
      </c>
      <c r="L3" s="51" t="s">
        <v>26</v>
      </c>
      <c r="M3" s="53">
        <v>189.571</v>
      </c>
      <c r="N3" s="54">
        <v>151.9</v>
      </c>
      <c r="O3" s="55">
        <v>2.1100000000000001E-2</v>
      </c>
      <c r="P3" s="56">
        <v>1.27</v>
      </c>
      <c r="Q3" s="51">
        <v>102</v>
      </c>
      <c r="R3" s="51">
        <v>2</v>
      </c>
      <c r="S3" s="51">
        <v>1300</v>
      </c>
      <c r="T3" s="53">
        <v>1.248</v>
      </c>
      <c r="U3" s="51">
        <v>52</v>
      </c>
      <c r="V3" s="55">
        <v>0.04</v>
      </c>
      <c r="W3" s="51" t="s">
        <v>27</v>
      </c>
      <c r="X3" s="51" t="s">
        <v>28</v>
      </c>
      <c r="Y3" s="51" t="s">
        <v>27</v>
      </c>
      <c r="Z3" s="51" t="s">
        <v>27</v>
      </c>
      <c r="AA3" s="51" t="s">
        <v>27</v>
      </c>
      <c r="AB3" s="51" t="s">
        <v>31</v>
      </c>
      <c r="AC3" s="51" t="s">
        <v>311</v>
      </c>
    </row>
    <row r="4" spans="1:29" s="12" customFormat="1" ht="25.05" customHeight="1" x14ac:dyDescent="0.3">
      <c r="A4" s="51">
        <v>2</v>
      </c>
      <c r="B4" s="52" t="s">
        <v>50</v>
      </c>
      <c r="C4" s="51" t="s">
        <v>48</v>
      </c>
      <c r="D4" s="51" t="s">
        <v>295</v>
      </c>
      <c r="E4" s="51">
        <v>263139</v>
      </c>
      <c r="F4" s="51" t="s">
        <v>300</v>
      </c>
      <c r="G4" s="51">
        <v>600</v>
      </c>
      <c r="H4" s="53">
        <v>1.236</v>
      </c>
      <c r="I4" s="53">
        <v>2.5910000000000002</v>
      </c>
      <c r="J4" s="51" t="s">
        <v>26</v>
      </c>
      <c r="K4" s="51" t="s">
        <v>310</v>
      </c>
      <c r="L4" s="51" t="s">
        <v>26</v>
      </c>
      <c r="M4" s="53">
        <v>1921.4860000000001</v>
      </c>
      <c r="N4" s="54">
        <v>1554.6</v>
      </c>
      <c r="O4" s="55">
        <v>0.43180000000000002</v>
      </c>
      <c r="P4" s="56">
        <v>25.91</v>
      </c>
      <c r="Q4" s="51">
        <v>1214.4000000000001</v>
      </c>
      <c r="R4" s="51">
        <v>1</v>
      </c>
      <c r="S4" s="51">
        <v>1300</v>
      </c>
      <c r="T4" s="53">
        <v>1.236</v>
      </c>
      <c r="U4" s="51">
        <v>64</v>
      </c>
      <c r="V4" s="55">
        <v>4.9200000000000001E-2</v>
      </c>
      <c r="W4" s="51" t="s">
        <v>28</v>
      </c>
      <c r="X4" s="51" t="s">
        <v>38</v>
      </c>
      <c r="Y4" s="51" t="s">
        <v>27</v>
      </c>
      <c r="Z4" s="51" t="s">
        <v>27</v>
      </c>
      <c r="AA4" s="51" t="s">
        <v>28</v>
      </c>
      <c r="AB4" s="51" t="s">
        <v>30</v>
      </c>
      <c r="AC4" s="51" t="s">
        <v>309</v>
      </c>
    </row>
    <row r="5" spans="1:29" s="12" customFormat="1" ht="25.05" customHeight="1" x14ac:dyDescent="0.3">
      <c r="A5" s="51">
        <v>3</v>
      </c>
      <c r="B5" s="52" t="s">
        <v>50</v>
      </c>
      <c r="C5" s="51" t="s">
        <v>25</v>
      </c>
      <c r="D5" s="51" t="s">
        <v>295</v>
      </c>
      <c r="E5" s="51">
        <v>263142</v>
      </c>
      <c r="F5" s="51" t="s">
        <v>294</v>
      </c>
      <c r="G5" s="51">
        <v>250</v>
      </c>
      <c r="H5" s="53">
        <v>0.60399999999999998</v>
      </c>
      <c r="I5" s="53">
        <v>1.419</v>
      </c>
      <c r="J5" s="51" t="s">
        <v>26</v>
      </c>
      <c r="K5" s="51" t="s">
        <v>308</v>
      </c>
      <c r="L5" s="51" t="s">
        <v>26</v>
      </c>
      <c r="M5" s="53">
        <v>214.26900000000001</v>
      </c>
      <c r="N5" s="54">
        <v>177.4</v>
      </c>
      <c r="O5" s="55">
        <v>2.46E-2</v>
      </c>
      <c r="P5" s="56">
        <v>1.48</v>
      </c>
      <c r="Q5" s="51">
        <v>115.3</v>
      </c>
      <c r="R5" s="51">
        <v>2</v>
      </c>
      <c r="S5" s="51">
        <v>1250</v>
      </c>
      <c r="T5" s="53">
        <v>1.208</v>
      </c>
      <c r="U5" s="51">
        <v>42</v>
      </c>
      <c r="V5" s="55">
        <v>3.3599999999999998E-2</v>
      </c>
      <c r="W5" s="51" t="s">
        <v>27</v>
      </c>
      <c r="X5" s="51" t="s">
        <v>28</v>
      </c>
      <c r="Y5" s="51" t="s">
        <v>27</v>
      </c>
      <c r="Z5" s="51" t="s">
        <v>27</v>
      </c>
      <c r="AA5" s="51" t="s">
        <v>27</v>
      </c>
      <c r="AB5" s="51" t="s">
        <v>31</v>
      </c>
      <c r="AC5" s="51" t="s">
        <v>307</v>
      </c>
    </row>
    <row r="6" spans="1:29" s="12" customFormat="1" ht="25.05" customHeight="1" x14ac:dyDescent="0.3">
      <c r="A6" s="51">
        <v>4</v>
      </c>
      <c r="B6" s="52" t="s">
        <v>50</v>
      </c>
      <c r="C6" s="51" t="s">
        <v>48</v>
      </c>
      <c r="D6" s="51" t="s">
        <v>295</v>
      </c>
      <c r="E6" s="51">
        <v>263138</v>
      </c>
      <c r="F6" s="51" t="s">
        <v>300</v>
      </c>
      <c r="G6" s="51">
        <v>1200</v>
      </c>
      <c r="H6" s="53">
        <v>1.196</v>
      </c>
      <c r="I6" s="53">
        <v>1.6910000000000001</v>
      </c>
      <c r="J6" s="51" t="s">
        <v>26</v>
      </c>
      <c r="K6" s="51" t="s">
        <v>306</v>
      </c>
      <c r="L6" s="51" t="s">
        <v>26</v>
      </c>
      <c r="M6" s="53">
        <v>2426.9229999999998</v>
      </c>
      <c r="N6" s="54">
        <v>2029.2</v>
      </c>
      <c r="O6" s="55">
        <v>0.56369999999999998</v>
      </c>
      <c r="P6" s="56">
        <v>33.82</v>
      </c>
      <c r="Q6" s="51">
        <v>1533.8</v>
      </c>
      <c r="R6" s="51">
        <v>1</v>
      </c>
      <c r="S6" s="51">
        <v>1250</v>
      </c>
      <c r="T6" s="53">
        <v>1.196</v>
      </c>
      <c r="U6" s="51">
        <v>54</v>
      </c>
      <c r="V6" s="55">
        <v>4.3200000000000002E-2</v>
      </c>
      <c r="W6" s="51" t="s">
        <v>28</v>
      </c>
      <c r="X6" s="51" t="s">
        <v>38</v>
      </c>
      <c r="Y6" s="51" t="s">
        <v>27</v>
      </c>
      <c r="Z6" s="51" t="s">
        <v>27</v>
      </c>
      <c r="AA6" s="51" t="s">
        <v>28</v>
      </c>
      <c r="AB6" s="51" t="s">
        <v>46</v>
      </c>
      <c r="AC6" s="51" t="s">
        <v>305</v>
      </c>
    </row>
    <row r="7" spans="1:29" s="12" customFormat="1" ht="25.05" customHeight="1" x14ac:dyDescent="0.3">
      <c r="A7" s="51">
        <v>5</v>
      </c>
      <c r="B7" s="52" t="s">
        <v>50</v>
      </c>
      <c r="C7" s="51" t="s">
        <v>48</v>
      </c>
      <c r="D7" s="51" t="s">
        <v>295</v>
      </c>
      <c r="E7" s="51">
        <v>263141</v>
      </c>
      <c r="F7" s="51" t="s">
        <v>300</v>
      </c>
      <c r="G7" s="51">
        <v>600</v>
      </c>
      <c r="H7" s="53">
        <v>1.1359999999999999</v>
      </c>
      <c r="I7" s="53">
        <v>2.431</v>
      </c>
      <c r="J7" s="51" t="s">
        <v>26</v>
      </c>
      <c r="K7" s="51" t="s">
        <v>304</v>
      </c>
      <c r="L7" s="51" t="s">
        <v>26</v>
      </c>
      <c r="M7" s="53">
        <v>1656.97</v>
      </c>
      <c r="N7" s="54">
        <v>1458.6</v>
      </c>
      <c r="O7" s="55">
        <v>0.4052</v>
      </c>
      <c r="P7" s="56">
        <v>24.31</v>
      </c>
      <c r="Q7" s="51">
        <v>1047.2</v>
      </c>
      <c r="R7" s="51">
        <v>1</v>
      </c>
      <c r="S7" s="51">
        <v>1200</v>
      </c>
      <c r="T7" s="53">
        <v>1.1359999999999999</v>
      </c>
      <c r="U7" s="51">
        <v>64</v>
      </c>
      <c r="V7" s="55">
        <v>5.33E-2</v>
      </c>
      <c r="W7" s="51" t="s">
        <v>28</v>
      </c>
      <c r="X7" s="51" t="s">
        <v>38</v>
      </c>
      <c r="Y7" s="51" t="s">
        <v>27</v>
      </c>
      <c r="Z7" s="51" t="s">
        <v>27</v>
      </c>
      <c r="AA7" s="51" t="s">
        <v>28</v>
      </c>
      <c r="AB7" s="51" t="s">
        <v>30</v>
      </c>
      <c r="AC7" s="51" t="s">
        <v>303</v>
      </c>
    </row>
    <row r="8" spans="1:29" s="12" customFormat="1" ht="25.05" customHeight="1" x14ac:dyDescent="0.3">
      <c r="A8" s="51">
        <v>6</v>
      </c>
      <c r="B8" s="52" t="s">
        <v>50</v>
      </c>
      <c r="C8" s="51" t="s">
        <v>25</v>
      </c>
      <c r="D8" s="51" t="s">
        <v>295</v>
      </c>
      <c r="E8" s="51">
        <v>263146</v>
      </c>
      <c r="F8" s="51" t="s">
        <v>294</v>
      </c>
      <c r="G8" s="51">
        <v>250</v>
      </c>
      <c r="H8" s="53">
        <v>1.0840000000000001</v>
      </c>
      <c r="I8" s="53">
        <v>2.0590000000000002</v>
      </c>
      <c r="J8" s="51" t="s">
        <v>26</v>
      </c>
      <c r="K8" s="51" t="s">
        <v>302</v>
      </c>
      <c r="L8" s="51" t="s">
        <v>26</v>
      </c>
      <c r="M8" s="53">
        <v>557.98900000000003</v>
      </c>
      <c r="N8" s="54">
        <v>514.79999999999995</v>
      </c>
      <c r="O8" s="55">
        <v>0.14299999999999999</v>
      </c>
      <c r="P8" s="56">
        <v>8.58</v>
      </c>
      <c r="Q8" s="51">
        <v>300.2</v>
      </c>
      <c r="R8" s="51">
        <v>1</v>
      </c>
      <c r="S8" s="51">
        <v>1150</v>
      </c>
      <c r="T8" s="53">
        <v>1.0840000000000001</v>
      </c>
      <c r="U8" s="51">
        <v>66</v>
      </c>
      <c r="V8" s="55">
        <v>5.74E-2</v>
      </c>
      <c r="W8" s="51" t="s">
        <v>27</v>
      </c>
      <c r="X8" s="51" t="s">
        <v>28</v>
      </c>
      <c r="Y8" s="51" t="s">
        <v>27</v>
      </c>
      <c r="Z8" s="51" t="s">
        <v>27</v>
      </c>
      <c r="AA8" s="51" t="s">
        <v>27</v>
      </c>
      <c r="AB8" s="51" t="s">
        <v>31</v>
      </c>
      <c r="AC8" s="51" t="s">
        <v>301</v>
      </c>
    </row>
    <row r="9" spans="1:29" s="12" customFormat="1" ht="25.05" customHeight="1" x14ac:dyDescent="0.3">
      <c r="A9" s="51">
        <v>7</v>
      </c>
      <c r="B9" s="52" t="s">
        <v>50</v>
      </c>
      <c r="C9" s="51" t="s">
        <v>78</v>
      </c>
      <c r="D9" s="51" t="s">
        <v>295</v>
      </c>
      <c r="E9" s="51">
        <v>263140</v>
      </c>
      <c r="F9" s="51" t="s">
        <v>300</v>
      </c>
      <c r="G9" s="51">
        <v>500</v>
      </c>
      <c r="H9" s="53">
        <v>0.98599999999999999</v>
      </c>
      <c r="I9" s="53">
        <v>2.371</v>
      </c>
      <c r="J9" s="51" t="s">
        <v>26</v>
      </c>
      <c r="K9" s="51" t="s">
        <v>299</v>
      </c>
      <c r="L9" s="51" t="s">
        <v>26</v>
      </c>
      <c r="M9" s="53">
        <v>1168.903</v>
      </c>
      <c r="N9" s="54">
        <v>1185.5</v>
      </c>
      <c r="O9" s="55">
        <v>0.32929999999999998</v>
      </c>
      <c r="P9" s="56">
        <v>19.760000000000002</v>
      </c>
      <c r="Q9" s="51">
        <v>549.4</v>
      </c>
      <c r="R9" s="51">
        <v>1</v>
      </c>
      <c r="S9" s="51">
        <v>1050</v>
      </c>
      <c r="T9" s="53">
        <v>0.98599999999999999</v>
      </c>
      <c r="U9" s="51">
        <v>64</v>
      </c>
      <c r="V9" s="55">
        <v>6.0999999999999999E-2</v>
      </c>
      <c r="W9" s="51" t="s">
        <v>77</v>
      </c>
      <c r="X9" s="51" t="s">
        <v>39</v>
      </c>
      <c r="Y9" s="51" t="s">
        <v>77</v>
      </c>
      <c r="Z9" s="51" t="s">
        <v>26</v>
      </c>
      <c r="AA9" s="51" t="s">
        <v>26</v>
      </c>
      <c r="AB9" s="51" t="s">
        <v>29</v>
      </c>
      <c r="AC9" s="51" t="s">
        <v>298</v>
      </c>
    </row>
    <row r="10" spans="1:29" s="12" customFormat="1" ht="25.05" customHeight="1" x14ac:dyDescent="0.3">
      <c r="A10" s="51">
        <v>8</v>
      </c>
      <c r="B10" s="52" t="s">
        <v>50</v>
      </c>
      <c r="C10" s="51" t="s">
        <v>34</v>
      </c>
      <c r="D10" s="51" t="s">
        <v>295</v>
      </c>
      <c r="E10" s="51">
        <v>263143</v>
      </c>
      <c r="F10" s="51" t="s">
        <v>294</v>
      </c>
      <c r="G10" s="51">
        <v>5000</v>
      </c>
      <c r="H10" s="53">
        <v>0.5</v>
      </c>
      <c r="I10" s="53">
        <v>0.81</v>
      </c>
      <c r="J10" s="51" t="s">
        <v>26</v>
      </c>
      <c r="K10" s="51" t="s">
        <v>32</v>
      </c>
      <c r="L10" s="51" t="s">
        <v>26</v>
      </c>
      <c r="M10" s="53">
        <v>2025</v>
      </c>
      <c r="N10" s="54">
        <v>1350</v>
      </c>
      <c r="O10" s="55">
        <v>0.125</v>
      </c>
      <c r="P10" s="56">
        <v>7.5</v>
      </c>
      <c r="Q10" s="51">
        <v>648</v>
      </c>
      <c r="R10" s="51">
        <v>3</v>
      </c>
      <c r="S10" s="51">
        <v>1550</v>
      </c>
      <c r="T10" s="53">
        <v>1.5</v>
      </c>
      <c r="U10" s="51">
        <v>50</v>
      </c>
      <c r="V10" s="55">
        <v>3.2300000000000002E-2</v>
      </c>
      <c r="W10" s="51" t="s">
        <v>27</v>
      </c>
      <c r="X10" s="51" t="s">
        <v>27</v>
      </c>
      <c r="Y10" s="51" t="s">
        <v>27</v>
      </c>
      <c r="Z10" s="51" t="s">
        <v>26</v>
      </c>
      <c r="AA10" s="51" t="s">
        <v>26</v>
      </c>
      <c r="AB10" s="51" t="s">
        <v>30</v>
      </c>
      <c r="AC10" s="51" t="s">
        <v>297</v>
      </c>
    </row>
    <row r="11" spans="1:29" s="12" customFormat="1" ht="25.05" customHeight="1" x14ac:dyDescent="0.3">
      <c r="A11" s="51">
        <v>9</v>
      </c>
      <c r="B11" s="52" t="s">
        <v>50</v>
      </c>
      <c r="C11" s="51" t="s">
        <v>34</v>
      </c>
      <c r="D11" s="51" t="s">
        <v>295</v>
      </c>
      <c r="E11" s="51">
        <v>263147</v>
      </c>
      <c r="F11" s="51" t="s">
        <v>294</v>
      </c>
      <c r="G11" s="51">
        <v>1100</v>
      </c>
      <c r="H11" s="53">
        <v>0.40200000000000002</v>
      </c>
      <c r="I11" s="53">
        <v>1.1930000000000001</v>
      </c>
      <c r="J11" s="51" t="s">
        <v>26</v>
      </c>
      <c r="K11" s="51" t="s">
        <v>109</v>
      </c>
      <c r="L11" s="51" t="s">
        <v>26</v>
      </c>
      <c r="M11" s="53">
        <v>527.54499999999996</v>
      </c>
      <c r="N11" s="54">
        <v>437.4</v>
      </c>
      <c r="O11" s="55">
        <v>4.0500000000000001E-2</v>
      </c>
      <c r="P11" s="56">
        <v>2.4300000000000002</v>
      </c>
      <c r="Q11" s="51">
        <v>168.8</v>
      </c>
      <c r="R11" s="51">
        <v>3</v>
      </c>
      <c r="S11" s="51">
        <v>1250</v>
      </c>
      <c r="T11" s="53">
        <v>1.206</v>
      </c>
      <c r="U11" s="51">
        <v>44</v>
      </c>
      <c r="V11" s="55">
        <v>3.5200000000000002E-2</v>
      </c>
      <c r="W11" s="51" t="s">
        <v>27</v>
      </c>
      <c r="X11" s="51" t="s">
        <v>27</v>
      </c>
      <c r="Y11" s="51" t="s">
        <v>27</v>
      </c>
      <c r="Z11" s="51" t="s">
        <v>26</v>
      </c>
      <c r="AA11" s="51" t="s">
        <v>26</v>
      </c>
      <c r="AB11" s="51" t="s">
        <v>31</v>
      </c>
      <c r="AC11" s="51" t="s">
        <v>296</v>
      </c>
    </row>
    <row r="12" spans="1:29" s="12" customFormat="1" ht="25.05" customHeight="1" x14ac:dyDescent="0.3">
      <c r="A12" s="51">
        <v>10</v>
      </c>
      <c r="B12" s="52" t="s">
        <v>50</v>
      </c>
      <c r="C12" s="51" t="s">
        <v>43</v>
      </c>
      <c r="D12" s="51" t="s">
        <v>295</v>
      </c>
      <c r="E12" s="51">
        <v>263145</v>
      </c>
      <c r="F12" s="51" t="s">
        <v>294</v>
      </c>
      <c r="G12" s="51">
        <v>1200</v>
      </c>
      <c r="H12" s="53">
        <v>0.83</v>
      </c>
      <c r="I12" s="53">
        <v>0.63</v>
      </c>
      <c r="J12" s="51" t="s">
        <v>26</v>
      </c>
      <c r="K12" s="51" t="s">
        <v>32</v>
      </c>
      <c r="L12" s="51" t="s">
        <v>26</v>
      </c>
      <c r="M12" s="53">
        <v>627.48</v>
      </c>
      <c r="N12" s="54">
        <v>756</v>
      </c>
      <c r="O12" s="55">
        <v>0.21</v>
      </c>
      <c r="P12" s="56">
        <v>12.6</v>
      </c>
      <c r="Q12" s="51">
        <v>222.8</v>
      </c>
      <c r="R12" s="51">
        <v>1</v>
      </c>
      <c r="S12" s="51">
        <v>850</v>
      </c>
      <c r="T12" s="53">
        <v>0.83</v>
      </c>
      <c r="U12" s="51">
        <v>20</v>
      </c>
      <c r="V12" s="55">
        <v>2.35E-2</v>
      </c>
      <c r="W12" s="51" t="s">
        <v>28</v>
      </c>
      <c r="X12" s="51" t="s">
        <v>27</v>
      </c>
      <c r="Y12" s="51" t="s">
        <v>28</v>
      </c>
      <c r="Z12" s="51" t="s">
        <v>26</v>
      </c>
      <c r="AA12" s="51" t="s">
        <v>26</v>
      </c>
      <c r="AB12" s="51" t="s">
        <v>37</v>
      </c>
      <c r="AC12" s="51" t="s">
        <v>293</v>
      </c>
    </row>
    <row r="13" spans="1:29" s="12" customFormat="1" ht="25.05" customHeight="1" x14ac:dyDescent="0.3">
      <c r="A13" s="57" t="s">
        <v>26</v>
      </c>
      <c r="B13" s="57" t="s">
        <v>26</v>
      </c>
      <c r="C13" s="57" t="s">
        <v>26</v>
      </c>
      <c r="D13" s="57" t="s">
        <v>26</v>
      </c>
      <c r="E13" s="57" t="s">
        <v>26</v>
      </c>
      <c r="F13" s="57" t="s">
        <v>26</v>
      </c>
      <c r="G13" s="57">
        <v>10900</v>
      </c>
      <c r="H13" s="57" t="s">
        <v>26</v>
      </c>
      <c r="I13" s="57" t="s">
        <v>26</v>
      </c>
      <c r="J13" s="57" t="s">
        <v>26</v>
      </c>
      <c r="K13" s="57" t="s">
        <v>26</v>
      </c>
      <c r="L13" s="57" t="s">
        <v>26</v>
      </c>
      <c r="M13" s="57" t="s">
        <v>26</v>
      </c>
      <c r="N13" s="57" t="s">
        <v>26</v>
      </c>
      <c r="O13" s="57" t="s">
        <v>26</v>
      </c>
      <c r="P13" s="57" t="s">
        <v>26</v>
      </c>
      <c r="Q13" s="57">
        <v>5901.8</v>
      </c>
      <c r="R13" s="57" t="s">
        <v>26</v>
      </c>
      <c r="S13" s="57" t="s">
        <v>26</v>
      </c>
      <c r="T13" s="57" t="s">
        <v>26</v>
      </c>
      <c r="U13" s="57" t="s">
        <v>26</v>
      </c>
      <c r="V13" s="57" t="s">
        <v>26</v>
      </c>
      <c r="W13" s="57" t="s">
        <v>26</v>
      </c>
      <c r="X13" s="57" t="s">
        <v>26</v>
      </c>
      <c r="Y13" s="57" t="s">
        <v>26</v>
      </c>
      <c r="Z13" s="57" t="s">
        <v>26</v>
      </c>
      <c r="AA13" s="57" t="s">
        <v>26</v>
      </c>
      <c r="AB13" s="57" t="s">
        <v>26</v>
      </c>
      <c r="AC13" s="5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="79" zoomScaleNormal="79" workbookViewId="0">
      <selection activeCell="AM10" sqref="AM10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" style="1" customWidth="1"/>
    <col min="6" max="7" width="6.21875" style="1" customWidth="1"/>
    <col min="8" max="8" width="6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 x14ac:dyDescent="0.35">
      <c r="A1" s="61" t="s">
        <v>292</v>
      </c>
      <c r="B1" s="61" t="s">
        <v>26</v>
      </c>
      <c r="C1" s="61" t="s">
        <v>26</v>
      </c>
      <c r="D1" s="61" t="s">
        <v>26</v>
      </c>
      <c r="E1" s="61" t="s">
        <v>26</v>
      </c>
      <c r="F1" s="61" t="s">
        <v>26</v>
      </c>
      <c r="G1" s="61" t="s">
        <v>26</v>
      </c>
      <c r="H1" s="61" t="s">
        <v>26</v>
      </c>
      <c r="I1" s="61" t="s">
        <v>26</v>
      </c>
      <c r="J1" s="61" t="s">
        <v>26</v>
      </c>
      <c r="K1" s="61" t="s">
        <v>26</v>
      </c>
      <c r="L1" s="61" t="s">
        <v>26</v>
      </c>
      <c r="M1" s="61" t="s">
        <v>26</v>
      </c>
      <c r="N1" s="61" t="s">
        <v>26</v>
      </c>
      <c r="O1" s="61" t="s">
        <v>26</v>
      </c>
      <c r="P1" s="61" t="s">
        <v>26</v>
      </c>
      <c r="Q1" s="61" t="s">
        <v>26</v>
      </c>
      <c r="R1" s="61" t="s">
        <v>26</v>
      </c>
      <c r="S1" s="61" t="s">
        <v>26</v>
      </c>
      <c r="T1" s="61" t="s">
        <v>26</v>
      </c>
      <c r="U1" s="61" t="s">
        <v>26</v>
      </c>
      <c r="V1" s="61" t="s">
        <v>26</v>
      </c>
      <c r="W1" s="61" t="s">
        <v>26</v>
      </c>
      <c r="X1" s="61" t="s">
        <v>26</v>
      </c>
      <c r="Y1" s="61" t="s">
        <v>26</v>
      </c>
      <c r="Z1" s="61" t="s">
        <v>26</v>
      </c>
      <c r="AA1" s="61" t="s">
        <v>26</v>
      </c>
      <c r="AB1" s="61" t="s">
        <v>26</v>
      </c>
      <c r="AC1" s="61" t="s">
        <v>26</v>
      </c>
    </row>
    <row r="2" spans="1:29" ht="42" customHeight="1" x14ac:dyDescent="0.3">
      <c r="A2" s="80" t="s">
        <v>0</v>
      </c>
      <c r="B2" s="80" t="s">
        <v>35</v>
      </c>
      <c r="C2" s="80" t="s">
        <v>1</v>
      </c>
      <c r="D2" s="80" t="s">
        <v>2</v>
      </c>
      <c r="E2" s="80" t="s">
        <v>45</v>
      </c>
      <c r="F2" s="80" t="s">
        <v>3</v>
      </c>
      <c r="G2" s="80" t="s">
        <v>4</v>
      </c>
      <c r="H2" s="80" t="s">
        <v>5</v>
      </c>
      <c r="I2" s="80" t="s">
        <v>6</v>
      </c>
      <c r="J2" s="80" t="s">
        <v>26</v>
      </c>
      <c r="K2" s="80" t="s">
        <v>7</v>
      </c>
      <c r="L2" s="80" t="s">
        <v>26</v>
      </c>
      <c r="M2" s="80" t="s">
        <v>8</v>
      </c>
      <c r="N2" s="80" t="s">
        <v>9</v>
      </c>
      <c r="O2" s="80" t="s">
        <v>10</v>
      </c>
      <c r="P2" s="80" t="s">
        <v>11</v>
      </c>
      <c r="Q2" s="80" t="s">
        <v>12</v>
      </c>
      <c r="R2" s="80" t="s">
        <v>13</v>
      </c>
      <c r="S2" s="80" t="s">
        <v>14</v>
      </c>
      <c r="T2" s="80" t="s">
        <v>15</v>
      </c>
      <c r="U2" s="80" t="s">
        <v>16</v>
      </c>
      <c r="V2" s="80" t="s">
        <v>17</v>
      </c>
      <c r="W2" s="80" t="s">
        <v>18</v>
      </c>
      <c r="X2" s="80" t="s">
        <v>19</v>
      </c>
      <c r="Y2" s="80" t="s">
        <v>20</v>
      </c>
      <c r="Z2" s="80" t="s">
        <v>21</v>
      </c>
      <c r="AA2" s="80" t="s">
        <v>22</v>
      </c>
      <c r="AB2" s="80" t="s">
        <v>23</v>
      </c>
      <c r="AC2" s="80" t="s">
        <v>24</v>
      </c>
    </row>
    <row r="3" spans="1:29" s="2" customFormat="1" ht="25.05" customHeight="1" x14ac:dyDescent="0.3">
      <c r="A3" s="67"/>
      <c r="B3" s="72" t="s">
        <v>125</v>
      </c>
      <c r="C3" s="67" t="s">
        <v>41</v>
      </c>
      <c r="D3" s="67" t="s">
        <v>98</v>
      </c>
      <c r="E3" s="67">
        <v>263136</v>
      </c>
      <c r="F3" s="67" t="s">
        <v>290</v>
      </c>
      <c r="G3" s="67">
        <v>400</v>
      </c>
      <c r="H3" s="69">
        <v>1.24</v>
      </c>
      <c r="I3" s="69">
        <v>1.45</v>
      </c>
      <c r="J3" s="67" t="s">
        <v>26</v>
      </c>
      <c r="K3" s="67" t="s">
        <v>32</v>
      </c>
      <c r="L3" s="67" t="s">
        <v>26</v>
      </c>
      <c r="M3" s="69">
        <v>719.2</v>
      </c>
      <c r="N3" s="71">
        <v>580</v>
      </c>
      <c r="O3" s="68">
        <v>0.16109999999999999</v>
      </c>
      <c r="P3" s="70">
        <v>9.67</v>
      </c>
      <c r="Q3" s="67">
        <v>408.5</v>
      </c>
      <c r="R3" s="67">
        <v>1</v>
      </c>
      <c r="S3" s="67">
        <v>1300</v>
      </c>
      <c r="T3" s="69">
        <v>1.24</v>
      </c>
      <c r="U3" s="67">
        <v>60</v>
      </c>
      <c r="V3" s="68">
        <v>4.6199999999999998E-2</v>
      </c>
      <c r="W3" s="67" t="s">
        <v>33</v>
      </c>
      <c r="X3" s="67" t="s">
        <v>38</v>
      </c>
      <c r="Y3" s="67" t="s">
        <v>33</v>
      </c>
      <c r="Z3" s="67" t="s">
        <v>33</v>
      </c>
      <c r="AA3" s="67" t="s">
        <v>33</v>
      </c>
      <c r="AB3" s="67" t="s">
        <v>29</v>
      </c>
      <c r="AC3" s="67" t="s">
        <v>291</v>
      </c>
    </row>
    <row r="4" spans="1:29" s="73" customFormat="1" ht="25.05" customHeight="1" x14ac:dyDescent="0.3">
      <c r="A4" s="74"/>
      <c r="B4" s="79" t="s">
        <v>125</v>
      </c>
      <c r="C4" s="74" t="s">
        <v>41</v>
      </c>
      <c r="D4" s="74" t="s">
        <v>98</v>
      </c>
      <c r="E4" s="74">
        <v>263009</v>
      </c>
      <c r="F4" s="74">
        <v>1410</v>
      </c>
      <c r="G4" s="74">
        <v>1395</v>
      </c>
      <c r="H4" s="76">
        <v>0.879</v>
      </c>
      <c r="I4" s="76">
        <v>1.48</v>
      </c>
      <c r="J4" s="74" t="s">
        <v>26</v>
      </c>
      <c r="K4" s="74" t="s">
        <v>68</v>
      </c>
      <c r="L4" s="74" t="s">
        <v>26</v>
      </c>
      <c r="M4" s="76">
        <v>1814.7829999999999</v>
      </c>
      <c r="N4" s="78">
        <v>2064.6</v>
      </c>
      <c r="O4" s="75">
        <v>0.57350000000000001</v>
      </c>
      <c r="P4" s="77">
        <v>34.409999999999997</v>
      </c>
      <c r="Q4" s="74">
        <v>1030.8</v>
      </c>
      <c r="R4" s="74">
        <v>1</v>
      </c>
      <c r="S4" s="74">
        <v>900</v>
      </c>
      <c r="T4" s="76">
        <v>0.879</v>
      </c>
      <c r="U4" s="74">
        <v>21</v>
      </c>
      <c r="V4" s="75">
        <v>2.3300000000000001E-2</v>
      </c>
      <c r="W4" s="74" t="s">
        <v>33</v>
      </c>
      <c r="X4" s="74" t="s">
        <v>38</v>
      </c>
      <c r="Y4" s="74" t="s">
        <v>33</v>
      </c>
      <c r="Z4" s="74" t="s">
        <v>33</v>
      </c>
      <c r="AA4" s="74" t="s">
        <v>33</v>
      </c>
      <c r="AB4" s="74" t="s">
        <v>44</v>
      </c>
      <c r="AC4" s="74" t="s">
        <v>67</v>
      </c>
    </row>
    <row r="5" spans="1:29" s="2" customFormat="1" ht="25.05" customHeight="1" x14ac:dyDescent="0.3">
      <c r="A5" s="67"/>
      <c r="B5" s="72" t="s">
        <v>125</v>
      </c>
      <c r="C5" s="67" t="s">
        <v>41</v>
      </c>
      <c r="D5" s="67" t="s">
        <v>98</v>
      </c>
      <c r="E5" s="67">
        <v>263135</v>
      </c>
      <c r="F5" s="67" t="s">
        <v>290</v>
      </c>
      <c r="G5" s="67">
        <v>770</v>
      </c>
      <c r="H5" s="69">
        <v>0.79900000000000004</v>
      </c>
      <c r="I5" s="69">
        <v>1.0900000000000001</v>
      </c>
      <c r="J5" s="67" t="s">
        <v>26</v>
      </c>
      <c r="K5" s="67" t="s">
        <v>124</v>
      </c>
      <c r="L5" s="67" t="s">
        <v>26</v>
      </c>
      <c r="M5" s="69">
        <v>670.601</v>
      </c>
      <c r="N5" s="71">
        <v>839.3</v>
      </c>
      <c r="O5" s="68">
        <v>0.2331</v>
      </c>
      <c r="P5" s="70">
        <v>13.99</v>
      </c>
      <c r="Q5" s="67">
        <v>380.9</v>
      </c>
      <c r="R5" s="67">
        <v>1</v>
      </c>
      <c r="S5" s="67">
        <v>850</v>
      </c>
      <c r="T5" s="69">
        <v>0.79900000000000004</v>
      </c>
      <c r="U5" s="67">
        <v>51</v>
      </c>
      <c r="V5" s="68">
        <v>0.06</v>
      </c>
      <c r="W5" s="67" t="s">
        <v>33</v>
      </c>
      <c r="X5" s="67" t="s">
        <v>38</v>
      </c>
      <c r="Y5" s="67" t="s">
        <v>33</v>
      </c>
      <c r="Z5" s="67" t="s">
        <v>33</v>
      </c>
      <c r="AA5" s="67" t="s">
        <v>33</v>
      </c>
      <c r="AB5" s="67" t="s">
        <v>31</v>
      </c>
      <c r="AC5" s="67" t="s">
        <v>123</v>
      </c>
    </row>
    <row r="6" spans="1:29" s="2" customFormat="1" ht="25.05" customHeight="1" x14ac:dyDescent="0.3">
      <c r="A6" s="67"/>
      <c r="B6" s="72" t="s">
        <v>125</v>
      </c>
      <c r="C6" s="67" t="s">
        <v>254</v>
      </c>
      <c r="D6" s="67" t="s">
        <v>98</v>
      </c>
      <c r="E6" s="67">
        <v>263137</v>
      </c>
      <c r="F6" s="67" t="s">
        <v>290</v>
      </c>
      <c r="G6" s="67">
        <v>3300</v>
      </c>
      <c r="H6" s="69">
        <v>0.53900000000000003</v>
      </c>
      <c r="I6" s="69">
        <v>1.05</v>
      </c>
      <c r="J6" s="67" t="s">
        <v>26</v>
      </c>
      <c r="K6" s="67" t="s">
        <v>289</v>
      </c>
      <c r="L6" s="67" t="s">
        <v>26</v>
      </c>
      <c r="M6" s="69">
        <v>1867.635</v>
      </c>
      <c r="N6" s="71">
        <v>1732.5</v>
      </c>
      <c r="O6" s="68">
        <v>0.24060000000000001</v>
      </c>
      <c r="P6" s="70">
        <v>14.44</v>
      </c>
      <c r="Q6" s="67">
        <v>763.9</v>
      </c>
      <c r="R6" s="67">
        <v>2</v>
      </c>
      <c r="S6" s="67">
        <v>1100</v>
      </c>
      <c r="T6" s="69">
        <v>1.0780000000000001</v>
      </c>
      <c r="U6" s="67">
        <v>22</v>
      </c>
      <c r="V6" s="68">
        <v>0.02</v>
      </c>
      <c r="W6" s="67" t="s">
        <v>38</v>
      </c>
      <c r="X6" s="67" t="s">
        <v>38</v>
      </c>
      <c r="Y6" s="67" t="s">
        <v>28</v>
      </c>
      <c r="Z6" s="67" t="s">
        <v>26</v>
      </c>
      <c r="AA6" s="67" t="s">
        <v>26</v>
      </c>
      <c r="AB6" s="67" t="s">
        <v>29</v>
      </c>
      <c r="AC6" s="67" t="s">
        <v>288</v>
      </c>
    </row>
    <row r="7" spans="1:29" s="2" customFormat="1" ht="25.05" customHeight="1" x14ac:dyDescent="0.3">
      <c r="A7" s="66" t="s">
        <v>26</v>
      </c>
      <c r="B7" s="66" t="s">
        <v>26</v>
      </c>
      <c r="C7" s="66" t="s">
        <v>26</v>
      </c>
      <c r="D7" s="66" t="s">
        <v>26</v>
      </c>
      <c r="E7" s="66" t="s">
        <v>26</v>
      </c>
      <c r="F7" s="66" t="s">
        <v>26</v>
      </c>
      <c r="G7" s="66">
        <f>SUM(G3:G6)</f>
        <v>5865</v>
      </c>
      <c r="H7" s="66" t="s">
        <v>26</v>
      </c>
      <c r="I7" s="66" t="s">
        <v>26</v>
      </c>
      <c r="J7" s="66" t="s">
        <v>26</v>
      </c>
      <c r="K7" s="66" t="s">
        <v>26</v>
      </c>
      <c r="L7" s="66" t="s">
        <v>26</v>
      </c>
      <c r="M7" s="66" t="s">
        <v>26</v>
      </c>
      <c r="N7" s="66" t="s">
        <v>26</v>
      </c>
      <c r="O7" s="66" t="s">
        <v>26</v>
      </c>
      <c r="P7" s="66" t="s">
        <v>26</v>
      </c>
      <c r="Q7" s="66">
        <f>SUM(Q3:Q6)</f>
        <v>2584.1</v>
      </c>
      <c r="R7" s="66" t="s">
        <v>26</v>
      </c>
      <c r="S7" s="66" t="s">
        <v>26</v>
      </c>
      <c r="T7" s="66" t="s">
        <v>26</v>
      </c>
      <c r="U7" s="66" t="s">
        <v>26</v>
      </c>
      <c r="V7" s="66" t="s">
        <v>26</v>
      </c>
      <c r="W7" s="66" t="s">
        <v>26</v>
      </c>
      <c r="X7" s="66" t="s">
        <v>26</v>
      </c>
      <c r="Y7" s="66" t="s">
        <v>26</v>
      </c>
      <c r="Z7" s="66" t="s">
        <v>26</v>
      </c>
      <c r="AA7" s="66" t="s">
        <v>26</v>
      </c>
      <c r="AB7" s="66" t="s">
        <v>26</v>
      </c>
      <c r="AC7" s="66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6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6"/>
  <sheetViews>
    <sheetView workbookViewId="0">
      <selection activeCell="AD24" sqref="AD24"/>
    </sheetView>
  </sheetViews>
  <sheetFormatPr defaultRowHeight="14.4" x14ac:dyDescent="0.3"/>
  <cols>
    <col min="1" max="1" width="3.6640625" style="4" customWidth="1"/>
    <col min="2" max="2" width="20.77734375" style="4" hidden="1" customWidth="1"/>
    <col min="3" max="3" width="6" style="4" customWidth="1"/>
    <col min="4" max="4" width="11.77734375" style="4" hidden="1" customWidth="1"/>
    <col min="5" max="5" width="7.5546875" style="4" customWidth="1"/>
    <col min="6" max="6" width="5.21875" style="4" customWidth="1"/>
    <col min="7" max="7" width="5.77734375" style="4" customWidth="1"/>
    <col min="8" max="8" width="6.6640625" style="4" customWidth="1"/>
    <col min="9" max="9" width="7.6640625" style="4" customWidth="1"/>
    <col min="10" max="10" width="7" style="4" customWidth="1"/>
    <col min="11" max="11" width="13.77734375" style="4" customWidth="1"/>
    <col min="12" max="12" width="6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21875" style="4" customWidth="1"/>
    <col min="18" max="18" width="4.88671875" style="4" customWidth="1"/>
    <col min="19" max="19" width="5.88671875" style="4" customWidth="1"/>
    <col min="20" max="20" width="6.33203125" style="4" customWidth="1"/>
    <col min="21" max="21" width="11.77734375" style="4" hidden="1" customWidth="1"/>
    <col min="22" max="22" width="8.77734375" style="4" hidden="1" customWidth="1"/>
    <col min="23" max="23" width="7.33203125" style="4" customWidth="1"/>
    <col min="24" max="24" width="7.5546875" style="4" customWidth="1"/>
    <col min="25" max="25" width="7.33203125" style="4" customWidth="1"/>
    <col min="26" max="26" width="7.21875" style="4" customWidth="1"/>
    <col min="27" max="27" width="7.44140625" style="4" customWidth="1"/>
    <col min="28" max="28" width="4.77734375" style="4" customWidth="1"/>
    <col min="29" max="29" width="10.88671875" style="4" customWidth="1"/>
    <col min="30" max="16384" width="8.88671875" style="4"/>
  </cols>
  <sheetData>
    <row r="1" spans="1:29" ht="18" customHeight="1" x14ac:dyDescent="0.35">
      <c r="A1" s="59" t="s">
        <v>277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50.4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99</v>
      </c>
      <c r="C3" s="6" t="s">
        <v>41</v>
      </c>
      <c r="D3" s="6" t="s">
        <v>247</v>
      </c>
      <c r="E3" s="6">
        <v>263129</v>
      </c>
      <c r="F3" s="6" t="s">
        <v>273</v>
      </c>
      <c r="G3" s="6">
        <v>500</v>
      </c>
      <c r="H3" s="8">
        <v>1.494</v>
      </c>
      <c r="I3" s="8">
        <v>2.5630000000000002</v>
      </c>
      <c r="J3" s="6" t="s">
        <v>26</v>
      </c>
      <c r="K3" s="6" t="s">
        <v>276</v>
      </c>
      <c r="L3" s="6" t="s">
        <v>26</v>
      </c>
      <c r="M3" s="8">
        <v>1914.5609999999999</v>
      </c>
      <c r="N3" s="9">
        <v>1281.5</v>
      </c>
      <c r="O3" s="10">
        <v>0.35599999999999998</v>
      </c>
      <c r="P3" s="11">
        <v>21.36</v>
      </c>
      <c r="Q3" s="6">
        <v>1087.5</v>
      </c>
      <c r="R3" s="6">
        <v>1</v>
      </c>
      <c r="S3" s="6">
        <v>1550</v>
      </c>
      <c r="T3" s="8">
        <v>1.494</v>
      </c>
      <c r="U3" s="6">
        <v>56</v>
      </c>
      <c r="V3" s="10">
        <v>3.61E-2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29</v>
      </c>
      <c r="AC3" s="6" t="s">
        <v>66</v>
      </c>
    </row>
    <row r="4" spans="1:29" s="12" customFormat="1" ht="25.05" customHeight="1" x14ac:dyDescent="0.3">
      <c r="A4" s="6"/>
      <c r="B4" s="7" t="s">
        <v>99</v>
      </c>
      <c r="C4" s="6" t="s">
        <v>41</v>
      </c>
      <c r="D4" s="6" t="s">
        <v>247</v>
      </c>
      <c r="E4" s="6">
        <v>263128</v>
      </c>
      <c r="F4" s="6" t="s">
        <v>273</v>
      </c>
      <c r="G4" s="6">
        <v>500</v>
      </c>
      <c r="H4" s="8">
        <v>1.444</v>
      </c>
      <c r="I4" s="8">
        <v>2.383</v>
      </c>
      <c r="J4" s="6" t="s">
        <v>26</v>
      </c>
      <c r="K4" s="6" t="s">
        <v>275</v>
      </c>
      <c r="L4" s="6" t="s">
        <v>26</v>
      </c>
      <c r="M4" s="8">
        <v>1720.5260000000001</v>
      </c>
      <c r="N4" s="9">
        <v>1191.5</v>
      </c>
      <c r="O4" s="10">
        <v>0.33100000000000002</v>
      </c>
      <c r="P4" s="11">
        <v>19.86</v>
      </c>
      <c r="Q4" s="6">
        <v>977.3</v>
      </c>
      <c r="R4" s="6">
        <v>1</v>
      </c>
      <c r="S4" s="6">
        <v>1500</v>
      </c>
      <c r="T4" s="8">
        <v>1.444</v>
      </c>
      <c r="U4" s="6">
        <v>56</v>
      </c>
      <c r="V4" s="10">
        <v>3.73E-2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29</v>
      </c>
      <c r="AC4" s="6" t="s">
        <v>274</v>
      </c>
    </row>
    <row r="5" spans="1:29" s="12" customFormat="1" ht="25.05" customHeight="1" x14ac:dyDescent="0.3">
      <c r="A5" s="6"/>
      <c r="B5" s="7" t="s">
        <v>99</v>
      </c>
      <c r="C5" s="6" t="s">
        <v>41</v>
      </c>
      <c r="D5" s="6" t="s">
        <v>247</v>
      </c>
      <c r="E5" s="6">
        <v>263127</v>
      </c>
      <c r="F5" s="6" t="s">
        <v>273</v>
      </c>
      <c r="G5" s="6">
        <v>500</v>
      </c>
      <c r="H5" s="8">
        <v>1.0880000000000001</v>
      </c>
      <c r="I5" s="8">
        <v>2.343</v>
      </c>
      <c r="J5" s="6" t="s">
        <v>26</v>
      </c>
      <c r="K5" s="6" t="s">
        <v>272</v>
      </c>
      <c r="L5" s="6" t="s">
        <v>26</v>
      </c>
      <c r="M5" s="8">
        <v>1274.5920000000001</v>
      </c>
      <c r="N5" s="9">
        <v>1171.5</v>
      </c>
      <c r="O5" s="10">
        <v>0.32540000000000002</v>
      </c>
      <c r="P5" s="11">
        <v>19.52</v>
      </c>
      <c r="Q5" s="6">
        <v>724</v>
      </c>
      <c r="R5" s="6">
        <v>1</v>
      </c>
      <c r="S5" s="6">
        <v>1150</v>
      </c>
      <c r="T5" s="8">
        <v>1.0880000000000001</v>
      </c>
      <c r="U5" s="6">
        <v>62</v>
      </c>
      <c r="V5" s="10">
        <v>5.3900000000000003E-2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29</v>
      </c>
      <c r="AC5" s="6" t="s">
        <v>271</v>
      </c>
    </row>
    <row r="6" spans="1:29" s="12" customFormat="1" ht="25.05" customHeight="1" x14ac:dyDescent="0.3">
      <c r="A6" s="13" t="s">
        <v>26</v>
      </c>
      <c r="B6" s="13" t="s">
        <v>26</v>
      </c>
      <c r="C6" s="13" t="s">
        <v>26</v>
      </c>
      <c r="D6" s="13" t="s">
        <v>26</v>
      </c>
      <c r="E6" s="13" t="s">
        <v>26</v>
      </c>
      <c r="F6" s="13" t="s">
        <v>26</v>
      </c>
      <c r="G6" s="13">
        <f>SUM(G3:G5)</f>
        <v>1500</v>
      </c>
      <c r="H6" s="13" t="s">
        <v>26</v>
      </c>
      <c r="I6" s="13" t="s">
        <v>26</v>
      </c>
      <c r="J6" s="13" t="s">
        <v>26</v>
      </c>
      <c r="K6" s="13" t="s">
        <v>26</v>
      </c>
      <c r="L6" s="13" t="s">
        <v>26</v>
      </c>
      <c r="M6" s="13" t="s">
        <v>26</v>
      </c>
      <c r="N6" s="13" t="s">
        <v>26</v>
      </c>
      <c r="O6" s="13" t="s">
        <v>26</v>
      </c>
      <c r="P6" s="13" t="s">
        <v>26</v>
      </c>
      <c r="Q6" s="13">
        <f>SUM(Q3:Q5)</f>
        <v>2788.8</v>
      </c>
      <c r="R6" s="13" t="s">
        <v>26</v>
      </c>
      <c r="S6" s="13" t="s">
        <v>26</v>
      </c>
      <c r="T6" s="13" t="s">
        <v>26</v>
      </c>
      <c r="U6" s="13" t="s">
        <v>26</v>
      </c>
      <c r="V6" s="13" t="s">
        <v>26</v>
      </c>
      <c r="W6" s="13" t="s">
        <v>26</v>
      </c>
      <c r="X6" s="13" t="s">
        <v>26</v>
      </c>
      <c r="Y6" s="13" t="s">
        <v>26</v>
      </c>
      <c r="Z6" s="13" t="s">
        <v>26</v>
      </c>
      <c r="AA6" s="13" t="s">
        <v>26</v>
      </c>
      <c r="AB6" s="13" t="s">
        <v>26</v>
      </c>
      <c r="AC6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47CDF-BE8C-4571-8267-9844A5605FBD}">
  <sheetPr>
    <pageSetUpPr fitToPage="1"/>
  </sheetPr>
  <dimension ref="A1:AC4"/>
  <sheetViews>
    <sheetView workbookViewId="0">
      <selection activeCell="W27" sqref="W27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6.5546875" style="4" customWidth="1"/>
    <col min="4" max="4" width="11.77734375" style="4" hidden="1" customWidth="1"/>
    <col min="5" max="5" width="7.77734375" style="4" customWidth="1"/>
    <col min="6" max="6" width="4.6640625" style="4" customWidth="1"/>
    <col min="7" max="7" width="6.21875" style="4" customWidth="1"/>
    <col min="8" max="9" width="7" style="4" customWidth="1"/>
    <col min="10" max="10" width="7.44140625" style="4" customWidth="1"/>
    <col min="11" max="11" width="12.88671875" style="4" customWidth="1"/>
    <col min="12" max="12" width="7.88671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21875" style="4" customWidth="1"/>
    <col min="18" max="18" width="4.5546875" style="4" customWidth="1"/>
    <col min="19" max="20" width="5.6640625" style="4" customWidth="1"/>
    <col min="21" max="21" width="11.77734375" style="4" hidden="1" customWidth="1"/>
    <col min="22" max="22" width="8.77734375" style="4" hidden="1" customWidth="1"/>
    <col min="23" max="23" width="7.88671875" style="4" customWidth="1"/>
    <col min="24" max="24" width="7.77734375" style="4" customWidth="1"/>
    <col min="25" max="25" width="7.5546875" style="4" customWidth="1"/>
    <col min="26" max="27" width="7.88671875" style="4" customWidth="1"/>
    <col min="28" max="28" width="4" style="4" customWidth="1"/>
    <col min="29" max="29" width="9.21875" style="4" customWidth="1"/>
    <col min="30" max="16384" width="8.88671875" style="4"/>
  </cols>
  <sheetData>
    <row r="1" spans="1:29" ht="18" customHeight="1" x14ac:dyDescent="0.35">
      <c r="A1" s="59" t="s">
        <v>270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54.6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50</v>
      </c>
      <c r="C3" s="6" t="s">
        <v>48</v>
      </c>
      <c r="D3" s="6" t="s">
        <v>247</v>
      </c>
      <c r="E3" s="6">
        <v>263126</v>
      </c>
      <c r="F3" s="6" t="s">
        <v>69</v>
      </c>
      <c r="G3" s="6">
        <v>1300</v>
      </c>
      <c r="H3" s="8">
        <v>1.2050000000000001</v>
      </c>
      <c r="I3" s="8">
        <v>2.5910000000000002</v>
      </c>
      <c r="J3" s="6" t="s">
        <v>26</v>
      </c>
      <c r="K3" s="6" t="s">
        <v>269</v>
      </c>
      <c r="L3" s="6" t="s">
        <v>26</v>
      </c>
      <c r="M3" s="8">
        <v>4058.8020000000001</v>
      </c>
      <c r="N3" s="9">
        <v>842.1</v>
      </c>
      <c r="O3" s="10">
        <v>5.8500000000000003E-2</v>
      </c>
      <c r="P3" s="11">
        <v>3.51</v>
      </c>
      <c r="Q3" s="6">
        <v>2565.1999999999998</v>
      </c>
      <c r="R3" s="6">
        <v>4</v>
      </c>
      <c r="S3" s="6">
        <v>1250</v>
      </c>
      <c r="T3" s="8">
        <v>4.82</v>
      </c>
      <c r="U3" s="6">
        <v>-3570</v>
      </c>
      <c r="V3" s="10">
        <v>-2.8559999999999999</v>
      </c>
      <c r="W3" s="6" t="s">
        <v>28</v>
      </c>
      <c r="X3" s="6" t="s">
        <v>38</v>
      </c>
      <c r="Y3" s="6" t="s">
        <v>27</v>
      </c>
      <c r="Z3" s="6" t="s">
        <v>27</v>
      </c>
      <c r="AA3" s="6" t="s">
        <v>28</v>
      </c>
      <c r="AB3" s="6" t="s">
        <v>31</v>
      </c>
      <c r="AC3" s="6" t="s">
        <v>260</v>
      </c>
    </row>
    <row r="4" spans="1:29" s="12" customFormat="1" ht="25.05" customHeight="1" x14ac:dyDescent="0.3">
      <c r="A4" s="13" t="s">
        <v>26</v>
      </c>
      <c r="B4" s="13" t="s">
        <v>26</v>
      </c>
      <c r="C4" s="13" t="s">
        <v>26</v>
      </c>
      <c r="D4" s="13" t="s">
        <v>26</v>
      </c>
      <c r="E4" s="13" t="s">
        <v>26</v>
      </c>
      <c r="F4" s="13" t="s">
        <v>26</v>
      </c>
      <c r="G4" s="13">
        <v>1300</v>
      </c>
      <c r="H4" s="13" t="s">
        <v>26</v>
      </c>
      <c r="I4" s="13" t="s">
        <v>26</v>
      </c>
      <c r="J4" s="13" t="s">
        <v>26</v>
      </c>
      <c r="K4" s="13" t="s">
        <v>26</v>
      </c>
      <c r="L4" s="13" t="s">
        <v>26</v>
      </c>
      <c r="M4" s="13" t="s">
        <v>26</v>
      </c>
      <c r="N4" s="13" t="s">
        <v>26</v>
      </c>
      <c r="O4" s="13" t="s">
        <v>26</v>
      </c>
      <c r="P4" s="13" t="s">
        <v>26</v>
      </c>
      <c r="Q4" s="13">
        <v>2565.1999999999998</v>
      </c>
      <c r="R4" s="13" t="s">
        <v>26</v>
      </c>
      <c r="S4" s="13" t="s">
        <v>26</v>
      </c>
      <c r="T4" s="13" t="s">
        <v>26</v>
      </c>
      <c r="U4" s="13" t="s">
        <v>26</v>
      </c>
      <c r="V4" s="13" t="s">
        <v>26</v>
      </c>
      <c r="W4" s="13" t="s">
        <v>26</v>
      </c>
      <c r="X4" s="13" t="s">
        <v>26</v>
      </c>
      <c r="Y4" s="13" t="s">
        <v>26</v>
      </c>
      <c r="Z4" s="13" t="s">
        <v>26</v>
      </c>
      <c r="AA4" s="13" t="s">
        <v>26</v>
      </c>
      <c r="AB4" s="13" t="s">
        <v>26</v>
      </c>
      <c r="AC4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1"/>
  <sheetViews>
    <sheetView tabSelected="1" workbookViewId="0">
      <selection activeCell="R18" sqref="R18"/>
    </sheetView>
  </sheetViews>
  <sheetFormatPr defaultRowHeight="14.4" x14ac:dyDescent="0.3"/>
  <cols>
    <col min="1" max="1" width="4.77734375" style="4" customWidth="1"/>
    <col min="2" max="2" width="20.77734375" style="4" hidden="1" customWidth="1"/>
    <col min="3" max="3" width="6.21875" style="4" customWidth="1"/>
    <col min="4" max="4" width="11.77734375" style="4" hidden="1" customWidth="1"/>
    <col min="5" max="5" width="7.6640625" style="4" customWidth="1"/>
    <col min="6" max="6" width="4.88671875" style="4" customWidth="1"/>
    <col min="7" max="7" width="6.77734375" style="4" customWidth="1"/>
    <col min="8" max="8" width="5.5546875" style="4" customWidth="1"/>
    <col min="9" max="9" width="7.88671875" style="4" customWidth="1"/>
    <col min="10" max="10" width="7" style="4" customWidth="1"/>
    <col min="11" max="11" width="13.5546875" style="4" customWidth="1"/>
    <col min="12" max="12" width="7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109375" style="4" customWidth="1"/>
    <col min="18" max="18" width="4.77734375" style="4" customWidth="1"/>
    <col min="19" max="19" width="7.6640625" style="4" customWidth="1"/>
    <col min="20" max="20" width="7.33203125" style="4" customWidth="1"/>
    <col min="21" max="21" width="11.77734375" style="4" hidden="1" customWidth="1"/>
    <col min="22" max="22" width="8.77734375" style="4" hidden="1" customWidth="1"/>
    <col min="23" max="23" width="8.109375" style="4" customWidth="1"/>
    <col min="24" max="25" width="7.77734375" style="4" customWidth="1"/>
    <col min="26" max="27" width="7.88671875" style="4" customWidth="1"/>
    <col min="28" max="28" width="4.5546875" style="4" customWidth="1"/>
    <col min="29" max="29" width="11.6640625" style="4" customWidth="1"/>
    <col min="30" max="16384" width="8.88671875" style="4"/>
  </cols>
  <sheetData>
    <row r="1" spans="1:29" ht="18" customHeight="1" x14ac:dyDescent="0.35">
      <c r="A1" s="59" t="s">
        <v>268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42" customHeight="1" x14ac:dyDescent="0.3">
      <c r="A2" s="49" t="s">
        <v>0</v>
      </c>
      <c r="B2" s="49" t="s">
        <v>35</v>
      </c>
      <c r="C2" s="49" t="s">
        <v>1</v>
      </c>
      <c r="D2" s="49" t="s">
        <v>2</v>
      </c>
      <c r="E2" s="49" t="s">
        <v>45</v>
      </c>
      <c r="F2" s="49" t="s">
        <v>3</v>
      </c>
      <c r="G2" s="49" t="s">
        <v>4</v>
      </c>
      <c r="H2" s="49" t="s">
        <v>5</v>
      </c>
      <c r="I2" s="49" t="s">
        <v>6</v>
      </c>
      <c r="J2" s="49" t="s">
        <v>26</v>
      </c>
      <c r="K2" s="49" t="s">
        <v>7</v>
      </c>
      <c r="L2" s="49" t="s">
        <v>26</v>
      </c>
      <c r="M2" s="49" t="s">
        <v>8</v>
      </c>
      <c r="N2" s="49" t="s">
        <v>9</v>
      </c>
      <c r="O2" s="49" t="s">
        <v>10</v>
      </c>
      <c r="P2" s="49" t="s">
        <v>11</v>
      </c>
      <c r="Q2" s="49" t="s">
        <v>12</v>
      </c>
      <c r="R2" s="49" t="s">
        <v>13</v>
      </c>
      <c r="S2" s="49" t="s">
        <v>14</v>
      </c>
      <c r="T2" s="49" t="s">
        <v>15</v>
      </c>
      <c r="U2" s="49" t="s">
        <v>16</v>
      </c>
      <c r="V2" s="49" t="s">
        <v>17</v>
      </c>
      <c r="W2" s="49" t="s">
        <v>18</v>
      </c>
      <c r="X2" s="49" t="s">
        <v>19</v>
      </c>
      <c r="Y2" s="49" t="s">
        <v>20</v>
      </c>
      <c r="Z2" s="49" t="s">
        <v>21</v>
      </c>
      <c r="AA2" s="49" t="s">
        <v>22</v>
      </c>
      <c r="AB2" s="49" t="s">
        <v>23</v>
      </c>
      <c r="AC2" s="49" t="s">
        <v>24</v>
      </c>
    </row>
    <row r="3" spans="1:29" s="20" customFormat="1" ht="25.05" customHeight="1" x14ac:dyDescent="0.3">
      <c r="A3" s="51"/>
      <c r="B3" s="52" t="s">
        <v>264</v>
      </c>
      <c r="C3" s="51" t="s">
        <v>25</v>
      </c>
      <c r="D3" s="51" t="s">
        <v>247</v>
      </c>
      <c r="E3" s="51">
        <v>263124</v>
      </c>
      <c r="F3" s="51" t="s">
        <v>267</v>
      </c>
      <c r="G3" s="51">
        <v>300</v>
      </c>
      <c r="H3" s="53">
        <v>0.39800000000000002</v>
      </c>
      <c r="I3" s="53">
        <v>1.524</v>
      </c>
      <c r="J3" s="51" t="s">
        <v>26</v>
      </c>
      <c r="K3" s="51" t="s">
        <v>266</v>
      </c>
      <c r="L3" s="51" t="s">
        <v>26</v>
      </c>
      <c r="M3" s="53">
        <v>181.96600000000001</v>
      </c>
      <c r="N3" s="54">
        <v>152.4</v>
      </c>
      <c r="O3" s="55">
        <v>1.41E-2</v>
      </c>
      <c r="P3" s="56">
        <v>0.85</v>
      </c>
      <c r="Q3" s="51">
        <v>97.9</v>
      </c>
      <c r="R3" s="51">
        <v>3</v>
      </c>
      <c r="S3" s="51">
        <v>1250</v>
      </c>
      <c r="T3" s="53">
        <v>1.194</v>
      </c>
      <c r="U3" s="51">
        <v>56</v>
      </c>
      <c r="V3" s="55">
        <v>4.48E-2</v>
      </c>
      <c r="W3" s="51" t="s">
        <v>27</v>
      </c>
      <c r="X3" s="51" t="s">
        <v>28</v>
      </c>
      <c r="Y3" s="51" t="s">
        <v>27</v>
      </c>
      <c r="Z3" s="51" t="s">
        <v>27</v>
      </c>
      <c r="AA3" s="51" t="s">
        <v>27</v>
      </c>
      <c r="AB3" s="51" t="s">
        <v>37</v>
      </c>
      <c r="AC3" s="51" t="s">
        <v>265</v>
      </c>
    </row>
    <row r="4" spans="1:29" s="20" customFormat="1" ht="25.05" customHeight="1" x14ac:dyDescent="0.3">
      <c r="A4" s="14"/>
      <c r="B4" s="15" t="s">
        <v>264</v>
      </c>
      <c r="C4" s="15" t="s">
        <v>34</v>
      </c>
      <c r="D4" s="15" t="s">
        <v>247</v>
      </c>
      <c r="E4" s="14">
        <v>263131</v>
      </c>
      <c r="F4" s="15" t="s">
        <v>278</v>
      </c>
      <c r="G4" s="14">
        <v>1010</v>
      </c>
      <c r="H4" s="16">
        <v>0.69</v>
      </c>
      <c r="I4" s="16">
        <v>1</v>
      </c>
      <c r="J4" s="14"/>
      <c r="K4" s="15" t="s">
        <v>32</v>
      </c>
      <c r="L4" s="14"/>
      <c r="M4" s="16">
        <v>696.9</v>
      </c>
      <c r="N4" s="17">
        <v>505</v>
      </c>
      <c r="O4" s="18">
        <v>7.0099999999999996E-2</v>
      </c>
      <c r="P4" s="19">
        <v>4.21</v>
      </c>
      <c r="Q4" s="14">
        <v>223</v>
      </c>
      <c r="R4" s="14">
        <v>2</v>
      </c>
      <c r="S4" s="14">
        <v>1400</v>
      </c>
      <c r="T4" s="16">
        <v>1.38</v>
      </c>
      <c r="U4" s="14">
        <v>20</v>
      </c>
      <c r="V4" s="18">
        <v>1.43E-2</v>
      </c>
      <c r="W4" s="15" t="s">
        <v>27</v>
      </c>
      <c r="X4" s="15" t="s">
        <v>27</v>
      </c>
      <c r="Y4" s="15" t="s">
        <v>27</v>
      </c>
      <c r="Z4" s="15"/>
      <c r="AA4" s="15"/>
      <c r="AB4" s="15" t="s">
        <v>37</v>
      </c>
      <c r="AC4" s="15" t="s">
        <v>280</v>
      </c>
    </row>
    <row r="5" spans="1:29" s="20" customFormat="1" ht="25.05" customHeight="1" x14ac:dyDescent="0.3">
      <c r="A5" s="14"/>
      <c r="B5" s="15" t="s">
        <v>264</v>
      </c>
      <c r="C5" s="15" t="s">
        <v>34</v>
      </c>
      <c r="D5" s="15" t="s">
        <v>282</v>
      </c>
      <c r="E5" s="14">
        <v>263148</v>
      </c>
      <c r="F5" s="15" t="s">
        <v>314</v>
      </c>
      <c r="G5" s="14">
        <v>1000</v>
      </c>
      <c r="H5" s="16">
        <v>0.69</v>
      </c>
      <c r="I5" s="16">
        <v>1.08</v>
      </c>
      <c r="J5" s="14"/>
      <c r="K5" s="15" t="s">
        <v>32</v>
      </c>
      <c r="L5" s="14"/>
      <c r="M5" s="16">
        <v>745.2</v>
      </c>
      <c r="N5" s="17">
        <v>540</v>
      </c>
      <c r="O5" s="18">
        <v>7.4999999999999997E-2</v>
      </c>
      <c r="P5" s="19">
        <v>4.5</v>
      </c>
      <c r="Q5" s="14">
        <v>238.5</v>
      </c>
      <c r="R5" s="14">
        <v>2</v>
      </c>
      <c r="S5" s="14">
        <v>1400</v>
      </c>
      <c r="T5" s="16">
        <v>1.38</v>
      </c>
      <c r="U5" s="14">
        <v>20</v>
      </c>
      <c r="V5" s="18">
        <v>1.43E-2</v>
      </c>
      <c r="W5" s="15" t="s">
        <v>27</v>
      </c>
      <c r="X5" s="15" t="s">
        <v>27</v>
      </c>
      <c r="Y5" s="15" t="s">
        <v>27</v>
      </c>
      <c r="Z5" s="15"/>
      <c r="AA5" s="15"/>
      <c r="AB5" s="15" t="s">
        <v>37</v>
      </c>
      <c r="AC5" s="15" t="s">
        <v>315</v>
      </c>
    </row>
    <row r="6" spans="1:29" s="20" customFormat="1" ht="25.05" customHeight="1" x14ac:dyDescent="0.3">
      <c r="A6" s="14"/>
      <c r="B6" s="15" t="s">
        <v>264</v>
      </c>
      <c r="C6" s="15" t="s">
        <v>34</v>
      </c>
      <c r="D6" s="15" t="s">
        <v>282</v>
      </c>
      <c r="E6" s="14">
        <v>263134</v>
      </c>
      <c r="F6" s="15" t="s">
        <v>283</v>
      </c>
      <c r="G6" s="14">
        <v>1800</v>
      </c>
      <c r="H6" s="16">
        <v>0.309</v>
      </c>
      <c r="I6" s="16">
        <v>0.96199999999999997</v>
      </c>
      <c r="J6" s="14"/>
      <c r="K6" s="15" t="s">
        <v>286</v>
      </c>
      <c r="L6" s="14"/>
      <c r="M6" s="16">
        <v>535.06399999999996</v>
      </c>
      <c r="N6" s="17">
        <v>432.9</v>
      </c>
      <c r="O6" s="18">
        <v>3.0099999999999998E-2</v>
      </c>
      <c r="P6" s="19">
        <v>1.8</v>
      </c>
      <c r="Q6" s="14">
        <v>171.2</v>
      </c>
      <c r="R6" s="14">
        <v>4</v>
      </c>
      <c r="S6" s="14">
        <v>1300</v>
      </c>
      <c r="T6" s="16">
        <v>1.236</v>
      </c>
      <c r="U6" s="14">
        <v>64</v>
      </c>
      <c r="V6" s="18">
        <v>4.9200000000000001E-2</v>
      </c>
      <c r="W6" s="15" t="s">
        <v>27</v>
      </c>
      <c r="X6" s="15" t="s">
        <v>27</v>
      </c>
      <c r="Y6" s="15" t="s">
        <v>27</v>
      </c>
      <c r="Z6" s="15"/>
      <c r="AA6" s="15"/>
      <c r="AB6" s="15" t="s">
        <v>37</v>
      </c>
      <c r="AC6" s="15" t="s">
        <v>287</v>
      </c>
    </row>
    <row r="7" spans="1:29" s="20" customFormat="1" ht="25.05" customHeight="1" x14ac:dyDescent="0.3">
      <c r="A7" s="14"/>
      <c r="B7" s="15" t="s">
        <v>264</v>
      </c>
      <c r="C7" s="15" t="s">
        <v>34</v>
      </c>
      <c r="D7" s="15" t="s">
        <v>247</v>
      </c>
      <c r="E7" s="14">
        <v>263132</v>
      </c>
      <c r="F7" s="15" t="s">
        <v>278</v>
      </c>
      <c r="G7" s="14">
        <v>880</v>
      </c>
      <c r="H7" s="16">
        <v>0.63</v>
      </c>
      <c r="I7" s="16">
        <v>1</v>
      </c>
      <c r="J7" s="14"/>
      <c r="K7" s="15" t="s">
        <v>32</v>
      </c>
      <c r="L7" s="14"/>
      <c r="M7" s="16">
        <v>554.4</v>
      </c>
      <c r="N7" s="17">
        <v>440</v>
      </c>
      <c r="O7" s="18">
        <v>6.1100000000000002E-2</v>
      </c>
      <c r="P7" s="19">
        <v>3.67</v>
      </c>
      <c r="Q7" s="14">
        <v>177.4</v>
      </c>
      <c r="R7" s="14">
        <v>2</v>
      </c>
      <c r="S7" s="14">
        <v>1300</v>
      </c>
      <c r="T7" s="16">
        <v>1.26</v>
      </c>
      <c r="U7" s="14">
        <v>40</v>
      </c>
      <c r="V7" s="18">
        <v>3.0800000000000001E-2</v>
      </c>
      <c r="W7" s="15" t="s">
        <v>27</v>
      </c>
      <c r="X7" s="15" t="s">
        <v>27</v>
      </c>
      <c r="Y7" s="15" t="s">
        <v>27</v>
      </c>
      <c r="Z7" s="15"/>
      <c r="AA7" s="15"/>
      <c r="AB7" s="15" t="s">
        <v>37</v>
      </c>
      <c r="AC7" s="15" t="s">
        <v>281</v>
      </c>
    </row>
    <row r="8" spans="1:29" s="20" customFormat="1" ht="25.05" customHeight="1" x14ac:dyDescent="0.3">
      <c r="A8" s="14"/>
      <c r="B8" s="15" t="s">
        <v>264</v>
      </c>
      <c r="C8" s="15" t="s">
        <v>34</v>
      </c>
      <c r="D8" s="15" t="s">
        <v>282</v>
      </c>
      <c r="E8" s="14">
        <v>263133</v>
      </c>
      <c r="F8" s="15" t="s">
        <v>283</v>
      </c>
      <c r="G8" s="14">
        <v>1000</v>
      </c>
      <c r="H8" s="16">
        <v>0.40899999999999997</v>
      </c>
      <c r="I8" s="16">
        <v>1.262</v>
      </c>
      <c r="J8" s="14"/>
      <c r="K8" s="15" t="s">
        <v>284</v>
      </c>
      <c r="L8" s="14"/>
      <c r="M8" s="16">
        <v>516.15800000000002</v>
      </c>
      <c r="N8" s="17">
        <v>420.7</v>
      </c>
      <c r="O8" s="18">
        <v>3.9E-2</v>
      </c>
      <c r="P8" s="19">
        <v>2.34</v>
      </c>
      <c r="Q8" s="14">
        <v>165.2</v>
      </c>
      <c r="R8" s="14">
        <v>3</v>
      </c>
      <c r="S8" s="14">
        <v>1250</v>
      </c>
      <c r="T8" s="16">
        <v>1.2270000000000001</v>
      </c>
      <c r="U8" s="14">
        <v>23</v>
      </c>
      <c r="V8" s="18">
        <v>1.84E-2</v>
      </c>
      <c r="W8" s="15" t="s">
        <v>27</v>
      </c>
      <c r="X8" s="15" t="s">
        <v>27</v>
      </c>
      <c r="Y8" s="15" t="s">
        <v>27</v>
      </c>
      <c r="Z8" s="15"/>
      <c r="AA8" s="15"/>
      <c r="AB8" s="15" t="s">
        <v>31</v>
      </c>
      <c r="AC8" s="15" t="s">
        <v>285</v>
      </c>
    </row>
    <row r="9" spans="1:29" s="20" customFormat="1" ht="25.05" customHeight="1" x14ac:dyDescent="0.3">
      <c r="A9" s="14"/>
      <c r="B9" s="15" t="s">
        <v>264</v>
      </c>
      <c r="C9" s="15" t="s">
        <v>34</v>
      </c>
      <c r="D9" s="15" t="s">
        <v>247</v>
      </c>
      <c r="E9" s="14">
        <v>263130</v>
      </c>
      <c r="F9" s="15" t="s">
        <v>278</v>
      </c>
      <c r="G9" s="14">
        <v>1070</v>
      </c>
      <c r="H9" s="16">
        <v>0.6</v>
      </c>
      <c r="I9" s="16">
        <v>1.02</v>
      </c>
      <c r="J9" s="14"/>
      <c r="K9" s="15" t="s">
        <v>32</v>
      </c>
      <c r="L9" s="14"/>
      <c r="M9" s="16">
        <v>654.84</v>
      </c>
      <c r="N9" s="17">
        <v>545.70000000000005</v>
      </c>
      <c r="O9" s="18">
        <v>7.5800000000000006E-2</v>
      </c>
      <c r="P9" s="19">
        <v>4.55</v>
      </c>
      <c r="Q9" s="14">
        <v>209.5</v>
      </c>
      <c r="R9" s="14">
        <v>2</v>
      </c>
      <c r="S9" s="14">
        <v>1250</v>
      </c>
      <c r="T9" s="16">
        <v>1.2</v>
      </c>
      <c r="U9" s="14">
        <v>50</v>
      </c>
      <c r="V9" s="18">
        <v>0.04</v>
      </c>
      <c r="W9" s="15" t="s">
        <v>27</v>
      </c>
      <c r="X9" s="15" t="s">
        <v>27</v>
      </c>
      <c r="Y9" s="15" t="s">
        <v>27</v>
      </c>
      <c r="Z9" s="15"/>
      <c r="AA9" s="15"/>
      <c r="AB9" s="15" t="s">
        <v>37</v>
      </c>
      <c r="AC9" s="15" t="s">
        <v>279</v>
      </c>
    </row>
    <row r="10" spans="1:29" s="20" customFormat="1" ht="25.05" customHeight="1" x14ac:dyDescent="0.3">
      <c r="A10" s="51"/>
      <c r="B10" s="52" t="s">
        <v>264</v>
      </c>
      <c r="C10" s="51" t="s">
        <v>263</v>
      </c>
      <c r="D10" s="51" t="s">
        <v>247</v>
      </c>
      <c r="E10" s="51">
        <v>263125</v>
      </c>
      <c r="F10" s="51" t="s">
        <v>262</v>
      </c>
      <c r="G10" s="51">
        <v>3500</v>
      </c>
      <c r="H10" s="53">
        <v>0.30499999999999999</v>
      </c>
      <c r="I10" s="53">
        <v>0.88</v>
      </c>
      <c r="J10" s="51" t="s">
        <v>26</v>
      </c>
      <c r="K10" s="51" t="s">
        <v>261</v>
      </c>
      <c r="L10" s="51" t="s">
        <v>26</v>
      </c>
      <c r="M10" s="53">
        <v>939.4</v>
      </c>
      <c r="N10" s="54">
        <v>770</v>
      </c>
      <c r="O10" s="55">
        <v>5.3499999999999999E-2</v>
      </c>
      <c r="P10" s="56">
        <v>3.21</v>
      </c>
      <c r="Q10" s="51">
        <v>364.5</v>
      </c>
      <c r="R10" s="51">
        <v>4</v>
      </c>
      <c r="S10" s="51">
        <v>1250</v>
      </c>
      <c r="T10" s="53">
        <v>1.22</v>
      </c>
      <c r="U10" s="51">
        <v>30</v>
      </c>
      <c r="V10" s="55">
        <v>2.4E-2</v>
      </c>
      <c r="W10" s="51" t="s">
        <v>38</v>
      </c>
      <c r="X10" s="51" t="s">
        <v>28</v>
      </c>
      <c r="Y10" s="51" t="s">
        <v>28</v>
      </c>
      <c r="Z10" s="51" t="s">
        <v>26</v>
      </c>
      <c r="AA10" s="51" t="s">
        <v>26</v>
      </c>
      <c r="AB10" s="51" t="s">
        <v>31</v>
      </c>
      <c r="AC10" s="51" t="s">
        <v>260</v>
      </c>
    </row>
    <row r="11" spans="1:29" s="65" customFormat="1" ht="25.05" customHeight="1" x14ac:dyDescent="0.3">
      <c r="A11" s="63" t="s">
        <v>26</v>
      </c>
      <c r="B11" s="63" t="s">
        <v>26</v>
      </c>
      <c r="C11" s="63" t="s">
        <v>26</v>
      </c>
      <c r="D11" s="63" t="s">
        <v>26</v>
      </c>
      <c r="E11" s="63" t="s">
        <v>26</v>
      </c>
      <c r="F11" s="63" t="s">
        <v>26</v>
      </c>
      <c r="G11" s="63">
        <f>SUM(G3:G10)</f>
        <v>10560</v>
      </c>
      <c r="H11" s="63" t="s">
        <v>26</v>
      </c>
      <c r="I11" s="63" t="s">
        <v>26</v>
      </c>
      <c r="J11" s="63" t="s">
        <v>26</v>
      </c>
      <c r="K11" s="63" t="s">
        <v>26</v>
      </c>
      <c r="L11" s="63" t="s">
        <v>26</v>
      </c>
      <c r="M11" s="64" t="s">
        <v>26</v>
      </c>
      <c r="N11" s="64" t="s">
        <v>26</v>
      </c>
      <c r="O11" s="64" t="s">
        <v>26</v>
      </c>
      <c r="P11" s="64" t="s">
        <v>26</v>
      </c>
      <c r="Q11" s="64">
        <f>SUM(Q3:Q10)</f>
        <v>1647.1999999999998</v>
      </c>
      <c r="R11" s="64" t="s">
        <v>26</v>
      </c>
      <c r="S11" s="64" t="s">
        <v>26</v>
      </c>
      <c r="T11" s="64" t="s">
        <v>26</v>
      </c>
      <c r="U11" s="64" t="s">
        <v>26</v>
      </c>
      <c r="V11" s="64" t="s">
        <v>26</v>
      </c>
      <c r="W11" s="64" t="s">
        <v>26</v>
      </c>
      <c r="X11" s="64" t="s">
        <v>26</v>
      </c>
      <c r="Y11" s="64" t="s">
        <v>26</v>
      </c>
      <c r="Z11" s="64" t="s">
        <v>26</v>
      </c>
      <c r="AA11" s="64" t="s">
        <v>26</v>
      </c>
      <c r="AB11" s="64" t="s">
        <v>26</v>
      </c>
      <c r="AC11" s="64" t="s">
        <v>26</v>
      </c>
    </row>
  </sheetData>
  <mergeCells count="1">
    <mergeCell ref="A1:AC1"/>
  </mergeCells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68428-14B3-4B64-B535-A9D7E506B458}">
  <sheetPr>
    <pageSetUpPr fitToPage="1"/>
  </sheetPr>
  <dimension ref="A1:AC6"/>
  <sheetViews>
    <sheetView workbookViewId="0">
      <selection activeCell="AI27" sqref="AI27"/>
    </sheetView>
  </sheetViews>
  <sheetFormatPr defaultRowHeight="14.4" x14ac:dyDescent="0.3"/>
  <cols>
    <col min="1" max="1" width="5.44140625" style="4" customWidth="1"/>
    <col min="2" max="2" width="20.77734375" style="4" hidden="1" customWidth="1"/>
    <col min="3" max="3" width="5.88671875" style="4" customWidth="1"/>
    <col min="4" max="4" width="11.77734375" style="4" hidden="1" customWidth="1"/>
    <col min="5" max="5" width="7.109375" style="4" customWidth="1"/>
    <col min="6" max="6" width="4.77734375" style="4" customWidth="1"/>
    <col min="7" max="7" width="5.33203125" style="4" customWidth="1"/>
    <col min="8" max="8" width="6.21875" style="4" customWidth="1"/>
    <col min="9" max="9" width="7.77734375" style="4" customWidth="1"/>
    <col min="10" max="10" width="8.44140625" style="4" customWidth="1"/>
    <col min="11" max="11" width="13.5546875" style="4" customWidth="1"/>
    <col min="12" max="12" width="7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77734375" style="4" customWidth="1"/>
    <col min="19" max="19" width="7.44140625" style="4" customWidth="1"/>
    <col min="20" max="20" width="6.44140625" style="4" customWidth="1"/>
    <col min="21" max="21" width="11.77734375" style="4" hidden="1" customWidth="1"/>
    <col min="22" max="22" width="8.77734375" style="4" hidden="1" customWidth="1"/>
    <col min="23" max="23" width="7.44140625" style="4" customWidth="1"/>
    <col min="24" max="24" width="7.6640625" style="4" customWidth="1"/>
    <col min="25" max="25" width="7.5546875" style="4" customWidth="1"/>
    <col min="26" max="26" width="9.33203125" style="4" customWidth="1"/>
    <col min="27" max="27" width="10" style="4" customWidth="1"/>
    <col min="28" max="28" width="5.44140625" style="4" customWidth="1"/>
    <col min="29" max="29" width="12.33203125" style="4" customWidth="1"/>
    <col min="30" max="16384" width="8.88671875" style="4"/>
  </cols>
  <sheetData>
    <row r="1" spans="1:29" ht="18" customHeight="1" x14ac:dyDescent="0.35">
      <c r="A1" s="59" t="s">
        <v>253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43.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ht="25.05" customHeight="1" x14ac:dyDescent="0.3">
      <c r="A3" s="42"/>
      <c r="B3" s="44" t="s">
        <v>248</v>
      </c>
      <c r="C3" s="42" t="s">
        <v>34</v>
      </c>
      <c r="D3" s="42" t="s">
        <v>247</v>
      </c>
      <c r="E3" s="42">
        <v>263119</v>
      </c>
      <c r="F3" s="42" t="s">
        <v>69</v>
      </c>
      <c r="G3" s="42">
        <v>300</v>
      </c>
      <c r="H3" s="43">
        <v>0.60799999999999998</v>
      </c>
      <c r="I3" s="43">
        <v>1.635</v>
      </c>
      <c r="J3" s="42" t="s">
        <v>26</v>
      </c>
      <c r="K3" s="42" t="s">
        <v>252</v>
      </c>
      <c r="L3" s="42" t="s">
        <v>26</v>
      </c>
      <c r="M3" s="39">
        <v>298.22399999999999</v>
      </c>
      <c r="N3" s="41">
        <v>245.3</v>
      </c>
      <c r="O3" s="38">
        <v>3.4099999999999998E-2</v>
      </c>
      <c r="P3" s="40">
        <v>2.04</v>
      </c>
      <c r="Q3" s="37">
        <v>95.4</v>
      </c>
      <c r="R3" s="37">
        <v>2</v>
      </c>
      <c r="S3" s="37">
        <v>1250</v>
      </c>
      <c r="T3" s="39">
        <v>1.216</v>
      </c>
      <c r="U3" s="37">
        <v>34</v>
      </c>
      <c r="V3" s="38">
        <v>2.7199999999999998E-2</v>
      </c>
      <c r="W3" s="37" t="s">
        <v>27</v>
      </c>
      <c r="X3" s="37" t="s">
        <v>27</v>
      </c>
      <c r="Y3" s="37" t="s">
        <v>27</v>
      </c>
      <c r="Z3" s="37" t="s">
        <v>26</v>
      </c>
      <c r="AA3" s="37" t="s">
        <v>26</v>
      </c>
      <c r="AB3" s="37" t="s">
        <v>37</v>
      </c>
      <c r="AC3" s="37" t="s">
        <v>251</v>
      </c>
    </row>
    <row r="4" spans="1:29" ht="25.05" customHeight="1" x14ac:dyDescent="0.3">
      <c r="A4" s="42"/>
      <c r="B4" s="44" t="s">
        <v>248</v>
      </c>
      <c r="C4" s="42" t="s">
        <v>34</v>
      </c>
      <c r="D4" s="42" t="s">
        <v>247</v>
      </c>
      <c r="E4" s="42">
        <v>263120</v>
      </c>
      <c r="F4" s="42" t="s">
        <v>69</v>
      </c>
      <c r="G4" s="42">
        <v>300</v>
      </c>
      <c r="H4" s="43">
        <v>0.85799999999999998</v>
      </c>
      <c r="I4" s="43">
        <v>1.7350000000000001</v>
      </c>
      <c r="J4" s="42" t="s">
        <v>26</v>
      </c>
      <c r="K4" s="42" t="s">
        <v>250</v>
      </c>
      <c r="L4" s="42" t="s">
        <v>26</v>
      </c>
      <c r="M4" s="39">
        <v>446.589</v>
      </c>
      <c r="N4" s="41">
        <v>520.5</v>
      </c>
      <c r="O4" s="38">
        <v>0.14460000000000001</v>
      </c>
      <c r="P4" s="40">
        <v>8.68</v>
      </c>
      <c r="Q4" s="37">
        <v>142.9</v>
      </c>
      <c r="R4" s="37">
        <v>1</v>
      </c>
      <c r="S4" s="37">
        <v>900</v>
      </c>
      <c r="T4" s="39">
        <v>0.85799999999999998</v>
      </c>
      <c r="U4" s="37">
        <v>42</v>
      </c>
      <c r="V4" s="38">
        <v>4.6699999999999998E-2</v>
      </c>
      <c r="W4" s="37" t="s">
        <v>27</v>
      </c>
      <c r="X4" s="37" t="s">
        <v>27</v>
      </c>
      <c r="Y4" s="37" t="s">
        <v>27</v>
      </c>
      <c r="Z4" s="37" t="s">
        <v>26</v>
      </c>
      <c r="AA4" s="37" t="s">
        <v>26</v>
      </c>
      <c r="AB4" s="37" t="s">
        <v>37</v>
      </c>
      <c r="AC4" s="37" t="s">
        <v>249</v>
      </c>
    </row>
    <row r="5" spans="1:29" ht="25.05" customHeight="1" x14ac:dyDescent="0.3">
      <c r="A5" s="42"/>
      <c r="B5" s="44" t="s">
        <v>248</v>
      </c>
      <c r="C5" s="42" t="s">
        <v>34</v>
      </c>
      <c r="D5" s="42" t="s">
        <v>247</v>
      </c>
      <c r="E5" s="42">
        <v>263121</v>
      </c>
      <c r="F5" s="42" t="s">
        <v>69</v>
      </c>
      <c r="G5" s="42">
        <v>300</v>
      </c>
      <c r="H5" s="43">
        <v>0.79800000000000004</v>
      </c>
      <c r="I5" s="43">
        <v>1.155</v>
      </c>
      <c r="J5" s="42" t="s">
        <v>26</v>
      </c>
      <c r="K5" s="42" t="s">
        <v>246</v>
      </c>
      <c r="L5" s="42" t="s">
        <v>26</v>
      </c>
      <c r="M5" s="39">
        <v>276.50700000000001</v>
      </c>
      <c r="N5" s="41">
        <v>346.5</v>
      </c>
      <c r="O5" s="38">
        <v>9.6299999999999997E-2</v>
      </c>
      <c r="P5" s="40">
        <v>5.78</v>
      </c>
      <c r="Q5" s="37">
        <v>88.5</v>
      </c>
      <c r="R5" s="37">
        <v>1</v>
      </c>
      <c r="S5" s="37">
        <v>850</v>
      </c>
      <c r="T5" s="39">
        <v>0.79800000000000004</v>
      </c>
      <c r="U5" s="37">
        <v>52</v>
      </c>
      <c r="V5" s="38">
        <v>6.1199999999999997E-2</v>
      </c>
      <c r="W5" s="37" t="s">
        <v>27</v>
      </c>
      <c r="X5" s="37" t="s">
        <v>27</v>
      </c>
      <c r="Y5" s="37" t="s">
        <v>27</v>
      </c>
      <c r="Z5" s="37" t="s">
        <v>26</v>
      </c>
      <c r="AA5" s="37" t="s">
        <v>26</v>
      </c>
      <c r="AB5" s="37" t="s">
        <v>37</v>
      </c>
      <c r="AC5" s="37" t="s">
        <v>245</v>
      </c>
    </row>
    <row r="6" spans="1:29" ht="25.05" customHeight="1" x14ac:dyDescent="0.3">
      <c r="A6" s="36" t="s">
        <v>26</v>
      </c>
      <c r="B6" s="36" t="s">
        <v>26</v>
      </c>
      <c r="C6" s="36" t="s">
        <v>26</v>
      </c>
      <c r="D6" s="36" t="s">
        <v>26</v>
      </c>
      <c r="E6" s="36" t="s">
        <v>26</v>
      </c>
      <c r="F6" s="36" t="s">
        <v>26</v>
      </c>
      <c r="G6" s="36">
        <v>900</v>
      </c>
      <c r="H6" s="36" t="s">
        <v>26</v>
      </c>
      <c r="I6" s="36" t="s">
        <v>26</v>
      </c>
      <c r="J6" s="36" t="s">
        <v>26</v>
      </c>
      <c r="K6" s="36" t="s">
        <v>26</v>
      </c>
      <c r="L6" s="36" t="s">
        <v>26</v>
      </c>
      <c r="M6" s="35" t="s">
        <v>26</v>
      </c>
      <c r="N6" s="35" t="s">
        <v>26</v>
      </c>
      <c r="O6" s="35" t="s">
        <v>26</v>
      </c>
      <c r="P6" s="35" t="s">
        <v>26</v>
      </c>
      <c r="Q6" s="35">
        <v>326.8</v>
      </c>
      <c r="R6" s="35" t="s">
        <v>26</v>
      </c>
      <c r="S6" s="35" t="s">
        <v>26</v>
      </c>
      <c r="T6" s="35" t="s">
        <v>26</v>
      </c>
      <c r="U6" s="35" t="s">
        <v>26</v>
      </c>
      <c r="V6" s="35" t="s">
        <v>26</v>
      </c>
      <c r="W6" s="35" t="s">
        <v>26</v>
      </c>
      <c r="X6" s="35" t="s">
        <v>26</v>
      </c>
      <c r="Y6" s="35" t="s">
        <v>26</v>
      </c>
      <c r="Z6" s="35" t="s">
        <v>26</v>
      </c>
      <c r="AA6" s="35" t="s">
        <v>26</v>
      </c>
      <c r="AB6" s="35" t="s">
        <v>26</v>
      </c>
      <c r="AC6" s="3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8"/>
  <sheetViews>
    <sheetView workbookViewId="0">
      <selection activeCell="R15" sqref="R15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77734375" style="4" customWidth="1"/>
    <col min="6" max="6" width="6" style="4" customWidth="1"/>
    <col min="7" max="7" width="5.6640625" style="4" customWidth="1"/>
    <col min="8" max="8" width="9.77734375" style="4" customWidth="1"/>
    <col min="9" max="9" width="7.77734375" style="4" customWidth="1"/>
    <col min="10" max="10" width="7.2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77734375" style="4" customWidth="1"/>
    <col min="18" max="18" width="4.77734375" style="4" customWidth="1"/>
    <col min="19" max="19" width="6.66406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8" style="4" customWidth="1"/>
    <col min="26" max="26" width="7.44140625" style="4" customWidth="1"/>
    <col min="27" max="27" width="8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">
      <c r="A1" s="60" t="s">
        <v>238</v>
      </c>
      <c r="B1" s="60" t="s">
        <v>26</v>
      </c>
      <c r="C1" s="60" t="s">
        <v>26</v>
      </c>
      <c r="D1" s="60" t="s">
        <v>26</v>
      </c>
      <c r="E1" s="60" t="s">
        <v>26</v>
      </c>
      <c r="F1" s="60" t="s">
        <v>26</v>
      </c>
      <c r="G1" s="60" t="s">
        <v>26</v>
      </c>
      <c r="H1" s="60" t="s">
        <v>26</v>
      </c>
      <c r="I1" s="60" t="s">
        <v>26</v>
      </c>
      <c r="J1" s="60" t="s">
        <v>26</v>
      </c>
      <c r="K1" s="60" t="s">
        <v>26</v>
      </c>
      <c r="L1" s="60" t="s">
        <v>26</v>
      </c>
      <c r="M1" s="60" t="s">
        <v>26</v>
      </c>
      <c r="N1" s="60" t="s">
        <v>26</v>
      </c>
      <c r="O1" s="60" t="s">
        <v>26</v>
      </c>
      <c r="P1" s="60" t="s">
        <v>26</v>
      </c>
      <c r="Q1" s="60" t="s">
        <v>26</v>
      </c>
      <c r="R1" s="60" t="s">
        <v>26</v>
      </c>
      <c r="S1" s="60" t="s">
        <v>26</v>
      </c>
      <c r="T1" s="60" t="s">
        <v>26</v>
      </c>
      <c r="U1" s="60" t="s">
        <v>26</v>
      </c>
      <c r="V1" s="60" t="s">
        <v>26</v>
      </c>
      <c r="W1" s="60" t="s">
        <v>26</v>
      </c>
      <c r="X1" s="60" t="s">
        <v>26</v>
      </c>
      <c r="Y1" s="60" t="s">
        <v>26</v>
      </c>
      <c r="Z1" s="60" t="s">
        <v>26</v>
      </c>
      <c r="AA1" s="60" t="s">
        <v>26</v>
      </c>
      <c r="AB1" s="60" t="s">
        <v>26</v>
      </c>
      <c r="AC1" s="60" t="s">
        <v>26</v>
      </c>
    </row>
    <row r="2" spans="1:29" ht="39" customHeight="1" x14ac:dyDescent="0.3">
      <c r="A2" s="49" t="s">
        <v>0</v>
      </c>
      <c r="B2" s="49" t="s">
        <v>35</v>
      </c>
      <c r="C2" s="49" t="s">
        <v>1</v>
      </c>
      <c r="D2" s="49" t="s">
        <v>2</v>
      </c>
      <c r="E2" s="49" t="s">
        <v>45</v>
      </c>
      <c r="F2" s="49" t="s">
        <v>3</v>
      </c>
      <c r="G2" s="49" t="s">
        <v>4</v>
      </c>
      <c r="H2" s="49" t="s">
        <v>5</v>
      </c>
      <c r="I2" s="49" t="s">
        <v>6</v>
      </c>
      <c r="J2" s="49" t="s">
        <v>26</v>
      </c>
      <c r="K2" s="49" t="s">
        <v>7</v>
      </c>
      <c r="L2" s="49" t="s">
        <v>26</v>
      </c>
      <c r="M2" s="49" t="s">
        <v>8</v>
      </c>
      <c r="N2" s="49" t="s">
        <v>9</v>
      </c>
      <c r="O2" s="49" t="s">
        <v>10</v>
      </c>
      <c r="P2" s="49" t="s">
        <v>11</v>
      </c>
      <c r="Q2" s="49" t="s">
        <v>12</v>
      </c>
      <c r="R2" s="49" t="s">
        <v>13</v>
      </c>
      <c r="S2" s="49" t="s">
        <v>14</v>
      </c>
      <c r="T2" s="49" t="s">
        <v>15</v>
      </c>
      <c r="U2" s="49" t="s">
        <v>16</v>
      </c>
      <c r="V2" s="49" t="s">
        <v>17</v>
      </c>
      <c r="W2" s="49" t="s">
        <v>18</v>
      </c>
      <c r="X2" s="49" t="s">
        <v>19</v>
      </c>
      <c r="Y2" s="49" t="s">
        <v>20</v>
      </c>
      <c r="Z2" s="49" t="s">
        <v>21</v>
      </c>
      <c r="AA2" s="49" t="s">
        <v>22</v>
      </c>
      <c r="AB2" s="49" t="s">
        <v>23</v>
      </c>
      <c r="AC2" s="49" t="s">
        <v>24</v>
      </c>
    </row>
    <row r="3" spans="1:29" customFormat="1" ht="25.05" customHeight="1" x14ac:dyDescent="0.3">
      <c r="A3" s="14"/>
      <c r="B3" s="15" t="s">
        <v>231</v>
      </c>
      <c r="C3" s="15" t="s">
        <v>25</v>
      </c>
      <c r="D3" s="15" t="s">
        <v>185</v>
      </c>
      <c r="E3" s="14">
        <v>263118</v>
      </c>
      <c r="F3" s="15" t="s">
        <v>242</v>
      </c>
      <c r="G3" s="14">
        <v>700</v>
      </c>
      <c r="H3" s="16">
        <v>0.63700000000000001</v>
      </c>
      <c r="I3" s="16">
        <v>1.744</v>
      </c>
      <c r="J3" s="14"/>
      <c r="K3" s="15" t="s">
        <v>243</v>
      </c>
      <c r="L3" s="14"/>
      <c r="M3" s="16">
        <v>777.65</v>
      </c>
      <c r="N3" s="17">
        <v>610.4</v>
      </c>
      <c r="O3" s="18">
        <v>8.48E-2</v>
      </c>
      <c r="P3" s="19">
        <v>5.09</v>
      </c>
      <c r="Q3" s="14">
        <v>418.4</v>
      </c>
      <c r="R3" s="14">
        <v>2</v>
      </c>
      <c r="S3" s="14">
        <v>1300</v>
      </c>
      <c r="T3" s="16">
        <v>1.274</v>
      </c>
      <c r="U3" s="14">
        <v>26</v>
      </c>
      <c r="V3" s="18">
        <v>0.02</v>
      </c>
      <c r="W3" s="15" t="s">
        <v>27</v>
      </c>
      <c r="X3" s="15" t="s">
        <v>28</v>
      </c>
      <c r="Y3" s="15" t="s">
        <v>27</v>
      </c>
      <c r="Z3" s="15" t="s">
        <v>27</v>
      </c>
      <c r="AA3" s="15" t="s">
        <v>27</v>
      </c>
      <c r="AB3" s="15" t="s">
        <v>30</v>
      </c>
      <c r="AC3" s="15" t="s">
        <v>244</v>
      </c>
    </row>
    <row r="4" spans="1:29" ht="25.05" customHeight="1" x14ac:dyDescent="0.3">
      <c r="A4" s="51"/>
      <c r="B4" s="52" t="s">
        <v>231</v>
      </c>
      <c r="C4" s="51" t="s">
        <v>25</v>
      </c>
      <c r="D4" s="51" t="s">
        <v>144</v>
      </c>
      <c r="E4" s="51">
        <v>263109</v>
      </c>
      <c r="F4" s="51" t="s">
        <v>235</v>
      </c>
      <c r="G4" s="51">
        <v>1100</v>
      </c>
      <c r="H4" s="53">
        <v>0.58499999999999996</v>
      </c>
      <c r="I4" s="53">
        <v>1.268</v>
      </c>
      <c r="J4" s="51" t="s">
        <v>26</v>
      </c>
      <c r="K4" s="51" t="s">
        <v>237</v>
      </c>
      <c r="L4" s="51" t="s">
        <v>26</v>
      </c>
      <c r="M4" s="53">
        <v>815.95799999999997</v>
      </c>
      <c r="N4" s="54">
        <v>697.4</v>
      </c>
      <c r="O4" s="55">
        <v>9.69E-2</v>
      </c>
      <c r="P4" s="56">
        <v>5.81</v>
      </c>
      <c r="Q4" s="51">
        <v>439</v>
      </c>
      <c r="R4" s="51">
        <v>2</v>
      </c>
      <c r="S4" s="51">
        <v>1200</v>
      </c>
      <c r="T4" s="53">
        <v>1.17</v>
      </c>
      <c r="U4" s="51">
        <v>30</v>
      </c>
      <c r="V4" s="55">
        <v>2.5000000000000001E-2</v>
      </c>
      <c r="W4" s="51" t="s">
        <v>27</v>
      </c>
      <c r="X4" s="51" t="s">
        <v>28</v>
      </c>
      <c r="Y4" s="51" t="s">
        <v>27</v>
      </c>
      <c r="Z4" s="51" t="s">
        <v>27</v>
      </c>
      <c r="AA4" s="51" t="s">
        <v>27</v>
      </c>
      <c r="AB4" s="51" t="s">
        <v>29</v>
      </c>
      <c r="AC4" s="51" t="s">
        <v>236</v>
      </c>
    </row>
    <row r="5" spans="1:29" ht="25.05" customHeight="1" x14ac:dyDescent="0.3">
      <c r="A5" s="51"/>
      <c r="B5" s="52" t="s">
        <v>231</v>
      </c>
      <c r="C5" s="51" t="s">
        <v>25</v>
      </c>
      <c r="D5" s="51" t="s">
        <v>144</v>
      </c>
      <c r="E5" s="51">
        <v>263108</v>
      </c>
      <c r="F5" s="51" t="s">
        <v>235</v>
      </c>
      <c r="G5" s="51">
        <v>310</v>
      </c>
      <c r="H5" s="53">
        <v>0.878</v>
      </c>
      <c r="I5" s="53">
        <v>1.99</v>
      </c>
      <c r="J5" s="51" t="s">
        <v>26</v>
      </c>
      <c r="K5" s="51" t="s">
        <v>234</v>
      </c>
      <c r="L5" s="51" t="s">
        <v>26</v>
      </c>
      <c r="M5" s="53">
        <v>541.63800000000003</v>
      </c>
      <c r="N5" s="54">
        <v>616.9</v>
      </c>
      <c r="O5" s="55">
        <v>0.1714</v>
      </c>
      <c r="P5" s="56">
        <v>10.28</v>
      </c>
      <c r="Q5" s="51">
        <v>291.39999999999998</v>
      </c>
      <c r="R5" s="51">
        <v>1</v>
      </c>
      <c r="S5" s="51">
        <v>900</v>
      </c>
      <c r="T5" s="53">
        <v>0.878</v>
      </c>
      <c r="U5" s="51">
        <v>22</v>
      </c>
      <c r="V5" s="55">
        <v>2.4400000000000002E-2</v>
      </c>
      <c r="W5" s="51" t="s">
        <v>27</v>
      </c>
      <c r="X5" s="51" t="s">
        <v>28</v>
      </c>
      <c r="Y5" s="51" t="s">
        <v>27</v>
      </c>
      <c r="Z5" s="51" t="s">
        <v>27</v>
      </c>
      <c r="AA5" s="51" t="s">
        <v>27</v>
      </c>
      <c r="AB5" s="51" t="s">
        <v>31</v>
      </c>
      <c r="AC5" s="51" t="s">
        <v>233</v>
      </c>
    </row>
    <row r="6" spans="1:29" ht="25.05" customHeight="1" x14ac:dyDescent="0.3">
      <c r="A6" s="51"/>
      <c r="B6" s="52" t="s">
        <v>231</v>
      </c>
      <c r="C6" s="51" t="s">
        <v>49</v>
      </c>
      <c r="D6" s="51" t="s">
        <v>144</v>
      </c>
      <c r="E6" s="51">
        <v>263110</v>
      </c>
      <c r="F6" s="51" t="s">
        <v>230</v>
      </c>
      <c r="G6" s="51">
        <v>360</v>
      </c>
      <c r="H6" s="53">
        <v>1.546</v>
      </c>
      <c r="I6" s="53">
        <v>1.788</v>
      </c>
      <c r="J6" s="51" t="s">
        <v>26</v>
      </c>
      <c r="K6" s="51" t="s">
        <v>32</v>
      </c>
      <c r="L6" s="51" t="s">
        <v>26</v>
      </c>
      <c r="M6" s="53">
        <v>995.12900000000002</v>
      </c>
      <c r="N6" s="54">
        <v>643.70000000000005</v>
      </c>
      <c r="O6" s="55">
        <v>0.17879999999999999</v>
      </c>
      <c r="P6" s="56">
        <v>10.73</v>
      </c>
      <c r="Q6" s="51">
        <v>328.4</v>
      </c>
      <c r="R6" s="51">
        <v>1</v>
      </c>
      <c r="S6" s="51">
        <v>1600</v>
      </c>
      <c r="T6" s="53">
        <v>1.546</v>
      </c>
      <c r="U6" s="51">
        <v>54</v>
      </c>
      <c r="V6" s="55">
        <v>3.3799999999999997E-2</v>
      </c>
      <c r="W6" s="51" t="s">
        <v>27</v>
      </c>
      <c r="X6" s="51" t="s">
        <v>27</v>
      </c>
      <c r="Y6" s="51" t="s">
        <v>27</v>
      </c>
      <c r="Z6" s="51" t="s">
        <v>26</v>
      </c>
      <c r="AA6" s="51" t="s">
        <v>26</v>
      </c>
      <c r="AB6" s="51" t="s">
        <v>31</v>
      </c>
      <c r="AC6" s="51" t="s">
        <v>232</v>
      </c>
    </row>
    <row r="7" spans="1:29" ht="25.05" customHeight="1" x14ac:dyDescent="0.3">
      <c r="A7" s="51"/>
      <c r="B7" s="52" t="s">
        <v>231</v>
      </c>
      <c r="C7" s="51" t="s">
        <v>49</v>
      </c>
      <c r="D7" s="51" t="s">
        <v>144</v>
      </c>
      <c r="E7" s="51">
        <v>263111</v>
      </c>
      <c r="F7" s="51" t="s">
        <v>230</v>
      </c>
      <c r="G7" s="51">
        <v>440</v>
      </c>
      <c r="H7" s="53">
        <v>0.98199999999999998</v>
      </c>
      <c r="I7" s="53">
        <v>2.2599999999999998</v>
      </c>
      <c r="J7" s="51" t="s">
        <v>26</v>
      </c>
      <c r="K7" s="51" t="s">
        <v>229</v>
      </c>
      <c r="L7" s="51" t="s">
        <v>26</v>
      </c>
      <c r="M7" s="53">
        <v>976.50099999999998</v>
      </c>
      <c r="N7" s="54">
        <v>994.4</v>
      </c>
      <c r="O7" s="55">
        <v>0.2762</v>
      </c>
      <c r="P7" s="56">
        <v>16.57</v>
      </c>
      <c r="Q7" s="51">
        <v>322.2</v>
      </c>
      <c r="R7" s="51">
        <v>1</v>
      </c>
      <c r="S7" s="51">
        <v>1050</v>
      </c>
      <c r="T7" s="53">
        <v>0.98199999999999998</v>
      </c>
      <c r="U7" s="51">
        <v>68</v>
      </c>
      <c r="V7" s="55">
        <v>6.4799999999999996E-2</v>
      </c>
      <c r="W7" s="51" t="s">
        <v>27</v>
      </c>
      <c r="X7" s="51" t="s">
        <v>27</v>
      </c>
      <c r="Y7" s="51" t="s">
        <v>27</v>
      </c>
      <c r="Z7" s="51" t="s">
        <v>26</v>
      </c>
      <c r="AA7" s="51" t="s">
        <v>26</v>
      </c>
      <c r="AB7" s="51" t="s">
        <v>31</v>
      </c>
      <c r="AC7" s="51" t="s">
        <v>228</v>
      </c>
    </row>
    <row r="8" spans="1:29" ht="25.05" customHeight="1" x14ac:dyDescent="0.3">
      <c r="A8" s="50" t="s">
        <v>26</v>
      </c>
      <c r="B8" s="50" t="s">
        <v>26</v>
      </c>
      <c r="C8" s="50" t="s">
        <v>26</v>
      </c>
      <c r="D8" s="50" t="s">
        <v>26</v>
      </c>
      <c r="E8" s="50" t="s">
        <v>26</v>
      </c>
      <c r="F8" s="50" t="s">
        <v>26</v>
      </c>
      <c r="G8" s="50">
        <f>SUM(G3:G7)</f>
        <v>2910</v>
      </c>
      <c r="H8" s="50" t="s">
        <v>26</v>
      </c>
      <c r="I8" s="50" t="s">
        <v>26</v>
      </c>
      <c r="J8" s="50" t="s">
        <v>26</v>
      </c>
      <c r="K8" s="50" t="s">
        <v>26</v>
      </c>
      <c r="L8" s="50" t="s">
        <v>26</v>
      </c>
      <c r="M8" s="50" t="s">
        <v>26</v>
      </c>
      <c r="N8" s="50" t="s">
        <v>26</v>
      </c>
      <c r="O8" s="50" t="s">
        <v>26</v>
      </c>
      <c r="P8" s="50" t="s">
        <v>26</v>
      </c>
      <c r="Q8" s="50">
        <f>SUM(Q3:Q7)</f>
        <v>1799.3999999999999</v>
      </c>
      <c r="R8" s="50" t="s">
        <v>26</v>
      </c>
      <c r="S8" s="50" t="s">
        <v>26</v>
      </c>
      <c r="T8" s="50" t="s">
        <v>26</v>
      </c>
      <c r="U8" s="50" t="s">
        <v>26</v>
      </c>
      <c r="V8" s="50" t="s">
        <v>26</v>
      </c>
      <c r="W8" s="50" t="s">
        <v>26</v>
      </c>
      <c r="X8" s="50" t="s">
        <v>26</v>
      </c>
      <c r="Y8" s="50" t="s">
        <v>26</v>
      </c>
      <c r="Z8" s="50" t="s">
        <v>26</v>
      </c>
      <c r="AA8" s="50" t="s">
        <v>26</v>
      </c>
      <c r="AB8" s="50" t="s">
        <v>26</v>
      </c>
      <c r="AC8" s="50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1177D-7C06-4B59-A4AD-AC7AFDD42B58}">
  <sheetPr>
    <pageSetUpPr fitToPage="1"/>
  </sheetPr>
  <dimension ref="A1:AC25"/>
  <sheetViews>
    <sheetView workbookViewId="0">
      <selection sqref="A1:AC24"/>
    </sheetView>
  </sheetViews>
  <sheetFormatPr defaultRowHeight="14.4" x14ac:dyDescent="0.3"/>
  <cols>
    <col min="1" max="1" width="8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7.77734375" style="4" customWidth="1"/>
    <col min="6" max="6" width="6.21875" style="4" customWidth="1"/>
    <col min="7" max="7" width="7" style="4" customWidth="1"/>
    <col min="8" max="8" width="6.6640625" style="4" customWidth="1"/>
    <col min="9" max="9" width="7.88671875" style="4" customWidth="1"/>
    <col min="10" max="10" width="8" style="4" customWidth="1"/>
    <col min="11" max="11" width="19.6640625" style="4" customWidth="1"/>
    <col min="12" max="12" width="8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6640625" style="4" customWidth="1"/>
    <col min="18" max="18" width="4.77734375" style="4" customWidth="1"/>
    <col min="19" max="19" width="6.5546875" style="4" customWidth="1"/>
    <col min="20" max="20" width="7.218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7.5546875" style="4" customWidth="1"/>
    <col min="26" max="27" width="7.77734375" style="4" customWidth="1"/>
    <col min="28" max="28" width="4.109375" style="4" customWidth="1"/>
    <col min="29" max="29" width="11.44140625" style="4" customWidth="1"/>
    <col min="30" max="16384" width="8.88671875" style="4"/>
  </cols>
  <sheetData>
    <row r="1" spans="1:29" ht="18" customHeight="1" x14ac:dyDescent="0.35">
      <c r="A1" s="59" t="s">
        <v>227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55.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85</v>
      </c>
      <c r="C3" s="6" t="s">
        <v>41</v>
      </c>
      <c r="D3" s="6" t="s">
        <v>185</v>
      </c>
      <c r="E3" s="6">
        <v>263101</v>
      </c>
      <c r="F3" s="6">
        <v>1021</v>
      </c>
      <c r="G3" s="6">
        <v>300</v>
      </c>
      <c r="H3" s="8">
        <v>0.75</v>
      </c>
      <c r="I3" s="8">
        <v>0.66</v>
      </c>
      <c r="J3" s="6" t="s">
        <v>26</v>
      </c>
      <c r="K3" s="6" t="s">
        <v>32</v>
      </c>
      <c r="L3" s="6" t="s">
        <v>26</v>
      </c>
      <c r="M3" s="8">
        <v>148.5</v>
      </c>
      <c r="N3" s="9">
        <v>99</v>
      </c>
      <c r="O3" s="10">
        <v>1.38E-2</v>
      </c>
      <c r="P3" s="11">
        <v>0.82</v>
      </c>
      <c r="Q3" s="6">
        <v>84.3</v>
      </c>
      <c r="R3" s="6">
        <v>2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226</v>
      </c>
    </row>
    <row r="4" spans="1:29" s="12" customFormat="1" ht="25.05" customHeight="1" x14ac:dyDescent="0.3">
      <c r="A4" s="6"/>
      <c r="B4" s="7" t="s">
        <v>85</v>
      </c>
      <c r="C4" s="6" t="s">
        <v>41</v>
      </c>
      <c r="D4" s="6" t="s">
        <v>185</v>
      </c>
      <c r="E4" s="6">
        <v>263099</v>
      </c>
      <c r="F4" s="6">
        <v>1021</v>
      </c>
      <c r="G4" s="6">
        <v>300</v>
      </c>
      <c r="H4" s="8">
        <v>0.71</v>
      </c>
      <c r="I4" s="8">
        <v>1.46</v>
      </c>
      <c r="J4" s="6" t="s">
        <v>26</v>
      </c>
      <c r="K4" s="6" t="s">
        <v>32</v>
      </c>
      <c r="L4" s="6" t="s">
        <v>26</v>
      </c>
      <c r="M4" s="8">
        <v>310.98</v>
      </c>
      <c r="N4" s="9">
        <v>219</v>
      </c>
      <c r="O4" s="10">
        <v>3.04E-2</v>
      </c>
      <c r="P4" s="11">
        <v>1.82</v>
      </c>
      <c r="Q4" s="6">
        <v>176.6</v>
      </c>
      <c r="R4" s="6">
        <v>2</v>
      </c>
      <c r="S4" s="6">
        <v>1450</v>
      </c>
      <c r="T4" s="8">
        <v>1.42</v>
      </c>
      <c r="U4" s="6">
        <v>30</v>
      </c>
      <c r="V4" s="10">
        <v>2.07E-2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31</v>
      </c>
      <c r="AC4" s="6" t="s">
        <v>225</v>
      </c>
    </row>
    <row r="5" spans="1:29" s="12" customFormat="1" ht="25.05" customHeight="1" x14ac:dyDescent="0.3">
      <c r="A5" s="6"/>
      <c r="B5" s="7" t="s">
        <v>85</v>
      </c>
      <c r="C5" s="6" t="s">
        <v>41</v>
      </c>
      <c r="D5" s="6" t="s">
        <v>185</v>
      </c>
      <c r="E5" s="6">
        <v>263100</v>
      </c>
      <c r="F5" s="6">
        <v>1021</v>
      </c>
      <c r="G5" s="6">
        <v>300</v>
      </c>
      <c r="H5" s="8">
        <v>0.71</v>
      </c>
      <c r="I5" s="8">
        <v>1.26</v>
      </c>
      <c r="J5" s="6" t="s">
        <v>26</v>
      </c>
      <c r="K5" s="6" t="s">
        <v>32</v>
      </c>
      <c r="L5" s="6" t="s">
        <v>26</v>
      </c>
      <c r="M5" s="8">
        <v>268.38</v>
      </c>
      <c r="N5" s="9">
        <v>189</v>
      </c>
      <c r="O5" s="10">
        <v>2.6200000000000001E-2</v>
      </c>
      <c r="P5" s="11">
        <v>1.57</v>
      </c>
      <c r="Q5" s="6">
        <v>152.4</v>
      </c>
      <c r="R5" s="6">
        <v>2</v>
      </c>
      <c r="S5" s="6">
        <v>1450</v>
      </c>
      <c r="T5" s="8">
        <v>1.42</v>
      </c>
      <c r="U5" s="6">
        <v>30</v>
      </c>
      <c r="V5" s="10">
        <v>2.07E-2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31</v>
      </c>
      <c r="AC5" s="6" t="s">
        <v>224</v>
      </c>
    </row>
    <row r="6" spans="1:29" s="12" customFormat="1" ht="25.05" customHeight="1" x14ac:dyDescent="0.3">
      <c r="A6" s="6"/>
      <c r="B6" s="7" t="s">
        <v>85</v>
      </c>
      <c r="C6" s="6" t="s">
        <v>41</v>
      </c>
      <c r="D6" s="6" t="s">
        <v>185</v>
      </c>
      <c r="E6" s="6">
        <v>263098</v>
      </c>
      <c r="F6" s="6">
        <v>1021</v>
      </c>
      <c r="G6" s="6">
        <v>350</v>
      </c>
      <c r="H6" s="8">
        <v>0.46</v>
      </c>
      <c r="I6" s="8">
        <v>1.5</v>
      </c>
      <c r="J6" s="6" t="s">
        <v>26</v>
      </c>
      <c r="K6" s="6" t="s">
        <v>32</v>
      </c>
      <c r="L6" s="6" t="s">
        <v>26</v>
      </c>
      <c r="M6" s="8">
        <v>241.5</v>
      </c>
      <c r="N6" s="9">
        <v>175</v>
      </c>
      <c r="O6" s="10">
        <v>1.6199999999999999E-2</v>
      </c>
      <c r="P6" s="11">
        <v>0.97</v>
      </c>
      <c r="Q6" s="6">
        <v>137.19999999999999</v>
      </c>
      <c r="R6" s="6">
        <v>3</v>
      </c>
      <c r="S6" s="6">
        <v>1400</v>
      </c>
      <c r="T6" s="8">
        <v>1.38</v>
      </c>
      <c r="U6" s="6">
        <v>20</v>
      </c>
      <c r="V6" s="10">
        <v>1.43E-2</v>
      </c>
      <c r="W6" s="6" t="s">
        <v>33</v>
      </c>
      <c r="X6" s="6" t="s">
        <v>38</v>
      </c>
      <c r="Y6" s="6" t="s">
        <v>33</v>
      </c>
      <c r="Z6" s="6" t="s">
        <v>33</v>
      </c>
      <c r="AA6" s="6" t="s">
        <v>33</v>
      </c>
      <c r="AB6" s="6" t="s">
        <v>37</v>
      </c>
      <c r="AC6" s="6" t="s">
        <v>223</v>
      </c>
    </row>
    <row r="7" spans="1:29" s="12" customFormat="1" ht="25.05" customHeight="1" x14ac:dyDescent="0.3">
      <c r="A7" s="6"/>
      <c r="B7" s="7" t="s">
        <v>85</v>
      </c>
      <c r="C7" s="6" t="s">
        <v>34</v>
      </c>
      <c r="D7" s="6" t="s">
        <v>185</v>
      </c>
      <c r="E7" s="6">
        <v>263094</v>
      </c>
      <c r="F7" s="6">
        <v>1021</v>
      </c>
      <c r="G7" s="6">
        <v>2000</v>
      </c>
      <c r="H7" s="8">
        <v>0.374</v>
      </c>
      <c r="I7" s="8">
        <v>0.84</v>
      </c>
      <c r="J7" s="6" t="s">
        <v>26</v>
      </c>
      <c r="K7" s="6" t="s">
        <v>222</v>
      </c>
      <c r="L7" s="6" t="s">
        <v>26</v>
      </c>
      <c r="M7" s="8">
        <v>628.32000000000005</v>
      </c>
      <c r="N7" s="9">
        <v>420</v>
      </c>
      <c r="O7" s="10">
        <v>2.92E-2</v>
      </c>
      <c r="P7" s="11">
        <v>1.75</v>
      </c>
      <c r="Q7" s="6">
        <v>201.1</v>
      </c>
      <c r="R7" s="6">
        <v>4</v>
      </c>
      <c r="S7" s="6">
        <v>1550</v>
      </c>
      <c r="T7" s="8">
        <v>1.496</v>
      </c>
      <c r="U7" s="6">
        <v>54</v>
      </c>
      <c r="V7" s="10">
        <v>3.4799999999999998E-2</v>
      </c>
      <c r="W7" s="6" t="s">
        <v>27</v>
      </c>
      <c r="X7" s="6" t="s">
        <v>27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221</v>
      </c>
    </row>
    <row r="8" spans="1:29" s="12" customFormat="1" ht="25.05" customHeight="1" x14ac:dyDescent="0.3">
      <c r="A8" s="6"/>
      <c r="B8" s="7" t="s">
        <v>85</v>
      </c>
      <c r="C8" s="6" t="s">
        <v>34</v>
      </c>
      <c r="D8" s="6" t="s">
        <v>185</v>
      </c>
      <c r="E8" s="6">
        <v>263091</v>
      </c>
      <c r="F8" s="6">
        <v>1021</v>
      </c>
      <c r="G8" s="6">
        <v>500</v>
      </c>
      <c r="H8" s="8">
        <v>0.49399999999999999</v>
      </c>
      <c r="I8" s="8">
        <v>1.56</v>
      </c>
      <c r="J8" s="6" t="s">
        <v>26</v>
      </c>
      <c r="K8" s="6" t="s">
        <v>220</v>
      </c>
      <c r="L8" s="6" t="s">
        <v>26</v>
      </c>
      <c r="M8" s="8">
        <v>385.32</v>
      </c>
      <c r="N8" s="9">
        <v>260</v>
      </c>
      <c r="O8" s="10">
        <v>2.41E-2</v>
      </c>
      <c r="P8" s="11">
        <v>1.44</v>
      </c>
      <c r="Q8" s="6">
        <v>123.3</v>
      </c>
      <c r="R8" s="6">
        <v>3</v>
      </c>
      <c r="S8" s="6">
        <v>1550</v>
      </c>
      <c r="T8" s="8">
        <v>1.482</v>
      </c>
      <c r="U8" s="6">
        <v>68</v>
      </c>
      <c r="V8" s="10">
        <v>4.3900000000000002E-2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219</v>
      </c>
    </row>
    <row r="9" spans="1:29" s="12" customFormat="1" ht="25.05" customHeight="1" x14ac:dyDescent="0.3">
      <c r="A9" s="6"/>
      <c r="B9" s="7" t="s">
        <v>85</v>
      </c>
      <c r="C9" s="6" t="s">
        <v>34</v>
      </c>
      <c r="D9" s="6" t="s">
        <v>185</v>
      </c>
      <c r="E9" s="6">
        <v>263088</v>
      </c>
      <c r="F9" s="6">
        <v>1021</v>
      </c>
      <c r="G9" s="6">
        <v>3000</v>
      </c>
      <c r="H9" s="8">
        <v>0.45</v>
      </c>
      <c r="I9" s="8">
        <v>0.75</v>
      </c>
      <c r="J9" s="6" t="s">
        <v>26</v>
      </c>
      <c r="K9" s="6" t="s">
        <v>32</v>
      </c>
      <c r="L9" s="6" t="s">
        <v>26</v>
      </c>
      <c r="M9" s="8">
        <v>1012.5</v>
      </c>
      <c r="N9" s="9">
        <v>750</v>
      </c>
      <c r="O9" s="10">
        <v>6.9400000000000003E-2</v>
      </c>
      <c r="P9" s="11">
        <v>4.17</v>
      </c>
      <c r="Q9" s="6">
        <v>324</v>
      </c>
      <c r="R9" s="6">
        <v>3</v>
      </c>
      <c r="S9" s="6">
        <v>1400</v>
      </c>
      <c r="T9" s="8">
        <v>1.35</v>
      </c>
      <c r="U9" s="6">
        <v>50</v>
      </c>
      <c r="V9" s="10">
        <v>3.5700000000000003E-2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31</v>
      </c>
      <c r="AC9" s="6" t="s">
        <v>218</v>
      </c>
    </row>
    <row r="10" spans="1:29" s="12" customFormat="1" ht="25.05" customHeight="1" x14ac:dyDescent="0.3">
      <c r="A10" s="6"/>
      <c r="B10" s="7" t="s">
        <v>85</v>
      </c>
      <c r="C10" s="6" t="s">
        <v>34</v>
      </c>
      <c r="D10" s="6" t="s">
        <v>185</v>
      </c>
      <c r="E10" s="6">
        <v>263089</v>
      </c>
      <c r="F10" s="6">
        <v>1021</v>
      </c>
      <c r="G10" s="6">
        <v>2000</v>
      </c>
      <c r="H10" s="8">
        <v>0.45</v>
      </c>
      <c r="I10" s="8">
        <v>0.65</v>
      </c>
      <c r="J10" s="6" t="s">
        <v>26</v>
      </c>
      <c r="K10" s="6" t="s">
        <v>32</v>
      </c>
      <c r="L10" s="6" t="s">
        <v>26</v>
      </c>
      <c r="M10" s="8">
        <v>585</v>
      </c>
      <c r="N10" s="9">
        <v>433.3</v>
      </c>
      <c r="O10" s="10">
        <v>4.0099999999999997E-2</v>
      </c>
      <c r="P10" s="11">
        <v>2.41</v>
      </c>
      <c r="Q10" s="6">
        <v>187.2</v>
      </c>
      <c r="R10" s="6">
        <v>3</v>
      </c>
      <c r="S10" s="6">
        <v>1400</v>
      </c>
      <c r="T10" s="8">
        <v>1.35</v>
      </c>
      <c r="U10" s="6">
        <v>50</v>
      </c>
      <c r="V10" s="10">
        <v>3.5700000000000003E-2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53</v>
      </c>
      <c r="AC10" s="6" t="s">
        <v>217</v>
      </c>
    </row>
    <row r="11" spans="1:29" s="12" customFormat="1" ht="25.05" customHeight="1" x14ac:dyDescent="0.3">
      <c r="A11" s="6"/>
      <c r="B11" s="7" t="s">
        <v>85</v>
      </c>
      <c r="C11" s="6" t="s">
        <v>34</v>
      </c>
      <c r="D11" s="6" t="s">
        <v>185</v>
      </c>
      <c r="E11" s="6">
        <v>263104</v>
      </c>
      <c r="F11" s="6">
        <v>1021</v>
      </c>
      <c r="G11" s="6">
        <v>1000</v>
      </c>
      <c r="H11" s="8">
        <v>0.46</v>
      </c>
      <c r="I11" s="8">
        <v>0.91</v>
      </c>
      <c r="J11" s="6" t="s">
        <v>26</v>
      </c>
      <c r="K11" s="6" t="s">
        <v>32</v>
      </c>
      <c r="L11" s="6" t="s">
        <v>26</v>
      </c>
      <c r="M11" s="8">
        <v>418.6</v>
      </c>
      <c r="N11" s="9">
        <v>303.3</v>
      </c>
      <c r="O11" s="10">
        <v>2.81E-2</v>
      </c>
      <c r="P11" s="11">
        <v>1.69</v>
      </c>
      <c r="Q11" s="6">
        <v>134</v>
      </c>
      <c r="R11" s="6">
        <v>3</v>
      </c>
      <c r="S11" s="6">
        <v>1400</v>
      </c>
      <c r="T11" s="8">
        <v>1.38</v>
      </c>
      <c r="U11" s="6">
        <v>20</v>
      </c>
      <c r="V11" s="10">
        <v>1.43E-2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216</v>
      </c>
    </row>
    <row r="12" spans="1:29" s="12" customFormat="1" ht="25.05" customHeight="1" x14ac:dyDescent="0.3">
      <c r="A12" s="6"/>
      <c r="B12" s="7" t="s">
        <v>85</v>
      </c>
      <c r="C12" s="6" t="s">
        <v>47</v>
      </c>
      <c r="D12" s="6" t="s">
        <v>185</v>
      </c>
      <c r="E12" s="6">
        <v>263105</v>
      </c>
      <c r="F12" s="6">
        <v>1021</v>
      </c>
      <c r="G12" s="6">
        <v>1000</v>
      </c>
      <c r="H12" s="8">
        <v>0.46</v>
      </c>
      <c r="I12" s="8">
        <v>0.91</v>
      </c>
      <c r="J12" s="6" t="s">
        <v>26</v>
      </c>
      <c r="K12" s="6" t="s">
        <v>32</v>
      </c>
      <c r="L12" s="6" t="s">
        <v>26</v>
      </c>
      <c r="M12" s="8">
        <v>418.6</v>
      </c>
      <c r="N12" s="9">
        <v>303.3</v>
      </c>
      <c r="O12" s="10">
        <v>2.81E-2</v>
      </c>
      <c r="P12" s="11">
        <v>1.69</v>
      </c>
      <c r="Q12" s="6">
        <v>152.80000000000001</v>
      </c>
      <c r="R12" s="6">
        <v>3</v>
      </c>
      <c r="S12" s="6">
        <v>1400</v>
      </c>
      <c r="T12" s="8">
        <v>1.38</v>
      </c>
      <c r="U12" s="6">
        <v>20</v>
      </c>
      <c r="V12" s="10">
        <v>1.43E-2</v>
      </c>
      <c r="W12" s="6" t="s">
        <v>36</v>
      </c>
      <c r="X12" s="6" t="s">
        <v>28</v>
      </c>
      <c r="Y12" s="6" t="s">
        <v>33</v>
      </c>
      <c r="Z12" s="6" t="s">
        <v>26</v>
      </c>
      <c r="AA12" s="6" t="s">
        <v>26</v>
      </c>
      <c r="AB12" s="6" t="s">
        <v>37</v>
      </c>
      <c r="AC12" s="6" t="s">
        <v>216</v>
      </c>
    </row>
    <row r="13" spans="1:29" s="12" customFormat="1" ht="25.05" customHeight="1" x14ac:dyDescent="0.3">
      <c r="A13" s="6"/>
      <c r="B13" s="7" t="s">
        <v>85</v>
      </c>
      <c r="C13" s="6" t="s">
        <v>34</v>
      </c>
      <c r="D13" s="6" t="s">
        <v>185</v>
      </c>
      <c r="E13" s="6">
        <v>263097</v>
      </c>
      <c r="F13" s="6">
        <v>1021</v>
      </c>
      <c r="G13" s="6">
        <v>1000</v>
      </c>
      <c r="H13" s="8">
        <v>0.308</v>
      </c>
      <c r="I13" s="8">
        <v>0.91</v>
      </c>
      <c r="J13" s="6" t="s">
        <v>26</v>
      </c>
      <c r="K13" s="6" t="s">
        <v>32</v>
      </c>
      <c r="L13" s="6" t="s">
        <v>26</v>
      </c>
      <c r="M13" s="8">
        <v>280.27999999999997</v>
      </c>
      <c r="N13" s="9">
        <v>227.5</v>
      </c>
      <c r="O13" s="10">
        <v>1.5800000000000002E-2</v>
      </c>
      <c r="P13" s="11">
        <v>0.95</v>
      </c>
      <c r="Q13" s="6">
        <v>89.7</v>
      </c>
      <c r="R13" s="6">
        <v>4</v>
      </c>
      <c r="S13" s="6">
        <v>1300</v>
      </c>
      <c r="T13" s="8">
        <v>1.232</v>
      </c>
      <c r="U13" s="6">
        <v>68</v>
      </c>
      <c r="V13" s="10">
        <v>5.2299999999999999E-2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215</v>
      </c>
    </row>
    <row r="14" spans="1:29" s="12" customFormat="1" ht="25.05" customHeight="1" x14ac:dyDescent="0.3">
      <c r="A14" s="6"/>
      <c r="B14" s="7" t="s">
        <v>85</v>
      </c>
      <c r="C14" s="6" t="s">
        <v>34</v>
      </c>
      <c r="D14" s="6" t="s">
        <v>185</v>
      </c>
      <c r="E14" s="6">
        <v>263095</v>
      </c>
      <c r="F14" s="6">
        <v>1021</v>
      </c>
      <c r="G14" s="6">
        <v>1000</v>
      </c>
      <c r="H14" s="8">
        <v>0.30399999999999999</v>
      </c>
      <c r="I14" s="8">
        <v>0.84</v>
      </c>
      <c r="J14" s="6" t="s">
        <v>26</v>
      </c>
      <c r="K14" s="6" t="s">
        <v>60</v>
      </c>
      <c r="L14" s="6" t="s">
        <v>26</v>
      </c>
      <c r="M14" s="8">
        <v>255.36</v>
      </c>
      <c r="N14" s="9">
        <v>210</v>
      </c>
      <c r="O14" s="10">
        <v>1.46E-2</v>
      </c>
      <c r="P14" s="11">
        <v>0.88</v>
      </c>
      <c r="Q14" s="6">
        <v>81.7</v>
      </c>
      <c r="R14" s="6">
        <v>4</v>
      </c>
      <c r="S14" s="6">
        <v>1250</v>
      </c>
      <c r="T14" s="8">
        <v>1.216</v>
      </c>
      <c r="U14" s="6">
        <v>34</v>
      </c>
      <c r="V14" s="10">
        <v>2.7199999999999998E-2</v>
      </c>
      <c r="W14" s="6" t="s">
        <v>27</v>
      </c>
      <c r="X14" s="6" t="s">
        <v>27</v>
      </c>
      <c r="Y14" s="6" t="s">
        <v>27</v>
      </c>
      <c r="Z14" s="6" t="s">
        <v>26</v>
      </c>
      <c r="AA14" s="6" t="s">
        <v>26</v>
      </c>
      <c r="AB14" s="6" t="s">
        <v>37</v>
      </c>
      <c r="AC14" s="6" t="s">
        <v>214</v>
      </c>
    </row>
    <row r="15" spans="1:29" s="12" customFormat="1" ht="25.05" customHeight="1" x14ac:dyDescent="0.3">
      <c r="A15" s="6"/>
      <c r="B15" s="7" t="s">
        <v>85</v>
      </c>
      <c r="C15" s="6" t="s">
        <v>34</v>
      </c>
      <c r="D15" s="6" t="s">
        <v>185</v>
      </c>
      <c r="E15" s="6">
        <v>263090</v>
      </c>
      <c r="F15" s="6">
        <v>1021</v>
      </c>
      <c r="G15" s="6">
        <v>4000</v>
      </c>
      <c r="H15" s="8">
        <v>0.40400000000000003</v>
      </c>
      <c r="I15" s="8">
        <v>1.39</v>
      </c>
      <c r="J15" s="6" t="s">
        <v>26</v>
      </c>
      <c r="K15" s="6" t="s">
        <v>58</v>
      </c>
      <c r="L15" s="6" t="s">
        <v>26</v>
      </c>
      <c r="M15" s="8">
        <v>2246.2399999999998</v>
      </c>
      <c r="N15" s="9">
        <v>1853.3</v>
      </c>
      <c r="O15" s="10">
        <v>0.1716</v>
      </c>
      <c r="P15" s="11">
        <v>10.3</v>
      </c>
      <c r="Q15" s="6">
        <v>718.8</v>
      </c>
      <c r="R15" s="6">
        <v>3</v>
      </c>
      <c r="S15" s="6">
        <v>1250</v>
      </c>
      <c r="T15" s="8">
        <v>1.212</v>
      </c>
      <c r="U15" s="6">
        <v>38</v>
      </c>
      <c r="V15" s="10">
        <v>3.04E-2</v>
      </c>
      <c r="W15" s="6" t="s">
        <v>27</v>
      </c>
      <c r="X15" s="6" t="s">
        <v>27</v>
      </c>
      <c r="Y15" s="6" t="s">
        <v>27</v>
      </c>
      <c r="Z15" s="6" t="s">
        <v>26</v>
      </c>
      <c r="AA15" s="6" t="s">
        <v>26</v>
      </c>
      <c r="AB15" s="6" t="s">
        <v>42</v>
      </c>
      <c r="AC15" s="6" t="s">
        <v>57</v>
      </c>
    </row>
    <row r="16" spans="1:29" s="12" customFormat="1" ht="25.05" customHeight="1" x14ac:dyDescent="0.3">
      <c r="A16" s="6"/>
      <c r="B16" s="7" t="s">
        <v>85</v>
      </c>
      <c r="C16" s="6" t="s">
        <v>34</v>
      </c>
      <c r="D16" s="6" t="s">
        <v>185</v>
      </c>
      <c r="E16" s="6">
        <v>263096</v>
      </c>
      <c r="F16" s="6">
        <v>1021</v>
      </c>
      <c r="G16" s="6">
        <v>1000</v>
      </c>
      <c r="H16" s="8">
        <v>0.61</v>
      </c>
      <c r="I16" s="8">
        <v>0.75</v>
      </c>
      <c r="J16" s="6" t="s">
        <v>26</v>
      </c>
      <c r="K16" s="6" t="s">
        <v>213</v>
      </c>
      <c r="L16" s="6" t="s">
        <v>26</v>
      </c>
      <c r="M16" s="8">
        <v>457.5</v>
      </c>
      <c r="N16" s="9">
        <v>375</v>
      </c>
      <c r="O16" s="10">
        <v>5.21E-2</v>
      </c>
      <c r="P16" s="11">
        <v>3.13</v>
      </c>
      <c r="Q16" s="6">
        <v>146.4</v>
      </c>
      <c r="R16" s="6">
        <v>2</v>
      </c>
      <c r="S16" s="6">
        <v>1250</v>
      </c>
      <c r="T16" s="8">
        <v>1.22</v>
      </c>
      <c r="U16" s="6">
        <v>30</v>
      </c>
      <c r="V16" s="10">
        <v>2.4E-2</v>
      </c>
      <c r="W16" s="6" t="s">
        <v>27</v>
      </c>
      <c r="X16" s="6" t="s">
        <v>27</v>
      </c>
      <c r="Y16" s="6" t="s">
        <v>27</v>
      </c>
      <c r="Z16" s="6" t="s">
        <v>26</v>
      </c>
      <c r="AA16" s="6" t="s">
        <v>26</v>
      </c>
      <c r="AB16" s="6" t="s">
        <v>37</v>
      </c>
      <c r="AC16" s="6" t="s">
        <v>212</v>
      </c>
    </row>
    <row r="17" spans="1:29" s="12" customFormat="1" ht="25.05" customHeight="1" x14ac:dyDescent="0.3">
      <c r="A17" s="6"/>
      <c r="B17" s="7" t="s">
        <v>85</v>
      </c>
      <c r="C17" s="6" t="s">
        <v>34</v>
      </c>
      <c r="D17" s="6" t="s">
        <v>185</v>
      </c>
      <c r="E17" s="6">
        <v>263093</v>
      </c>
      <c r="F17" s="6">
        <v>1021</v>
      </c>
      <c r="G17" s="6">
        <v>900</v>
      </c>
      <c r="H17" s="8">
        <v>0.6</v>
      </c>
      <c r="I17" s="8">
        <v>1.1599999999999999</v>
      </c>
      <c r="J17" s="6" t="s">
        <v>26</v>
      </c>
      <c r="K17" s="6" t="s">
        <v>211</v>
      </c>
      <c r="L17" s="6" t="s">
        <v>26</v>
      </c>
      <c r="M17" s="8">
        <v>626.4</v>
      </c>
      <c r="N17" s="9">
        <v>522</v>
      </c>
      <c r="O17" s="10">
        <v>7.2499999999999995E-2</v>
      </c>
      <c r="P17" s="11">
        <v>4.3499999999999996</v>
      </c>
      <c r="Q17" s="6">
        <v>200.4</v>
      </c>
      <c r="R17" s="6">
        <v>2</v>
      </c>
      <c r="S17" s="6">
        <v>1250</v>
      </c>
      <c r="T17" s="8">
        <v>1.2</v>
      </c>
      <c r="U17" s="6">
        <v>50</v>
      </c>
      <c r="V17" s="10">
        <v>0.04</v>
      </c>
      <c r="W17" s="6" t="s">
        <v>27</v>
      </c>
      <c r="X17" s="6" t="s">
        <v>27</v>
      </c>
      <c r="Y17" s="6" t="s">
        <v>27</v>
      </c>
      <c r="Z17" s="6" t="s">
        <v>26</v>
      </c>
      <c r="AA17" s="6" t="s">
        <v>26</v>
      </c>
      <c r="AB17" s="6" t="s">
        <v>37</v>
      </c>
      <c r="AC17" s="6" t="s">
        <v>210</v>
      </c>
    </row>
    <row r="18" spans="1:29" s="12" customFormat="1" ht="25.05" customHeight="1" x14ac:dyDescent="0.3">
      <c r="A18" s="6"/>
      <c r="B18" s="7" t="s">
        <v>85</v>
      </c>
      <c r="C18" s="6" t="s">
        <v>40</v>
      </c>
      <c r="D18" s="6" t="s">
        <v>185</v>
      </c>
      <c r="E18" s="6">
        <v>263106</v>
      </c>
      <c r="F18" s="6">
        <v>1021</v>
      </c>
      <c r="G18" s="6">
        <v>2000</v>
      </c>
      <c r="H18" s="8">
        <v>0.55400000000000005</v>
      </c>
      <c r="I18" s="8">
        <v>2.2040000000000002</v>
      </c>
      <c r="J18" s="6" t="s">
        <v>26</v>
      </c>
      <c r="K18" s="6" t="s">
        <v>52</v>
      </c>
      <c r="L18" s="6" t="s">
        <v>26</v>
      </c>
      <c r="M18" s="8">
        <v>2442.0320000000002</v>
      </c>
      <c r="N18" s="9">
        <v>2204</v>
      </c>
      <c r="O18" s="10">
        <v>0.30609999999999998</v>
      </c>
      <c r="P18" s="11">
        <v>18.37</v>
      </c>
      <c r="Q18" s="6">
        <v>842.5</v>
      </c>
      <c r="R18" s="6">
        <v>2</v>
      </c>
      <c r="S18" s="6">
        <v>1150</v>
      </c>
      <c r="T18" s="8">
        <v>1.1080000000000001</v>
      </c>
      <c r="U18" s="6">
        <v>42</v>
      </c>
      <c r="V18" s="10">
        <v>3.6499999999999998E-2</v>
      </c>
      <c r="W18" s="6" t="s">
        <v>28</v>
      </c>
      <c r="X18" s="6" t="s">
        <v>28</v>
      </c>
      <c r="Y18" s="6" t="s">
        <v>27</v>
      </c>
      <c r="Z18" s="6" t="s">
        <v>26</v>
      </c>
      <c r="AA18" s="6" t="s">
        <v>26</v>
      </c>
      <c r="AB18" s="6" t="s">
        <v>42</v>
      </c>
      <c r="AC18" s="6" t="s">
        <v>51</v>
      </c>
    </row>
    <row r="19" spans="1:29" s="12" customFormat="1" ht="25.05" customHeight="1" x14ac:dyDescent="0.3">
      <c r="A19" s="6"/>
      <c r="B19" s="7" t="s">
        <v>85</v>
      </c>
      <c r="C19" s="6" t="s">
        <v>34</v>
      </c>
      <c r="D19" s="6" t="s">
        <v>185</v>
      </c>
      <c r="E19" s="6">
        <v>263092</v>
      </c>
      <c r="F19" s="6">
        <v>1021</v>
      </c>
      <c r="G19" s="6">
        <v>300</v>
      </c>
      <c r="H19" s="8">
        <v>0.53400000000000003</v>
      </c>
      <c r="I19" s="8">
        <v>1.39</v>
      </c>
      <c r="J19" s="6" t="s">
        <v>26</v>
      </c>
      <c r="K19" s="6" t="s">
        <v>209</v>
      </c>
      <c r="L19" s="6" t="s">
        <v>26</v>
      </c>
      <c r="M19" s="8">
        <v>222.678</v>
      </c>
      <c r="N19" s="9">
        <v>208.5</v>
      </c>
      <c r="O19" s="10">
        <v>2.9000000000000001E-2</v>
      </c>
      <c r="P19" s="11">
        <v>1.74</v>
      </c>
      <c r="Q19" s="6">
        <v>71.3</v>
      </c>
      <c r="R19" s="6">
        <v>2</v>
      </c>
      <c r="S19" s="6">
        <v>1100</v>
      </c>
      <c r="T19" s="8">
        <v>1.0680000000000001</v>
      </c>
      <c r="U19" s="6">
        <v>32</v>
      </c>
      <c r="V19" s="10">
        <v>2.9100000000000001E-2</v>
      </c>
      <c r="W19" s="6" t="s">
        <v>27</v>
      </c>
      <c r="X19" s="6" t="s">
        <v>27</v>
      </c>
      <c r="Y19" s="6" t="s">
        <v>27</v>
      </c>
      <c r="Z19" s="6" t="s">
        <v>26</v>
      </c>
      <c r="AA19" s="6" t="s">
        <v>26</v>
      </c>
      <c r="AB19" s="6" t="s">
        <v>37</v>
      </c>
      <c r="AC19" s="6" t="s">
        <v>208</v>
      </c>
    </row>
    <row r="20" spans="1:29" s="12" customFormat="1" ht="25.05" customHeight="1" x14ac:dyDescent="0.3">
      <c r="A20" s="6"/>
      <c r="B20" s="7" t="s">
        <v>85</v>
      </c>
      <c r="C20" s="6" t="s">
        <v>34</v>
      </c>
      <c r="D20" s="6" t="s">
        <v>185</v>
      </c>
      <c r="E20" s="6">
        <v>263087</v>
      </c>
      <c r="F20" s="6">
        <v>1021</v>
      </c>
      <c r="G20" s="6">
        <v>2000</v>
      </c>
      <c r="H20" s="8">
        <v>0.93</v>
      </c>
      <c r="I20" s="8">
        <v>1.2</v>
      </c>
      <c r="J20" s="6" t="s">
        <v>26</v>
      </c>
      <c r="K20" s="6" t="s">
        <v>207</v>
      </c>
      <c r="L20" s="6" t="s">
        <v>26</v>
      </c>
      <c r="M20" s="8">
        <v>2232</v>
      </c>
      <c r="N20" s="9">
        <v>2400</v>
      </c>
      <c r="O20" s="10">
        <v>0.66669999999999996</v>
      </c>
      <c r="P20" s="11">
        <v>40</v>
      </c>
      <c r="Q20" s="6">
        <v>714.2</v>
      </c>
      <c r="R20" s="6">
        <v>1</v>
      </c>
      <c r="S20" s="6">
        <v>950</v>
      </c>
      <c r="T20" s="8">
        <v>0.93</v>
      </c>
      <c r="U20" s="6">
        <v>20</v>
      </c>
      <c r="V20" s="10">
        <v>2.1100000000000001E-2</v>
      </c>
      <c r="W20" s="6" t="s">
        <v>27</v>
      </c>
      <c r="X20" s="6" t="s">
        <v>27</v>
      </c>
      <c r="Y20" s="6" t="s">
        <v>27</v>
      </c>
      <c r="Z20" s="6" t="s">
        <v>26</v>
      </c>
      <c r="AA20" s="6" t="s">
        <v>26</v>
      </c>
      <c r="AB20" s="6" t="s">
        <v>42</v>
      </c>
      <c r="AC20" s="6" t="s">
        <v>206</v>
      </c>
    </row>
    <row r="21" spans="1:29" s="12" customFormat="1" ht="25.05" customHeight="1" x14ac:dyDescent="0.3">
      <c r="A21" s="6"/>
      <c r="B21" s="7" t="s">
        <v>85</v>
      </c>
      <c r="C21" s="6" t="s">
        <v>34</v>
      </c>
      <c r="D21" s="6" t="s">
        <v>185</v>
      </c>
      <c r="E21" s="6">
        <v>263107</v>
      </c>
      <c r="F21" s="6">
        <v>1021</v>
      </c>
      <c r="G21" s="6">
        <v>1500</v>
      </c>
      <c r="H21" s="8">
        <v>0.44</v>
      </c>
      <c r="I21" s="8">
        <v>0.52800000000000002</v>
      </c>
      <c r="J21" s="6" t="s">
        <v>26</v>
      </c>
      <c r="K21" s="6" t="s">
        <v>205</v>
      </c>
      <c r="L21" s="6" t="s">
        <v>26</v>
      </c>
      <c r="M21" s="8">
        <v>348.48</v>
      </c>
      <c r="N21" s="9">
        <v>396</v>
      </c>
      <c r="O21" s="10">
        <v>5.5E-2</v>
      </c>
      <c r="P21" s="11">
        <v>3.3</v>
      </c>
      <c r="Q21" s="6">
        <v>111.5</v>
      </c>
      <c r="R21" s="6">
        <v>2</v>
      </c>
      <c r="S21" s="6">
        <v>900</v>
      </c>
      <c r="T21" s="8">
        <v>0.88</v>
      </c>
      <c r="U21" s="6">
        <v>20</v>
      </c>
      <c r="V21" s="10">
        <v>2.2200000000000001E-2</v>
      </c>
      <c r="W21" s="6" t="s">
        <v>27</v>
      </c>
      <c r="X21" s="6" t="s">
        <v>27</v>
      </c>
      <c r="Y21" s="6" t="s">
        <v>27</v>
      </c>
      <c r="Z21" s="6" t="s">
        <v>26</v>
      </c>
      <c r="AA21" s="6" t="s">
        <v>26</v>
      </c>
      <c r="AB21" s="6" t="s">
        <v>37</v>
      </c>
      <c r="AC21" s="6" t="s">
        <v>204</v>
      </c>
    </row>
    <row r="22" spans="1:29" s="12" customFormat="1" ht="25.05" customHeight="1" x14ac:dyDescent="0.3">
      <c r="A22" s="6"/>
      <c r="B22" s="7" t="s">
        <v>85</v>
      </c>
      <c r="C22" s="6" t="s">
        <v>40</v>
      </c>
      <c r="D22" s="6" t="s">
        <v>185</v>
      </c>
      <c r="E22" s="6">
        <v>263103</v>
      </c>
      <c r="F22" s="6">
        <v>1021</v>
      </c>
      <c r="G22" s="6">
        <v>1000</v>
      </c>
      <c r="H22" s="8">
        <v>0.56399999999999995</v>
      </c>
      <c r="I22" s="8">
        <v>2.16</v>
      </c>
      <c r="J22" s="6" t="s">
        <v>26</v>
      </c>
      <c r="K22" s="6" t="s">
        <v>203</v>
      </c>
      <c r="L22" s="6" t="s">
        <v>26</v>
      </c>
      <c r="M22" s="8">
        <v>1218.24</v>
      </c>
      <c r="N22" s="9">
        <v>540</v>
      </c>
      <c r="O22" s="10">
        <v>3.7499999999999999E-2</v>
      </c>
      <c r="P22" s="11">
        <v>2.25</v>
      </c>
      <c r="Q22" s="6">
        <v>420.3</v>
      </c>
      <c r="R22" s="6">
        <v>4</v>
      </c>
      <c r="S22" s="6">
        <v>900</v>
      </c>
      <c r="T22" s="8">
        <v>2.2559999999999998</v>
      </c>
      <c r="U22" s="6">
        <v>-1356</v>
      </c>
      <c r="V22" s="10">
        <v>-1.5066999999999999</v>
      </c>
      <c r="W22" s="6" t="s">
        <v>28</v>
      </c>
      <c r="X22" s="6" t="s">
        <v>28</v>
      </c>
      <c r="Y22" s="6" t="s">
        <v>27</v>
      </c>
      <c r="Z22" s="6" t="s">
        <v>26</v>
      </c>
      <c r="AA22" s="6" t="s">
        <v>26</v>
      </c>
      <c r="AB22" s="6" t="s">
        <v>37</v>
      </c>
      <c r="AC22" s="6" t="s">
        <v>202</v>
      </c>
    </row>
    <row r="23" spans="1:29" s="12" customFormat="1" ht="25.05" customHeight="1" x14ac:dyDescent="0.3">
      <c r="A23" s="6"/>
      <c r="B23" s="7" t="s">
        <v>85</v>
      </c>
      <c r="C23" s="6" t="s">
        <v>34</v>
      </c>
      <c r="D23" s="6" t="s">
        <v>185</v>
      </c>
      <c r="E23" s="6">
        <v>263102</v>
      </c>
      <c r="F23" s="6">
        <v>1021</v>
      </c>
      <c r="G23" s="6">
        <v>1000</v>
      </c>
      <c r="H23" s="8">
        <v>0.84</v>
      </c>
      <c r="I23" s="8">
        <v>0.88</v>
      </c>
      <c r="J23" s="6" t="s">
        <v>26</v>
      </c>
      <c r="K23" s="6" t="s">
        <v>32</v>
      </c>
      <c r="L23" s="6" t="s">
        <v>26</v>
      </c>
      <c r="M23" s="8">
        <v>739.2</v>
      </c>
      <c r="N23" s="9">
        <v>880</v>
      </c>
      <c r="O23" s="10">
        <v>0.24440000000000001</v>
      </c>
      <c r="P23" s="11">
        <v>14.67</v>
      </c>
      <c r="Q23" s="6">
        <v>236.5</v>
      </c>
      <c r="R23" s="6">
        <v>1</v>
      </c>
      <c r="S23" s="6">
        <v>900</v>
      </c>
      <c r="T23" s="8">
        <v>0.84</v>
      </c>
      <c r="U23" s="6">
        <v>60</v>
      </c>
      <c r="V23" s="10">
        <v>6.6699999999999995E-2</v>
      </c>
      <c r="W23" s="6" t="s">
        <v>27</v>
      </c>
      <c r="X23" s="6" t="s">
        <v>27</v>
      </c>
      <c r="Y23" s="6" t="s">
        <v>27</v>
      </c>
      <c r="Z23" s="6" t="s">
        <v>26</v>
      </c>
      <c r="AA23" s="6" t="s">
        <v>26</v>
      </c>
      <c r="AB23" s="6" t="s">
        <v>31</v>
      </c>
      <c r="AC23" s="6" t="s">
        <v>201</v>
      </c>
    </row>
    <row r="24" spans="1:29" s="12" customFormat="1" ht="25.05" customHeight="1" x14ac:dyDescent="0.3">
      <c r="A24" s="13" t="s">
        <v>26</v>
      </c>
      <c r="B24" s="13" t="s">
        <v>26</v>
      </c>
      <c r="C24" s="13" t="s">
        <v>26</v>
      </c>
      <c r="D24" s="13" t="s">
        <v>26</v>
      </c>
      <c r="E24" s="13" t="s">
        <v>26</v>
      </c>
      <c r="F24" s="13" t="s">
        <v>26</v>
      </c>
      <c r="G24" s="13">
        <v>26450</v>
      </c>
      <c r="H24" s="13" t="s">
        <v>26</v>
      </c>
      <c r="I24" s="13" t="s">
        <v>26</v>
      </c>
      <c r="J24" s="13" t="s">
        <v>26</v>
      </c>
      <c r="K24" s="13" t="s">
        <v>26</v>
      </c>
      <c r="L24" s="13" t="s">
        <v>26</v>
      </c>
      <c r="M24" s="13" t="s">
        <v>26</v>
      </c>
      <c r="N24" s="13" t="s">
        <v>26</v>
      </c>
      <c r="O24" s="13" t="s">
        <v>26</v>
      </c>
      <c r="P24" s="13" t="s">
        <v>26</v>
      </c>
      <c r="Q24" s="13">
        <v>5306.3</v>
      </c>
      <c r="R24" s="13" t="s">
        <v>26</v>
      </c>
      <c r="S24" s="13" t="s">
        <v>26</v>
      </c>
      <c r="T24" s="13" t="s">
        <v>26</v>
      </c>
      <c r="U24" s="13" t="s">
        <v>26</v>
      </c>
      <c r="V24" s="13" t="s">
        <v>26</v>
      </c>
      <c r="W24" s="13" t="s">
        <v>26</v>
      </c>
      <c r="X24" s="13" t="s">
        <v>26</v>
      </c>
      <c r="Y24" s="13" t="s">
        <v>26</v>
      </c>
      <c r="Z24" s="13" t="s">
        <v>26</v>
      </c>
      <c r="AA24" s="13" t="s">
        <v>26</v>
      </c>
      <c r="AB24" s="13" t="s">
        <v>26</v>
      </c>
      <c r="AC24" s="13" t="s">
        <v>26</v>
      </c>
    </row>
    <row r="25" spans="1:29" s="12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77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H40" sqref="AH40"/>
    </sheetView>
  </sheetViews>
  <sheetFormatPr defaultRowHeight="14.4" x14ac:dyDescent="0.3"/>
  <cols>
    <col min="1" max="1" width="5.5546875" style="4" customWidth="1"/>
    <col min="2" max="2" width="20.77734375" style="4" hidden="1" customWidth="1"/>
    <col min="3" max="3" width="6.109375" style="4" customWidth="1"/>
    <col min="4" max="4" width="11.77734375" style="4" hidden="1" customWidth="1"/>
    <col min="5" max="5" width="7.5546875" style="4" customWidth="1"/>
    <col min="6" max="6" width="4.33203125" style="4" customWidth="1"/>
    <col min="7" max="7" width="5.88671875" style="4" customWidth="1"/>
    <col min="8" max="8" width="7" style="4" customWidth="1"/>
    <col min="9" max="9" width="7.21875" style="4" customWidth="1"/>
    <col min="10" max="10" width="7.8867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4.21875" style="4" customWidth="1"/>
    <col min="19" max="19" width="6.21875" style="4" customWidth="1"/>
    <col min="20" max="20" width="5.77734375" style="4" customWidth="1"/>
    <col min="21" max="21" width="11.77734375" style="4" hidden="1" customWidth="1"/>
    <col min="22" max="22" width="8.77734375" style="4" hidden="1" customWidth="1"/>
    <col min="23" max="23" width="8" style="4" customWidth="1"/>
    <col min="24" max="24" width="7.88671875" style="4" customWidth="1"/>
    <col min="25" max="25" width="8.44140625" style="4" customWidth="1"/>
    <col min="26" max="26" width="9.6640625" style="4" customWidth="1"/>
    <col min="27" max="27" width="9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59" t="s">
        <v>200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45" customHeight="1" x14ac:dyDescent="0.3">
      <c r="A2" s="49" t="s">
        <v>0</v>
      </c>
      <c r="B2" s="49" t="s">
        <v>35</v>
      </c>
      <c r="C2" s="49" t="s">
        <v>1</v>
      </c>
      <c r="D2" s="49" t="s">
        <v>2</v>
      </c>
      <c r="E2" s="49" t="s">
        <v>45</v>
      </c>
      <c r="F2" s="49" t="s">
        <v>3</v>
      </c>
      <c r="G2" s="49" t="s">
        <v>4</v>
      </c>
      <c r="H2" s="49" t="s">
        <v>5</v>
      </c>
      <c r="I2" s="49" t="s">
        <v>6</v>
      </c>
      <c r="J2" s="49" t="s">
        <v>26</v>
      </c>
      <c r="K2" s="49" t="s">
        <v>7</v>
      </c>
      <c r="L2" s="49" t="s">
        <v>26</v>
      </c>
      <c r="M2" s="49" t="s">
        <v>8</v>
      </c>
      <c r="N2" s="49" t="s">
        <v>9</v>
      </c>
      <c r="O2" s="49" t="s">
        <v>10</v>
      </c>
      <c r="P2" s="49" t="s">
        <v>11</v>
      </c>
      <c r="Q2" s="49" t="s">
        <v>12</v>
      </c>
      <c r="R2" s="49" t="s">
        <v>13</v>
      </c>
      <c r="S2" s="49" t="s">
        <v>14</v>
      </c>
      <c r="T2" s="49" t="s">
        <v>15</v>
      </c>
      <c r="U2" s="49" t="s">
        <v>16</v>
      </c>
      <c r="V2" s="49" t="s">
        <v>17</v>
      </c>
      <c r="W2" s="49" t="s">
        <v>18</v>
      </c>
      <c r="X2" s="49" t="s">
        <v>19</v>
      </c>
      <c r="Y2" s="49" t="s">
        <v>20</v>
      </c>
      <c r="Z2" s="49" t="s">
        <v>21</v>
      </c>
      <c r="AA2" s="49" t="s">
        <v>22</v>
      </c>
      <c r="AB2" s="49" t="s">
        <v>23</v>
      </c>
      <c r="AC2" s="49" t="s">
        <v>24</v>
      </c>
    </row>
    <row r="3" spans="1:29" customFormat="1" ht="25.05" customHeight="1" x14ac:dyDescent="0.3">
      <c r="A3" s="14"/>
      <c r="B3" s="15" t="s">
        <v>122</v>
      </c>
      <c r="C3" s="15" t="s">
        <v>48</v>
      </c>
      <c r="D3" s="15" t="s">
        <v>247</v>
      </c>
      <c r="E3" s="14">
        <v>263123</v>
      </c>
      <c r="F3" s="15" t="s">
        <v>255</v>
      </c>
      <c r="G3" s="14">
        <v>200</v>
      </c>
      <c r="H3" s="16">
        <v>0.64400000000000002</v>
      </c>
      <c r="I3" s="16">
        <v>1.595</v>
      </c>
      <c r="J3" s="14"/>
      <c r="K3" s="15" t="s">
        <v>258</v>
      </c>
      <c r="L3" s="14"/>
      <c r="M3" s="16">
        <v>205.43600000000001</v>
      </c>
      <c r="N3" s="17">
        <v>159.5</v>
      </c>
      <c r="O3" s="18">
        <v>2.2200000000000001E-2</v>
      </c>
      <c r="P3" s="19">
        <v>1.33</v>
      </c>
      <c r="Q3" s="14">
        <v>129.80000000000001</v>
      </c>
      <c r="R3" s="14">
        <v>2</v>
      </c>
      <c r="S3" s="14">
        <v>1350</v>
      </c>
      <c r="T3" s="16">
        <v>1.288</v>
      </c>
      <c r="U3" s="14">
        <v>62</v>
      </c>
      <c r="V3" s="18">
        <v>4.5900000000000003E-2</v>
      </c>
      <c r="W3" s="15" t="s">
        <v>28</v>
      </c>
      <c r="X3" s="15" t="s">
        <v>38</v>
      </c>
      <c r="Y3" s="15" t="s">
        <v>27</v>
      </c>
      <c r="Z3" s="15" t="s">
        <v>27</v>
      </c>
      <c r="AA3" s="15" t="s">
        <v>28</v>
      </c>
      <c r="AB3" s="15" t="s">
        <v>31</v>
      </c>
      <c r="AC3" s="15" t="s">
        <v>259</v>
      </c>
    </row>
    <row r="4" spans="1:29" s="12" customFormat="1" ht="25.05" customHeight="1" x14ac:dyDescent="0.3">
      <c r="A4" s="51"/>
      <c r="B4" s="52" t="s">
        <v>122</v>
      </c>
      <c r="C4" s="51" t="s">
        <v>78</v>
      </c>
      <c r="D4" s="51" t="s">
        <v>185</v>
      </c>
      <c r="E4" s="51">
        <v>263083</v>
      </c>
      <c r="F4" s="51" t="s">
        <v>193</v>
      </c>
      <c r="G4" s="51">
        <v>200</v>
      </c>
      <c r="H4" s="53">
        <v>0.502</v>
      </c>
      <c r="I4" s="53">
        <v>1.2350000000000001</v>
      </c>
      <c r="J4" s="51" t="s">
        <v>26</v>
      </c>
      <c r="K4" s="51" t="s">
        <v>199</v>
      </c>
      <c r="L4" s="51" t="s">
        <v>26</v>
      </c>
      <c r="M4" s="53">
        <v>123.994</v>
      </c>
      <c r="N4" s="54">
        <v>82.3</v>
      </c>
      <c r="O4" s="55">
        <v>7.6E-3</v>
      </c>
      <c r="P4" s="56">
        <v>0.46</v>
      </c>
      <c r="Q4" s="51">
        <v>58.3</v>
      </c>
      <c r="R4" s="51">
        <v>3</v>
      </c>
      <c r="S4" s="51">
        <v>1550</v>
      </c>
      <c r="T4" s="53">
        <v>1.506</v>
      </c>
      <c r="U4" s="51">
        <v>44</v>
      </c>
      <c r="V4" s="55">
        <v>2.8400000000000002E-2</v>
      </c>
      <c r="W4" s="51" t="s">
        <v>77</v>
      </c>
      <c r="X4" s="51" t="s">
        <v>39</v>
      </c>
      <c r="Y4" s="51" t="s">
        <v>77</v>
      </c>
      <c r="Z4" s="51" t="s">
        <v>26</v>
      </c>
      <c r="AA4" s="51" t="s">
        <v>26</v>
      </c>
      <c r="AB4" s="51" t="s">
        <v>37</v>
      </c>
      <c r="AC4" s="51" t="s">
        <v>198</v>
      </c>
    </row>
    <row r="5" spans="1:29" s="12" customFormat="1" ht="25.05" customHeight="1" x14ac:dyDescent="0.3">
      <c r="A5" s="51"/>
      <c r="B5" s="52" t="s">
        <v>122</v>
      </c>
      <c r="C5" s="51" t="s">
        <v>78</v>
      </c>
      <c r="D5" s="51" t="s">
        <v>185</v>
      </c>
      <c r="E5" s="51">
        <v>263086</v>
      </c>
      <c r="F5" s="51" t="s">
        <v>193</v>
      </c>
      <c r="G5" s="51">
        <v>200</v>
      </c>
      <c r="H5" s="53">
        <v>0.69199999999999995</v>
      </c>
      <c r="I5" s="53">
        <v>1.835</v>
      </c>
      <c r="J5" s="51" t="s">
        <v>26</v>
      </c>
      <c r="K5" s="51" t="s">
        <v>197</v>
      </c>
      <c r="L5" s="51" t="s">
        <v>26</v>
      </c>
      <c r="M5" s="53">
        <v>253.964</v>
      </c>
      <c r="N5" s="54">
        <v>183.5</v>
      </c>
      <c r="O5" s="55">
        <v>2.5499999999999998E-2</v>
      </c>
      <c r="P5" s="56">
        <v>1.53</v>
      </c>
      <c r="Q5" s="51">
        <v>119.4</v>
      </c>
      <c r="R5" s="51">
        <v>2</v>
      </c>
      <c r="S5" s="51">
        <v>1450</v>
      </c>
      <c r="T5" s="53">
        <v>1.3839999999999999</v>
      </c>
      <c r="U5" s="51">
        <v>66</v>
      </c>
      <c r="V5" s="55">
        <v>4.5499999999999999E-2</v>
      </c>
      <c r="W5" s="51" t="s">
        <v>77</v>
      </c>
      <c r="X5" s="51" t="s">
        <v>39</v>
      </c>
      <c r="Y5" s="51" t="s">
        <v>77</v>
      </c>
      <c r="Z5" s="51" t="s">
        <v>26</v>
      </c>
      <c r="AA5" s="51" t="s">
        <v>26</v>
      </c>
      <c r="AB5" s="51" t="s">
        <v>37</v>
      </c>
      <c r="AC5" s="51" t="s">
        <v>196</v>
      </c>
    </row>
    <row r="6" spans="1:29" s="12" customFormat="1" ht="25.05" customHeight="1" x14ac:dyDescent="0.3">
      <c r="A6" s="51"/>
      <c r="B6" s="52" t="s">
        <v>122</v>
      </c>
      <c r="C6" s="51" t="s">
        <v>78</v>
      </c>
      <c r="D6" s="51" t="s">
        <v>185</v>
      </c>
      <c r="E6" s="51">
        <v>263085</v>
      </c>
      <c r="F6" s="51" t="s">
        <v>193</v>
      </c>
      <c r="G6" s="51">
        <v>200</v>
      </c>
      <c r="H6" s="53">
        <v>0.30199999999999999</v>
      </c>
      <c r="I6" s="53">
        <v>0.73499999999999999</v>
      </c>
      <c r="J6" s="51" t="s">
        <v>26</v>
      </c>
      <c r="K6" s="51" t="s">
        <v>195</v>
      </c>
      <c r="L6" s="51" t="s">
        <v>26</v>
      </c>
      <c r="M6" s="53">
        <v>44.393999999999998</v>
      </c>
      <c r="N6" s="54">
        <v>36.799999999999997</v>
      </c>
      <c r="O6" s="55">
        <v>2.5999999999999999E-3</v>
      </c>
      <c r="P6" s="56">
        <v>0.15</v>
      </c>
      <c r="Q6" s="51">
        <v>20.9</v>
      </c>
      <c r="R6" s="51">
        <v>4</v>
      </c>
      <c r="S6" s="51">
        <v>1250</v>
      </c>
      <c r="T6" s="53">
        <v>1.208</v>
      </c>
      <c r="U6" s="51">
        <v>42</v>
      </c>
      <c r="V6" s="55">
        <v>3.3599999999999998E-2</v>
      </c>
      <c r="W6" s="51" t="s">
        <v>77</v>
      </c>
      <c r="X6" s="51" t="s">
        <v>39</v>
      </c>
      <c r="Y6" s="51" t="s">
        <v>77</v>
      </c>
      <c r="Z6" s="51" t="s">
        <v>26</v>
      </c>
      <c r="AA6" s="51" t="s">
        <v>26</v>
      </c>
      <c r="AB6" s="51" t="s">
        <v>37</v>
      </c>
      <c r="AC6" s="51" t="s">
        <v>194</v>
      </c>
    </row>
    <row r="7" spans="1:29" s="12" customFormat="1" ht="25.05" customHeight="1" x14ac:dyDescent="0.3">
      <c r="A7" s="51"/>
      <c r="B7" s="52" t="s">
        <v>122</v>
      </c>
      <c r="C7" s="51" t="s">
        <v>78</v>
      </c>
      <c r="D7" s="51" t="s">
        <v>185</v>
      </c>
      <c r="E7" s="51">
        <v>263084</v>
      </c>
      <c r="F7" s="51" t="s">
        <v>193</v>
      </c>
      <c r="G7" s="51">
        <v>200</v>
      </c>
      <c r="H7" s="53">
        <v>0.85199999999999998</v>
      </c>
      <c r="I7" s="53">
        <v>1.5349999999999999</v>
      </c>
      <c r="J7" s="51" t="s">
        <v>26</v>
      </c>
      <c r="K7" s="51" t="s">
        <v>192</v>
      </c>
      <c r="L7" s="51" t="s">
        <v>26</v>
      </c>
      <c r="M7" s="53">
        <v>261.56400000000002</v>
      </c>
      <c r="N7" s="54">
        <v>307</v>
      </c>
      <c r="O7" s="55">
        <v>8.5300000000000001E-2</v>
      </c>
      <c r="P7" s="56">
        <v>5.12</v>
      </c>
      <c r="Q7" s="51">
        <v>122.9</v>
      </c>
      <c r="R7" s="51">
        <v>1</v>
      </c>
      <c r="S7" s="51">
        <v>900</v>
      </c>
      <c r="T7" s="53">
        <v>0.85199999999999998</v>
      </c>
      <c r="U7" s="51">
        <v>48</v>
      </c>
      <c r="V7" s="55">
        <v>5.33E-2</v>
      </c>
      <c r="W7" s="51" t="s">
        <v>77</v>
      </c>
      <c r="X7" s="51" t="s">
        <v>39</v>
      </c>
      <c r="Y7" s="51" t="s">
        <v>77</v>
      </c>
      <c r="Z7" s="51" t="s">
        <v>26</v>
      </c>
      <c r="AA7" s="51" t="s">
        <v>26</v>
      </c>
      <c r="AB7" s="51" t="s">
        <v>37</v>
      </c>
      <c r="AC7" s="51" t="s">
        <v>191</v>
      </c>
    </row>
    <row r="8" spans="1:29" s="12" customFormat="1" ht="25.05" customHeight="1" x14ac:dyDescent="0.3">
      <c r="A8" s="14"/>
      <c r="B8" s="15" t="s">
        <v>122</v>
      </c>
      <c r="C8" s="15" t="s">
        <v>59</v>
      </c>
      <c r="D8" s="15" t="s">
        <v>247</v>
      </c>
      <c r="E8" s="14">
        <v>263122</v>
      </c>
      <c r="F8" s="15" t="s">
        <v>255</v>
      </c>
      <c r="G8" s="14">
        <v>300</v>
      </c>
      <c r="H8" s="16">
        <v>0.41299999999999998</v>
      </c>
      <c r="I8" s="16">
        <v>0.76500000000000001</v>
      </c>
      <c r="J8" s="14"/>
      <c r="K8" s="15" t="s">
        <v>256</v>
      </c>
      <c r="L8" s="14"/>
      <c r="M8" s="16">
        <v>94.783000000000001</v>
      </c>
      <c r="N8" s="17">
        <v>76.5</v>
      </c>
      <c r="O8" s="18">
        <v>7.1000000000000004E-3</v>
      </c>
      <c r="P8" s="19">
        <v>0.42</v>
      </c>
      <c r="Q8" s="14">
        <v>34.6</v>
      </c>
      <c r="R8" s="14">
        <v>3</v>
      </c>
      <c r="S8" s="14">
        <v>1300</v>
      </c>
      <c r="T8" s="16">
        <v>1.2390000000000001</v>
      </c>
      <c r="U8" s="14">
        <v>61</v>
      </c>
      <c r="V8" s="18">
        <v>4.6899999999999997E-2</v>
      </c>
      <c r="W8" s="15" t="s">
        <v>39</v>
      </c>
      <c r="X8" s="15" t="s">
        <v>28</v>
      </c>
      <c r="Y8" s="15" t="s">
        <v>27</v>
      </c>
      <c r="Z8" s="15"/>
      <c r="AA8" s="15"/>
      <c r="AB8" s="15" t="s">
        <v>37</v>
      </c>
      <c r="AC8" s="15" t="s">
        <v>257</v>
      </c>
    </row>
    <row r="9" spans="1:29" s="12" customFormat="1" ht="25.05" customHeight="1" x14ac:dyDescent="0.3">
      <c r="A9" s="57" t="s">
        <v>26</v>
      </c>
      <c r="B9" s="57" t="s">
        <v>26</v>
      </c>
      <c r="C9" s="57" t="s">
        <v>26</v>
      </c>
      <c r="D9" s="57" t="s">
        <v>26</v>
      </c>
      <c r="E9" s="57" t="s">
        <v>26</v>
      </c>
      <c r="F9" s="57" t="s">
        <v>26</v>
      </c>
      <c r="G9" s="57">
        <f>SUM(G3:G8)</f>
        <v>1300</v>
      </c>
      <c r="H9" s="57" t="s">
        <v>26</v>
      </c>
      <c r="I9" s="57" t="s">
        <v>26</v>
      </c>
      <c r="J9" s="57" t="s">
        <v>26</v>
      </c>
      <c r="K9" s="57" t="s">
        <v>26</v>
      </c>
      <c r="L9" s="57" t="s">
        <v>26</v>
      </c>
      <c r="M9" s="57" t="s">
        <v>26</v>
      </c>
      <c r="N9" s="57" t="s">
        <v>26</v>
      </c>
      <c r="O9" s="57" t="s">
        <v>26</v>
      </c>
      <c r="P9" s="57" t="s">
        <v>26</v>
      </c>
      <c r="Q9" s="57">
        <f>SUM(Q3:Q8)</f>
        <v>485.9</v>
      </c>
      <c r="R9" s="57" t="s">
        <v>26</v>
      </c>
      <c r="S9" s="57" t="s">
        <v>26</v>
      </c>
      <c r="T9" s="57" t="s">
        <v>26</v>
      </c>
      <c r="U9" s="57" t="s">
        <v>26</v>
      </c>
      <c r="V9" s="57" t="s">
        <v>26</v>
      </c>
      <c r="W9" s="57" t="s">
        <v>26</v>
      </c>
      <c r="X9" s="57" t="s">
        <v>26</v>
      </c>
      <c r="Y9" s="57" t="s">
        <v>26</v>
      </c>
      <c r="Z9" s="57" t="s">
        <v>26</v>
      </c>
      <c r="AA9" s="57" t="s">
        <v>26</v>
      </c>
      <c r="AB9" s="57" t="s">
        <v>26</v>
      </c>
      <c r="AC9" s="57" t="s">
        <v>26</v>
      </c>
    </row>
    <row r="10" spans="1:29" s="12" customFormat="1" ht="25.05" customHeight="1" x14ac:dyDescent="0.3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8.109375" style="4" customWidth="1"/>
    <col min="6" max="6" width="9.77734375" style="4" customWidth="1"/>
    <col min="7" max="7" width="5.88671875" style="4" customWidth="1"/>
    <col min="8" max="8" width="7.109375" style="4" customWidth="1"/>
    <col min="9" max="9" width="8.109375" style="4" customWidth="1"/>
    <col min="10" max="10" width="8.44140625" style="4" customWidth="1"/>
    <col min="11" max="11" width="13.88671875" style="4" customWidth="1"/>
    <col min="12" max="12" width="6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21875" style="4" customWidth="1"/>
    <col min="18" max="18" width="5.44140625" style="4" customWidth="1"/>
    <col min="19" max="19" width="6.109375" style="4" customWidth="1"/>
    <col min="20" max="20" width="6" style="4" customWidth="1"/>
    <col min="21" max="21" width="11.77734375" style="4" hidden="1" customWidth="1"/>
    <col min="22" max="22" width="8.77734375" style="4" hidden="1" customWidth="1"/>
    <col min="23" max="26" width="7.44140625" style="4" customWidth="1"/>
    <col min="27" max="27" width="7.21875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5">
      <c r="A1" s="59" t="s">
        <v>190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37.799999999999997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186</v>
      </c>
      <c r="C3" s="6" t="s">
        <v>41</v>
      </c>
      <c r="D3" s="6" t="s">
        <v>185</v>
      </c>
      <c r="E3" s="6">
        <v>263078</v>
      </c>
      <c r="F3" s="6" t="s">
        <v>79</v>
      </c>
      <c r="G3" s="6">
        <v>50</v>
      </c>
      <c r="H3" s="8">
        <v>1.5</v>
      </c>
      <c r="I3" s="8">
        <v>2</v>
      </c>
      <c r="J3" s="6" t="s">
        <v>26</v>
      </c>
      <c r="K3" s="6" t="s">
        <v>32</v>
      </c>
      <c r="L3" s="6" t="s">
        <v>26</v>
      </c>
      <c r="M3" s="8">
        <v>150</v>
      </c>
      <c r="N3" s="9">
        <v>100</v>
      </c>
      <c r="O3" s="10">
        <v>2.7799999999999998E-2</v>
      </c>
      <c r="P3" s="11">
        <v>1.67</v>
      </c>
      <c r="Q3" s="6">
        <v>85.2</v>
      </c>
      <c r="R3" s="6">
        <v>1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187</v>
      </c>
    </row>
    <row r="4" spans="1:29" s="12" customFormat="1" ht="25.05" customHeight="1" x14ac:dyDescent="0.3">
      <c r="A4" s="6"/>
      <c r="B4" s="7" t="s">
        <v>189</v>
      </c>
      <c r="C4" s="6" t="s">
        <v>41</v>
      </c>
      <c r="D4" s="6" t="s">
        <v>185</v>
      </c>
      <c r="E4" s="6">
        <v>263077</v>
      </c>
      <c r="F4" s="6" t="s">
        <v>79</v>
      </c>
      <c r="G4" s="6">
        <v>50</v>
      </c>
      <c r="H4" s="8">
        <v>1.4</v>
      </c>
      <c r="I4" s="8">
        <v>2</v>
      </c>
      <c r="J4" s="6" t="s">
        <v>26</v>
      </c>
      <c r="K4" s="6" t="s">
        <v>188</v>
      </c>
      <c r="L4" s="6" t="s">
        <v>26</v>
      </c>
      <c r="M4" s="8">
        <v>140</v>
      </c>
      <c r="N4" s="9">
        <v>100</v>
      </c>
      <c r="O4" s="10">
        <v>2.7799999999999998E-2</v>
      </c>
      <c r="P4" s="11">
        <v>1.67</v>
      </c>
      <c r="Q4" s="6">
        <v>79.5</v>
      </c>
      <c r="R4" s="6">
        <v>1</v>
      </c>
      <c r="S4" s="6">
        <v>1450</v>
      </c>
      <c r="T4" s="8">
        <v>1.4</v>
      </c>
      <c r="U4" s="6">
        <v>50</v>
      </c>
      <c r="V4" s="10">
        <v>3.4500000000000003E-2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37</v>
      </c>
      <c r="AC4" s="6" t="s">
        <v>184</v>
      </c>
    </row>
    <row r="5" spans="1:29" s="12" customFormat="1" ht="25.05" customHeight="1" x14ac:dyDescent="0.3">
      <c r="A5" s="6"/>
      <c r="B5" s="7" t="s">
        <v>186</v>
      </c>
      <c r="C5" s="6" t="s">
        <v>41</v>
      </c>
      <c r="D5" s="6" t="s">
        <v>185</v>
      </c>
      <c r="E5" s="6">
        <v>263079</v>
      </c>
      <c r="F5" s="6" t="s">
        <v>79</v>
      </c>
      <c r="G5" s="6">
        <v>50</v>
      </c>
      <c r="H5" s="8">
        <v>1.4</v>
      </c>
      <c r="I5" s="8">
        <v>2</v>
      </c>
      <c r="J5" s="6" t="s">
        <v>26</v>
      </c>
      <c r="K5" s="6" t="s">
        <v>32</v>
      </c>
      <c r="L5" s="6" t="s">
        <v>26</v>
      </c>
      <c r="M5" s="8">
        <v>140</v>
      </c>
      <c r="N5" s="9">
        <v>100</v>
      </c>
      <c r="O5" s="10">
        <v>2.7799999999999998E-2</v>
      </c>
      <c r="P5" s="11">
        <v>1.67</v>
      </c>
      <c r="Q5" s="6">
        <v>79.5</v>
      </c>
      <c r="R5" s="6">
        <v>1</v>
      </c>
      <c r="S5" s="6">
        <v>1450</v>
      </c>
      <c r="T5" s="8">
        <v>1.4</v>
      </c>
      <c r="U5" s="6">
        <v>50</v>
      </c>
      <c r="V5" s="10">
        <v>3.4500000000000003E-2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37</v>
      </c>
      <c r="AC5" s="6" t="s">
        <v>184</v>
      </c>
    </row>
    <row r="6" spans="1:29" s="12" customFormat="1" ht="25.05" customHeight="1" x14ac:dyDescent="0.3">
      <c r="A6" s="6"/>
      <c r="B6" s="7" t="s">
        <v>186</v>
      </c>
      <c r="C6" s="6" t="s">
        <v>43</v>
      </c>
      <c r="D6" s="6" t="s">
        <v>185</v>
      </c>
      <c r="E6" s="6">
        <v>263080</v>
      </c>
      <c r="F6" s="6" t="s">
        <v>79</v>
      </c>
      <c r="G6" s="6">
        <v>50</v>
      </c>
      <c r="H6" s="8">
        <v>1.5</v>
      </c>
      <c r="I6" s="8">
        <v>2</v>
      </c>
      <c r="J6" s="6" t="s">
        <v>26</v>
      </c>
      <c r="K6" s="6" t="s">
        <v>32</v>
      </c>
      <c r="L6" s="6" t="s">
        <v>26</v>
      </c>
      <c r="M6" s="8">
        <v>150</v>
      </c>
      <c r="N6" s="9">
        <v>100</v>
      </c>
      <c r="O6" s="10">
        <v>2.7799999999999998E-2</v>
      </c>
      <c r="P6" s="11">
        <v>1.67</v>
      </c>
      <c r="Q6" s="6">
        <v>53.3</v>
      </c>
      <c r="R6" s="6">
        <v>1</v>
      </c>
      <c r="S6" s="6">
        <v>1550</v>
      </c>
      <c r="T6" s="8">
        <v>1.5</v>
      </c>
      <c r="U6" s="6">
        <v>50</v>
      </c>
      <c r="V6" s="10">
        <v>3.2300000000000002E-2</v>
      </c>
      <c r="W6" s="6" t="s">
        <v>28</v>
      </c>
      <c r="X6" s="6" t="s">
        <v>27</v>
      </c>
      <c r="Y6" s="6" t="s">
        <v>28</v>
      </c>
      <c r="Z6" s="6" t="s">
        <v>26</v>
      </c>
      <c r="AA6" s="6" t="s">
        <v>26</v>
      </c>
      <c r="AB6" s="6" t="s">
        <v>37</v>
      </c>
      <c r="AC6" s="6" t="s">
        <v>187</v>
      </c>
    </row>
    <row r="7" spans="1:29" s="12" customFormat="1" ht="25.05" customHeight="1" x14ac:dyDescent="0.3">
      <c r="A7" s="6"/>
      <c r="B7" s="7" t="s">
        <v>186</v>
      </c>
      <c r="C7" s="6" t="s">
        <v>43</v>
      </c>
      <c r="D7" s="6" t="s">
        <v>185</v>
      </c>
      <c r="E7" s="6">
        <v>263081</v>
      </c>
      <c r="F7" s="6" t="s">
        <v>79</v>
      </c>
      <c r="G7" s="6">
        <v>50</v>
      </c>
      <c r="H7" s="8">
        <v>1.4</v>
      </c>
      <c r="I7" s="8">
        <v>2</v>
      </c>
      <c r="J7" s="6" t="s">
        <v>26</v>
      </c>
      <c r="K7" s="6" t="s">
        <v>32</v>
      </c>
      <c r="L7" s="6" t="s">
        <v>26</v>
      </c>
      <c r="M7" s="8">
        <v>140</v>
      </c>
      <c r="N7" s="9">
        <v>100</v>
      </c>
      <c r="O7" s="10">
        <v>2.7799999999999998E-2</v>
      </c>
      <c r="P7" s="11">
        <v>1.67</v>
      </c>
      <c r="Q7" s="6">
        <v>49.7</v>
      </c>
      <c r="R7" s="6">
        <v>1</v>
      </c>
      <c r="S7" s="6">
        <v>1450</v>
      </c>
      <c r="T7" s="8">
        <v>1.4</v>
      </c>
      <c r="U7" s="6">
        <v>50</v>
      </c>
      <c r="V7" s="10">
        <v>3.4500000000000003E-2</v>
      </c>
      <c r="W7" s="6" t="s">
        <v>28</v>
      </c>
      <c r="X7" s="6" t="s">
        <v>27</v>
      </c>
      <c r="Y7" s="6" t="s">
        <v>28</v>
      </c>
      <c r="Z7" s="6" t="s">
        <v>26</v>
      </c>
      <c r="AA7" s="6" t="s">
        <v>26</v>
      </c>
      <c r="AB7" s="6" t="s">
        <v>37</v>
      </c>
      <c r="AC7" s="6" t="s">
        <v>184</v>
      </c>
    </row>
    <row r="8" spans="1:29" s="12" customFormat="1" ht="25.05" customHeight="1" x14ac:dyDescent="0.3">
      <c r="A8" s="13" t="s">
        <v>26</v>
      </c>
      <c r="B8" s="13" t="s">
        <v>26</v>
      </c>
      <c r="C8" s="13" t="s">
        <v>26</v>
      </c>
      <c r="D8" s="13" t="s">
        <v>26</v>
      </c>
      <c r="E8" s="13" t="s">
        <v>26</v>
      </c>
      <c r="F8" s="13" t="s">
        <v>26</v>
      </c>
      <c r="G8" s="13">
        <v>250</v>
      </c>
      <c r="H8" s="13" t="s">
        <v>26</v>
      </c>
      <c r="I8" s="13" t="s">
        <v>26</v>
      </c>
      <c r="J8" s="13" t="s">
        <v>26</v>
      </c>
      <c r="K8" s="13" t="s">
        <v>26</v>
      </c>
      <c r="L8" s="13" t="s">
        <v>26</v>
      </c>
      <c r="M8" s="13" t="s">
        <v>26</v>
      </c>
      <c r="N8" s="13" t="s">
        <v>26</v>
      </c>
      <c r="O8" s="13" t="s">
        <v>26</v>
      </c>
      <c r="P8" s="13" t="s">
        <v>26</v>
      </c>
      <c r="Q8" s="13">
        <v>347.2</v>
      </c>
      <c r="R8" s="13" t="s">
        <v>26</v>
      </c>
      <c r="S8" s="13" t="s">
        <v>26</v>
      </c>
      <c r="T8" s="13" t="s">
        <v>26</v>
      </c>
      <c r="U8" s="13" t="s">
        <v>26</v>
      </c>
      <c r="V8" s="13" t="s">
        <v>26</v>
      </c>
      <c r="W8" s="13" t="s">
        <v>26</v>
      </c>
      <c r="X8" s="13" t="s">
        <v>26</v>
      </c>
      <c r="Y8" s="13" t="s">
        <v>26</v>
      </c>
      <c r="Z8" s="13" t="s">
        <v>26</v>
      </c>
      <c r="AA8" s="13" t="s">
        <v>26</v>
      </c>
      <c r="AB8" s="13" t="s">
        <v>26</v>
      </c>
      <c r="AC8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dimension ref="A1:AC20"/>
  <sheetViews>
    <sheetView workbookViewId="0">
      <selection activeCell="AL12" sqref="AL12"/>
    </sheetView>
  </sheetViews>
  <sheetFormatPr defaultRowHeight="14.4" x14ac:dyDescent="0.3"/>
  <cols>
    <col min="1" max="1" width="5.2187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33203125" style="4" customWidth="1"/>
    <col min="6" max="6" width="4.33203125" style="4" customWidth="1"/>
    <col min="7" max="7" width="5.6640625" style="4" customWidth="1"/>
    <col min="8" max="8" width="6.109375" style="4" customWidth="1"/>
    <col min="9" max="9" width="6.44140625" style="4" customWidth="1"/>
    <col min="10" max="10" width="6.77734375" style="4" customWidth="1"/>
    <col min="11" max="11" width="14.44140625" style="4" customWidth="1"/>
    <col min="12" max="12" width="7.332031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33203125" style="4" customWidth="1"/>
    <col min="18" max="18" width="4.77734375" style="4" customWidth="1"/>
    <col min="19" max="19" width="6.332031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88671875" style="4" customWidth="1"/>
    <col min="24" max="24" width="8" style="4" customWidth="1"/>
    <col min="25" max="27" width="7.77734375" style="4" customWidth="1"/>
    <col min="28" max="28" width="4.5546875" style="4" customWidth="1"/>
    <col min="29" max="29" width="16.44140625" style="4" customWidth="1"/>
    <col min="30" max="16384" width="8.88671875" style="4"/>
  </cols>
  <sheetData>
    <row r="1" spans="1:29" ht="18" customHeight="1" x14ac:dyDescent="0.35">
      <c r="A1" s="58" t="s">
        <v>183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1.4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97</v>
      </c>
      <c r="C3" s="6" t="s">
        <v>25</v>
      </c>
      <c r="D3" s="6" t="s">
        <v>144</v>
      </c>
      <c r="E3" s="6">
        <v>263069</v>
      </c>
      <c r="F3" s="6" t="s">
        <v>165</v>
      </c>
      <c r="G3" s="6">
        <v>500</v>
      </c>
      <c r="H3" s="8">
        <v>0.77200000000000002</v>
      </c>
      <c r="I3" s="8">
        <v>2.46</v>
      </c>
      <c r="J3" s="6" t="s">
        <v>26</v>
      </c>
      <c r="K3" s="6" t="s">
        <v>182</v>
      </c>
      <c r="L3" s="6" t="s">
        <v>26</v>
      </c>
      <c r="M3" s="8">
        <v>949.56</v>
      </c>
      <c r="N3" s="9">
        <v>615</v>
      </c>
      <c r="O3" s="10">
        <v>8.5400000000000004E-2</v>
      </c>
      <c r="P3" s="11">
        <v>5.13</v>
      </c>
      <c r="Q3" s="6">
        <v>510.9</v>
      </c>
      <c r="R3" s="6">
        <v>2</v>
      </c>
      <c r="S3" s="6">
        <v>1600</v>
      </c>
      <c r="T3" s="8">
        <v>1.544</v>
      </c>
      <c r="U3" s="6">
        <v>56</v>
      </c>
      <c r="V3" s="10">
        <v>3.5000000000000003E-2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29</v>
      </c>
      <c r="AC3" s="6" t="s">
        <v>181</v>
      </c>
    </row>
    <row r="4" spans="1:29" s="12" customFormat="1" ht="25.05" customHeight="1" x14ac:dyDescent="0.3">
      <c r="A4" s="6">
        <v>2</v>
      </c>
      <c r="B4" s="7" t="s">
        <v>97</v>
      </c>
      <c r="C4" s="6" t="s">
        <v>25</v>
      </c>
      <c r="D4" s="6" t="s">
        <v>144</v>
      </c>
      <c r="E4" s="6">
        <v>263061</v>
      </c>
      <c r="F4" s="6" t="s">
        <v>165</v>
      </c>
      <c r="G4" s="6">
        <v>800</v>
      </c>
      <c r="H4" s="8">
        <v>0.76600000000000001</v>
      </c>
      <c r="I4" s="8">
        <v>1.43</v>
      </c>
      <c r="J4" s="6" t="s">
        <v>26</v>
      </c>
      <c r="K4" s="6" t="s">
        <v>180</v>
      </c>
      <c r="L4" s="6" t="s">
        <v>26</v>
      </c>
      <c r="M4" s="8">
        <v>876.30399999999997</v>
      </c>
      <c r="N4" s="9">
        <v>572</v>
      </c>
      <c r="O4" s="10">
        <v>7.9399999999999998E-2</v>
      </c>
      <c r="P4" s="11">
        <v>4.7699999999999996</v>
      </c>
      <c r="Q4" s="6">
        <v>471.5</v>
      </c>
      <c r="R4" s="6">
        <v>2</v>
      </c>
      <c r="S4" s="6">
        <v>1600</v>
      </c>
      <c r="T4" s="8">
        <v>1.532</v>
      </c>
      <c r="U4" s="6">
        <v>68</v>
      </c>
      <c r="V4" s="10">
        <v>4.2500000000000003E-2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42</v>
      </c>
      <c r="AC4" s="6" t="s">
        <v>56</v>
      </c>
    </row>
    <row r="5" spans="1:29" s="12" customFormat="1" ht="25.05" customHeight="1" x14ac:dyDescent="0.3">
      <c r="A5" s="6">
        <v>3</v>
      </c>
      <c r="B5" s="7" t="s">
        <v>97</v>
      </c>
      <c r="C5" s="6" t="s">
        <v>25</v>
      </c>
      <c r="D5" s="6" t="s">
        <v>144</v>
      </c>
      <c r="E5" s="6">
        <v>263070</v>
      </c>
      <c r="F5" s="6" t="s">
        <v>165</v>
      </c>
      <c r="G5" s="6">
        <v>550</v>
      </c>
      <c r="H5" s="8">
        <v>0.73599999999999999</v>
      </c>
      <c r="I5" s="8">
        <v>1.41</v>
      </c>
      <c r="J5" s="6" t="s">
        <v>26</v>
      </c>
      <c r="K5" s="6" t="s">
        <v>179</v>
      </c>
      <c r="L5" s="6" t="s">
        <v>26</v>
      </c>
      <c r="M5" s="8">
        <v>570.76800000000003</v>
      </c>
      <c r="N5" s="9">
        <v>387.8</v>
      </c>
      <c r="O5" s="10">
        <v>5.3900000000000003E-2</v>
      </c>
      <c r="P5" s="11">
        <v>3.23</v>
      </c>
      <c r="Q5" s="6">
        <v>307.10000000000002</v>
      </c>
      <c r="R5" s="6">
        <v>2</v>
      </c>
      <c r="S5" s="6">
        <v>1500</v>
      </c>
      <c r="T5" s="8">
        <v>1.472</v>
      </c>
      <c r="U5" s="6">
        <v>28</v>
      </c>
      <c r="V5" s="10">
        <v>1.8700000000000001E-2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29</v>
      </c>
      <c r="AC5" s="6" t="s">
        <v>178</v>
      </c>
    </row>
    <row r="6" spans="1:29" s="12" customFormat="1" ht="25.05" customHeight="1" x14ac:dyDescent="0.3">
      <c r="A6" s="6">
        <v>4</v>
      </c>
      <c r="B6" s="7" t="s">
        <v>97</v>
      </c>
      <c r="C6" s="6" t="s">
        <v>25</v>
      </c>
      <c r="D6" s="6" t="s">
        <v>144</v>
      </c>
      <c r="E6" s="6">
        <v>263074</v>
      </c>
      <c r="F6" s="6" t="s">
        <v>165</v>
      </c>
      <c r="G6" s="6">
        <v>200</v>
      </c>
      <c r="H6" s="8">
        <v>1.4159999999999999</v>
      </c>
      <c r="I6" s="8">
        <v>2.0299999999999998</v>
      </c>
      <c r="J6" s="6" t="s">
        <v>26</v>
      </c>
      <c r="K6" s="6" t="s">
        <v>94</v>
      </c>
      <c r="L6" s="6" t="s">
        <v>26</v>
      </c>
      <c r="M6" s="8">
        <v>574.89599999999996</v>
      </c>
      <c r="N6" s="9">
        <v>406</v>
      </c>
      <c r="O6" s="10">
        <v>0.1128</v>
      </c>
      <c r="P6" s="11">
        <v>6.77</v>
      </c>
      <c r="Q6" s="6">
        <v>309.3</v>
      </c>
      <c r="R6" s="6">
        <v>1</v>
      </c>
      <c r="S6" s="6">
        <v>1450</v>
      </c>
      <c r="T6" s="8">
        <v>1.4159999999999999</v>
      </c>
      <c r="U6" s="6">
        <v>34</v>
      </c>
      <c r="V6" s="10">
        <v>2.3400000000000001E-2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31</v>
      </c>
      <c r="AC6" s="6" t="s">
        <v>93</v>
      </c>
    </row>
    <row r="7" spans="1:29" s="12" customFormat="1" ht="25.05" customHeight="1" x14ac:dyDescent="0.3">
      <c r="A7" s="6">
        <v>5</v>
      </c>
      <c r="B7" s="7" t="s">
        <v>97</v>
      </c>
      <c r="C7" s="6" t="s">
        <v>25</v>
      </c>
      <c r="D7" s="6" t="s">
        <v>144</v>
      </c>
      <c r="E7" s="6">
        <v>263060</v>
      </c>
      <c r="F7" s="6" t="s">
        <v>165</v>
      </c>
      <c r="G7" s="6">
        <v>685</v>
      </c>
      <c r="H7" s="8">
        <v>0.66600000000000004</v>
      </c>
      <c r="I7" s="8">
        <v>1.23</v>
      </c>
      <c r="J7" s="6" t="s">
        <v>26</v>
      </c>
      <c r="K7" s="6" t="s">
        <v>177</v>
      </c>
      <c r="L7" s="6" t="s">
        <v>26</v>
      </c>
      <c r="M7" s="8">
        <v>561.13800000000003</v>
      </c>
      <c r="N7" s="9">
        <v>421.3</v>
      </c>
      <c r="O7" s="10">
        <v>5.8500000000000003E-2</v>
      </c>
      <c r="P7" s="11">
        <v>3.51</v>
      </c>
      <c r="Q7" s="6">
        <v>301.89999999999998</v>
      </c>
      <c r="R7" s="6">
        <v>2</v>
      </c>
      <c r="S7" s="6">
        <v>1400</v>
      </c>
      <c r="T7" s="8">
        <v>1.3320000000000001</v>
      </c>
      <c r="U7" s="6">
        <v>68</v>
      </c>
      <c r="V7" s="10">
        <v>4.8599999999999997E-2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30</v>
      </c>
      <c r="AC7" s="6" t="s">
        <v>176</v>
      </c>
    </row>
    <row r="8" spans="1:29" s="12" customFormat="1" ht="25.05" customHeight="1" x14ac:dyDescent="0.3">
      <c r="A8" s="6">
        <v>6</v>
      </c>
      <c r="B8" s="7" t="s">
        <v>97</v>
      </c>
      <c r="C8" s="6" t="s">
        <v>25</v>
      </c>
      <c r="D8" s="6" t="s">
        <v>144</v>
      </c>
      <c r="E8" s="6">
        <v>263075</v>
      </c>
      <c r="F8" s="6" t="s">
        <v>165</v>
      </c>
      <c r="G8" s="6">
        <v>300</v>
      </c>
      <c r="H8" s="8">
        <v>1.216</v>
      </c>
      <c r="I8" s="8">
        <v>2.298</v>
      </c>
      <c r="J8" s="6" t="s">
        <v>26</v>
      </c>
      <c r="K8" s="6" t="s">
        <v>175</v>
      </c>
      <c r="L8" s="6" t="s">
        <v>26</v>
      </c>
      <c r="M8" s="8">
        <v>838.31</v>
      </c>
      <c r="N8" s="9">
        <v>689.4</v>
      </c>
      <c r="O8" s="10">
        <v>0.1915</v>
      </c>
      <c r="P8" s="11">
        <v>11.49</v>
      </c>
      <c r="Q8" s="6">
        <v>451</v>
      </c>
      <c r="R8" s="6">
        <v>1</v>
      </c>
      <c r="S8" s="6">
        <v>1250</v>
      </c>
      <c r="T8" s="8">
        <v>1.216</v>
      </c>
      <c r="U8" s="6">
        <v>34</v>
      </c>
      <c r="V8" s="10">
        <v>2.7199999999999998E-2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31</v>
      </c>
      <c r="AC8" s="6" t="s">
        <v>174</v>
      </c>
    </row>
    <row r="9" spans="1:29" s="12" customFormat="1" ht="25.05" customHeight="1" x14ac:dyDescent="0.3">
      <c r="A9" s="6">
        <v>7</v>
      </c>
      <c r="B9" s="7" t="s">
        <v>97</v>
      </c>
      <c r="C9" s="6" t="s">
        <v>25</v>
      </c>
      <c r="D9" s="6" t="s">
        <v>144</v>
      </c>
      <c r="E9" s="6">
        <v>263068</v>
      </c>
      <c r="F9" s="6" t="s">
        <v>165</v>
      </c>
      <c r="G9" s="6">
        <v>450</v>
      </c>
      <c r="H9" s="8">
        <v>1.131</v>
      </c>
      <c r="I9" s="8">
        <v>1.1399999999999999</v>
      </c>
      <c r="J9" s="6" t="s">
        <v>26</v>
      </c>
      <c r="K9" s="6" t="s">
        <v>173</v>
      </c>
      <c r="L9" s="6" t="s">
        <v>26</v>
      </c>
      <c r="M9" s="8">
        <v>580.20299999999997</v>
      </c>
      <c r="N9" s="9">
        <v>513</v>
      </c>
      <c r="O9" s="10">
        <v>0.14249999999999999</v>
      </c>
      <c r="P9" s="11">
        <v>8.5500000000000007</v>
      </c>
      <c r="Q9" s="6">
        <v>312.10000000000002</v>
      </c>
      <c r="R9" s="6">
        <v>1</v>
      </c>
      <c r="S9" s="6">
        <v>1200</v>
      </c>
      <c r="T9" s="8">
        <v>1.131</v>
      </c>
      <c r="U9" s="6">
        <v>69</v>
      </c>
      <c r="V9" s="10">
        <v>5.7500000000000002E-2</v>
      </c>
      <c r="W9" s="6" t="s">
        <v>27</v>
      </c>
      <c r="X9" s="6" t="s">
        <v>28</v>
      </c>
      <c r="Y9" s="6" t="s">
        <v>27</v>
      </c>
      <c r="Z9" s="6" t="s">
        <v>27</v>
      </c>
      <c r="AA9" s="6" t="s">
        <v>27</v>
      </c>
      <c r="AB9" s="6" t="s">
        <v>29</v>
      </c>
      <c r="AC9" s="6" t="s">
        <v>172</v>
      </c>
    </row>
    <row r="10" spans="1:29" s="12" customFormat="1" ht="25.05" customHeight="1" x14ac:dyDescent="0.3">
      <c r="A10" s="6">
        <v>8</v>
      </c>
      <c r="B10" s="7" t="s">
        <v>97</v>
      </c>
      <c r="C10" s="6" t="s">
        <v>25</v>
      </c>
      <c r="D10" s="6" t="s">
        <v>144</v>
      </c>
      <c r="E10" s="6">
        <v>263073</v>
      </c>
      <c r="F10" s="6" t="s">
        <v>165</v>
      </c>
      <c r="G10" s="6">
        <v>260</v>
      </c>
      <c r="H10" s="8">
        <v>1.1559999999999999</v>
      </c>
      <c r="I10" s="8">
        <v>1.87</v>
      </c>
      <c r="J10" s="6" t="s">
        <v>26</v>
      </c>
      <c r="K10" s="6" t="s">
        <v>92</v>
      </c>
      <c r="L10" s="6" t="s">
        <v>26</v>
      </c>
      <c r="M10" s="8">
        <v>562.04700000000003</v>
      </c>
      <c r="N10" s="9">
        <v>486.2</v>
      </c>
      <c r="O10" s="10">
        <v>0.1351</v>
      </c>
      <c r="P10" s="11">
        <v>8.1</v>
      </c>
      <c r="Q10" s="6">
        <v>302.39999999999998</v>
      </c>
      <c r="R10" s="6">
        <v>1</v>
      </c>
      <c r="S10" s="6">
        <v>1200</v>
      </c>
      <c r="T10" s="8">
        <v>1.1559999999999999</v>
      </c>
      <c r="U10" s="6">
        <v>44</v>
      </c>
      <c r="V10" s="10">
        <v>3.6700000000000003E-2</v>
      </c>
      <c r="W10" s="6" t="s">
        <v>27</v>
      </c>
      <c r="X10" s="6" t="s">
        <v>28</v>
      </c>
      <c r="Y10" s="6" t="s">
        <v>27</v>
      </c>
      <c r="Z10" s="6" t="s">
        <v>27</v>
      </c>
      <c r="AA10" s="6" t="s">
        <v>27</v>
      </c>
      <c r="AB10" s="6" t="s">
        <v>31</v>
      </c>
      <c r="AC10" s="6" t="s">
        <v>91</v>
      </c>
    </row>
    <row r="11" spans="1:29" s="12" customFormat="1" ht="25.05" customHeight="1" x14ac:dyDescent="0.3">
      <c r="A11" s="6">
        <v>9</v>
      </c>
      <c r="B11" s="7" t="s">
        <v>97</v>
      </c>
      <c r="C11" s="6" t="s">
        <v>25</v>
      </c>
      <c r="D11" s="6" t="s">
        <v>144</v>
      </c>
      <c r="E11" s="6">
        <v>263071</v>
      </c>
      <c r="F11" s="6" t="s">
        <v>165</v>
      </c>
      <c r="G11" s="6">
        <v>500</v>
      </c>
      <c r="H11" s="8">
        <v>1.1559999999999999</v>
      </c>
      <c r="I11" s="8">
        <v>1.85</v>
      </c>
      <c r="J11" s="6" t="s">
        <v>26</v>
      </c>
      <c r="K11" s="6" t="s">
        <v>171</v>
      </c>
      <c r="L11" s="6" t="s">
        <v>26</v>
      </c>
      <c r="M11" s="8">
        <v>1069.3</v>
      </c>
      <c r="N11" s="9">
        <v>925</v>
      </c>
      <c r="O11" s="10">
        <v>0.25690000000000002</v>
      </c>
      <c r="P11" s="11">
        <v>15.42</v>
      </c>
      <c r="Q11" s="6">
        <v>575.29999999999995</v>
      </c>
      <c r="R11" s="6">
        <v>1</v>
      </c>
      <c r="S11" s="6">
        <v>1200</v>
      </c>
      <c r="T11" s="8">
        <v>1.1559999999999999</v>
      </c>
      <c r="U11" s="6">
        <v>44</v>
      </c>
      <c r="V11" s="10">
        <v>3.6700000000000003E-2</v>
      </c>
      <c r="W11" s="6" t="s">
        <v>27</v>
      </c>
      <c r="X11" s="6" t="s">
        <v>28</v>
      </c>
      <c r="Y11" s="6" t="s">
        <v>27</v>
      </c>
      <c r="Z11" s="6" t="s">
        <v>27</v>
      </c>
      <c r="AA11" s="6" t="s">
        <v>27</v>
      </c>
      <c r="AB11" s="6" t="s">
        <v>29</v>
      </c>
      <c r="AC11" s="6" t="s">
        <v>170</v>
      </c>
    </row>
    <row r="12" spans="1:29" s="12" customFormat="1" ht="25.05" customHeight="1" x14ac:dyDescent="0.3">
      <c r="A12" s="6">
        <v>10</v>
      </c>
      <c r="B12" s="7" t="s">
        <v>97</v>
      </c>
      <c r="C12" s="6" t="s">
        <v>25</v>
      </c>
      <c r="D12" s="6" t="s">
        <v>144</v>
      </c>
      <c r="E12" s="6">
        <v>263067</v>
      </c>
      <c r="F12" s="6" t="s">
        <v>165</v>
      </c>
      <c r="G12" s="6">
        <v>300</v>
      </c>
      <c r="H12" s="8">
        <v>1.1359999999999999</v>
      </c>
      <c r="I12" s="8">
        <v>1.97</v>
      </c>
      <c r="J12" s="6" t="s">
        <v>26</v>
      </c>
      <c r="K12" s="6" t="s">
        <v>32</v>
      </c>
      <c r="L12" s="6" t="s">
        <v>26</v>
      </c>
      <c r="M12" s="8">
        <v>671.37599999999998</v>
      </c>
      <c r="N12" s="9">
        <v>591</v>
      </c>
      <c r="O12" s="10">
        <v>0.16420000000000001</v>
      </c>
      <c r="P12" s="11">
        <v>9.85</v>
      </c>
      <c r="Q12" s="6">
        <v>361.2</v>
      </c>
      <c r="R12" s="6">
        <v>1</v>
      </c>
      <c r="S12" s="6">
        <v>1200</v>
      </c>
      <c r="T12" s="8">
        <v>1.1359999999999999</v>
      </c>
      <c r="U12" s="6">
        <v>64</v>
      </c>
      <c r="V12" s="10">
        <v>5.33E-2</v>
      </c>
      <c r="W12" s="6" t="s">
        <v>27</v>
      </c>
      <c r="X12" s="6" t="s">
        <v>28</v>
      </c>
      <c r="Y12" s="6" t="s">
        <v>27</v>
      </c>
      <c r="Z12" s="6" t="s">
        <v>27</v>
      </c>
      <c r="AA12" s="6" t="s">
        <v>27</v>
      </c>
      <c r="AB12" s="6" t="s">
        <v>31</v>
      </c>
      <c r="AC12" s="6" t="s">
        <v>169</v>
      </c>
    </row>
    <row r="13" spans="1:29" s="12" customFormat="1" ht="25.05" customHeight="1" x14ac:dyDescent="0.3">
      <c r="A13" s="6">
        <v>11</v>
      </c>
      <c r="B13" s="7" t="s">
        <v>97</v>
      </c>
      <c r="C13" s="6" t="s">
        <v>25</v>
      </c>
      <c r="D13" s="6" t="s">
        <v>144</v>
      </c>
      <c r="E13" s="6">
        <v>263066</v>
      </c>
      <c r="F13" s="6" t="s">
        <v>165</v>
      </c>
      <c r="G13" s="6">
        <v>305</v>
      </c>
      <c r="H13" s="8">
        <v>1</v>
      </c>
      <c r="I13" s="8">
        <v>1.85</v>
      </c>
      <c r="J13" s="6" t="s">
        <v>26</v>
      </c>
      <c r="K13" s="6" t="s">
        <v>32</v>
      </c>
      <c r="L13" s="6" t="s">
        <v>26</v>
      </c>
      <c r="M13" s="8">
        <v>564.25</v>
      </c>
      <c r="N13" s="9">
        <v>564.29999999999995</v>
      </c>
      <c r="O13" s="10">
        <v>0.15670000000000001</v>
      </c>
      <c r="P13" s="11">
        <v>9.4</v>
      </c>
      <c r="Q13" s="6">
        <v>303.60000000000002</v>
      </c>
      <c r="R13" s="6">
        <v>1</v>
      </c>
      <c r="S13" s="6">
        <v>1050</v>
      </c>
      <c r="T13" s="8">
        <v>1</v>
      </c>
      <c r="U13" s="6">
        <v>50</v>
      </c>
      <c r="V13" s="10">
        <v>4.7600000000000003E-2</v>
      </c>
      <c r="W13" s="6" t="s">
        <v>27</v>
      </c>
      <c r="X13" s="6" t="s">
        <v>28</v>
      </c>
      <c r="Y13" s="6" t="s">
        <v>27</v>
      </c>
      <c r="Z13" s="6" t="s">
        <v>27</v>
      </c>
      <c r="AA13" s="6" t="s">
        <v>27</v>
      </c>
      <c r="AB13" s="6" t="s">
        <v>31</v>
      </c>
      <c r="AC13" s="6" t="s">
        <v>168</v>
      </c>
    </row>
    <row r="14" spans="1:29" s="12" customFormat="1" ht="25.05" customHeight="1" x14ac:dyDescent="0.3">
      <c r="A14" s="6">
        <v>12</v>
      </c>
      <c r="B14" s="7" t="s">
        <v>97</v>
      </c>
      <c r="C14" s="6" t="s">
        <v>41</v>
      </c>
      <c r="D14" s="6" t="s">
        <v>144</v>
      </c>
      <c r="E14" s="6">
        <v>263062</v>
      </c>
      <c r="F14" s="6" t="s">
        <v>165</v>
      </c>
      <c r="G14" s="6">
        <v>380</v>
      </c>
      <c r="H14" s="8">
        <v>0.94599999999999995</v>
      </c>
      <c r="I14" s="8">
        <v>1.48</v>
      </c>
      <c r="J14" s="6" t="s">
        <v>26</v>
      </c>
      <c r="K14" s="6" t="s">
        <v>167</v>
      </c>
      <c r="L14" s="6" t="s">
        <v>26</v>
      </c>
      <c r="M14" s="8">
        <v>532.03</v>
      </c>
      <c r="N14" s="9">
        <v>562.4</v>
      </c>
      <c r="O14" s="10">
        <v>0.15620000000000001</v>
      </c>
      <c r="P14" s="11">
        <v>9.3699999999999992</v>
      </c>
      <c r="Q14" s="6">
        <v>302.2</v>
      </c>
      <c r="R14" s="6">
        <v>1</v>
      </c>
      <c r="S14" s="6">
        <v>1000</v>
      </c>
      <c r="T14" s="8">
        <v>0.94599999999999995</v>
      </c>
      <c r="U14" s="6">
        <v>54</v>
      </c>
      <c r="V14" s="10">
        <v>5.3999999999999999E-2</v>
      </c>
      <c r="W14" s="6" t="s">
        <v>33</v>
      </c>
      <c r="X14" s="6" t="s">
        <v>38</v>
      </c>
      <c r="Y14" s="6" t="s">
        <v>33</v>
      </c>
      <c r="Z14" s="6" t="s">
        <v>33</v>
      </c>
      <c r="AA14" s="6" t="s">
        <v>33</v>
      </c>
      <c r="AB14" s="6" t="s">
        <v>31</v>
      </c>
      <c r="AC14" s="6" t="s">
        <v>70</v>
      </c>
    </row>
    <row r="15" spans="1:29" s="12" customFormat="1" ht="25.05" customHeight="1" x14ac:dyDescent="0.3">
      <c r="A15" s="6">
        <v>13</v>
      </c>
      <c r="B15" s="7" t="s">
        <v>97</v>
      </c>
      <c r="C15" s="6" t="s">
        <v>25</v>
      </c>
      <c r="D15" s="6" t="s">
        <v>144</v>
      </c>
      <c r="E15" s="6">
        <v>263064</v>
      </c>
      <c r="F15" s="6" t="s">
        <v>165</v>
      </c>
      <c r="G15" s="6">
        <v>480</v>
      </c>
      <c r="H15" s="8">
        <v>0.95599999999999996</v>
      </c>
      <c r="I15" s="8">
        <v>1.23</v>
      </c>
      <c r="J15" s="6" t="s">
        <v>26</v>
      </c>
      <c r="K15" s="6" t="s">
        <v>90</v>
      </c>
      <c r="L15" s="6" t="s">
        <v>26</v>
      </c>
      <c r="M15" s="8">
        <v>564.42200000000003</v>
      </c>
      <c r="N15" s="9">
        <v>590.4</v>
      </c>
      <c r="O15" s="10">
        <v>0.16400000000000001</v>
      </c>
      <c r="P15" s="11">
        <v>9.84</v>
      </c>
      <c r="Q15" s="6">
        <v>303.7</v>
      </c>
      <c r="R15" s="6">
        <v>1</v>
      </c>
      <c r="S15" s="6">
        <v>1000</v>
      </c>
      <c r="T15" s="8">
        <v>0.95599999999999996</v>
      </c>
      <c r="U15" s="6">
        <v>44</v>
      </c>
      <c r="V15" s="10">
        <v>4.3999999999999997E-2</v>
      </c>
      <c r="W15" s="6" t="s">
        <v>27</v>
      </c>
      <c r="X15" s="6" t="s">
        <v>28</v>
      </c>
      <c r="Y15" s="6" t="s">
        <v>27</v>
      </c>
      <c r="Z15" s="6" t="s">
        <v>27</v>
      </c>
      <c r="AA15" s="6" t="s">
        <v>27</v>
      </c>
      <c r="AB15" s="6" t="s">
        <v>29</v>
      </c>
      <c r="AC15" s="6" t="s">
        <v>62</v>
      </c>
    </row>
    <row r="16" spans="1:29" s="12" customFormat="1" ht="25.05" customHeight="1" x14ac:dyDescent="0.3">
      <c r="A16" s="6">
        <v>14</v>
      </c>
      <c r="B16" s="7" t="s">
        <v>97</v>
      </c>
      <c r="C16" s="6" t="s">
        <v>25</v>
      </c>
      <c r="D16" s="6" t="s">
        <v>144</v>
      </c>
      <c r="E16" s="6">
        <v>263065</v>
      </c>
      <c r="F16" s="6" t="s">
        <v>165</v>
      </c>
      <c r="G16" s="6">
        <v>500</v>
      </c>
      <c r="H16" s="8">
        <v>0.97099999999999997</v>
      </c>
      <c r="I16" s="8">
        <v>1.26</v>
      </c>
      <c r="J16" s="6" t="s">
        <v>26</v>
      </c>
      <c r="K16" s="6" t="s">
        <v>166</v>
      </c>
      <c r="L16" s="6" t="s">
        <v>26</v>
      </c>
      <c r="M16" s="8">
        <v>611.73</v>
      </c>
      <c r="N16" s="9">
        <v>630</v>
      </c>
      <c r="O16" s="10">
        <v>0.17499999999999999</v>
      </c>
      <c r="P16" s="11">
        <v>10.5</v>
      </c>
      <c r="Q16" s="6">
        <v>329.1</v>
      </c>
      <c r="R16" s="6">
        <v>1</v>
      </c>
      <c r="S16" s="6">
        <v>1000</v>
      </c>
      <c r="T16" s="8">
        <v>0.97099999999999997</v>
      </c>
      <c r="U16" s="6">
        <v>29</v>
      </c>
      <c r="V16" s="10">
        <v>2.9000000000000001E-2</v>
      </c>
      <c r="W16" s="6" t="s">
        <v>27</v>
      </c>
      <c r="X16" s="6" t="s">
        <v>28</v>
      </c>
      <c r="Y16" s="6" t="s">
        <v>27</v>
      </c>
      <c r="Z16" s="6" t="s">
        <v>27</v>
      </c>
      <c r="AA16" s="6" t="s">
        <v>27</v>
      </c>
      <c r="AB16" s="6" t="s">
        <v>29</v>
      </c>
      <c r="AC16" s="6" t="s">
        <v>61</v>
      </c>
    </row>
    <row r="17" spans="1:29" s="12" customFormat="1" ht="25.05" customHeight="1" x14ac:dyDescent="0.3">
      <c r="A17" s="6">
        <v>15</v>
      </c>
      <c r="B17" s="7" t="s">
        <v>97</v>
      </c>
      <c r="C17" s="6" t="s">
        <v>25</v>
      </c>
      <c r="D17" s="6" t="s">
        <v>144</v>
      </c>
      <c r="E17" s="6">
        <v>263063</v>
      </c>
      <c r="F17" s="6" t="s">
        <v>165</v>
      </c>
      <c r="G17" s="6">
        <v>570</v>
      </c>
      <c r="H17" s="8">
        <v>0.95599999999999996</v>
      </c>
      <c r="I17" s="8">
        <v>1.03</v>
      </c>
      <c r="J17" s="6" t="s">
        <v>26</v>
      </c>
      <c r="K17" s="6" t="s">
        <v>32</v>
      </c>
      <c r="L17" s="6" t="s">
        <v>26</v>
      </c>
      <c r="M17" s="8">
        <v>561.26800000000003</v>
      </c>
      <c r="N17" s="9">
        <v>587.1</v>
      </c>
      <c r="O17" s="10">
        <v>0.16309999999999999</v>
      </c>
      <c r="P17" s="11">
        <v>9.7899999999999991</v>
      </c>
      <c r="Q17" s="6">
        <v>302</v>
      </c>
      <c r="R17" s="6">
        <v>1</v>
      </c>
      <c r="S17" s="6">
        <v>1000</v>
      </c>
      <c r="T17" s="8">
        <v>0.95599999999999996</v>
      </c>
      <c r="U17" s="6">
        <v>44</v>
      </c>
      <c r="V17" s="10">
        <v>4.3999999999999997E-2</v>
      </c>
      <c r="W17" s="6" t="s">
        <v>27</v>
      </c>
      <c r="X17" s="6" t="s">
        <v>28</v>
      </c>
      <c r="Y17" s="6" t="s">
        <v>27</v>
      </c>
      <c r="Z17" s="6" t="s">
        <v>27</v>
      </c>
      <c r="AA17" s="6" t="s">
        <v>27</v>
      </c>
      <c r="AB17" s="6" t="s">
        <v>31</v>
      </c>
      <c r="AC17" s="6" t="s">
        <v>89</v>
      </c>
    </row>
    <row r="18" spans="1:29" s="12" customFormat="1" ht="25.05" customHeight="1" x14ac:dyDescent="0.3">
      <c r="A18" s="6">
        <v>16</v>
      </c>
      <c r="B18" s="7" t="s">
        <v>97</v>
      </c>
      <c r="C18" s="6" t="s">
        <v>25</v>
      </c>
      <c r="D18" s="6" t="s">
        <v>144</v>
      </c>
      <c r="E18" s="6">
        <v>263076</v>
      </c>
      <c r="F18" s="6" t="s">
        <v>165</v>
      </c>
      <c r="G18" s="6">
        <v>320</v>
      </c>
      <c r="H18" s="8">
        <v>0.83599999999999997</v>
      </c>
      <c r="I18" s="8">
        <v>2.1</v>
      </c>
      <c r="J18" s="6" t="s">
        <v>26</v>
      </c>
      <c r="K18" s="6" t="s">
        <v>65</v>
      </c>
      <c r="L18" s="6" t="s">
        <v>26</v>
      </c>
      <c r="M18" s="8">
        <v>561.79200000000003</v>
      </c>
      <c r="N18" s="9">
        <v>672</v>
      </c>
      <c r="O18" s="10">
        <v>0.1867</v>
      </c>
      <c r="P18" s="11">
        <v>11.2</v>
      </c>
      <c r="Q18" s="6">
        <v>302.2</v>
      </c>
      <c r="R18" s="6">
        <v>1</v>
      </c>
      <c r="S18" s="6">
        <v>900</v>
      </c>
      <c r="T18" s="8">
        <v>0.83599999999999997</v>
      </c>
      <c r="U18" s="6">
        <v>64</v>
      </c>
      <c r="V18" s="10">
        <v>7.1099999999999997E-2</v>
      </c>
      <c r="W18" s="6" t="s">
        <v>27</v>
      </c>
      <c r="X18" s="6" t="s">
        <v>28</v>
      </c>
      <c r="Y18" s="6" t="s">
        <v>27</v>
      </c>
      <c r="Z18" s="6" t="s">
        <v>27</v>
      </c>
      <c r="AA18" s="6" t="s">
        <v>27</v>
      </c>
      <c r="AB18" s="6" t="s">
        <v>31</v>
      </c>
      <c r="AC18" s="6" t="s">
        <v>64</v>
      </c>
    </row>
    <row r="19" spans="1:29" s="12" customFormat="1" ht="25.05" customHeight="1" x14ac:dyDescent="0.3">
      <c r="A19" s="6">
        <v>17</v>
      </c>
      <c r="B19" s="7" t="s">
        <v>97</v>
      </c>
      <c r="C19" s="6" t="s">
        <v>59</v>
      </c>
      <c r="D19" s="6" t="s">
        <v>144</v>
      </c>
      <c r="E19" s="6">
        <v>263072</v>
      </c>
      <c r="F19" s="6" t="s">
        <v>165</v>
      </c>
      <c r="G19" s="6">
        <v>500</v>
      </c>
      <c r="H19" s="8">
        <v>1.228</v>
      </c>
      <c r="I19" s="8">
        <v>1.4</v>
      </c>
      <c r="J19" s="6" t="s">
        <v>26</v>
      </c>
      <c r="K19" s="6" t="s">
        <v>32</v>
      </c>
      <c r="L19" s="6" t="s">
        <v>26</v>
      </c>
      <c r="M19" s="8">
        <v>859.6</v>
      </c>
      <c r="N19" s="9">
        <v>700</v>
      </c>
      <c r="O19" s="10">
        <v>0.19439999999999999</v>
      </c>
      <c r="P19" s="11">
        <v>11.67</v>
      </c>
      <c r="Q19" s="6">
        <v>313.8</v>
      </c>
      <c r="R19" s="6">
        <v>1</v>
      </c>
      <c r="S19" s="6">
        <v>1250</v>
      </c>
      <c r="T19" s="8">
        <v>1.228</v>
      </c>
      <c r="U19" s="6">
        <v>22</v>
      </c>
      <c r="V19" s="10">
        <v>1.7600000000000001E-2</v>
      </c>
      <c r="W19" s="6" t="s">
        <v>39</v>
      </c>
      <c r="X19" s="6" t="s">
        <v>28</v>
      </c>
      <c r="Y19" s="6" t="s">
        <v>27</v>
      </c>
      <c r="Z19" s="6" t="s">
        <v>26</v>
      </c>
      <c r="AA19" s="6" t="s">
        <v>26</v>
      </c>
      <c r="AB19" s="6" t="s">
        <v>31</v>
      </c>
      <c r="AC19" s="6" t="s">
        <v>164</v>
      </c>
    </row>
    <row r="20" spans="1:29" s="12" customFormat="1" ht="25.05" customHeight="1" x14ac:dyDescent="0.3">
      <c r="A20" s="13" t="s">
        <v>26</v>
      </c>
      <c r="B20" s="13" t="s">
        <v>26</v>
      </c>
      <c r="C20" s="13" t="s">
        <v>26</v>
      </c>
      <c r="D20" s="13" t="s">
        <v>26</v>
      </c>
      <c r="E20" s="13" t="s">
        <v>26</v>
      </c>
      <c r="F20" s="13" t="s">
        <v>26</v>
      </c>
      <c r="G20" s="13">
        <v>7600</v>
      </c>
      <c r="H20" s="13" t="s">
        <v>26</v>
      </c>
      <c r="I20" s="13" t="s">
        <v>26</v>
      </c>
      <c r="J20" s="13" t="s">
        <v>26</v>
      </c>
      <c r="K20" s="13" t="s">
        <v>26</v>
      </c>
      <c r="L20" s="13" t="s">
        <v>26</v>
      </c>
      <c r="M20" s="13" t="s">
        <v>26</v>
      </c>
      <c r="N20" s="13" t="s">
        <v>26</v>
      </c>
      <c r="O20" s="13" t="s">
        <v>26</v>
      </c>
      <c r="P20" s="13" t="s">
        <v>26</v>
      </c>
      <c r="Q20" s="13">
        <v>6059.1</v>
      </c>
      <c r="R20" s="13" t="s">
        <v>26</v>
      </c>
      <c r="S20" s="13" t="s">
        <v>26</v>
      </c>
      <c r="T20" s="13" t="s">
        <v>26</v>
      </c>
      <c r="U20" s="13" t="s">
        <v>26</v>
      </c>
      <c r="V20" s="13" t="s">
        <v>26</v>
      </c>
      <c r="W20" s="13" t="s">
        <v>26</v>
      </c>
      <c r="X20" s="13" t="s">
        <v>26</v>
      </c>
      <c r="Y20" s="13" t="s">
        <v>26</v>
      </c>
      <c r="Z20" s="13" t="s">
        <v>26</v>
      </c>
      <c r="AA20" s="13" t="s">
        <v>26</v>
      </c>
      <c r="AB20" s="13" t="s">
        <v>26</v>
      </c>
      <c r="AC20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B028-014A-4D74-A34B-F35DCE5A2B2F}">
  <sheetPr>
    <pageSetUpPr fitToPage="1"/>
  </sheetPr>
  <dimension ref="A1:AC8"/>
  <sheetViews>
    <sheetView zoomScale="190" zoomScaleNormal="190" workbookViewId="0">
      <selection activeCell="X18" sqref="X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21875" style="1" customWidth="1"/>
    <col min="6" max="6" width="5.44140625" style="1" customWidth="1"/>
    <col min="7" max="7" width="6.109375" style="1" customWidth="1"/>
    <col min="8" max="8" width="5.6640625" style="1" customWidth="1"/>
    <col min="9" max="9" width="6.88671875" style="1" customWidth="1"/>
    <col min="10" max="10" width="7" style="1" customWidth="1"/>
    <col min="11" max="11" width="13.44140625" style="1" customWidth="1"/>
    <col min="12" max="12" width="8.4414062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77734375" style="1" customWidth="1"/>
    <col min="18" max="18" width="4.5546875" style="1" customWidth="1"/>
    <col min="19" max="19" width="6.77734375" style="1" customWidth="1"/>
    <col min="20" max="20" width="7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5" width="7.44140625" style="1" customWidth="1"/>
    <col min="26" max="26" width="7.88671875" style="1" customWidth="1"/>
    <col min="27" max="27" width="7.33203125" style="1" customWidth="1"/>
    <col min="28" max="28" width="5" style="1" customWidth="1"/>
    <col min="29" max="29" width="11.77734375" style="1" customWidth="1"/>
    <col min="30" max="16384" width="8.88671875" style="1"/>
  </cols>
  <sheetData>
    <row r="1" spans="1:29" ht="18" customHeight="1" x14ac:dyDescent="0.35">
      <c r="A1" s="61" t="s">
        <v>163</v>
      </c>
      <c r="B1" s="61" t="s">
        <v>26</v>
      </c>
      <c r="C1" s="61" t="s">
        <v>26</v>
      </c>
      <c r="D1" s="61" t="s">
        <v>26</v>
      </c>
      <c r="E1" s="61" t="s">
        <v>26</v>
      </c>
      <c r="F1" s="61" t="s">
        <v>26</v>
      </c>
      <c r="G1" s="61" t="s">
        <v>26</v>
      </c>
      <c r="H1" s="61" t="s">
        <v>26</v>
      </c>
      <c r="I1" s="61" t="s">
        <v>26</v>
      </c>
      <c r="J1" s="61" t="s">
        <v>26</v>
      </c>
      <c r="K1" s="61" t="s">
        <v>26</v>
      </c>
      <c r="L1" s="61" t="s">
        <v>26</v>
      </c>
      <c r="M1" s="61" t="s">
        <v>26</v>
      </c>
      <c r="N1" s="61" t="s">
        <v>26</v>
      </c>
      <c r="O1" s="61" t="s">
        <v>26</v>
      </c>
      <c r="P1" s="61" t="s">
        <v>26</v>
      </c>
      <c r="Q1" s="61" t="s">
        <v>26</v>
      </c>
      <c r="R1" s="61" t="s">
        <v>26</v>
      </c>
      <c r="S1" s="61" t="s">
        <v>26</v>
      </c>
      <c r="T1" s="61" t="s">
        <v>26</v>
      </c>
      <c r="U1" s="61" t="s">
        <v>26</v>
      </c>
      <c r="V1" s="61" t="s">
        <v>26</v>
      </c>
      <c r="W1" s="61" t="s">
        <v>26</v>
      </c>
      <c r="X1" s="61" t="s">
        <v>26</v>
      </c>
      <c r="Y1" s="61" t="s">
        <v>26</v>
      </c>
      <c r="Z1" s="61" t="s">
        <v>26</v>
      </c>
      <c r="AA1" s="61" t="s">
        <v>26</v>
      </c>
      <c r="AB1" s="61" t="s">
        <v>26</v>
      </c>
      <c r="AC1" s="61" t="s">
        <v>26</v>
      </c>
    </row>
    <row r="2" spans="1:29" ht="37.799999999999997" customHeight="1" x14ac:dyDescent="0.3">
      <c r="A2" s="27" t="s">
        <v>0</v>
      </c>
      <c r="B2" s="27" t="s">
        <v>35</v>
      </c>
      <c r="C2" s="27" t="s">
        <v>1</v>
      </c>
      <c r="D2" s="27" t="s">
        <v>2</v>
      </c>
      <c r="E2" s="27" t="s">
        <v>45</v>
      </c>
      <c r="F2" s="27" t="s">
        <v>3</v>
      </c>
      <c r="G2" s="27" t="s">
        <v>4</v>
      </c>
      <c r="H2" s="27" t="s">
        <v>5</v>
      </c>
      <c r="I2" s="27" t="s">
        <v>6</v>
      </c>
      <c r="J2" s="27" t="s">
        <v>26</v>
      </c>
      <c r="K2" s="27" t="s">
        <v>7</v>
      </c>
      <c r="L2" s="27" t="s">
        <v>26</v>
      </c>
      <c r="M2" s="27" t="s">
        <v>8</v>
      </c>
      <c r="N2" s="27" t="s">
        <v>9</v>
      </c>
      <c r="O2" s="27" t="s">
        <v>10</v>
      </c>
      <c r="P2" s="27" t="s">
        <v>11</v>
      </c>
      <c r="Q2" s="27" t="s">
        <v>12</v>
      </c>
      <c r="R2" s="27" t="s">
        <v>13</v>
      </c>
      <c r="S2" s="27" t="s">
        <v>14</v>
      </c>
      <c r="T2" s="27" t="s">
        <v>15</v>
      </c>
      <c r="U2" s="27" t="s">
        <v>16</v>
      </c>
      <c r="V2" s="27" t="s">
        <v>17</v>
      </c>
      <c r="W2" s="27" t="s">
        <v>18</v>
      </c>
      <c r="X2" s="27" t="s">
        <v>19</v>
      </c>
      <c r="Y2" s="27" t="s">
        <v>20</v>
      </c>
      <c r="Z2" s="27" t="s">
        <v>21</v>
      </c>
      <c r="AA2" s="27" t="s">
        <v>22</v>
      </c>
      <c r="AB2" s="27" t="s">
        <v>23</v>
      </c>
      <c r="AC2" s="27" t="s">
        <v>24</v>
      </c>
    </row>
    <row r="3" spans="1:29" s="2" customFormat="1" ht="25.05" customHeight="1" x14ac:dyDescent="0.3">
      <c r="A3" s="28"/>
      <c r="B3" s="29" t="s">
        <v>126</v>
      </c>
      <c r="C3" s="28" t="s">
        <v>41</v>
      </c>
      <c r="D3" s="28" t="s">
        <v>96</v>
      </c>
      <c r="E3" s="28">
        <v>263059</v>
      </c>
      <c r="F3" s="28" t="s">
        <v>160</v>
      </c>
      <c r="G3" s="28">
        <v>1200</v>
      </c>
      <c r="H3" s="30">
        <v>0.50800000000000001</v>
      </c>
      <c r="I3" s="30">
        <v>1.7030000000000001</v>
      </c>
      <c r="J3" s="28" t="s">
        <v>26</v>
      </c>
      <c r="K3" s="28" t="s">
        <v>32</v>
      </c>
      <c r="L3" s="28" t="s">
        <v>26</v>
      </c>
      <c r="M3" s="30">
        <v>1038.1489999999999</v>
      </c>
      <c r="N3" s="31">
        <v>681.2</v>
      </c>
      <c r="O3" s="32">
        <v>6.3100000000000003E-2</v>
      </c>
      <c r="P3" s="33">
        <v>3.78</v>
      </c>
      <c r="Q3" s="28">
        <v>589.70000000000005</v>
      </c>
      <c r="R3" s="28">
        <v>3</v>
      </c>
      <c r="S3" s="28">
        <v>1550</v>
      </c>
      <c r="T3" s="30">
        <v>1.524</v>
      </c>
      <c r="U3" s="28">
        <v>26</v>
      </c>
      <c r="V3" s="32">
        <v>1.6799999999999999E-2</v>
      </c>
      <c r="W3" s="28" t="s">
        <v>33</v>
      </c>
      <c r="X3" s="28" t="s">
        <v>38</v>
      </c>
      <c r="Y3" s="28" t="s">
        <v>33</v>
      </c>
      <c r="Z3" s="28" t="s">
        <v>33</v>
      </c>
      <c r="AA3" s="28" t="s">
        <v>33</v>
      </c>
      <c r="AB3" s="28" t="s">
        <v>30</v>
      </c>
      <c r="AC3" s="28" t="s">
        <v>162</v>
      </c>
    </row>
    <row r="4" spans="1:29" s="2" customFormat="1" ht="25.05" customHeight="1" x14ac:dyDescent="0.3">
      <c r="A4" s="14"/>
      <c r="B4" s="15" t="s">
        <v>99</v>
      </c>
      <c r="C4" s="15" t="s">
        <v>41</v>
      </c>
      <c r="D4" s="15" t="s">
        <v>185</v>
      </c>
      <c r="E4" s="14">
        <v>263082</v>
      </c>
      <c r="F4" s="15" t="s">
        <v>69</v>
      </c>
      <c r="G4" s="14">
        <v>175</v>
      </c>
      <c r="H4" s="16">
        <v>1.494</v>
      </c>
      <c r="I4" s="16">
        <v>2.5630000000000002</v>
      </c>
      <c r="J4" s="14"/>
      <c r="K4" s="15" t="s">
        <v>32</v>
      </c>
      <c r="L4" s="14"/>
      <c r="M4" s="16">
        <v>670.096</v>
      </c>
      <c r="N4" s="17">
        <v>448.5</v>
      </c>
      <c r="O4" s="18">
        <v>0.1246</v>
      </c>
      <c r="P4" s="19">
        <v>7.48</v>
      </c>
      <c r="Q4" s="14">
        <v>380.6</v>
      </c>
      <c r="R4" s="14">
        <v>1</v>
      </c>
      <c r="S4" s="14">
        <v>1550</v>
      </c>
      <c r="T4" s="16">
        <v>1.494</v>
      </c>
      <c r="U4" s="14">
        <v>56</v>
      </c>
      <c r="V4" s="18">
        <v>3.61E-2</v>
      </c>
      <c r="W4" s="15" t="s">
        <v>33</v>
      </c>
      <c r="X4" s="15" t="s">
        <v>38</v>
      </c>
      <c r="Y4" s="15" t="s">
        <v>33</v>
      </c>
      <c r="Z4" s="15" t="s">
        <v>33</v>
      </c>
      <c r="AA4" s="15" t="s">
        <v>33</v>
      </c>
      <c r="AB4" s="15" t="s">
        <v>37</v>
      </c>
      <c r="AC4" s="15" t="s">
        <v>66</v>
      </c>
    </row>
    <row r="5" spans="1:29" s="2" customFormat="1" ht="25.05" customHeight="1" x14ac:dyDescent="0.3">
      <c r="A5" s="28"/>
      <c r="B5" s="29" t="s">
        <v>126</v>
      </c>
      <c r="C5" s="28" t="s">
        <v>41</v>
      </c>
      <c r="D5" s="28" t="s">
        <v>96</v>
      </c>
      <c r="E5" s="28">
        <v>263057</v>
      </c>
      <c r="F5" s="28" t="s">
        <v>160</v>
      </c>
      <c r="G5" s="28">
        <v>1200</v>
      </c>
      <c r="H5" s="30">
        <v>0.42799999999999999</v>
      </c>
      <c r="I5" s="30">
        <v>0.76300000000000001</v>
      </c>
      <c r="J5" s="28" t="s">
        <v>26</v>
      </c>
      <c r="K5" s="28" t="s">
        <v>32</v>
      </c>
      <c r="L5" s="28" t="s">
        <v>26</v>
      </c>
      <c r="M5" s="30">
        <v>391.87700000000001</v>
      </c>
      <c r="N5" s="31">
        <v>305.2</v>
      </c>
      <c r="O5" s="32">
        <v>2.8299999999999999E-2</v>
      </c>
      <c r="P5" s="33">
        <v>1.7</v>
      </c>
      <c r="Q5" s="28">
        <v>222.6</v>
      </c>
      <c r="R5" s="28">
        <v>3</v>
      </c>
      <c r="S5" s="28">
        <v>1350</v>
      </c>
      <c r="T5" s="30">
        <v>1.284</v>
      </c>
      <c r="U5" s="28">
        <v>66</v>
      </c>
      <c r="V5" s="32">
        <v>4.8899999999999999E-2</v>
      </c>
      <c r="W5" s="28" t="s">
        <v>33</v>
      </c>
      <c r="X5" s="28" t="s">
        <v>38</v>
      </c>
      <c r="Y5" s="28" t="s">
        <v>33</v>
      </c>
      <c r="Z5" s="28" t="s">
        <v>33</v>
      </c>
      <c r="AA5" s="28" t="s">
        <v>33</v>
      </c>
      <c r="AB5" s="28" t="s">
        <v>31</v>
      </c>
      <c r="AC5" s="28" t="s">
        <v>161</v>
      </c>
    </row>
    <row r="6" spans="1:29" s="2" customFormat="1" ht="25.05" customHeight="1" x14ac:dyDescent="0.3">
      <c r="A6" s="28"/>
      <c r="B6" s="29" t="s">
        <v>126</v>
      </c>
      <c r="C6" s="28" t="s">
        <v>41</v>
      </c>
      <c r="D6" s="28" t="s">
        <v>96</v>
      </c>
      <c r="E6" s="28">
        <v>263058</v>
      </c>
      <c r="F6" s="28" t="s">
        <v>160</v>
      </c>
      <c r="G6" s="28">
        <v>1200</v>
      </c>
      <c r="H6" s="30">
        <v>0.56799999999999995</v>
      </c>
      <c r="I6" s="30">
        <v>1.8129999999999999</v>
      </c>
      <c r="J6" s="28" t="s">
        <v>26</v>
      </c>
      <c r="K6" s="28" t="s">
        <v>32</v>
      </c>
      <c r="L6" s="28" t="s">
        <v>26</v>
      </c>
      <c r="M6" s="30">
        <v>1235.741</v>
      </c>
      <c r="N6" s="31">
        <v>1087.8</v>
      </c>
      <c r="O6" s="32">
        <v>0.15110000000000001</v>
      </c>
      <c r="P6" s="33">
        <v>9.06</v>
      </c>
      <c r="Q6" s="28">
        <v>701.9</v>
      </c>
      <c r="R6" s="28">
        <v>2</v>
      </c>
      <c r="S6" s="28">
        <v>1200</v>
      </c>
      <c r="T6" s="30">
        <v>1.1359999999999999</v>
      </c>
      <c r="U6" s="28">
        <v>64</v>
      </c>
      <c r="V6" s="32">
        <v>5.33E-2</v>
      </c>
      <c r="W6" s="28" t="s">
        <v>33</v>
      </c>
      <c r="X6" s="28" t="s">
        <v>38</v>
      </c>
      <c r="Y6" s="28" t="s">
        <v>33</v>
      </c>
      <c r="Z6" s="28" t="s">
        <v>33</v>
      </c>
      <c r="AA6" s="28" t="s">
        <v>33</v>
      </c>
      <c r="AB6" s="28" t="s">
        <v>30</v>
      </c>
      <c r="AC6" s="28" t="s">
        <v>159</v>
      </c>
    </row>
    <row r="7" spans="1:29" s="2" customFormat="1" ht="25.05" customHeight="1" x14ac:dyDescent="0.3">
      <c r="A7" s="14"/>
      <c r="B7" s="15" t="s">
        <v>99</v>
      </c>
      <c r="C7" s="15" t="s">
        <v>34</v>
      </c>
      <c r="D7" s="15" t="s">
        <v>144</v>
      </c>
      <c r="E7" s="14">
        <v>263112</v>
      </c>
      <c r="F7" s="15" t="s">
        <v>239</v>
      </c>
      <c r="G7" s="14">
        <v>600</v>
      </c>
      <c r="H7" s="16">
        <v>1.1599999999999999</v>
      </c>
      <c r="I7" s="16">
        <v>1.52</v>
      </c>
      <c r="J7" s="14"/>
      <c r="K7" s="15" t="s">
        <v>240</v>
      </c>
      <c r="L7" s="14"/>
      <c r="M7" s="16">
        <v>1057.92</v>
      </c>
      <c r="N7" s="17">
        <v>912</v>
      </c>
      <c r="O7" s="18">
        <v>0.25330000000000003</v>
      </c>
      <c r="P7" s="19">
        <v>15.2</v>
      </c>
      <c r="Q7" s="14">
        <v>338.5</v>
      </c>
      <c r="R7" s="14">
        <v>1</v>
      </c>
      <c r="S7" s="14">
        <v>1200</v>
      </c>
      <c r="T7" s="16">
        <v>1.1599999999999999</v>
      </c>
      <c r="U7" s="14">
        <v>40</v>
      </c>
      <c r="V7" s="18">
        <v>3.3300000000000003E-2</v>
      </c>
      <c r="W7" s="15" t="s">
        <v>27</v>
      </c>
      <c r="X7" s="15" t="s">
        <v>27</v>
      </c>
      <c r="Y7" s="15" t="s">
        <v>27</v>
      </c>
      <c r="Z7" s="15"/>
      <c r="AA7" s="15"/>
      <c r="AB7" s="15" t="s">
        <v>31</v>
      </c>
      <c r="AC7" s="15" t="s">
        <v>241</v>
      </c>
    </row>
    <row r="8" spans="1:29" s="2" customFormat="1" ht="25.05" customHeight="1" x14ac:dyDescent="0.3">
      <c r="A8" s="34" t="s">
        <v>26</v>
      </c>
      <c r="B8" s="34" t="s">
        <v>26</v>
      </c>
      <c r="C8" s="34" t="s">
        <v>26</v>
      </c>
      <c r="D8" s="34" t="s">
        <v>26</v>
      </c>
      <c r="E8" s="34" t="s">
        <v>26</v>
      </c>
      <c r="F8" s="34" t="s">
        <v>26</v>
      </c>
      <c r="G8" s="34">
        <f>SUM(G3:G7)</f>
        <v>4375</v>
      </c>
      <c r="H8" s="34" t="s">
        <v>26</v>
      </c>
      <c r="I8" s="34" t="s">
        <v>26</v>
      </c>
      <c r="J8" s="34" t="s">
        <v>26</v>
      </c>
      <c r="K8" s="34" t="s">
        <v>26</v>
      </c>
      <c r="L8" s="34" t="s">
        <v>26</v>
      </c>
      <c r="M8" s="34" t="s">
        <v>26</v>
      </c>
      <c r="N8" s="34" t="s">
        <v>26</v>
      </c>
      <c r="O8" s="34" t="s">
        <v>26</v>
      </c>
      <c r="P8" s="34" t="s">
        <v>26</v>
      </c>
      <c r="Q8" s="34">
        <f>SUM(Q3:Q7)</f>
        <v>2233.3000000000002</v>
      </c>
      <c r="R8" s="34" t="s">
        <v>26</v>
      </c>
      <c r="S8" s="34" t="s">
        <v>26</v>
      </c>
      <c r="T8" s="34" t="s">
        <v>26</v>
      </c>
      <c r="U8" s="34" t="s">
        <v>26</v>
      </c>
      <c r="V8" s="34" t="s">
        <v>26</v>
      </c>
      <c r="W8" s="34" t="s">
        <v>26</v>
      </c>
      <c r="X8" s="34" t="s">
        <v>26</v>
      </c>
      <c r="Y8" s="34" t="s">
        <v>26</v>
      </c>
      <c r="Z8" s="34" t="s">
        <v>26</v>
      </c>
      <c r="AA8" s="34" t="s">
        <v>26</v>
      </c>
      <c r="AB8" s="34" t="s">
        <v>26</v>
      </c>
      <c r="AC8" s="34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K20" sqref="K20"/>
    </sheetView>
  </sheetViews>
  <sheetFormatPr defaultRowHeight="14.4" x14ac:dyDescent="0.3"/>
  <cols>
    <col min="1" max="1" width="4.3320312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44140625" style="4" customWidth="1"/>
    <col min="6" max="6" width="9" style="4" customWidth="1"/>
    <col min="7" max="7" width="6.88671875" style="4" customWidth="1"/>
    <col min="8" max="8" width="6.6640625" style="4" customWidth="1"/>
    <col min="9" max="9" width="7.33203125" style="4" customWidth="1"/>
    <col min="10" max="10" width="7.109375" style="4" customWidth="1"/>
    <col min="11" max="11" width="14.77734375" style="4" customWidth="1"/>
    <col min="12" max="12" width="7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3.77734375" style="4" customWidth="1"/>
    <col min="19" max="19" width="6.77734375" style="4" customWidth="1"/>
    <col min="20" max="20" width="6.88671875" style="4" customWidth="1"/>
    <col min="21" max="21" width="11.77734375" style="4" hidden="1" customWidth="1"/>
    <col min="22" max="22" width="8.77734375" style="4" hidden="1" customWidth="1"/>
    <col min="23" max="23" width="8.44140625" style="4" customWidth="1"/>
    <col min="24" max="24" width="8.5546875" style="4" customWidth="1"/>
    <col min="25" max="25" width="7.44140625" style="4" customWidth="1"/>
    <col min="26" max="27" width="7.88671875" style="4" customWidth="1"/>
    <col min="28" max="28" width="5.4414062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59" t="s">
        <v>158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39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50</v>
      </c>
      <c r="C3" s="6" t="s">
        <v>25</v>
      </c>
      <c r="D3" s="6" t="s">
        <v>144</v>
      </c>
      <c r="E3" s="6">
        <v>263056</v>
      </c>
      <c r="F3" s="6" t="s">
        <v>150</v>
      </c>
      <c r="G3" s="6">
        <v>300</v>
      </c>
      <c r="H3" s="8">
        <v>1.474</v>
      </c>
      <c r="I3" s="8">
        <v>1.5549999999999999</v>
      </c>
      <c r="J3" s="6" t="s">
        <v>26</v>
      </c>
      <c r="K3" s="6" t="s">
        <v>157</v>
      </c>
      <c r="L3" s="6" t="s">
        <v>26</v>
      </c>
      <c r="M3" s="8">
        <v>687.62099999999998</v>
      </c>
      <c r="N3" s="9">
        <v>466.5</v>
      </c>
      <c r="O3" s="10">
        <v>0.12959999999999999</v>
      </c>
      <c r="P3" s="11">
        <v>7.78</v>
      </c>
      <c r="Q3" s="6">
        <v>369.9</v>
      </c>
      <c r="R3" s="6">
        <v>1</v>
      </c>
      <c r="S3" s="6">
        <v>1500</v>
      </c>
      <c r="T3" s="8">
        <v>1.474</v>
      </c>
      <c r="U3" s="6">
        <v>26</v>
      </c>
      <c r="V3" s="10">
        <v>1.7299999999999999E-2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31</v>
      </c>
      <c r="AC3" s="6" t="s">
        <v>156</v>
      </c>
    </row>
    <row r="4" spans="1:29" s="12" customFormat="1" ht="25.05" customHeight="1" x14ac:dyDescent="0.3">
      <c r="A4" s="6">
        <v>2</v>
      </c>
      <c r="B4" s="7" t="s">
        <v>50</v>
      </c>
      <c r="C4" s="6" t="s">
        <v>25</v>
      </c>
      <c r="D4" s="6" t="s">
        <v>144</v>
      </c>
      <c r="E4" s="6">
        <v>263050</v>
      </c>
      <c r="F4" s="6" t="s">
        <v>150</v>
      </c>
      <c r="G4" s="6">
        <v>2500</v>
      </c>
      <c r="H4" s="8">
        <v>0.49</v>
      </c>
      <c r="I4" s="8">
        <v>1.36</v>
      </c>
      <c r="J4" s="6" t="s">
        <v>26</v>
      </c>
      <c r="K4" s="6" t="s">
        <v>32</v>
      </c>
      <c r="L4" s="6" t="s">
        <v>26</v>
      </c>
      <c r="M4" s="8">
        <v>1666</v>
      </c>
      <c r="N4" s="9">
        <v>1133.3</v>
      </c>
      <c r="O4" s="10">
        <v>0.10489999999999999</v>
      </c>
      <c r="P4" s="11">
        <v>6.3</v>
      </c>
      <c r="Q4" s="6">
        <v>896.3</v>
      </c>
      <c r="R4" s="6">
        <v>3</v>
      </c>
      <c r="S4" s="6">
        <v>1500</v>
      </c>
      <c r="T4" s="8">
        <v>1.47</v>
      </c>
      <c r="U4" s="6">
        <v>30</v>
      </c>
      <c r="V4" s="10">
        <v>0.02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46</v>
      </c>
      <c r="AC4" s="6" t="s">
        <v>88</v>
      </c>
    </row>
    <row r="5" spans="1:29" s="12" customFormat="1" ht="25.05" customHeight="1" x14ac:dyDescent="0.3">
      <c r="A5" s="6">
        <v>3</v>
      </c>
      <c r="B5" s="7" t="s">
        <v>50</v>
      </c>
      <c r="C5" s="6" t="s">
        <v>25</v>
      </c>
      <c r="D5" s="6" t="s">
        <v>144</v>
      </c>
      <c r="E5" s="6">
        <v>263051</v>
      </c>
      <c r="F5" s="6" t="s">
        <v>150</v>
      </c>
      <c r="G5" s="6">
        <v>2500</v>
      </c>
      <c r="H5" s="8">
        <v>0.49</v>
      </c>
      <c r="I5" s="8">
        <v>1.5489999999999999</v>
      </c>
      <c r="J5" s="6" t="s">
        <v>26</v>
      </c>
      <c r="K5" s="6" t="s">
        <v>32</v>
      </c>
      <c r="L5" s="6" t="s">
        <v>26</v>
      </c>
      <c r="M5" s="8">
        <v>1897.5250000000001</v>
      </c>
      <c r="N5" s="9">
        <v>1290.8</v>
      </c>
      <c r="O5" s="10">
        <v>0.1195</v>
      </c>
      <c r="P5" s="11">
        <v>7.17</v>
      </c>
      <c r="Q5" s="6">
        <v>1020.9</v>
      </c>
      <c r="R5" s="6">
        <v>3</v>
      </c>
      <c r="S5" s="6">
        <v>1500</v>
      </c>
      <c r="T5" s="8">
        <v>1.47</v>
      </c>
      <c r="U5" s="6">
        <v>30</v>
      </c>
      <c r="V5" s="10">
        <v>0.02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46</v>
      </c>
      <c r="AC5" s="6" t="s">
        <v>63</v>
      </c>
    </row>
    <row r="6" spans="1:29" s="12" customFormat="1" ht="25.05" customHeight="1" x14ac:dyDescent="0.3">
      <c r="A6" s="6">
        <v>4</v>
      </c>
      <c r="B6" s="7" t="s">
        <v>50</v>
      </c>
      <c r="C6" s="6" t="s">
        <v>25</v>
      </c>
      <c r="D6" s="6" t="s">
        <v>144</v>
      </c>
      <c r="E6" s="6">
        <v>263049</v>
      </c>
      <c r="F6" s="6" t="s">
        <v>150</v>
      </c>
      <c r="G6" s="6">
        <v>5000</v>
      </c>
      <c r="H6" s="8">
        <v>0.434</v>
      </c>
      <c r="I6" s="8">
        <v>1.4990000000000001</v>
      </c>
      <c r="J6" s="6" t="s">
        <v>26</v>
      </c>
      <c r="K6" s="6" t="s">
        <v>87</v>
      </c>
      <c r="L6" s="6" t="s">
        <v>26</v>
      </c>
      <c r="M6" s="8">
        <v>3252.83</v>
      </c>
      <c r="N6" s="9">
        <v>2498.3000000000002</v>
      </c>
      <c r="O6" s="10">
        <v>0.23130000000000001</v>
      </c>
      <c r="P6" s="11">
        <v>13.88</v>
      </c>
      <c r="Q6" s="6">
        <v>1750</v>
      </c>
      <c r="R6" s="6">
        <v>3</v>
      </c>
      <c r="S6" s="6">
        <v>1350</v>
      </c>
      <c r="T6" s="8">
        <v>1.302</v>
      </c>
      <c r="U6" s="6">
        <v>48</v>
      </c>
      <c r="V6" s="10">
        <v>3.56E-2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55</v>
      </c>
      <c r="AC6" s="6" t="s">
        <v>86</v>
      </c>
    </row>
    <row r="7" spans="1:29" s="12" customFormat="1" ht="25.05" customHeight="1" x14ac:dyDescent="0.3">
      <c r="A7" s="6">
        <v>5</v>
      </c>
      <c r="B7" s="7" t="s">
        <v>50</v>
      </c>
      <c r="C7" s="6" t="s">
        <v>25</v>
      </c>
      <c r="D7" s="6" t="s">
        <v>144</v>
      </c>
      <c r="E7" s="6">
        <v>263052</v>
      </c>
      <c r="F7" s="6" t="s">
        <v>150</v>
      </c>
      <c r="G7" s="6">
        <v>1250</v>
      </c>
      <c r="H7" s="8">
        <v>0.32500000000000001</v>
      </c>
      <c r="I7" s="8">
        <v>0.88</v>
      </c>
      <c r="J7" s="6" t="s">
        <v>26</v>
      </c>
      <c r="K7" s="6" t="s">
        <v>32</v>
      </c>
      <c r="L7" s="6" t="s">
        <v>26</v>
      </c>
      <c r="M7" s="8">
        <v>357.5</v>
      </c>
      <c r="N7" s="9">
        <v>275</v>
      </c>
      <c r="O7" s="10">
        <v>1.9099999999999999E-2</v>
      </c>
      <c r="P7" s="11">
        <v>1.1499999999999999</v>
      </c>
      <c r="Q7" s="6">
        <v>192.3</v>
      </c>
      <c r="R7" s="6">
        <v>4</v>
      </c>
      <c r="S7" s="6">
        <v>1350</v>
      </c>
      <c r="T7" s="8">
        <v>1.3</v>
      </c>
      <c r="U7" s="6">
        <v>50</v>
      </c>
      <c r="V7" s="10">
        <v>3.6999999999999998E-2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31</v>
      </c>
      <c r="AC7" s="6" t="s">
        <v>155</v>
      </c>
    </row>
    <row r="8" spans="1:29" s="12" customFormat="1" ht="25.05" customHeight="1" x14ac:dyDescent="0.3">
      <c r="A8" s="6">
        <v>6</v>
      </c>
      <c r="B8" s="7" t="s">
        <v>50</v>
      </c>
      <c r="C8" s="6" t="s">
        <v>25</v>
      </c>
      <c r="D8" s="6" t="s">
        <v>144</v>
      </c>
      <c r="E8" s="6">
        <v>263048</v>
      </c>
      <c r="F8" s="6" t="s">
        <v>150</v>
      </c>
      <c r="G8" s="6">
        <v>15000</v>
      </c>
      <c r="H8" s="8">
        <v>0.29399999999999998</v>
      </c>
      <c r="I8" s="8">
        <v>0.95899999999999996</v>
      </c>
      <c r="J8" s="6" t="s">
        <v>26</v>
      </c>
      <c r="K8" s="6" t="s">
        <v>82</v>
      </c>
      <c r="L8" s="6" t="s">
        <v>26</v>
      </c>
      <c r="M8" s="8">
        <v>4229.1899999999996</v>
      </c>
      <c r="N8" s="9">
        <v>3596.3</v>
      </c>
      <c r="O8" s="10">
        <v>0.24970000000000001</v>
      </c>
      <c r="P8" s="11">
        <v>14.98</v>
      </c>
      <c r="Q8" s="6">
        <v>2275.3000000000002</v>
      </c>
      <c r="R8" s="6">
        <v>4</v>
      </c>
      <c r="S8" s="6">
        <v>1200</v>
      </c>
      <c r="T8" s="8">
        <v>1.1759999999999999</v>
      </c>
      <c r="U8" s="6">
        <v>24</v>
      </c>
      <c r="V8" s="10">
        <v>0.02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81</v>
      </c>
      <c r="AC8" s="6" t="s">
        <v>80</v>
      </c>
    </row>
    <row r="9" spans="1:29" s="12" customFormat="1" ht="25.05" customHeight="1" x14ac:dyDescent="0.3">
      <c r="A9" s="6">
        <v>7</v>
      </c>
      <c r="B9" s="7" t="s">
        <v>50</v>
      </c>
      <c r="C9" s="6" t="s">
        <v>41</v>
      </c>
      <c r="D9" s="6" t="s">
        <v>144</v>
      </c>
      <c r="E9" s="6">
        <v>263054</v>
      </c>
      <c r="F9" s="6" t="s">
        <v>150</v>
      </c>
      <c r="G9" s="6">
        <v>400</v>
      </c>
      <c r="H9" s="8">
        <v>1.004</v>
      </c>
      <c r="I9" s="8">
        <v>1.5389999999999999</v>
      </c>
      <c r="J9" s="6" t="s">
        <v>26</v>
      </c>
      <c r="K9" s="6" t="s">
        <v>154</v>
      </c>
      <c r="L9" s="6" t="s">
        <v>26</v>
      </c>
      <c r="M9" s="8">
        <v>618.06200000000001</v>
      </c>
      <c r="N9" s="9">
        <v>615.6</v>
      </c>
      <c r="O9" s="10">
        <v>0.17100000000000001</v>
      </c>
      <c r="P9" s="11">
        <v>10.26</v>
      </c>
      <c r="Q9" s="6">
        <v>351.1</v>
      </c>
      <c r="R9" s="6">
        <v>1</v>
      </c>
      <c r="S9" s="6">
        <v>1050</v>
      </c>
      <c r="T9" s="8">
        <v>1.004</v>
      </c>
      <c r="U9" s="6">
        <v>46</v>
      </c>
      <c r="V9" s="10">
        <v>4.3799999999999999E-2</v>
      </c>
      <c r="W9" s="6" t="s">
        <v>33</v>
      </c>
      <c r="X9" s="6" t="s">
        <v>38</v>
      </c>
      <c r="Y9" s="6" t="s">
        <v>33</v>
      </c>
      <c r="Z9" s="6" t="s">
        <v>33</v>
      </c>
      <c r="AA9" s="6" t="s">
        <v>33</v>
      </c>
      <c r="AB9" s="6" t="s">
        <v>29</v>
      </c>
      <c r="AC9" s="6" t="s">
        <v>153</v>
      </c>
    </row>
    <row r="10" spans="1:29" s="12" customFormat="1" ht="25.05" customHeight="1" x14ac:dyDescent="0.3">
      <c r="A10" s="6">
        <v>8</v>
      </c>
      <c r="B10" s="7" t="s">
        <v>50</v>
      </c>
      <c r="C10" s="6" t="s">
        <v>41</v>
      </c>
      <c r="D10" s="6" t="s">
        <v>144</v>
      </c>
      <c r="E10" s="6">
        <v>263053</v>
      </c>
      <c r="F10" s="6" t="s">
        <v>150</v>
      </c>
      <c r="G10" s="6">
        <v>300</v>
      </c>
      <c r="H10" s="8">
        <v>0.82399999999999995</v>
      </c>
      <c r="I10" s="8">
        <v>1.5389999999999999</v>
      </c>
      <c r="J10" s="6" t="s">
        <v>26</v>
      </c>
      <c r="K10" s="6" t="s">
        <v>152</v>
      </c>
      <c r="L10" s="6" t="s">
        <v>26</v>
      </c>
      <c r="M10" s="8">
        <v>380.44099999999997</v>
      </c>
      <c r="N10" s="9">
        <v>461.7</v>
      </c>
      <c r="O10" s="10">
        <v>0.1283</v>
      </c>
      <c r="P10" s="11">
        <v>7.69</v>
      </c>
      <c r="Q10" s="6">
        <v>216.1</v>
      </c>
      <c r="R10" s="6">
        <v>1</v>
      </c>
      <c r="S10" s="6">
        <v>850</v>
      </c>
      <c r="T10" s="8">
        <v>0.82399999999999995</v>
      </c>
      <c r="U10" s="6">
        <v>26</v>
      </c>
      <c r="V10" s="10">
        <v>3.0599999999999999E-2</v>
      </c>
      <c r="W10" s="6" t="s">
        <v>33</v>
      </c>
      <c r="X10" s="6" t="s">
        <v>38</v>
      </c>
      <c r="Y10" s="6" t="s">
        <v>33</v>
      </c>
      <c r="Z10" s="6" t="s">
        <v>33</v>
      </c>
      <c r="AA10" s="6" t="s">
        <v>33</v>
      </c>
      <c r="AB10" s="6" t="s">
        <v>31</v>
      </c>
      <c r="AC10" s="6" t="s">
        <v>151</v>
      </c>
    </row>
    <row r="11" spans="1:29" s="12" customFormat="1" ht="25.05" customHeight="1" x14ac:dyDescent="0.3">
      <c r="A11" s="6">
        <v>9</v>
      </c>
      <c r="B11" s="7" t="s">
        <v>50</v>
      </c>
      <c r="C11" s="6" t="s">
        <v>34</v>
      </c>
      <c r="D11" s="6" t="s">
        <v>144</v>
      </c>
      <c r="E11" s="6">
        <v>263055</v>
      </c>
      <c r="F11" s="6" t="s">
        <v>150</v>
      </c>
      <c r="G11" s="6">
        <v>500</v>
      </c>
      <c r="H11" s="8">
        <v>0.78200000000000003</v>
      </c>
      <c r="I11" s="8">
        <v>1.893</v>
      </c>
      <c r="J11" s="6" t="s">
        <v>26</v>
      </c>
      <c r="K11" s="6" t="s">
        <v>149</v>
      </c>
      <c r="L11" s="6" t="s">
        <v>26</v>
      </c>
      <c r="M11" s="8">
        <v>740.16300000000001</v>
      </c>
      <c r="N11" s="9">
        <v>473.3</v>
      </c>
      <c r="O11" s="10">
        <v>6.5699999999999995E-2</v>
      </c>
      <c r="P11" s="11">
        <v>3.94</v>
      </c>
      <c r="Q11" s="6">
        <v>236.9</v>
      </c>
      <c r="R11" s="6">
        <v>2</v>
      </c>
      <c r="S11" s="6">
        <v>1600</v>
      </c>
      <c r="T11" s="8">
        <v>1.5640000000000001</v>
      </c>
      <c r="U11" s="6">
        <v>36</v>
      </c>
      <c r="V11" s="10">
        <v>2.2499999999999999E-2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31</v>
      </c>
      <c r="AC11" s="6" t="s">
        <v>148</v>
      </c>
    </row>
    <row r="12" spans="1:29" s="12" customFormat="1" ht="25.05" customHeight="1" x14ac:dyDescent="0.3">
      <c r="A12" s="13" t="s">
        <v>26</v>
      </c>
      <c r="B12" s="13" t="s">
        <v>26</v>
      </c>
      <c r="C12" s="13" t="s">
        <v>26</v>
      </c>
      <c r="D12" s="13" t="s">
        <v>26</v>
      </c>
      <c r="E12" s="13" t="s">
        <v>26</v>
      </c>
      <c r="F12" s="13" t="s">
        <v>26</v>
      </c>
      <c r="G12" s="13">
        <v>27750</v>
      </c>
      <c r="H12" s="13" t="s">
        <v>26</v>
      </c>
      <c r="I12" s="13" t="s">
        <v>26</v>
      </c>
      <c r="J12" s="13" t="s">
        <v>26</v>
      </c>
      <c r="K12" s="13" t="s">
        <v>26</v>
      </c>
      <c r="L12" s="13" t="s">
        <v>26</v>
      </c>
      <c r="M12" s="13" t="s">
        <v>26</v>
      </c>
      <c r="N12" s="13" t="s">
        <v>26</v>
      </c>
      <c r="O12" s="13" t="s">
        <v>26</v>
      </c>
      <c r="P12" s="13" t="s">
        <v>26</v>
      </c>
      <c r="Q12" s="13">
        <v>7308.8</v>
      </c>
      <c r="R12" s="13" t="s">
        <v>26</v>
      </c>
      <c r="S12" s="13" t="s">
        <v>26</v>
      </c>
      <c r="T12" s="13" t="s">
        <v>26</v>
      </c>
      <c r="U12" s="13" t="s">
        <v>26</v>
      </c>
      <c r="V12" s="13" t="s">
        <v>26</v>
      </c>
      <c r="W12" s="13" t="s">
        <v>26</v>
      </c>
      <c r="X12" s="13" t="s">
        <v>26</v>
      </c>
      <c r="Y12" s="13" t="s">
        <v>26</v>
      </c>
      <c r="Z12" s="13" t="s">
        <v>26</v>
      </c>
      <c r="AA12" s="13" t="s">
        <v>26</v>
      </c>
      <c r="AB12" s="13" t="s">
        <v>26</v>
      </c>
      <c r="AC12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F0C0-0F93-4E26-91F8-DDF7FA4CEFBB}">
  <sheetPr>
    <pageSetUpPr fitToPage="1"/>
  </sheetPr>
  <dimension ref="A1:AC13"/>
  <sheetViews>
    <sheetView workbookViewId="0">
      <selection activeCell="Y19" sqref="Y19"/>
    </sheetView>
  </sheetViews>
  <sheetFormatPr defaultRowHeight="14.4" x14ac:dyDescent="0.3"/>
  <cols>
    <col min="1" max="1" width="5.4414062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44140625" style="4" customWidth="1"/>
    <col min="6" max="6" width="4.21875" style="4" customWidth="1"/>
    <col min="7" max="8" width="6.5546875" style="4" customWidth="1"/>
    <col min="9" max="9" width="7.21875" style="4" customWidth="1"/>
    <col min="10" max="10" width="7.77734375" style="4" customWidth="1"/>
    <col min="11" max="11" width="14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" style="4" customWidth="1"/>
    <col min="18" max="18" width="4.109375" style="4" customWidth="1"/>
    <col min="19" max="19" width="6.5546875" style="4" customWidth="1"/>
    <col min="20" max="20" width="6.66406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8" style="4" customWidth="1"/>
    <col min="25" max="25" width="7.6640625" style="4" customWidth="1"/>
    <col min="26" max="26" width="7.33203125" style="4" customWidth="1"/>
    <col min="27" max="27" width="7.77734375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59" t="s">
        <v>140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122</v>
      </c>
      <c r="C3" s="6" t="s">
        <v>59</v>
      </c>
      <c r="D3" s="6" t="s">
        <v>127</v>
      </c>
      <c r="E3" s="6">
        <v>263031</v>
      </c>
      <c r="F3" s="6" t="s">
        <v>54</v>
      </c>
      <c r="G3" s="6">
        <v>500</v>
      </c>
      <c r="H3" s="8">
        <v>0.36199999999999999</v>
      </c>
      <c r="I3" s="8">
        <v>0.95499999999999996</v>
      </c>
      <c r="J3" s="6" t="s">
        <v>26</v>
      </c>
      <c r="K3" s="6" t="s">
        <v>139</v>
      </c>
      <c r="L3" s="6" t="s">
        <v>26</v>
      </c>
      <c r="M3" s="8">
        <v>172.85499999999999</v>
      </c>
      <c r="N3" s="9">
        <v>119.4</v>
      </c>
      <c r="O3" s="10">
        <v>8.3000000000000001E-3</v>
      </c>
      <c r="P3" s="11">
        <v>0.5</v>
      </c>
      <c r="Q3" s="6">
        <v>63.1</v>
      </c>
      <c r="R3" s="6">
        <v>4</v>
      </c>
      <c r="S3" s="6">
        <v>1500</v>
      </c>
      <c r="T3" s="8">
        <v>1.448</v>
      </c>
      <c r="U3" s="6">
        <v>52</v>
      </c>
      <c r="V3" s="10">
        <v>3.4700000000000002E-2</v>
      </c>
      <c r="W3" s="6" t="s">
        <v>39</v>
      </c>
      <c r="X3" s="6" t="s">
        <v>28</v>
      </c>
      <c r="Y3" s="6" t="s">
        <v>27</v>
      </c>
      <c r="Z3" s="6" t="s">
        <v>26</v>
      </c>
      <c r="AA3" s="6" t="s">
        <v>26</v>
      </c>
      <c r="AB3" s="6" t="s">
        <v>37</v>
      </c>
      <c r="AC3" s="6" t="s">
        <v>138</v>
      </c>
    </row>
    <row r="4" spans="1:29" s="12" customFormat="1" ht="25.05" customHeight="1" x14ac:dyDescent="0.3">
      <c r="A4" s="6">
        <v>2</v>
      </c>
      <c r="B4" s="7" t="s">
        <v>122</v>
      </c>
      <c r="C4" s="6" t="s">
        <v>59</v>
      </c>
      <c r="D4" s="6" t="s">
        <v>127</v>
      </c>
      <c r="E4" s="6">
        <v>263032</v>
      </c>
      <c r="F4" s="6" t="s">
        <v>54</v>
      </c>
      <c r="G4" s="6">
        <v>500</v>
      </c>
      <c r="H4" s="8">
        <v>0.33800000000000002</v>
      </c>
      <c r="I4" s="8">
        <v>0.85499999999999998</v>
      </c>
      <c r="J4" s="6" t="s">
        <v>26</v>
      </c>
      <c r="K4" s="6" t="s">
        <v>137</v>
      </c>
      <c r="L4" s="6" t="s">
        <v>26</v>
      </c>
      <c r="M4" s="8">
        <v>144.495</v>
      </c>
      <c r="N4" s="9">
        <v>106.9</v>
      </c>
      <c r="O4" s="10">
        <v>7.4000000000000003E-3</v>
      </c>
      <c r="P4" s="11">
        <v>0.45</v>
      </c>
      <c r="Q4" s="6">
        <v>52.7</v>
      </c>
      <c r="R4" s="6">
        <v>4</v>
      </c>
      <c r="S4" s="6">
        <v>1400</v>
      </c>
      <c r="T4" s="8">
        <v>1.3520000000000001</v>
      </c>
      <c r="U4" s="6">
        <v>48</v>
      </c>
      <c r="V4" s="10">
        <v>3.4299999999999997E-2</v>
      </c>
      <c r="W4" s="6" t="s">
        <v>39</v>
      </c>
      <c r="X4" s="6" t="s">
        <v>28</v>
      </c>
      <c r="Y4" s="6" t="s">
        <v>27</v>
      </c>
      <c r="Z4" s="6" t="s">
        <v>26</v>
      </c>
      <c r="AA4" s="6" t="s">
        <v>26</v>
      </c>
      <c r="AB4" s="6" t="s">
        <v>37</v>
      </c>
      <c r="AC4" s="6" t="s">
        <v>136</v>
      </c>
    </row>
    <row r="5" spans="1:29" s="12" customFormat="1" ht="25.05" customHeight="1" x14ac:dyDescent="0.3">
      <c r="A5" s="6">
        <v>3</v>
      </c>
      <c r="B5" s="7" t="s">
        <v>122</v>
      </c>
      <c r="C5" s="6" t="s">
        <v>59</v>
      </c>
      <c r="D5" s="6" t="s">
        <v>127</v>
      </c>
      <c r="E5" s="6">
        <v>263026</v>
      </c>
      <c r="F5" s="6" t="s">
        <v>54</v>
      </c>
      <c r="G5" s="6">
        <v>1000</v>
      </c>
      <c r="H5" s="8">
        <v>0.33300000000000002</v>
      </c>
      <c r="I5" s="8">
        <v>0.875</v>
      </c>
      <c r="J5" s="6" t="s">
        <v>26</v>
      </c>
      <c r="K5" s="6" t="s">
        <v>76</v>
      </c>
      <c r="L5" s="6" t="s">
        <v>26</v>
      </c>
      <c r="M5" s="8">
        <v>291.375</v>
      </c>
      <c r="N5" s="9">
        <v>218.8</v>
      </c>
      <c r="O5" s="10">
        <v>1.52E-2</v>
      </c>
      <c r="P5" s="11">
        <v>0.91</v>
      </c>
      <c r="Q5" s="6">
        <v>106.4</v>
      </c>
      <c r="R5" s="6">
        <v>4</v>
      </c>
      <c r="S5" s="6">
        <v>1400</v>
      </c>
      <c r="T5" s="8">
        <v>1.3320000000000001</v>
      </c>
      <c r="U5" s="6">
        <v>68</v>
      </c>
      <c r="V5" s="10">
        <v>4.8599999999999997E-2</v>
      </c>
      <c r="W5" s="6" t="s">
        <v>39</v>
      </c>
      <c r="X5" s="6" t="s">
        <v>28</v>
      </c>
      <c r="Y5" s="6" t="s">
        <v>27</v>
      </c>
      <c r="Z5" s="6" t="s">
        <v>26</v>
      </c>
      <c r="AA5" s="6" t="s">
        <v>26</v>
      </c>
      <c r="AB5" s="6" t="s">
        <v>37</v>
      </c>
      <c r="AC5" s="6" t="s">
        <v>75</v>
      </c>
    </row>
    <row r="6" spans="1:29" s="12" customFormat="1" ht="25.05" customHeight="1" x14ac:dyDescent="0.3">
      <c r="A6" s="6">
        <v>4</v>
      </c>
      <c r="B6" s="7" t="s">
        <v>122</v>
      </c>
      <c r="C6" s="6" t="s">
        <v>59</v>
      </c>
      <c r="D6" s="6" t="s">
        <v>127</v>
      </c>
      <c r="E6" s="6">
        <v>263025</v>
      </c>
      <c r="F6" s="6" t="s">
        <v>54</v>
      </c>
      <c r="G6" s="6">
        <v>500</v>
      </c>
      <c r="H6" s="8">
        <v>0.33300000000000002</v>
      </c>
      <c r="I6" s="8">
        <v>0.93500000000000005</v>
      </c>
      <c r="J6" s="6" t="s">
        <v>26</v>
      </c>
      <c r="K6" s="6" t="s">
        <v>135</v>
      </c>
      <c r="L6" s="6" t="s">
        <v>26</v>
      </c>
      <c r="M6" s="8">
        <v>155.678</v>
      </c>
      <c r="N6" s="9">
        <v>116.9</v>
      </c>
      <c r="O6" s="10">
        <v>8.0999999999999996E-3</v>
      </c>
      <c r="P6" s="11">
        <v>0.49</v>
      </c>
      <c r="Q6" s="6">
        <v>56.8</v>
      </c>
      <c r="R6" s="6">
        <v>4</v>
      </c>
      <c r="S6" s="6">
        <v>1400</v>
      </c>
      <c r="T6" s="8">
        <v>1.3320000000000001</v>
      </c>
      <c r="U6" s="6">
        <v>68</v>
      </c>
      <c r="V6" s="10">
        <v>4.8599999999999997E-2</v>
      </c>
      <c r="W6" s="6" t="s">
        <v>39</v>
      </c>
      <c r="X6" s="6" t="s">
        <v>28</v>
      </c>
      <c r="Y6" s="6" t="s">
        <v>27</v>
      </c>
      <c r="Z6" s="6" t="s">
        <v>26</v>
      </c>
      <c r="AA6" s="6" t="s">
        <v>26</v>
      </c>
      <c r="AB6" s="6" t="s">
        <v>37</v>
      </c>
      <c r="AC6" s="6" t="s">
        <v>134</v>
      </c>
    </row>
    <row r="7" spans="1:29" s="12" customFormat="1" ht="25.05" customHeight="1" x14ac:dyDescent="0.3">
      <c r="A7" s="6">
        <v>5</v>
      </c>
      <c r="B7" s="7" t="s">
        <v>122</v>
      </c>
      <c r="C7" s="6" t="s">
        <v>59</v>
      </c>
      <c r="D7" s="6" t="s">
        <v>127</v>
      </c>
      <c r="E7" s="6">
        <v>263029</v>
      </c>
      <c r="F7" s="6" t="s">
        <v>54</v>
      </c>
      <c r="G7" s="6">
        <v>500</v>
      </c>
      <c r="H7" s="8">
        <v>0.33200000000000002</v>
      </c>
      <c r="I7" s="8">
        <v>1.135</v>
      </c>
      <c r="J7" s="6" t="s">
        <v>26</v>
      </c>
      <c r="K7" s="6" t="s">
        <v>133</v>
      </c>
      <c r="L7" s="6" t="s">
        <v>26</v>
      </c>
      <c r="M7" s="8">
        <v>188.41</v>
      </c>
      <c r="N7" s="9">
        <v>141.9</v>
      </c>
      <c r="O7" s="10">
        <v>9.9000000000000008E-3</v>
      </c>
      <c r="P7" s="11">
        <v>0.59</v>
      </c>
      <c r="Q7" s="6">
        <v>68.8</v>
      </c>
      <c r="R7" s="6">
        <v>4</v>
      </c>
      <c r="S7" s="6">
        <v>1350</v>
      </c>
      <c r="T7" s="8">
        <v>1.3280000000000001</v>
      </c>
      <c r="U7" s="6">
        <v>22</v>
      </c>
      <c r="V7" s="10">
        <v>1.6299999999999999E-2</v>
      </c>
      <c r="W7" s="6" t="s">
        <v>39</v>
      </c>
      <c r="X7" s="6" t="s">
        <v>28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132</v>
      </c>
    </row>
    <row r="8" spans="1:29" s="12" customFormat="1" ht="25.05" customHeight="1" x14ac:dyDescent="0.3">
      <c r="A8" s="6">
        <v>6</v>
      </c>
      <c r="B8" s="7" t="s">
        <v>122</v>
      </c>
      <c r="C8" s="6" t="s">
        <v>59</v>
      </c>
      <c r="D8" s="6" t="s">
        <v>127</v>
      </c>
      <c r="E8" s="6">
        <v>263033</v>
      </c>
      <c r="F8" s="6" t="s">
        <v>54</v>
      </c>
      <c r="G8" s="6">
        <v>500</v>
      </c>
      <c r="H8" s="8">
        <v>0.32700000000000001</v>
      </c>
      <c r="I8" s="8">
        <v>0.88500000000000001</v>
      </c>
      <c r="J8" s="6" t="s">
        <v>26</v>
      </c>
      <c r="K8" s="6" t="s">
        <v>131</v>
      </c>
      <c r="L8" s="6" t="s">
        <v>26</v>
      </c>
      <c r="M8" s="8">
        <v>144.69800000000001</v>
      </c>
      <c r="N8" s="9">
        <v>110.6</v>
      </c>
      <c r="O8" s="10">
        <v>7.7000000000000002E-3</v>
      </c>
      <c r="P8" s="11">
        <v>0.46</v>
      </c>
      <c r="Q8" s="6">
        <v>52.8</v>
      </c>
      <c r="R8" s="6">
        <v>4</v>
      </c>
      <c r="S8" s="6">
        <v>1350</v>
      </c>
      <c r="T8" s="8">
        <v>1.3080000000000001</v>
      </c>
      <c r="U8" s="6">
        <v>42</v>
      </c>
      <c r="V8" s="10">
        <v>3.1099999999999999E-2</v>
      </c>
      <c r="W8" s="6" t="s">
        <v>39</v>
      </c>
      <c r="X8" s="6" t="s">
        <v>28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130</v>
      </c>
    </row>
    <row r="9" spans="1:29" s="12" customFormat="1" ht="25.05" customHeight="1" x14ac:dyDescent="0.3">
      <c r="A9" s="6">
        <v>7</v>
      </c>
      <c r="B9" s="7" t="s">
        <v>122</v>
      </c>
      <c r="C9" s="6" t="s">
        <v>59</v>
      </c>
      <c r="D9" s="6" t="s">
        <v>127</v>
      </c>
      <c r="E9" s="6">
        <v>263027</v>
      </c>
      <c r="F9" s="6" t="s">
        <v>54</v>
      </c>
      <c r="G9" s="6">
        <v>1000</v>
      </c>
      <c r="H9" s="8">
        <v>0.311</v>
      </c>
      <c r="I9" s="8">
        <v>0.98699999999999999</v>
      </c>
      <c r="J9" s="6" t="s">
        <v>26</v>
      </c>
      <c r="K9" s="6" t="s">
        <v>74</v>
      </c>
      <c r="L9" s="6" t="s">
        <v>26</v>
      </c>
      <c r="M9" s="8">
        <v>306.95699999999999</v>
      </c>
      <c r="N9" s="9">
        <v>246.8</v>
      </c>
      <c r="O9" s="10">
        <v>1.7100000000000001E-2</v>
      </c>
      <c r="P9" s="11">
        <v>1.03</v>
      </c>
      <c r="Q9" s="6">
        <v>112</v>
      </c>
      <c r="R9" s="6">
        <v>4</v>
      </c>
      <c r="S9" s="6">
        <v>1300</v>
      </c>
      <c r="T9" s="8">
        <v>1.244</v>
      </c>
      <c r="U9" s="6">
        <v>56</v>
      </c>
      <c r="V9" s="10">
        <v>4.3099999999999999E-2</v>
      </c>
      <c r="W9" s="6" t="s">
        <v>39</v>
      </c>
      <c r="X9" s="6" t="s">
        <v>28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73</v>
      </c>
    </row>
    <row r="10" spans="1:29" s="12" customFormat="1" ht="25.05" customHeight="1" x14ac:dyDescent="0.3">
      <c r="A10" s="6">
        <v>8</v>
      </c>
      <c r="B10" s="7" t="s">
        <v>122</v>
      </c>
      <c r="C10" s="6" t="s">
        <v>59</v>
      </c>
      <c r="D10" s="6" t="s">
        <v>127</v>
      </c>
      <c r="E10" s="6">
        <v>263028</v>
      </c>
      <c r="F10" s="6" t="s">
        <v>54</v>
      </c>
      <c r="G10" s="6">
        <v>1000</v>
      </c>
      <c r="H10" s="8">
        <v>0.30299999999999999</v>
      </c>
      <c r="I10" s="8">
        <v>0.94499999999999995</v>
      </c>
      <c r="J10" s="6" t="s">
        <v>26</v>
      </c>
      <c r="K10" s="6" t="s">
        <v>72</v>
      </c>
      <c r="L10" s="6" t="s">
        <v>26</v>
      </c>
      <c r="M10" s="8">
        <v>286.33499999999998</v>
      </c>
      <c r="N10" s="9">
        <v>236.3</v>
      </c>
      <c r="O10" s="10">
        <v>1.6400000000000001E-2</v>
      </c>
      <c r="P10" s="11">
        <v>0.98</v>
      </c>
      <c r="Q10" s="6">
        <v>104.5</v>
      </c>
      <c r="R10" s="6">
        <v>4</v>
      </c>
      <c r="S10" s="6">
        <v>1250</v>
      </c>
      <c r="T10" s="8">
        <v>1.212</v>
      </c>
      <c r="U10" s="6">
        <v>38</v>
      </c>
      <c r="V10" s="10">
        <v>3.04E-2</v>
      </c>
      <c r="W10" s="6" t="s">
        <v>39</v>
      </c>
      <c r="X10" s="6" t="s">
        <v>28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71</v>
      </c>
    </row>
    <row r="11" spans="1:29" s="12" customFormat="1" ht="25.05" customHeight="1" x14ac:dyDescent="0.3">
      <c r="A11" s="6">
        <v>9</v>
      </c>
      <c r="B11" s="7" t="s">
        <v>122</v>
      </c>
      <c r="C11" s="6" t="s">
        <v>59</v>
      </c>
      <c r="D11" s="6" t="s">
        <v>127</v>
      </c>
      <c r="E11" s="6">
        <v>263030</v>
      </c>
      <c r="F11" s="6" t="s">
        <v>54</v>
      </c>
      <c r="G11" s="6">
        <v>1500</v>
      </c>
      <c r="H11" s="8">
        <v>0.307</v>
      </c>
      <c r="I11" s="8">
        <v>0.83499999999999996</v>
      </c>
      <c r="J11" s="6" t="s">
        <v>26</v>
      </c>
      <c r="K11" s="6" t="s">
        <v>32</v>
      </c>
      <c r="L11" s="6" t="s">
        <v>26</v>
      </c>
      <c r="M11" s="8">
        <v>384.517</v>
      </c>
      <c r="N11" s="9">
        <v>313.10000000000002</v>
      </c>
      <c r="O11" s="10">
        <v>2.1700000000000001E-2</v>
      </c>
      <c r="P11" s="11">
        <v>1.3</v>
      </c>
      <c r="Q11" s="6">
        <v>140.30000000000001</v>
      </c>
      <c r="R11" s="6">
        <v>4</v>
      </c>
      <c r="S11" s="6">
        <v>1250</v>
      </c>
      <c r="T11" s="8">
        <v>1.228</v>
      </c>
      <c r="U11" s="6">
        <v>22</v>
      </c>
      <c r="V11" s="10">
        <v>1.7600000000000001E-2</v>
      </c>
      <c r="W11" s="6" t="s">
        <v>39</v>
      </c>
      <c r="X11" s="6" t="s">
        <v>28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129</v>
      </c>
    </row>
    <row r="12" spans="1:29" s="12" customFormat="1" ht="25.05" customHeight="1" x14ac:dyDescent="0.3">
      <c r="A12" s="6">
        <v>10</v>
      </c>
      <c r="B12" s="7" t="s">
        <v>122</v>
      </c>
      <c r="C12" s="6" t="s">
        <v>59</v>
      </c>
      <c r="D12" s="6" t="s">
        <v>127</v>
      </c>
      <c r="E12" s="6">
        <v>263024</v>
      </c>
      <c r="F12" s="6" t="s">
        <v>54</v>
      </c>
      <c r="G12" s="6">
        <v>1500</v>
      </c>
      <c r="H12" s="8">
        <v>0.54400000000000004</v>
      </c>
      <c r="I12" s="8">
        <v>0.745</v>
      </c>
      <c r="J12" s="6" t="s">
        <v>26</v>
      </c>
      <c r="K12" s="6" t="s">
        <v>32</v>
      </c>
      <c r="L12" s="6" t="s">
        <v>26</v>
      </c>
      <c r="M12" s="8">
        <v>607.91999999999996</v>
      </c>
      <c r="N12" s="9">
        <v>558.79999999999995</v>
      </c>
      <c r="O12" s="10">
        <v>7.7600000000000002E-2</v>
      </c>
      <c r="P12" s="11">
        <v>4.66</v>
      </c>
      <c r="Q12" s="6">
        <v>221.9</v>
      </c>
      <c r="R12" s="6">
        <v>2</v>
      </c>
      <c r="S12" s="6">
        <v>1150</v>
      </c>
      <c r="T12" s="8">
        <v>1.0880000000000001</v>
      </c>
      <c r="U12" s="6">
        <v>62</v>
      </c>
      <c r="V12" s="10">
        <v>5.3900000000000003E-2</v>
      </c>
      <c r="W12" s="6" t="s">
        <v>39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37</v>
      </c>
      <c r="AC12" s="6" t="s">
        <v>128</v>
      </c>
    </row>
    <row r="13" spans="1:29" s="12" customFormat="1" ht="25.05" customHeight="1" x14ac:dyDescent="0.3">
      <c r="A13" s="13" t="s">
        <v>26</v>
      </c>
      <c r="B13" s="13" t="s">
        <v>26</v>
      </c>
      <c r="C13" s="13" t="s">
        <v>26</v>
      </c>
      <c r="D13" s="13" t="s">
        <v>26</v>
      </c>
      <c r="E13" s="13" t="s">
        <v>26</v>
      </c>
      <c r="F13" s="13" t="s">
        <v>26</v>
      </c>
      <c r="G13" s="13">
        <v>8500</v>
      </c>
      <c r="H13" s="13" t="s">
        <v>26</v>
      </c>
      <c r="I13" s="13" t="s">
        <v>26</v>
      </c>
      <c r="J13" s="13" t="s">
        <v>26</v>
      </c>
      <c r="K13" s="13" t="s">
        <v>26</v>
      </c>
      <c r="L13" s="13" t="s">
        <v>26</v>
      </c>
      <c r="M13" s="13" t="s">
        <v>26</v>
      </c>
      <c r="N13" s="13" t="s">
        <v>26</v>
      </c>
      <c r="O13" s="13" t="s">
        <v>26</v>
      </c>
      <c r="P13" s="13" t="s">
        <v>26</v>
      </c>
      <c r="Q13" s="13">
        <v>979.4</v>
      </c>
      <c r="R13" s="13" t="s">
        <v>26</v>
      </c>
      <c r="S13" s="13" t="s">
        <v>26</v>
      </c>
      <c r="T13" s="13" t="s">
        <v>26</v>
      </c>
      <c r="U13" s="13" t="s">
        <v>26</v>
      </c>
      <c r="V13" s="13" t="s">
        <v>26</v>
      </c>
      <c r="W13" s="13" t="s">
        <v>26</v>
      </c>
      <c r="X13" s="13" t="s">
        <v>26</v>
      </c>
      <c r="Y13" s="13" t="s">
        <v>26</v>
      </c>
      <c r="Z13" s="13" t="s">
        <v>26</v>
      </c>
      <c r="AA13" s="13" t="s">
        <v>26</v>
      </c>
      <c r="AB13" s="13" t="s">
        <v>26</v>
      </c>
      <c r="AC13" s="13" t="s">
        <v>26</v>
      </c>
    </row>
  </sheetData>
  <mergeCells count="1">
    <mergeCell ref="A1:AC1"/>
  </mergeCells>
  <pageMargins left="0.511811024" right="0.511811024" top="1.44" bottom="0.78740157499999996" header="0.31496062000000002" footer="0.31496062000000002"/>
  <pageSetup scale="84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21875" style="4" customWidth="1"/>
    <col min="4" max="4" width="11.77734375" style="4" hidden="1" customWidth="1"/>
    <col min="5" max="5" width="7.77734375" style="4" customWidth="1"/>
    <col min="6" max="6" width="6.5546875" style="4" customWidth="1"/>
    <col min="7" max="7" width="6.33203125" style="4" customWidth="1"/>
    <col min="8" max="8" width="7.109375" style="4" customWidth="1"/>
    <col min="9" max="9" width="7.44140625" style="4" customWidth="1"/>
    <col min="10" max="10" width="8.109375" style="4" customWidth="1"/>
    <col min="11" max="11" width="19.109375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5546875" style="4" customWidth="1"/>
    <col min="19" max="19" width="6.21875" style="4" customWidth="1"/>
    <col min="20" max="20" width="6.332031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7.6640625" style="4" customWidth="1"/>
    <col min="25" max="25" width="7.88671875" style="4" customWidth="1"/>
    <col min="26" max="26" width="7.5546875" style="4" customWidth="1"/>
    <col min="27" max="27" width="7.77734375" style="4" customWidth="1"/>
    <col min="28" max="28" width="4.554687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59" t="s">
        <v>121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30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50</v>
      </c>
      <c r="C3" s="6" t="s">
        <v>25</v>
      </c>
      <c r="D3" s="6" t="s">
        <v>98</v>
      </c>
      <c r="E3" s="6">
        <v>262992</v>
      </c>
      <c r="F3" s="6" t="s">
        <v>100</v>
      </c>
      <c r="G3" s="6">
        <v>150</v>
      </c>
      <c r="H3" s="8">
        <v>0.67500000000000004</v>
      </c>
      <c r="I3" s="8">
        <v>2.0590000000000002</v>
      </c>
      <c r="J3" s="6" t="s">
        <v>26</v>
      </c>
      <c r="K3" s="6" t="s">
        <v>120</v>
      </c>
      <c r="L3" s="6" t="s">
        <v>26</v>
      </c>
      <c r="M3" s="8">
        <v>208.47399999999999</v>
      </c>
      <c r="N3" s="9">
        <v>154.4</v>
      </c>
      <c r="O3" s="10">
        <v>2.1399999999999999E-2</v>
      </c>
      <c r="P3" s="11">
        <v>1.29</v>
      </c>
      <c r="Q3" s="6">
        <v>112.2</v>
      </c>
      <c r="R3" s="6">
        <v>2</v>
      </c>
      <c r="S3" s="6">
        <v>1400</v>
      </c>
      <c r="T3" s="8">
        <v>1.35</v>
      </c>
      <c r="U3" s="6">
        <v>50</v>
      </c>
      <c r="V3" s="10">
        <v>3.5700000000000003E-2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37</v>
      </c>
      <c r="AC3" s="6" t="s">
        <v>119</v>
      </c>
    </row>
    <row r="4" spans="1:29" s="12" customFormat="1" ht="25.05" customHeight="1" x14ac:dyDescent="0.3">
      <c r="A4" s="6"/>
      <c r="B4" s="7" t="s">
        <v>50</v>
      </c>
      <c r="C4" s="6" t="s">
        <v>25</v>
      </c>
      <c r="D4" s="6" t="s">
        <v>98</v>
      </c>
      <c r="E4" s="6">
        <v>262990</v>
      </c>
      <c r="F4" s="6" t="s">
        <v>100</v>
      </c>
      <c r="G4" s="6">
        <v>200</v>
      </c>
      <c r="H4" s="8">
        <v>0.64500000000000002</v>
      </c>
      <c r="I4" s="8">
        <v>1.5389999999999999</v>
      </c>
      <c r="J4" s="6" t="s">
        <v>26</v>
      </c>
      <c r="K4" s="6" t="s">
        <v>118</v>
      </c>
      <c r="L4" s="6" t="s">
        <v>26</v>
      </c>
      <c r="M4" s="8">
        <v>198.53100000000001</v>
      </c>
      <c r="N4" s="9">
        <v>153.9</v>
      </c>
      <c r="O4" s="10">
        <v>2.1399999999999999E-2</v>
      </c>
      <c r="P4" s="11">
        <v>1.28</v>
      </c>
      <c r="Q4" s="6">
        <v>106.8</v>
      </c>
      <c r="R4" s="6">
        <v>2</v>
      </c>
      <c r="S4" s="6">
        <v>1350</v>
      </c>
      <c r="T4" s="8">
        <v>1.29</v>
      </c>
      <c r="U4" s="6">
        <v>60</v>
      </c>
      <c r="V4" s="10">
        <v>4.4400000000000002E-2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31</v>
      </c>
      <c r="AC4" s="6" t="s">
        <v>117</v>
      </c>
    </row>
    <row r="5" spans="1:29" s="12" customFormat="1" ht="25.05" customHeight="1" x14ac:dyDescent="0.3">
      <c r="A5" s="6"/>
      <c r="B5" s="7" t="s">
        <v>50</v>
      </c>
      <c r="C5" s="6" t="s">
        <v>48</v>
      </c>
      <c r="D5" s="6" t="s">
        <v>98</v>
      </c>
      <c r="E5" s="6">
        <v>262997</v>
      </c>
      <c r="F5" s="6" t="s">
        <v>116</v>
      </c>
      <c r="G5" s="6">
        <v>500</v>
      </c>
      <c r="H5" s="8">
        <v>1.2050000000000001</v>
      </c>
      <c r="I5" s="8">
        <v>2.5110000000000001</v>
      </c>
      <c r="J5" s="6" t="s">
        <v>26</v>
      </c>
      <c r="K5" s="6" t="s">
        <v>84</v>
      </c>
      <c r="L5" s="6" t="s">
        <v>26</v>
      </c>
      <c r="M5" s="8">
        <v>1512.8779999999999</v>
      </c>
      <c r="N5" s="9">
        <v>1255.5</v>
      </c>
      <c r="O5" s="10">
        <v>0.3488</v>
      </c>
      <c r="P5" s="11">
        <v>20.93</v>
      </c>
      <c r="Q5" s="6">
        <v>956.1</v>
      </c>
      <c r="R5" s="6">
        <v>1</v>
      </c>
      <c r="S5" s="6">
        <v>1250</v>
      </c>
      <c r="T5" s="8">
        <v>1.2050000000000001</v>
      </c>
      <c r="U5" s="6">
        <v>45</v>
      </c>
      <c r="V5" s="10">
        <v>3.5999999999999997E-2</v>
      </c>
      <c r="W5" s="6" t="s">
        <v>28</v>
      </c>
      <c r="X5" s="6" t="s">
        <v>38</v>
      </c>
      <c r="Y5" s="6" t="s">
        <v>27</v>
      </c>
      <c r="Z5" s="6" t="s">
        <v>27</v>
      </c>
      <c r="AA5" s="6" t="s">
        <v>28</v>
      </c>
      <c r="AB5" s="6" t="s">
        <v>29</v>
      </c>
      <c r="AC5" s="6" t="s">
        <v>83</v>
      </c>
    </row>
    <row r="6" spans="1:29" s="12" customFormat="1" ht="25.05" customHeight="1" x14ac:dyDescent="0.3">
      <c r="A6" s="6"/>
      <c r="B6" s="7" t="s">
        <v>50</v>
      </c>
      <c r="C6" s="6" t="s">
        <v>25</v>
      </c>
      <c r="D6" s="6" t="s">
        <v>98</v>
      </c>
      <c r="E6" s="6">
        <v>262991</v>
      </c>
      <c r="F6" s="6" t="s">
        <v>100</v>
      </c>
      <c r="G6" s="6">
        <v>100</v>
      </c>
      <c r="H6" s="8">
        <v>1.085</v>
      </c>
      <c r="I6" s="8">
        <v>2.4990000000000001</v>
      </c>
      <c r="J6" s="6" t="s">
        <v>26</v>
      </c>
      <c r="K6" s="6" t="s">
        <v>115</v>
      </c>
      <c r="L6" s="6" t="s">
        <v>26</v>
      </c>
      <c r="M6" s="8">
        <v>271.142</v>
      </c>
      <c r="N6" s="9">
        <v>249.9</v>
      </c>
      <c r="O6" s="10">
        <v>6.9400000000000003E-2</v>
      </c>
      <c r="P6" s="11">
        <v>4.17</v>
      </c>
      <c r="Q6" s="6">
        <v>145.9</v>
      </c>
      <c r="R6" s="6">
        <v>1</v>
      </c>
      <c r="S6" s="6">
        <v>1150</v>
      </c>
      <c r="T6" s="8">
        <v>1.085</v>
      </c>
      <c r="U6" s="6">
        <v>65</v>
      </c>
      <c r="V6" s="10">
        <v>5.6500000000000002E-2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37</v>
      </c>
      <c r="AC6" s="6" t="s">
        <v>114</v>
      </c>
    </row>
    <row r="7" spans="1:29" s="12" customFormat="1" ht="25.05" customHeight="1" x14ac:dyDescent="0.3">
      <c r="A7" s="6"/>
      <c r="B7" s="7" t="s">
        <v>50</v>
      </c>
      <c r="C7" s="6" t="s">
        <v>25</v>
      </c>
      <c r="D7" s="6" t="s">
        <v>98</v>
      </c>
      <c r="E7" s="6">
        <v>262993</v>
      </c>
      <c r="F7" s="6" t="s">
        <v>100</v>
      </c>
      <c r="G7" s="6">
        <v>200</v>
      </c>
      <c r="H7" s="8">
        <v>0.52900000000000003</v>
      </c>
      <c r="I7" s="8">
        <v>1.5089999999999999</v>
      </c>
      <c r="J7" s="6" t="s">
        <v>26</v>
      </c>
      <c r="K7" s="6" t="s">
        <v>113</v>
      </c>
      <c r="L7" s="6" t="s">
        <v>26</v>
      </c>
      <c r="M7" s="8">
        <v>159.65199999999999</v>
      </c>
      <c r="N7" s="9">
        <v>150.9</v>
      </c>
      <c r="O7" s="10">
        <v>2.1000000000000001E-2</v>
      </c>
      <c r="P7" s="11">
        <v>1.26</v>
      </c>
      <c r="Q7" s="6">
        <v>85.9</v>
      </c>
      <c r="R7" s="6">
        <v>2</v>
      </c>
      <c r="S7" s="6">
        <v>1100</v>
      </c>
      <c r="T7" s="8">
        <v>1.0580000000000001</v>
      </c>
      <c r="U7" s="6">
        <v>42</v>
      </c>
      <c r="V7" s="10">
        <v>3.8199999999999998E-2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37</v>
      </c>
      <c r="AC7" s="6" t="s">
        <v>112</v>
      </c>
    </row>
    <row r="8" spans="1:29" s="12" customFormat="1" ht="25.05" customHeight="1" x14ac:dyDescent="0.3">
      <c r="A8" s="6"/>
      <c r="B8" s="7" t="s">
        <v>50</v>
      </c>
      <c r="C8" s="6" t="s">
        <v>34</v>
      </c>
      <c r="D8" s="6" t="s">
        <v>98</v>
      </c>
      <c r="E8" s="6">
        <v>262989</v>
      </c>
      <c r="F8" s="6" t="s">
        <v>100</v>
      </c>
      <c r="G8" s="6">
        <v>250</v>
      </c>
      <c r="H8" s="8">
        <v>1.3440000000000001</v>
      </c>
      <c r="I8" s="8">
        <v>1.609</v>
      </c>
      <c r="J8" s="6" t="s">
        <v>26</v>
      </c>
      <c r="K8" s="6" t="s">
        <v>111</v>
      </c>
      <c r="L8" s="6" t="s">
        <v>26</v>
      </c>
      <c r="M8" s="8">
        <v>540.62400000000002</v>
      </c>
      <c r="N8" s="9">
        <v>402.3</v>
      </c>
      <c r="O8" s="10">
        <v>0.11169999999999999</v>
      </c>
      <c r="P8" s="11">
        <v>6.7</v>
      </c>
      <c r="Q8" s="6">
        <v>173</v>
      </c>
      <c r="R8" s="6">
        <v>1</v>
      </c>
      <c r="S8" s="6">
        <v>1400</v>
      </c>
      <c r="T8" s="8">
        <v>1.3440000000000001</v>
      </c>
      <c r="U8" s="6">
        <v>56</v>
      </c>
      <c r="V8" s="10">
        <v>0.04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110</v>
      </c>
    </row>
    <row r="9" spans="1:29" s="12" customFormat="1" ht="25.05" customHeight="1" x14ac:dyDescent="0.3">
      <c r="A9" s="6"/>
      <c r="B9" s="7" t="s">
        <v>50</v>
      </c>
      <c r="C9" s="6" t="s">
        <v>34</v>
      </c>
      <c r="D9" s="6" t="s">
        <v>98</v>
      </c>
      <c r="E9" s="6">
        <v>262988</v>
      </c>
      <c r="F9" s="6" t="s">
        <v>100</v>
      </c>
      <c r="G9" s="6">
        <v>1000</v>
      </c>
      <c r="H9" s="8">
        <v>0.40200000000000002</v>
      </c>
      <c r="I9" s="8">
        <v>1.133</v>
      </c>
      <c r="J9" s="6" t="s">
        <v>26</v>
      </c>
      <c r="K9" s="6" t="s">
        <v>109</v>
      </c>
      <c r="L9" s="6" t="s">
        <v>26</v>
      </c>
      <c r="M9" s="8">
        <v>455.46600000000001</v>
      </c>
      <c r="N9" s="9">
        <v>377.7</v>
      </c>
      <c r="O9" s="10">
        <v>3.5000000000000003E-2</v>
      </c>
      <c r="P9" s="11">
        <v>2.1</v>
      </c>
      <c r="Q9" s="6">
        <v>145.69999999999999</v>
      </c>
      <c r="R9" s="6">
        <v>3</v>
      </c>
      <c r="S9" s="6">
        <v>1250</v>
      </c>
      <c r="T9" s="8">
        <v>1.206</v>
      </c>
      <c r="U9" s="6">
        <v>44</v>
      </c>
      <c r="V9" s="10">
        <v>3.5200000000000002E-2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108</v>
      </c>
    </row>
    <row r="10" spans="1:29" s="12" customFormat="1" ht="25.05" customHeight="1" x14ac:dyDescent="0.3">
      <c r="A10" s="6"/>
      <c r="B10" s="7" t="s">
        <v>50</v>
      </c>
      <c r="C10" s="6" t="s">
        <v>34</v>
      </c>
      <c r="D10" s="6" t="s">
        <v>98</v>
      </c>
      <c r="E10" s="6">
        <v>262987</v>
      </c>
      <c r="F10" s="6" t="s">
        <v>100</v>
      </c>
      <c r="G10" s="6">
        <v>1100</v>
      </c>
      <c r="H10" s="8">
        <v>0.57699999999999996</v>
      </c>
      <c r="I10" s="8">
        <v>0.99299999999999999</v>
      </c>
      <c r="J10" s="6" t="s">
        <v>26</v>
      </c>
      <c r="K10" s="6" t="s">
        <v>107</v>
      </c>
      <c r="L10" s="6" t="s">
        <v>26</v>
      </c>
      <c r="M10" s="8">
        <v>630.25699999999995</v>
      </c>
      <c r="N10" s="9">
        <v>546.1</v>
      </c>
      <c r="O10" s="10">
        <v>7.5899999999999995E-2</v>
      </c>
      <c r="P10" s="11">
        <v>4.55</v>
      </c>
      <c r="Q10" s="6">
        <v>201.7</v>
      </c>
      <c r="R10" s="6">
        <v>2</v>
      </c>
      <c r="S10" s="6">
        <v>1200</v>
      </c>
      <c r="T10" s="8">
        <v>1.1539999999999999</v>
      </c>
      <c r="U10" s="6">
        <v>46</v>
      </c>
      <c r="V10" s="10">
        <v>3.8300000000000001E-2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106</v>
      </c>
    </row>
    <row r="11" spans="1:29" s="12" customFormat="1" ht="25.05" customHeight="1" x14ac:dyDescent="0.3">
      <c r="A11" s="6"/>
      <c r="B11" s="7" t="s">
        <v>50</v>
      </c>
      <c r="C11" s="6" t="s">
        <v>34</v>
      </c>
      <c r="D11" s="6" t="s">
        <v>98</v>
      </c>
      <c r="E11" s="6">
        <v>262994</v>
      </c>
      <c r="F11" s="6" t="s">
        <v>100</v>
      </c>
      <c r="G11" s="6">
        <v>1600</v>
      </c>
      <c r="H11" s="8">
        <v>0.28399999999999997</v>
      </c>
      <c r="I11" s="8">
        <v>0.64900000000000002</v>
      </c>
      <c r="J11" s="6" t="s">
        <v>26</v>
      </c>
      <c r="K11" s="6" t="s">
        <v>105</v>
      </c>
      <c r="L11" s="6" t="s">
        <v>26</v>
      </c>
      <c r="M11" s="8">
        <v>294.90600000000001</v>
      </c>
      <c r="N11" s="9">
        <v>259.60000000000002</v>
      </c>
      <c r="O11" s="10">
        <v>1.7999999999999999E-2</v>
      </c>
      <c r="P11" s="11">
        <v>1.08</v>
      </c>
      <c r="Q11" s="6">
        <v>94.4</v>
      </c>
      <c r="R11" s="6">
        <v>4</v>
      </c>
      <c r="S11" s="6">
        <v>1200</v>
      </c>
      <c r="T11" s="8">
        <v>1.1359999999999999</v>
      </c>
      <c r="U11" s="6">
        <v>64</v>
      </c>
      <c r="V11" s="10">
        <v>5.33E-2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104</v>
      </c>
    </row>
    <row r="12" spans="1:29" s="12" customFormat="1" ht="25.05" customHeight="1" x14ac:dyDescent="0.3">
      <c r="A12" s="6"/>
      <c r="B12" s="7" t="s">
        <v>50</v>
      </c>
      <c r="C12" s="6" t="s">
        <v>40</v>
      </c>
      <c r="D12" s="6" t="s">
        <v>98</v>
      </c>
      <c r="E12" s="6">
        <v>262996</v>
      </c>
      <c r="F12" s="6" t="s">
        <v>100</v>
      </c>
      <c r="G12" s="6">
        <v>2000</v>
      </c>
      <c r="H12" s="8">
        <v>0.53</v>
      </c>
      <c r="I12" s="8">
        <v>1.129</v>
      </c>
      <c r="J12" s="6" t="s">
        <v>26</v>
      </c>
      <c r="K12" s="6" t="s">
        <v>103</v>
      </c>
      <c r="L12" s="6" t="s">
        <v>26</v>
      </c>
      <c r="M12" s="8">
        <v>1196.74</v>
      </c>
      <c r="N12" s="9">
        <v>1129</v>
      </c>
      <c r="O12" s="10">
        <v>0.15679999999999999</v>
      </c>
      <c r="P12" s="11">
        <v>9.41</v>
      </c>
      <c r="Q12" s="6">
        <v>412.9</v>
      </c>
      <c r="R12" s="6">
        <v>2</v>
      </c>
      <c r="S12" s="6">
        <v>1100</v>
      </c>
      <c r="T12" s="8">
        <v>1.06</v>
      </c>
      <c r="U12" s="6">
        <v>40</v>
      </c>
      <c r="V12" s="10">
        <v>3.6400000000000002E-2</v>
      </c>
      <c r="W12" s="6" t="s">
        <v>28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31</v>
      </c>
      <c r="AC12" s="6" t="s">
        <v>102</v>
      </c>
    </row>
    <row r="13" spans="1:29" s="12" customFormat="1" ht="25.05" customHeight="1" x14ac:dyDescent="0.3">
      <c r="A13" s="6"/>
      <c r="B13" s="7" t="s">
        <v>50</v>
      </c>
      <c r="C13" s="6" t="s">
        <v>34</v>
      </c>
      <c r="D13" s="6" t="s">
        <v>98</v>
      </c>
      <c r="E13" s="6">
        <v>262995</v>
      </c>
      <c r="F13" s="6" t="s">
        <v>100</v>
      </c>
      <c r="G13" s="6">
        <v>300</v>
      </c>
      <c r="H13" s="8">
        <v>1.02</v>
      </c>
      <c r="I13" s="8">
        <v>0.98099999999999998</v>
      </c>
      <c r="J13" s="6" t="s">
        <v>26</v>
      </c>
      <c r="K13" s="6" t="s">
        <v>32</v>
      </c>
      <c r="L13" s="6" t="s">
        <v>26</v>
      </c>
      <c r="M13" s="8">
        <v>300.18599999999998</v>
      </c>
      <c r="N13" s="9">
        <v>294.3</v>
      </c>
      <c r="O13" s="10">
        <v>8.1799999999999998E-2</v>
      </c>
      <c r="P13" s="11">
        <v>4.91</v>
      </c>
      <c r="Q13" s="6">
        <v>96.1</v>
      </c>
      <c r="R13" s="6">
        <v>1</v>
      </c>
      <c r="S13" s="6">
        <v>1050</v>
      </c>
      <c r="T13" s="8">
        <v>1.02</v>
      </c>
      <c r="U13" s="6">
        <v>30</v>
      </c>
      <c r="V13" s="10">
        <v>2.86E-2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101</v>
      </c>
    </row>
    <row r="14" spans="1:29" s="12" customFormat="1" ht="25.05" customHeight="1" x14ac:dyDescent="0.3">
      <c r="A14" s="13" t="s">
        <v>26</v>
      </c>
      <c r="B14" s="13" t="s">
        <v>26</v>
      </c>
      <c r="C14" s="13" t="s">
        <v>26</v>
      </c>
      <c r="D14" s="13" t="s">
        <v>26</v>
      </c>
      <c r="E14" s="13" t="s">
        <v>26</v>
      </c>
      <c r="F14" s="13" t="s">
        <v>26</v>
      </c>
      <c r="G14" s="13">
        <v>7400</v>
      </c>
      <c r="H14" s="13" t="s">
        <v>26</v>
      </c>
      <c r="I14" s="13" t="s">
        <v>26</v>
      </c>
      <c r="J14" s="13" t="s">
        <v>26</v>
      </c>
      <c r="K14" s="13" t="s">
        <v>26</v>
      </c>
      <c r="L14" s="13" t="s">
        <v>26</v>
      </c>
      <c r="M14" s="13" t="s">
        <v>26</v>
      </c>
      <c r="N14" s="13" t="s">
        <v>26</v>
      </c>
      <c r="O14" s="13" t="s">
        <v>26</v>
      </c>
      <c r="P14" s="13" t="s">
        <v>26</v>
      </c>
      <c r="Q14" s="13">
        <v>2530.6</v>
      </c>
      <c r="R14" s="13" t="s">
        <v>26</v>
      </c>
      <c r="S14" s="13" t="s">
        <v>26</v>
      </c>
      <c r="T14" s="13" t="s">
        <v>26</v>
      </c>
      <c r="U14" s="13" t="s">
        <v>26</v>
      </c>
      <c r="V14" s="13" t="s">
        <v>26</v>
      </c>
      <c r="W14" s="13" t="s">
        <v>26</v>
      </c>
      <c r="X14" s="13" t="s">
        <v>26</v>
      </c>
      <c r="Y14" s="13" t="s">
        <v>26</v>
      </c>
      <c r="Z14" s="13" t="s">
        <v>26</v>
      </c>
      <c r="AA14" s="13" t="s">
        <v>26</v>
      </c>
      <c r="AB14" s="13" t="s">
        <v>26</v>
      </c>
      <c r="AC14" s="13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35B7D-8AF4-4BA1-A2E7-EB709D820142}">
  <sheetPr>
    <pageSetUpPr fitToPage="1"/>
  </sheetPr>
  <dimension ref="A1:AC9"/>
  <sheetViews>
    <sheetView workbookViewId="0">
      <selection activeCell="L41" sqref="L41"/>
    </sheetView>
  </sheetViews>
  <sheetFormatPr defaultRowHeight="14.4" x14ac:dyDescent="0.3"/>
  <cols>
    <col min="1" max="1" width="4.5546875" style="45" customWidth="1"/>
    <col min="2" max="2" width="20.77734375" style="45" hidden="1" customWidth="1"/>
    <col min="3" max="3" width="6.5546875" style="45" customWidth="1"/>
    <col min="4" max="4" width="11.77734375" style="45" hidden="1" customWidth="1"/>
    <col min="5" max="5" width="8.77734375" style="45" customWidth="1"/>
    <col min="6" max="6" width="7.77734375" style="45" customWidth="1"/>
    <col min="7" max="7" width="6.33203125" style="45" customWidth="1"/>
    <col min="8" max="8" width="7.109375" style="45" customWidth="1"/>
    <col min="9" max="9" width="8.77734375" style="45" customWidth="1"/>
    <col min="10" max="10" width="8.109375" style="45" customWidth="1"/>
    <col min="11" max="11" width="17" style="45" customWidth="1"/>
    <col min="12" max="12" width="8.77734375" style="45" customWidth="1"/>
    <col min="13" max="13" width="9.77734375" style="45" hidden="1" customWidth="1"/>
    <col min="14" max="14" width="8.77734375" style="45" hidden="1" customWidth="1"/>
    <col min="15" max="16" width="9.77734375" style="45" hidden="1" customWidth="1"/>
    <col min="17" max="17" width="7.77734375" style="45" customWidth="1"/>
    <col min="18" max="18" width="4.88671875" style="45" customWidth="1"/>
    <col min="19" max="19" width="7.21875" style="45" customWidth="1"/>
    <col min="20" max="20" width="6" style="45" customWidth="1"/>
    <col min="21" max="21" width="11.77734375" style="45" hidden="1" customWidth="1"/>
    <col min="22" max="22" width="8.77734375" style="45" hidden="1" customWidth="1"/>
    <col min="23" max="23" width="8" style="45" customWidth="1"/>
    <col min="24" max="25" width="7.5546875" style="45" customWidth="1"/>
    <col min="26" max="26" width="7.44140625" style="45" customWidth="1"/>
    <col min="27" max="27" width="7" style="45" customWidth="1"/>
    <col min="28" max="28" width="3.77734375" style="45" customWidth="1"/>
    <col min="29" max="29" width="11.21875" style="45" customWidth="1"/>
    <col min="30" max="16384" width="8.88671875" style="45"/>
  </cols>
  <sheetData>
    <row r="1" spans="1:29" ht="18" customHeight="1" x14ac:dyDescent="0.35">
      <c r="A1" s="62" t="s">
        <v>95</v>
      </c>
      <c r="B1" s="62" t="s">
        <v>26</v>
      </c>
      <c r="C1" s="62" t="s">
        <v>26</v>
      </c>
      <c r="D1" s="62" t="s">
        <v>26</v>
      </c>
      <c r="E1" s="62" t="s">
        <v>26</v>
      </c>
      <c r="F1" s="62" t="s">
        <v>26</v>
      </c>
      <c r="G1" s="62" t="s">
        <v>26</v>
      </c>
      <c r="H1" s="62" t="s">
        <v>26</v>
      </c>
      <c r="I1" s="62" t="s">
        <v>26</v>
      </c>
      <c r="J1" s="62" t="s">
        <v>26</v>
      </c>
      <c r="K1" s="62" t="s">
        <v>26</v>
      </c>
      <c r="L1" s="62" t="s">
        <v>26</v>
      </c>
      <c r="M1" s="62" t="s">
        <v>26</v>
      </c>
      <c r="N1" s="62" t="s">
        <v>26</v>
      </c>
      <c r="O1" s="62" t="s">
        <v>26</v>
      </c>
      <c r="P1" s="62" t="s">
        <v>26</v>
      </c>
      <c r="Q1" s="62" t="s">
        <v>26</v>
      </c>
      <c r="R1" s="62" t="s">
        <v>26</v>
      </c>
      <c r="S1" s="62" t="s">
        <v>26</v>
      </c>
      <c r="T1" s="62" t="s">
        <v>26</v>
      </c>
      <c r="U1" s="62" t="s">
        <v>26</v>
      </c>
      <c r="V1" s="62" t="s">
        <v>26</v>
      </c>
      <c r="W1" s="62" t="s">
        <v>26</v>
      </c>
      <c r="X1" s="62" t="s">
        <v>26</v>
      </c>
      <c r="Y1" s="62" t="s">
        <v>26</v>
      </c>
      <c r="Z1" s="62" t="s">
        <v>26</v>
      </c>
      <c r="AA1" s="62" t="s">
        <v>26</v>
      </c>
      <c r="AB1" s="62" t="s">
        <v>26</v>
      </c>
      <c r="AC1" s="62" t="s">
        <v>26</v>
      </c>
    </row>
    <row r="2" spans="1:29" s="47" customFormat="1" ht="40.799999999999997" customHeight="1" x14ac:dyDescent="0.3">
      <c r="A2" s="46" t="s">
        <v>0</v>
      </c>
      <c r="B2" s="46" t="s">
        <v>35</v>
      </c>
      <c r="C2" s="46" t="s">
        <v>1</v>
      </c>
      <c r="D2" s="46" t="s">
        <v>2</v>
      </c>
      <c r="E2" s="46" t="s">
        <v>45</v>
      </c>
      <c r="F2" s="46" t="s">
        <v>3</v>
      </c>
      <c r="G2" s="46" t="s">
        <v>4</v>
      </c>
      <c r="H2" s="46" t="s">
        <v>5</v>
      </c>
      <c r="I2" s="46" t="s">
        <v>6</v>
      </c>
      <c r="J2" s="46" t="s">
        <v>26</v>
      </c>
      <c r="K2" s="46" t="s">
        <v>7</v>
      </c>
      <c r="L2" s="46" t="s">
        <v>26</v>
      </c>
      <c r="M2" s="46" t="s">
        <v>8</v>
      </c>
      <c r="N2" s="46" t="s">
        <v>9</v>
      </c>
      <c r="O2" s="46" t="s">
        <v>10</v>
      </c>
      <c r="P2" s="46" t="s">
        <v>11</v>
      </c>
      <c r="Q2" s="46" t="s">
        <v>12</v>
      </c>
      <c r="R2" s="46" t="s">
        <v>13</v>
      </c>
      <c r="S2" s="46" t="s">
        <v>14</v>
      </c>
      <c r="T2" s="46" t="s">
        <v>15</v>
      </c>
      <c r="U2" s="46" t="s">
        <v>16</v>
      </c>
      <c r="V2" s="46" t="s">
        <v>17</v>
      </c>
      <c r="W2" s="46" t="s">
        <v>18</v>
      </c>
      <c r="X2" s="46" t="s">
        <v>19</v>
      </c>
      <c r="Y2" s="46" t="s">
        <v>20</v>
      </c>
      <c r="Z2" s="46" t="s">
        <v>21</v>
      </c>
      <c r="AA2" s="46" t="s">
        <v>22</v>
      </c>
      <c r="AB2" s="46" t="s">
        <v>23</v>
      </c>
      <c r="AC2" s="46" t="s">
        <v>24</v>
      </c>
    </row>
    <row r="3" spans="1:29" s="3" customFormat="1" ht="25.05" customHeight="1" x14ac:dyDescent="0.3">
      <c r="A3" s="21">
        <v>1</v>
      </c>
      <c r="B3" s="22" t="s">
        <v>126</v>
      </c>
      <c r="C3" s="21" t="s">
        <v>25</v>
      </c>
      <c r="D3" s="21" t="s">
        <v>144</v>
      </c>
      <c r="E3" s="21">
        <v>263037</v>
      </c>
      <c r="F3" s="21" t="s">
        <v>143</v>
      </c>
      <c r="G3" s="21">
        <v>500</v>
      </c>
      <c r="H3" s="23">
        <v>1.2370000000000001</v>
      </c>
      <c r="I3" s="23">
        <v>1.621</v>
      </c>
      <c r="J3" s="21" t="s">
        <v>26</v>
      </c>
      <c r="K3" s="21" t="s">
        <v>142</v>
      </c>
      <c r="L3" s="21" t="s">
        <v>26</v>
      </c>
      <c r="M3" s="23">
        <v>1002.5890000000001</v>
      </c>
      <c r="N3" s="24">
        <v>810.5</v>
      </c>
      <c r="O3" s="25">
        <v>0.22509999999999999</v>
      </c>
      <c r="P3" s="26">
        <v>13.51</v>
      </c>
      <c r="Q3" s="21">
        <v>539.4</v>
      </c>
      <c r="R3" s="21">
        <v>1</v>
      </c>
      <c r="S3" s="21">
        <v>1300</v>
      </c>
      <c r="T3" s="23">
        <v>1.2370000000000001</v>
      </c>
      <c r="U3" s="21">
        <v>63</v>
      </c>
      <c r="V3" s="25">
        <v>4.8500000000000001E-2</v>
      </c>
      <c r="W3" s="21" t="s">
        <v>27</v>
      </c>
      <c r="X3" s="21" t="s">
        <v>28</v>
      </c>
      <c r="Y3" s="21" t="s">
        <v>27</v>
      </c>
      <c r="Z3" s="21" t="s">
        <v>27</v>
      </c>
      <c r="AA3" s="21" t="s">
        <v>27</v>
      </c>
      <c r="AB3" s="21" t="s">
        <v>37</v>
      </c>
      <c r="AC3" s="21" t="s">
        <v>141</v>
      </c>
    </row>
    <row r="4" spans="1:29" s="3" customFormat="1" ht="25.05" customHeight="1" x14ac:dyDescent="0.3">
      <c r="A4" s="21">
        <v>2</v>
      </c>
      <c r="B4" s="22" t="s">
        <v>126</v>
      </c>
      <c r="C4" s="21" t="s">
        <v>34</v>
      </c>
      <c r="D4" s="21" t="s">
        <v>127</v>
      </c>
      <c r="E4" s="21">
        <v>263035</v>
      </c>
      <c r="F4" s="21" t="s">
        <v>146</v>
      </c>
      <c r="G4" s="21">
        <v>500</v>
      </c>
      <c r="H4" s="23">
        <v>0.38</v>
      </c>
      <c r="I4" s="23">
        <v>0.92700000000000005</v>
      </c>
      <c r="J4" s="21" t="s">
        <v>26</v>
      </c>
      <c r="K4" s="21" t="s">
        <v>32</v>
      </c>
      <c r="L4" s="21" t="s">
        <v>26</v>
      </c>
      <c r="M4" s="23">
        <v>176.13</v>
      </c>
      <c r="N4" s="24">
        <v>115.9</v>
      </c>
      <c r="O4" s="25">
        <v>8.0000000000000002E-3</v>
      </c>
      <c r="P4" s="26">
        <v>0.48</v>
      </c>
      <c r="Q4" s="21">
        <v>56.4</v>
      </c>
      <c r="R4" s="21">
        <v>4</v>
      </c>
      <c r="S4" s="21">
        <v>1550</v>
      </c>
      <c r="T4" s="23">
        <v>1.52</v>
      </c>
      <c r="U4" s="21">
        <v>30</v>
      </c>
      <c r="V4" s="25">
        <v>1.9400000000000001E-2</v>
      </c>
      <c r="W4" s="21" t="s">
        <v>27</v>
      </c>
      <c r="X4" s="21" t="s">
        <v>27</v>
      </c>
      <c r="Y4" s="21" t="s">
        <v>27</v>
      </c>
      <c r="Z4" s="21" t="s">
        <v>26</v>
      </c>
      <c r="AA4" s="21" t="s">
        <v>26</v>
      </c>
      <c r="AB4" s="21" t="s">
        <v>37</v>
      </c>
      <c r="AC4" s="21" t="s">
        <v>145</v>
      </c>
    </row>
    <row r="5" spans="1:29" s="3" customFormat="1" ht="25.05" customHeight="1" x14ac:dyDescent="0.3">
      <c r="A5" s="21">
        <v>3</v>
      </c>
      <c r="B5" s="22" t="s">
        <v>126</v>
      </c>
      <c r="C5" s="21" t="s">
        <v>34</v>
      </c>
      <c r="D5" s="21" t="s">
        <v>127</v>
      </c>
      <c r="E5" s="21">
        <v>263036</v>
      </c>
      <c r="F5" s="21" t="s">
        <v>146</v>
      </c>
      <c r="G5" s="21">
        <v>500</v>
      </c>
      <c r="H5" s="23">
        <v>0.48499999999999999</v>
      </c>
      <c r="I5" s="23">
        <v>0.72699999999999998</v>
      </c>
      <c r="J5" s="21" t="s">
        <v>26</v>
      </c>
      <c r="K5" s="21" t="s">
        <v>32</v>
      </c>
      <c r="L5" s="21" t="s">
        <v>26</v>
      </c>
      <c r="M5" s="23">
        <v>176.297</v>
      </c>
      <c r="N5" s="24">
        <v>121.2</v>
      </c>
      <c r="O5" s="25">
        <v>1.12E-2</v>
      </c>
      <c r="P5" s="26">
        <v>0.67</v>
      </c>
      <c r="Q5" s="21">
        <v>56.4</v>
      </c>
      <c r="R5" s="21">
        <v>3</v>
      </c>
      <c r="S5" s="21">
        <v>1500</v>
      </c>
      <c r="T5" s="23">
        <v>1.4550000000000001</v>
      </c>
      <c r="U5" s="21">
        <v>45</v>
      </c>
      <c r="V5" s="25">
        <v>0.03</v>
      </c>
      <c r="W5" s="21" t="s">
        <v>27</v>
      </c>
      <c r="X5" s="21" t="s">
        <v>27</v>
      </c>
      <c r="Y5" s="21" t="s">
        <v>27</v>
      </c>
      <c r="Z5" s="21" t="s">
        <v>26</v>
      </c>
      <c r="AA5" s="21" t="s">
        <v>26</v>
      </c>
      <c r="AB5" s="21" t="s">
        <v>37</v>
      </c>
      <c r="AC5" s="21" t="s">
        <v>141</v>
      </c>
    </row>
    <row r="6" spans="1:29" s="3" customFormat="1" ht="25.05" customHeight="1" x14ac:dyDescent="0.3">
      <c r="A6" s="21">
        <v>4</v>
      </c>
      <c r="B6" s="22" t="s">
        <v>126</v>
      </c>
      <c r="C6" s="21" t="s">
        <v>34</v>
      </c>
      <c r="D6" s="21" t="s">
        <v>127</v>
      </c>
      <c r="E6" s="21">
        <v>263034</v>
      </c>
      <c r="F6" s="21" t="s">
        <v>146</v>
      </c>
      <c r="G6" s="21">
        <v>500</v>
      </c>
      <c r="H6" s="23">
        <v>0.57099999999999995</v>
      </c>
      <c r="I6" s="23">
        <v>1.2030000000000001</v>
      </c>
      <c r="J6" s="21" t="s">
        <v>26</v>
      </c>
      <c r="K6" s="21" t="s">
        <v>32</v>
      </c>
      <c r="L6" s="21" t="s">
        <v>26</v>
      </c>
      <c r="M6" s="23">
        <v>343.45699999999999</v>
      </c>
      <c r="N6" s="24">
        <v>300.8</v>
      </c>
      <c r="O6" s="25">
        <v>4.1799999999999997E-2</v>
      </c>
      <c r="P6" s="26">
        <v>2.5099999999999998</v>
      </c>
      <c r="Q6" s="21">
        <v>109.9</v>
      </c>
      <c r="R6" s="21">
        <v>2</v>
      </c>
      <c r="S6" s="21">
        <v>1200</v>
      </c>
      <c r="T6" s="23">
        <v>1.1419999999999999</v>
      </c>
      <c r="U6" s="21">
        <v>58</v>
      </c>
      <c r="V6" s="25">
        <v>4.8300000000000003E-2</v>
      </c>
      <c r="W6" s="21" t="s">
        <v>27</v>
      </c>
      <c r="X6" s="21" t="s">
        <v>27</v>
      </c>
      <c r="Y6" s="21" t="s">
        <v>27</v>
      </c>
      <c r="Z6" s="21" t="s">
        <v>26</v>
      </c>
      <c r="AA6" s="21" t="s">
        <v>26</v>
      </c>
      <c r="AB6" s="21" t="s">
        <v>37</v>
      </c>
      <c r="AC6" s="21" t="s">
        <v>147</v>
      </c>
    </row>
    <row r="7" spans="1:29" s="47" customFormat="1" ht="25.05" customHeight="1" x14ac:dyDescent="0.3">
      <c r="A7" s="48" t="s">
        <v>26</v>
      </c>
      <c r="B7" s="48" t="s">
        <v>26</v>
      </c>
      <c r="C7" s="48" t="s">
        <v>26</v>
      </c>
      <c r="D7" s="48" t="s">
        <v>26</v>
      </c>
      <c r="E7" s="48" t="s">
        <v>26</v>
      </c>
      <c r="F7" s="48" t="s">
        <v>26</v>
      </c>
      <c r="G7" s="48">
        <f>SUM(G4:G6)</f>
        <v>1500</v>
      </c>
      <c r="H7" s="48" t="s">
        <v>26</v>
      </c>
      <c r="I7" s="48" t="s">
        <v>26</v>
      </c>
      <c r="J7" s="48" t="s">
        <v>26</v>
      </c>
      <c r="K7" s="48" t="s">
        <v>26</v>
      </c>
      <c r="L7" s="48" t="s">
        <v>26</v>
      </c>
      <c r="M7" s="48" t="s">
        <v>26</v>
      </c>
      <c r="N7" s="48" t="s">
        <v>26</v>
      </c>
      <c r="O7" s="48" t="s">
        <v>26</v>
      </c>
      <c r="P7" s="48" t="s">
        <v>26</v>
      </c>
      <c r="Q7" s="48">
        <f>SUM(Q4:Q6)</f>
        <v>222.7</v>
      </c>
      <c r="R7" s="48" t="s">
        <v>26</v>
      </c>
      <c r="S7" s="48" t="s">
        <v>26</v>
      </c>
      <c r="T7" s="48" t="s">
        <v>26</v>
      </c>
      <c r="U7" s="48" t="s">
        <v>26</v>
      </c>
      <c r="V7" s="48" t="s">
        <v>26</v>
      </c>
      <c r="W7" s="48" t="s">
        <v>26</v>
      </c>
      <c r="X7" s="48" t="s">
        <v>26</v>
      </c>
      <c r="Y7" s="48" t="s">
        <v>26</v>
      </c>
      <c r="Z7" s="48" t="s">
        <v>26</v>
      </c>
      <c r="AA7" s="48" t="s">
        <v>26</v>
      </c>
      <c r="AB7" s="48" t="s">
        <v>26</v>
      </c>
      <c r="AC7" s="48" t="s">
        <v>26</v>
      </c>
    </row>
    <row r="8" spans="1:29" s="47" customFormat="1" x14ac:dyDescent="0.3"/>
    <row r="9" spans="1:29" s="47" customForma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HARMONY EMBALAGENS 1320 P</vt:lpstr>
      <vt:lpstr>FORBOX 1319 P</vt:lpstr>
      <vt:lpstr>PCBOX EMBALAGENS 1316 P</vt:lpstr>
      <vt:lpstr>HARMONY EMBALAGENS 1315 P</vt:lpstr>
      <vt:lpstr>FAVINCO EMBALAGENS 1314 P</vt:lpstr>
      <vt:lpstr>CAIXAS  KRAFT 1312 P</vt:lpstr>
      <vt:lpstr>ABAPEL EMBALAGENS 1308 P</vt:lpstr>
      <vt:lpstr>CARPEL 1307 P</vt:lpstr>
      <vt:lpstr>RENOVAPEL 1306 P</vt:lpstr>
      <vt:lpstr>INTERNACIONAL - SEDAMED 1304 P</vt:lpstr>
      <vt:lpstr>RM EMBALAGENS 1303</vt:lpstr>
      <vt:lpstr>IPE EMBALAGENS 1302 P</vt:lpstr>
      <vt:lpstr>HARMONY EMBALAGENS 1301 P</vt:lpstr>
      <vt:lpstr>RENOVAPEL 1297 P</vt:lpstr>
      <vt:lpstr>HARMONY EMBALAGENS 1285 P</vt:lpstr>
      <vt:lpstr>PCBOX  - IPE 1266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2026-10-23T16:39:55Z</cp:lastPrinted>
  <dcterms:created xsi:type="dcterms:W3CDTF">2026-07-02T17:42:15Z</dcterms:created>
  <dcterms:modified xsi:type="dcterms:W3CDTF">2026-10-23T16:43:54Z</dcterms:modified>
</cp:coreProperties>
</file>