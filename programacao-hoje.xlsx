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3FCAC94-15D0-4958-B6C6-D806632909F0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R EMBALAGENS 1326 P" sheetId="226" r:id="rId1"/>
    <sheet name="HARMONY EMBALAGENS 1325" sheetId="225" r:id="rId2"/>
    <sheet name="HARMONY EMBALAGENS 1320 P" sheetId="224" r:id="rId3"/>
    <sheet name="FORBOX 1319 P" sheetId="223" r:id="rId4"/>
    <sheet name="PCBOX EMBALAGENS 1316 P" sheetId="222" r:id="rId5"/>
    <sheet name="FAVINCO EMBALAGENS 1314 P" sheetId="220" r:id="rId6"/>
    <sheet name="ABAPEL EMBALAGENS 1308 P" sheetId="215" r:id="rId7"/>
    <sheet name="RENOVAPEL 1306 P" sheetId="213" r:id="rId8"/>
    <sheet name="INTERNACIONAL - SEDAMED 1304 P" sheetId="212" r:id="rId9"/>
    <sheet name="RM EMBALAGENS 1303 P" sheetId="211" r:id="rId10"/>
    <sheet name="HARMONY EMBALAGENS 1301 P" sheetId="209" r:id="rId11"/>
    <sheet name="HARMONY EMBALAGENS 1285 P" sheetId="20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<sst xmlns="http://schemas.openxmlformats.org/spreadsheetml/2006/main" count="2371" uniqueCount="285">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</sst>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6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  <xf numFmtId="0" fontId="9" fillId="2" borderId="4" xfId="5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5" t="s">
        <v>275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9" t="s">
        <v>26</v>
      </c>
      <c r="B8" s="59" t="s">
        <v>26</v>
      </c>
      <c r="C8" s="59" t="s">
        <v>26</v>
      </c>
      <c r="D8" s="59" t="s">
        <v>26</v>
      </c>
      <c r="E8" s="59" t="s">
        <v>26</v>
      </c>
      <c r="F8" s="59" t="s">
        <v>26</v>
      </c>
      <c r="G8" s="59">
        <f>SUM(G3:G7)</f>
        <v>18500</v>
      </c>
      <c r="H8" s="59" t="s">
        <v>26</v>
      </c>
      <c r="I8" s="59" t="s">
        <v>26</v>
      </c>
      <c r="J8" s="59" t="s">
        <v>26</v>
      </c>
      <c r="K8" s="59" t="s">
        <v>26</v>
      </c>
      <c r="L8" s="59" t="s">
        <v>26</v>
      </c>
      <c r="M8" s="59" t="s">
        <v>26</v>
      </c>
      <c r="N8" s="59" t="s">
        <v>26</v>
      </c>
      <c r="O8" s="59" t="s">
        <v>26</v>
      </c>
      <c r="P8" s="59" t="s">
        <v>26</v>
      </c>
      <c r="Q8" s="59">
        <f>SUM(Q3:Q7)</f>
        <v>2347.1999999999998</v>
      </c>
      <c r="R8" s="59" t="s">
        <v>26</v>
      </c>
      <c r="S8" s="59" t="s">
        <v>26</v>
      </c>
      <c r="T8" s="59" t="s">
        <v>26</v>
      </c>
      <c r="U8" s="59" t="s">
        <v>26</v>
      </c>
      <c r="V8" s="59" t="s">
        <v>26</v>
      </c>
      <c r="W8" s="59" t="s">
        <v>26</v>
      </c>
      <c r="X8" s="59" t="s">
        <v>26</v>
      </c>
      <c r="Y8" s="59" t="s">
        <v>26</v>
      </c>
      <c r="Z8" s="59" t="s">
        <v>26</v>
      </c>
      <c r="AA8" s="59" t="s">
        <v>26</v>
      </c>
      <c r="AB8" s="59" t="s">
        <v>26</v>
      </c>
      <c r="AC8" s="59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dimension ref="A1:AC16"/>
  <sheetViews>
    <sheetView tabSelected="1" workbookViewId="0">
      <selection activeCell="H18" sqref="H18"/>
    </sheetView>
  </sheetViews>
  <sheetFormatPr defaultRowHeight="14.4"/>
  <cols>
    <col min="1" max="1" width="5" style="3" customWidth="1"/>
    <col min="2" max="2" width="23.109375" style="3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8" t="s">
        <v>266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198</v>
      </c>
      <c r="E3" s="5">
        <v>263156</v>
      </c>
      <c r="F3" s="5" t="s">
        <v>249</v>
      </c>
      <c r="G3" s="5">
        <v>500</v>
      </c>
      <c r="H3" s="7">
        <v>0.38900000000000001</v>
      </c>
      <c r="I3" s="7">
        <v>0.86899999999999999</v>
      </c>
      <c r="J3" s="5" t="s">
        <v>26</v>
      </c>
      <c r="K3" s="5" t="s">
        <v>265</v>
      </c>
      <c r="L3" s="5" t="s">
        <v>26</v>
      </c>
      <c r="M3" s="7">
        <v>169.02099999999999</v>
      </c>
      <c r="N3" s="8">
        <v>108.6</v>
      </c>
      <c r="O3" s="9">
        <v>7.4999999999999997E-3</v>
      </c>
      <c r="P3" s="10">
        <v>0.45</v>
      </c>
      <c r="Q3" s="5">
        <v>90.9</v>
      </c>
      <c r="R3" s="5">
        <v>4</v>
      </c>
      <c r="S3" s="5">
        <v>1600</v>
      </c>
      <c r="T3" s="7">
        <v>1.556</v>
      </c>
      <c r="U3" s="5">
        <v>44</v>
      </c>
      <c r="V3" s="9">
        <v>2.75E-2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264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198</v>
      </c>
      <c r="E4" s="5">
        <v>263160</v>
      </c>
      <c r="F4" s="5" t="s">
        <v>249</v>
      </c>
      <c r="G4" s="5">
        <v>300</v>
      </c>
      <c r="H4" s="7">
        <v>0.504</v>
      </c>
      <c r="I4" s="7">
        <v>1.2290000000000001</v>
      </c>
      <c r="J4" s="5" t="s">
        <v>26</v>
      </c>
      <c r="K4" s="5" t="s">
        <v>263</v>
      </c>
      <c r="L4" s="5" t="s">
        <v>26</v>
      </c>
      <c r="M4" s="7">
        <v>185.82499999999999</v>
      </c>
      <c r="N4" s="8">
        <v>122.9</v>
      </c>
      <c r="O4" s="9">
        <v>1.14E-2</v>
      </c>
      <c r="P4" s="10">
        <v>0.68</v>
      </c>
      <c r="Q4" s="5">
        <v>100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36</v>
      </c>
      <c r="AC4" s="5" t="s">
        <v>262</v>
      </c>
    </row>
    <row r="5" spans="1:29" s="11" customFormat="1" ht="25.05" customHeight="1">
      <c r="A5" s="5"/>
      <c r="B5" s="6" t="s">
        <v>48</v>
      </c>
      <c r="C5" s="5" t="s">
        <v>25</v>
      </c>
      <c r="D5" s="5" t="s">
        <v>198</v>
      </c>
      <c r="E5" s="5">
        <v>263153</v>
      </c>
      <c r="F5" s="5" t="s">
        <v>249</v>
      </c>
      <c r="G5" s="5">
        <v>150</v>
      </c>
      <c r="H5" s="7">
        <v>0.70399999999999996</v>
      </c>
      <c r="I5" s="7">
        <v>1.7490000000000001</v>
      </c>
      <c r="J5" s="5" t="s">
        <v>26</v>
      </c>
      <c r="K5" s="5" t="s">
        <v>261</v>
      </c>
      <c r="L5" s="5" t="s">
        <v>26</v>
      </c>
      <c r="M5" s="7">
        <v>184.69399999999999</v>
      </c>
      <c r="N5" s="8">
        <v>131.19999999999999</v>
      </c>
      <c r="O5" s="9">
        <v>1.8200000000000001E-2</v>
      </c>
      <c r="P5" s="10">
        <v>1.0900000000000001</v>
      </c>
      <c r="Q5" s="5">
        <v>99.4</v>
      </c>
      <c r="R5" s="5">
        <v>2</v>
      </c>
      <c r="S5" s="5">
        <v>1450</v>
      </c>
      <c r="T5" s="7">
        <v>1.4079999999999999</v>
      </c>
      <c r="U5" s="5">
        <v>42</v>
      </c>
      <c r="V5" s="9">
        <v>2.9000000000000001E-2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36</v>
      </c>
      <c r="AC5" s="5" t="s">
        <v>260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198</v>
      </c>
      <c r="E6" s="5">
        <v>263155</v>
      </c>
      <c r="F6" s="5" t="s">
        <v>249</v>
      </c>
      <c r="G6" s="5">
        <v>300</v>
      </c>
      <c r="H6" s="7">
        <v>0.45900000000000002</v>
      </c>
      <c r="I6" s="7">
        <v>1.329</v>
      </c>
      <c r="J6" s="5" t="s">
        <v>26</v>
      </c>
      <c r="K6" s="5" t="s">
        <v>259</v>
      </c>
      <c r="L6" s="5" t="s">
        <v>26</v>
      </c>
      <c r="M6" s="7">
        <v>183.00299999999999</v>
      </c>
      <c r="N6" s="8">
        <v>132.9</v>
      </c>
      <c r="O6" s="9">
        <v>1.23E-2</v>
      </c>
      <c r="P6" s="10">
        <v>0.74</v>
      </c>
      <c r="Q6" s="5">
        <v>98.5</v>
      </c>
      <c r="R6" s="5">
        <v>3</v>
      </c>
      <c r="S6" s="5">
        <v>1400</v>
      </c>
      <c r="T6" s="7">
        <v>1.377</v>
      </c>
      <c r="U6" s="5">
        <v>23</v>
      </c>
      <c r="V6" s="9">
        <v>1.6400000000000001E-2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258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198</v>
      </c>
      <c r="E7" s="5">
        <v>263157</v>
      </c>
      <c r="F7" s="5" t="s">
        <v>249</v>
      </c>
      <c r="G7" s="5">
        <v>405</v>
      </c>
      <c r="H7" s="7">
        <v>0.66400000000000003</v>
      </c>
      <c r="I7" s="7">
        <v>1.859</v>
      </c>
      <c r="J7" s="5" t="s">
        <v>26</v>
      </c>
      <c r="K7" s="5" t="s">
        <v>257</v>
      </c>
      <c r="L7" s="5" t="s">
        <v>26</v>
      </c>
      <c r="M7" s="7">
        <v>499.92200000000003</v>
      </c>
      <c r="N7" s="8">
        <v>376.4</v>
      </c>
      <c r="O7" s="9">
        <v>5.2299999999999999E-2</v>
      </c>
      <c r="P7" s="10">
        <v>3.14</v>
      </c>
      <c r="Q7" s="5">
        <v>269</v>
      </c>
      <c r="R7" s="5">
        <v>2</v>
      </c>
      <c r="S7" s="5">
        <v>1350</v>
      </c>
      <c r="T7" s="7">
        <v>1.3280000000000001</v>
      </c>
      <c r="U7" s="5">
        <v>22</v>
      </c>
      <c r="V7" s="9">
        <v>1.6299999999999999E-2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29</v>
      </c>
      <c r="AC7" s="5" t="s">
        <v>256</v>
      </c>
    </row>
    <row r="8" spans="1:29" s="11" customFormat="1" ht="25.05" customHeight="1">
      <c r="A8" s="5"/>
      <c r="B8" s="6" t="s">
        <v>48</v>
      </c>
      <c r="C8" s="5" t="s">
        <v>25</v>
      </c>
      <c r="D8" s="5" t="s">
        <v>198</v>
      </c>
      <c r="E8" s="5">
        <v>263154</v>
      </c>
      <c r="F8" s="5" t="s">
        <v>249</v>
      </c>
      <c r="G8" s="5">
        <v>200</v>
      </c>
      <c r="H8" s="7">
        <v>0.624</v>
      </c>
      <c r="I8" s="7">
        <v>1.429</v>
      </c>
      <c r="J8" s="5" t="s">
        <v>26</v>
      </c>
      <c r="K8" s="5" t="s">
        <v>255</v>
      </c>
      <c r="L8" s="5" t="s">
        <v>26</v>
      </c>
      <c r="M8" s="7">
        <v>178.339</v>
      </c>
      <c r="N8" s="8">
        <v>142.9</v>
      </c>
      <c r="O8" s="9">
        <v>1.9800000000000002E-2</v>
      </c>
      <c r="P8" s="10">
        <v>1.19</v>
      </c>
      <c r="Q8" s="5">
        <v>95.9</v>
      </c>
      <c r="R8" s="5">
        <v>2</v>
      </c>
      <c r="S8" s="5">
        <v>1300</v>
      </c>
      <c r="T8" s="7">
        <v>1.248</v>
      </c>
      <c r="U8" s="5">
        <v>52</v>
      </c>
      <c r="V8" s="9">
        <v>0.04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254</v>
      </c>
    </row>
    <row r="9" spans="1:29" s="11" customFormat="1" ht="25.05" customHeight="1">
      <c r="A9" s="5"/>
      <c r="B9" s="6" t="s">
        <v>48</v>
      </c>
      <c r="C9" s="5" t="s">
        <v>25</v>
      </c>
      <c r="D9" s="5" t="s">
        <v>198</v>
      </c>
      <c r="E9" s="5">
        <v>263159</v>
      </c>
      <c r="F9" s="5" t="s">
        <v>249</v>
      </c>
      <c r="G9" s="5">
        <v>600</v>
      </c>
      <c r="H9" s="7">
        <v>0.56000000000000005</v>
      </c>
      <c r="I9" s="7">
        <v>1.7030000000000001</v>
      </c>
      <c r="J9" s="5" t="s">
        <v>26</v>
      </c>
      <c r="K9" s="5" t="s">
        <v>253</v>
      </c>
      <c r="L9" s="5" t="s">
        <v>26</v>
      </c>
      <c r="M9" s="7">
        <v>572.20799999999997</v>
      </c>
      <c r="N9" s="8">
        <v>510.9</v>
      </c>
      <c r="O9" s="9">
        <v>7.0999999999999994E-2</v>
      </c>
      <c r="P9" s="10">
        <v>4.26</v>
      </c>
      <c r="Q9" s="5">
        <v>307.8</v>
      </c>
      <c r="R9" s="5">
        <v>2</v>
      </c>
      <c r="S9" s="5">
        <v>1150</v>
      </c>
      <c r="T9" s="7">
        <v>1.1200000000000001</v>
      </c>
      <c r="U9" s="5">
        <v>30</v>
      </c>
      <c r="V9" s="9">
        <v>2.6100000000000002E-2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252</v>
      </c>
    </row>
    <row r="10" spans="1:29" s="11" customFormat="1" ht="25.05" customHeight="1">
      <c r="A10" s="5"/>
      <c r="B10" s="6" t="s">
        <v>48</v>
      </c>
      <c r="C10" s="5" t="s">
        <v>25</v>
      </c>
      <c r="D10" s="5" t="s">
        <v>198</v>
      </c>
      <c r="E10" s="5">
        <v>263158</v>
      </c>
      <c r="F10" s="5" t="s">
        <v>249</v>
      </c>
      <c r="G10" s="5">
        <v>300</v>
      </c>
      <c r="H10" s="7">
        <v>1.0309999999999999</v>
      </c>
      <c r="I10" s="7">
        <v>2.024</v>
      </c>
      <c r="J10" s="5" t="s">
        <v>26</v>
      </c>
      <c r="K10" s="5" t="s">
        <v>251</v>
      </c>
      <c r="L10" s="5" t="s">
        <v>26</v>
      </c>
      <c r="M10" s="7">
        <v>626.02300000000002</v>
      </c>
      <c r="N10" s="8">
        <v>607.20000000000005</v>
      </c>
      <c r="O10" s="9">
        <v>0.16869999999999999</v>
      </c>
      <c r="P10" s="10">
        <v>10.119999999999999</v>
      </c>
      <c r="Q10" s="5">
        <v>336.8</v>
      </c>
      <c r="R10" s="5">
        <v>1</v>
      </c>
      <c r="S10" s="5">
        <v>1100</v>
      </c>
      <c r="T10" s="7">
        <v>1.0309999999999999</v>
      </c>
      <c r="U10" s="5">
        <v>69</v>
      </c>
      <c r="V10" s="9">
        <v>6.2700000000000006E-2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250</v>
      </c>
    </row>
    <row r="11" spans="1:29" s="11" customFormat="1" ht="25.05" customHeight="1">
      <c r="A11" s="20"/>
      <c r="B11" s="6" t="s">
        <v>48</v>
      </c>
      <c r="C11" s="21" t="s">
        <v>46</v>
      </c>
      <c r="D11" s="21" t="s">
        <v>276</v>
      </c>
      <c r="E11" s="20">
        <v>263167</v>
      </c>
      <c r="F11" s="5" t="s">
        <v>277</v>
      </c>
      <c r="G11" s="20">
        <v>500</v>
      </c>
      <c r="H11" s="22">
        <v>0.98599999999999999</v>
      </c>
      <c r="I11" s="22">
        <v>2.371</v>
      </c>
      <c r="J11" s="20"/>
      <c r="K11" s="21" t="s">
        <v>215</v>
      </c>
      <c r="L11" s="20"/>
      <c r="M11" s="22">
        <v>1168.903</v>
      </c>
      <c r="N11" s="23">
        <v>1185.5</v>
      </c>
      <c r="O11" s="24">
        <v>0.32929999999999998</v>
      </c>
      <c r="P11" s="25">
        <v>19.760000000000002</v>
      </c>
      <c r="Q11" s="20">
        <v>738.7</v>
      </c>
      <c r="R11" s="20">
        <v>1</v>
      </c>
      <c r="S11" s="20">
        <v>1050</v>
      </c>
      <c r="T11" s="22">
        <v>0.98599999999999999</v>
      </c>
      <c r="U11" s="20">
        <v>64</v>
      </c>
      <c r="V11" s="24">
        <v>6.0999999999999999E-2</v>
      </c>
      <c r="W11" s="21" t="s">
        <v>28</v>
      </c>
      <c r="X11" s="21" t="s">
        <v>37</v>
      </c>
      <c r="Y11" s="21" t="s">
        <v>27</v>
      </c>
      <c r="Z11" s="21" t="s">
        <v>27</v>
      </c>
      <c r="AA11" s="21" t="s">
        <v>28</v>
      </c>
      <c r="AB11" s="21" t="s">
        <v>29</v>
      </c>
      <c r="AC11" s="21" t="s">
        <v>214</v>
      </c>
    </row>
    <row r="12" spans="1:29" s="11" customFormat="1" ht="25.05" customHeight="1">
      <c r="A12" s="5"/>
      <c r="B12" s="6" t="s">
        <v>48</v>
      </c>
      <c r="C12" s="5" t="s">
        <v>42</v>
      </c>
      <c r="D12" s="5" t="s">
        <v>198</v>
      </c>
      <c r="E12" s="5">
        <v>263161</v>
      </c>
      <c r="F12" s="5" t="s">
        <v>249</v>
      </c>
      <c r="G12" s="5">
        <v>200</v>
      </c>
      <c r="H12" s="7">
        <v>1.3240000000000001</v>
      </c>
      <c r="I12" s="7">
        <v>1.889</v>
      </c>
      <c r="J12" s="5" t="s">
        <v>26</v>
      </c>
      <c r="K12" s="5" t="s">
        <v>248</v>
      </c>
      <c r="L12" s="5" t="s">
        <v>26</v>
      </c>
      <c r="M12" s="7">
        <v>500.20699999999999</v>
      </c>
      <c r="N12" s="8">
        <v>377.8</v>
      </c>
      <c r="O12" s="9">
        <v>0.10489999999999999</v>
      </c>
      <c r="P12" s="10">
        <v>6.3</v>
      </c>
      <c r="Q12" s="5">
        <v>177.6</v>
      </c>
      <c r="R12" s="5">
        <v>1</v>
      </c>
      <c r="S12" s="5">
        <v>1350</v>
      </c>
      <c r="T12" s="7">
        <v>1.3240000000000001</v>
      </c>
      <c r="U12" s="5">
        <v>26</v>
      </c>
      <c r="V12" s="9">
        <v>1.9300000000000001E-2</v>
      </c>
      <c r="W12" s="5" t="s">
        <v>28</v>
      </c>
      <c r="X12" s="5" t="s">
        <v>27</v>
      </c>
      <c r="Y12" s="5" t="s">
        <v>28</v>
      </c>
      <c r="Z12" s="5" t="s">
        <v>26</v>
      </c>
      <c r="AA12" s="5" t="s">
        <v>26</v>
      </c>
      <c r="AB12" s="5" t="s">
        <v>36</v>
      </c>
      <c r="AC12" s="5" t="s">
        <v>247</v>
      </c>
    </row>
    <row r="13" spans="1:29" s="11" customFormat="1" ht="25.05" customHeight="1">
      <c r="A13" s="20"/>
      <c r="B13" s="60" t="s">
        <v>48</v>
      </c>
      <c r="C13" s="21" t="s">
        <v>62</v>
      </c>
      <c r="D13" s="21" t="s">
        <v>276</v>
      </c>
      <c r="E13" s="20">
        <v>263170</v>
      </c>
      <c r="F13" s="21" t="s">
        <v>278</v>
      </c>
      <c r="G13" s="20">
        <v>200</v>
      </c>
      <c r="H13" s="22">
        <v>0.67900000000000005</v>
      </c>
      <c r="I13" s="22">
        <v>1.839</v>
      </c>
      <c r="J13" s="20"/>
      <c r="K13" s="21" t="s">
        <v>283</v>
      </c>
      <c r="L13" s="20"/>
      <c r="M13" s="22">
        <v>249.73599999999999</v>
      </c>
      <c r="N13" s="23">
        <v>183.9</v>
      </c>
      <c r="O13" s="24">
        <v>2.5499999999999998E-2</v>
      </c>
      <c r="P13" s="25">
        <v>1.53</v>
      </c>
      <c r="Q13" s="20">
        <v>117.4</v>
      </c>
      <c r="R13" s="20">
        <v>2</v>
      </c>
      <c r="S13" s="20">
        <v>1400</v>
      </c>
      <c r="T13" s="22">
        <v>1.3580000000000001</v>
      </c>
      <c r="U13" s="20">
        <v>42</v>
      </c>
      <c r="V13" s="24">
        <v>0.03</v>
      </c>
      <c r="W13" s="21" t="s">
        <v>61</v>
      </c>
      <c r="X13" s="21" t="s">
        <v>38</v>
      </c>
      <c r="Y13" s="21" t="s">
        <v>61</v>
      </c>
      <c r="Z13" s="21"/>
      <c r="AA13" s="21"/>
      <c r="AB13" s="21" t="s">
        <v>36</v>
      </c>
      <c r="AC13" s="21" t="s">
        <v>284</v>
      </c>
    </row>
    <row r="14" spans="1:29" s="11" customFormat="1" ht="25.05" customHeight="1">
      <c r="A14" s="20"/>
      <c r="B14" s="60" t="s">
        <v>48</v>
      </c>
      <c r="C14" s="21" t="s">
        <v>62</v>
      </c>
      <c r="D14" s="21" t="s">
        <v>276</v>
      </c>
      <c r="E14" s="20">
        <v>263169</v>
      </c>
      <c r="F14" s="21" t="s">
        <v>278</v>
      </c>
      <c r="G14" s="20">
        <v>200</v>
      </c>
      <c r="H14" s="22">
        <v>0.65900000000000003</v>
      </c>
      <c r="I14" s="22">
        <v>1.889</v>
      </c>
      <c r="J14" s="20"/>
      <c r="K14" s="21" t="s">
        <v>281</v>
      </c>
      <c r="L14" s="20"/>
      <c r="M14" s="22">
        <v>248.97</v>
      </c>
      <c r="N14" s="23">
        <v>188.9</v>
      </c>
      <c r="O14" s="24">
        <v>2.6200000000000001E-2</v>
      </c>
      <c r="P14" s="25">
        <v>1.57</v>
      </c>
      <c r="Q14" s="20">
        <v>117</v>
      </c>
      <c r="R14" s="20">
        <v>2</v>
      </c>
      <c r="S14" s="20">
        <v>1350</v>
      </c>
      <c r="T14" s="22">
        <v>1.3180000000000001</v>
      </c>
      <c r="U14" s="20">
        <v>32</v>
      </c>
      <c r="V14" s="24">
        <v>2.3699999999999999E-2</v>
      </c>
      <c r="W14" s="21" t="s">
        <v>61</v>
      </c>
      <c r="X14" s="21" t="s">
        <v>38</v>
      </c>
      <c r="Y14" s="21" t="s">
        <v>61</v>
      </c>
      <c r="Z14" s="21"/>
      <c r="AA14" s="21"/>
      <c r="AB14" s="21" t="s">
        <v>36</v>
      </c>
      <c r="AC14" s="21" t="s">
        <v>282</v>
      </c>
    </row>
    <row r="15" spans="1:29" s="11" customFormat="1" ht="25.05" customHeight="1">
      <c r="A15" s="20"/>
      <c r="B15" s="60" t="s">
        <v>48</v>
      </c>
      <c r="C15" s="21" t="s">
        <v>62</v>
      </c>
      <c r="D15" s="21" t="s">
        <v>276</v>
      </c>
      <c r="E15" s="20">
        <v>263168</v>
      </c>
      <c r="F15" s="21" t="s">
        <v>278</v>
      </c>
      <c r="G15" s="20">
        <v>600</v>
      </c>
      <c r="H15" s="22">
        <v>0.63900000000000001</v>
      </c>
      <c r="I15" s="22">
        <v>1.829</v>
      </c>
      <c r="J15" s="20"/>
      <c r="K15" s="21" t="s">
        <v>279</v>
      </c>
      <c r="L15" s="20"/>
      <c r="M15" s="22">
        <v>701.23900000000003</v>
      </c>
      <c r="N15" s="23">
        <v>548.70000000000005</v>
      </c>
      <c r="O15" s="24">
        <v>7.6200000000000004E-2</v>
      </c>
      <c r="P15" s="25">
        <v>4.57</v>
      </c>
      <c r="Q15" s="20">
        <v>329.6</v>
      </c>
      <c r="R15" s="20">
        <v>2</v>
      </c>
      <c r="S15" s="20">
        <v>1300</v>
      </c>
      <c r="T15" s="22">
        <v>1.278</v>
      </c>
      <c r="U15" s="20">
        <v>22</v>
      </c>
      <c r="V15" s="24">
        <v>1.6899999999999998E-2</v>
      </c>
      <c r="W15" s="21" t="s">
        <v>61</v>
      </c>
      <c r="X15" s="21" t="s">
        <v>38</v>
      </c>
      <c r="Y15" s="21" t="s">
        <v>61</v>
      </c>
      <c r="Z15" s="21"/>
      <c r="AA15" s="21"/>
      <c r="AB15" s="21" t="s">
        <v>31</v>
      </c>
      <c r="AC15" s="21" t="s">
        <v>280</v>
      </c>
    </row>
    <row r="16" spans="1:29" s="11" customFormat="1" ht="25.05" customHeight="1">
      <c r="A16" s="12" t="s">
        <v>26</v>
      </c>
      <c r="B16" s="12" t="s">
        <v>26</v>
      </c>
      <c r="C16" s="12" t="s">
        <v>26</v>
      </c>
      <c r="D16" s="12" t="s">
        <v>26</v>
      </c>
      <c r="E16" s="12" t="s">
        <v>26</v>
      </c>
      <c r="F16" s="12" t="s">
        <v>26</v>
      </c>
      <c r="G16" s="12">
        <f>SUM(G3:G15)</f>
        <v>4455</v>
      </c>
      <c r="H16" s="12" t="s">
        <v>26</v>
      </c>
      <c r="I16" s="12" t="s">
        <v>26</v>
      </c>
      <c r="J16" s="12" t="s">
        <v>26</v>
      </c>
      <c r="K16" s="12" t="s">
        <v>26</v>
      </c>
      <c r="L16" s="12" t="s">
        <v>26</v>
      </c>
      <c r="M16" s="12" t="s">
        <v>26</v>
      </c>
      <c r="N16" s="12" t="s">
        <v>26</v>
      </c>
      <c r="O16" s="12" t="s">
        <v>26</v>
      </c>
      <c r="P16" s="12" t="s">
        <v>26</v>
      </c>
      <c r="Q16" s="12">
        <f>SUM(Q3:Q15)</f>
        <v>2878.6</v>
      </c>
      <c r="R16" s="12" t="s">
        <v>26</v>
      </c>
      <c r="S16" s="12" t="s">
        <v>26</v>
      </c>
      <c r="T16" s="12" t="s">
        <v>26</v>
      </c>
      <c r="U16" s="12" t="s">
        <v>26</v>
      </c>
      <c r="V16" s="12" t="s">
        <v>26</v>
      </c>
      <c r="W16" s="12" t="s">
        <v>26</v>
      </c>
      <c r="X16" s="12" t="s">
        <v>26</v>
      </c>
      <c r="Y16" s="12" t="s">
        <v>26</v>
      </c>
      <c r="Z16" s="12" t="s">
        <v>26</v>
      </c>
      <c r="AA16" s="12" t="s">
        <v>26</v>
      </c>
      <c r="AB16" s="12" t="s">
        <v>26</v>
      </c>
      <c r="AC16" s="12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5" t="s">
        <v>139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DR EMBALAGENS 1326 P</vt:lpstr>
      <vt:lpstr>HARMONY EMBALAGENS 1325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2026-10-26T13:35:51Z</cp:lastPrinted>
  <dcterms:created xsi:type="dcterms:W3CDTF">2026-07-02T17:42:15Z</dcterms:created>
  <dcterms:modified xsi:type="dcterms:W3CDTF">2026-10-26T17:20:47Z</dcterms:modified>
</cp:coreProperties>
</file>