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1BFF46B-8213-4CFC-AB95-59CCCFCA39E3}" xr6:coauthVersionLast="47" xr6:coauthVersionMax="47" xr10:uidLastSave="{00000000-0000-0000-0000-000000000000}"/>
  <bookViews>
    <workbookView xWindow="-38510" yWindow="-10830" windowWidth="38620" windowHeight="21100" firstSheet="7" activeTab="9" xr2:uid="{00000000-000D-0000-FFFF-FFFF00000000}"/>
  </bookViews>
  <sheets>
    <sheet name="Tolecaixas 1264" sheetId="190" r:id="rId1"/>
    <sheet name="RM Embalagens 1263 P" sheetId="189" r:id="rId2"/>
    <sheet name="HARMONY EMBALAGENS 1262 P" sheetId="188" r:id="rId3"/>
    <sheet name="HARMONY EMBALAGENS 1260" sheetId="187" r:id="rId4"/>
    <sheet name="IPE EMBALAGENS LTDA 1259" sheetId="186" r:id="rId5"/>
    <sheet name="CARTOMIL EMBALAGENS LTDA 1258 P" sheetId="185" r:id="rId6"/>
    <sheet name="CARPEL 1257 P" sheetId="184" r:id="rId7"/>
    <sheet name="FAVINCO EMBALAGENS 1256 P" sheetId="183" r:id="rId8"/>
    <sheet name="RR STELLA 1253" sheetId="181" r:id="rId9"/>
    <sheet name="FAVINCO EMBALAGENS 1252 P" sheetId="180" r:id="rId10"/>
    <sheet name="DR EMBALAGENS 1250" sheetId="179" r:id="rId11"/>
    <sheet name="HARMONY EMBALAGENS 1249 P" sheetId="178" r:id="rId12"/>
    <sheet name="FAVINCO 1248 AMOSTRA" sheetId="177" r:id="rId13"/>
    <sheet name="ABAPEL 1246 P" sheetId="176" r:id="rId14"/>
    <sheet name="FAVINCO 1243 P" sheetId="175" r:id="rId15"/>
    <sheet name="Renovapel 1242 P" sheetId="174" r:id="rId16"/>
    <sheet name="Tole. DR EMB. VO CH S. M 1241 P" sheetId="173" r:id="rId17"/>
    <sheet name="FAVINCO 1239 P" sheetId="172" r:id="rId18"/>
    <sheet name="PCBOX EMBALAGENS 1233 P" sheetId="170" r:id="rId19"/>
    <sheet name="RM Embalagens 1232 P" sheetId="169" r:id="rId20"/>
    <sheet name="HARMONY EMBALAGENS 1231 P" sheetId="168" r:id="rId21"/>
    <sheet name="RM Embalagens P" sheetId="166" r:id="rId22"/>
    <sheet name="PCBOX EMBALAGENS LTDA 1222 P" sheetId="164" r:id="rId23"/>
    <sheet name="FORBOX 1220 P" sheetId="163" r:id="rId24"/>
    <sheet name="HARMONY EMBALAGENS 1217 P" sheetId="162" r:id="rId25"/>
    <sheet name="Z4A EMBALAGENS LTDA 1216" sheetId="161" r:id="rId26"/>
    <sheet name="ABAPEL 1213 P" sheetId="159" r:id="rId27"/>
    <sheet name="IPE - PCBOX 1212 P" sheetId="158" r:id="rId28"/>
    <sheet name="Z4A EMBALAGENS LTDA 1210 P" sheetId="157" r:id="rId29"/>
    <sheet name="RM Embalagens 1209 P" sheetId="156" r:id="rId30"/>
    <sheet name="ABAPEL 1201 P" sheetId="153" r:id="rId31"/>
    <sheet name="HARMONY EMBALAGENS 1200 P" sheetId="152" r:id="rId32"/>
    <sheet name="FAVINCO EMBALAGENS 1197 P" sheetId="150" r:id="rId33"/>
    <sheet name="ABAPEL 1196 P" sheetId="149" r:id="rId34"/>
    <sheet name="RM Embalagens 1184 P" sheetId="141" r:id="rId35"/>
    <sheet name="HARMONY EMBALAGENS 1180 P" sheetId="137" r:id="rId36"/>
    <sheet name="Carpel 1158 P" sheetId="119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9" i="175" l="1"/>
  <c r="H9" i="175"/>
  <c r="R7" i="180"/>
  <c r="H7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<sst xmlns="http://schemas.openxmlformats.org/spreadsheetml/2006/main" count="6942" uniqueCount="676">
  <si>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</si>
  <si>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</si>
  <si>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</si>
  <si>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</si>
  <si>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</si>
  <si>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</si>
  <si>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</si>
  <si>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</si>
  <si>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</si>
  <si>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</si>
  <si>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</si>
  <si>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</si>
  <si>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</si>
  <si>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</si>
  <si>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</si>
  <si>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</si>
  <si>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</si>
  <si>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</si>
  <si>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</si>
  <si>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</si>
  <si>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</si>
  <si>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</si>
  <si>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</si>
  <si>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</si>
  <si>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</si>
  <si>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</si>
  <si>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</si>
  <si>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</si>
  <si>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</si>
  <si>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</si>
  <si>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</si>
  <si>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</si>
  <si>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</si>
  <si>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</si>
  <si>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</si>
  <si>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</si>
  <si>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</si>
  <si>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</si>
  <si>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</si>
  <si>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</si>
  <si>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</si>
  <si>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</si>
  <si>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</si>
  <si>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</si>
  <si>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</si>
  <si>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</si>
  <si>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</si>
  <si>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</si>
  <si>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</si>
  <si>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</si>
  <si>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</si>
  <si>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</si>
  <si>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</si>
  <si>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</si>
  <si>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</si>
  <si>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</si>
  <si>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</si>
  <si>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</si>
  <si>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</si>
  <si>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</si>
  <si>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</si>
  <si>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</si>
  <si>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</si>
  <si>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</si>
  <si>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</si>
  <si>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</si>
  <si>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</si>
  <si>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</si>
  <si>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</si>
  <si>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</si>
  <si>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</si>
  <si>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</si>
  <si>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</si>
  <si>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</si>
  <si>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</si>
  <si>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</si>
  <si>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</si>
  <si>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</si>
  <si>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</si>
  <si>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</si>
  <si>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</si>
  <si>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</si>
  <si>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</si>
  <si>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</si>
  <si>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</si>
  <si>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</si>
  <si>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</si>
  <si>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</si>
  <si>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</si>
  <si>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</si>
  <si>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</si>
  <si>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</si>
  <si>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</si>
  <si>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</si>
  <si>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</si>
  <si>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</si>
  <si>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</si>
  <si>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</si>
  <si>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</si>
  <si>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</si>
  <si>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</si>
  <si>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</si>
  <si>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</si>
  <si>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</si>
  <si>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</si>
  <si>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</si>
  <si>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</si>
  <si>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</si>
  <si>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</si>
  <si>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</si>
  <si>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</si>
  <si>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</si>
  <si>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</si>
  <si>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</si>
  <si>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</si>
  <si>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</si>
  <si>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</si>
  <si>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</si>
  <si>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</si>
  <si>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</si>
  <si>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</si>
  <si>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</si>
  <si>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</si>
  <si>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</si>
  <si>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</si>
  <si>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</si>
  <si>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</si>
  <si>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</si>
  <si>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</si>
  <si>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</si>
  <si>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</si>
  <si>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</si>
  <si>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</si>
  <si>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</si>
  <si>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</si>
  <si>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</si>
  <si>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</si>
  <si>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</si>
  <si>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</si>
  <si>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</si>
  <si>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</si>
  <si>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</si>
  <si>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</si>
  <si>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</si>
  <si>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</si>
  <si>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</si>
  <si>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</si>
  <si>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</si>
  <si>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</si>
  <si>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</si>
  <si>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</si>
  <si>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</si>
  <si>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</si>
  <si>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</si>
  <si>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</si>
  <si>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</si>
  <si>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</si>
  <si>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</si>
  <si>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</si>
  <si>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</si>
  <si>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</si>
  <si>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</si>
  <si>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</si>
  <si>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</si>
  <si>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</si>
  <si>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</si>
  <si>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</si>
  <si>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</si>
  <si>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</si>
  <si>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</si>
  <si>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</si>
  <si>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</si>
  <si>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</si>
  <si>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</si>
  <si>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</si>
  <si>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</si>
  <si>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</si>
  <si>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</si>
  <si>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</si>
  <si>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</si>
  <si>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</si>
  <si>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</si>
  <si>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</si>
  <si>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</si>
  <si>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</si>
  <si>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</si>
  <si>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</si>
  <si>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</si>
  <si>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</si>
  <si>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</si>
  <si>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</si>
  <si>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</si>
  <si>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</si>
  <si>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</si>
  <si>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</si>
  <si>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</si>
  <si>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</si>
  <si>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</si>
  <si>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</si>
  <si>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</si>
  <si>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</si>
  <si>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</si>
  <si>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</si>
  <si>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</si>
  <si>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</si>
  <si>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</si>
  <si>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</si>
  <si>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</si>
  <si>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</si>
  <si>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</si>
  <si>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</si>
  <si>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</si>
  <si>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</si>
  <si>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</si>
  <si>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</si>
  <si>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</si>
  <si>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</si>
  <si>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</si>
  <si>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</si>
  <si>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</si>
  <si>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</si>
  <si>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</si>
  <si>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</si>
  <si>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</si>
  <si>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</si>
  <si>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</si>
  <si>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</si>
  <si>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</si>
  <si>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</si>
  <si>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</si>
  <si>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</si>
  <si>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</si>
  <si>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</si>
  <si>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</si>
  <si>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</si>
  <si>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</si>
  <si>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</si>
  <si>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</si>
  <si>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</si>
  <si>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</si>
  <si>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</si>
  <si>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</si>
  <si>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</si>
  <si>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</si>
  <si>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</si>
  <si>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</si>
  <si>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</si>
  <si>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</si>
  <si>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</si>
  <si>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</si>
  <si>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</si>
  <si>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</si>
  <si>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</si>
  <si>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</si>
  <si>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</si>
  <si>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</si>
  <si>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</si>
  <si>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</si>
  <si>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</si>
  <si>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</si>
  <si>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</si>
  <si>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</si>
  <si>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</si>
  <si>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</si>
  <si>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</si>
  <si>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</si>
  <si>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</si>
  <si>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</si>
  <si>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</si>
  <si>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</si>
  <si>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</si>
  <si>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</si>
  <si>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</si>
  <si>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</si>
  <si>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</si>
  <si>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</si>
  <si>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</si>
  <si>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</si>
  <si>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</si>
  <si>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</si>
  <si>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</si>
  <si>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</si>
  <si>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</si>
  <si>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</si>
  <si>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</si>
  <si>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</si>
  <si>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</si>
  <si>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</si>
  <si>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</si>
  <si>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</si>
  <si>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</si>
  <si>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</si>
  <si>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</si>
  <si>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</si>
  <si>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</si>
  <si>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</si>
  <si>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</si>
  <si>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</si>
  <si>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</si>
  <si>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</si>
  <si>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</si>
  <si>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</si>
  <si>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</si>
  <si>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</si>
  <si>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</si>
  <si>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</si>
  <si>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</si>
  <si>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</si>
  <si>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</si>
  <si>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</si>
  <si>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</si>
  <si>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</si>
  <si>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</si>
  <si>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</si>
  <si>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</si>
  <si>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</si>
  <si>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</si>
  <si>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</si>
  <si>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</si>
  <si>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</si>
  <si>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</si>
  <si>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</si>
  <si>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</si>
  <si>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</si>
  <si>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</si>
  <si>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</si>
  <si>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</si>
  <si>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</si>
  <si>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</si>
  <si>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</si>
  <si>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</si>
  <si>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</si>
  <si>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</si>
  <si>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</si>
  <si>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</si>
  <si>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</si>
  <si>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</si>
  <si>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</si>
  <si>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</si>
  <si>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</si>
  <si>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</si>
  <si>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</si>
  <si>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</si>
  <si>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</si>
  <si>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</si>
  <si>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</si>
  <si>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</si>
  <si>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</si>
  <si>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</si>
  <si>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</si>
  <si>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</si>
  <si>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</si>
  <si>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</si>
  <si>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</si>
  <si>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</si>
  <si>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</si>
  <si>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</si>
  <si>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</si>
  <si>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</si>
  <si>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</si>
  <si>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</si>
  <si>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</si>
  <si>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</si>
  <si>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</si>
  <si>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</si>
  <si>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</si>
  <si>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</si>
  <si>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</si>
  <si>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</si>
  <si>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</si>
  <si>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</si>
  <si>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</si>
  <si>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</si>
  <si>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</si>
  <si>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</si>
  <si>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</si>
  <si>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</si>
  <si>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</si>
  <si>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</si>
  <si>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</si>
  <si>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</si>
  <si>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</si>
  <si>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</si>
  <si>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</si>
  <si>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</si>
  <si>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</si>
  <si>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</si>
  <si>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</si>
  <si>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</si>
  <si>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</si>
  <si>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</si>
  <si>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</si>
  <si>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</si>
  <si>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</si>
  <si>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</si>
  <si>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</si>
  <si>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</si>
  <si>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</si>
  <si>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</si>
  <si>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</si>
  <si>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</si>
  <si>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</si>
  <si>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</si>
  <si>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</si>
  <si>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</si>
  <si>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</si>
  <si>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</si>
  <si>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</si>
  <si>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</si>
  <si>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</si>
  <si>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</si>
  <si>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</si>
  <si>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</si>
  <si>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</si>
  <si>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</si>
  <si>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</si>
  <si>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</si>
  <si>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</si>
  <si>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</si>
  <si>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</si>
  <si>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</si>
  <si>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</si>
  <si>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</si>
  <si>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</si>
  <si>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</si>
  <si>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</si>
  <si>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</si>
  <si>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</si>
  <si>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</si>
  <si>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</si>
  <si>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</si>
  <si>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</si>
  <si>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</si>
  <si>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</si>
  <si>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</si>
  <si>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</si>
  <si>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</si>
  <si>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</si>
  <si>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</si>
  <si>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</si>
  <si>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</si>
  <si>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</si>
  <si>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</si>
  <si>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</si>
  <si>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</si>
  <si>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</si>
  <si>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</si>
  <si>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</si>
  <si>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</si>
  <si>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</si>
  <si>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</si>
  <si>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</si>
  <si>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</si>
  <si>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</si>
  <si>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</si>
  <si>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</si>
  <si>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</si>
  <si>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</si>
  <si>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</si>
  <si>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</si>
  <si>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</si>
  <si>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</si>
  <si>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</si>
  <si>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</si>
  <si>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</si>
  <si>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</si>
  <si>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</si>
  <si>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</si>
  <si>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</si>
  <si>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</si>
  <si>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</si>
  <si>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</si>
  <si>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</si>
  <si>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</si>
  <si>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</si>
  <si>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</si>
  <si>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</si>
  <si>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</si>
  <si>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</si>
  <si>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</si>
  <si>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</si>
  <si>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</si>
  <si>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</si>
  <si>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</si>
  <si>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</si>
  <si>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</si>
  <si>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</si>
  <si>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</si>
  <si>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</si>
  <si>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</si>
  <si>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</si>
  <si>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</si>
  <si>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</si>
  <si>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</si>
  <si>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</si>
  <si>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</si>
  <si>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</si>
  <si>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</si>
  <si>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</si>
  <si>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</si>
  <si>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</si>
  <si>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</si>
  <si>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</si>
  <si>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</si>
  <si>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</si>
  <si>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</si>
  <si>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</si>
  <si>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</si>
  <si>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</si>
  <si>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</si>
  <si>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</si>
  <si>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</si>
  <si>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</si>
  <si>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</si>
  <si>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</si>
  <si>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</si>
  <si>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</si>
  <si>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</si>
  <si>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</si>
  <si>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</si>
  <si>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</si>
  <si>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</si>
  <si>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</si>
  <si>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</si>
  <si>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</si>
  <si>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</si>
  <si>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</si>
  <si>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</si>
  <si>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</si>
  <si>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</si>
  <si>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</si>
  <si>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</si>
  <si>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</si>
  <si>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</si>
  <si>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</si>
  <si>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</si>
  <si>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</si>
  <si>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</si>
  <si>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</si>
  <si>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</si>
  <si>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</si>
  <si>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</si>
  <si>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</si>
  <si>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</si>
  <si>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</si>
  <si>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</si>
  <si>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</si>
  <si>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</si>
  <si>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</si>
  <si>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</si>
  <si>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</si>
  <si>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</si>
  <si>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</si>
  <si>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</si>
  <si>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</si>
  <si>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</si>
  <si>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</si>
  <si>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</si>
  <si>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</si>
  <si>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</si>
  <si>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</si>
  <si>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</si>
  <si>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</si>
  <si>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</si>
  <si>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</si>
  <si>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</si>
  <si>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</si>
  <si>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</si>
  <si>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</si>
  <si>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</si>
  <si>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</si>
  <si>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</si>
  <si>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</si>
  <si>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</si>
  <si>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</si>
  <si>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</si>
  <si>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</si>
  <si>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</si>
  <si>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</si>
  <si>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</si>
  <si>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</si>
  <si>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</si>
  <si>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</si>
  <si>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</si>
  <si>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</si>
  <si>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</si>
  <si>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</si>
  <si>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</si>
  <si>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</si>
  <si>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</si>
  <si>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</si>
  <si>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</si>
  <si>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</si>
  <si>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</si>
  <si>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</si>
  <si>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</si>
  <si>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</si>
  <si>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</si>
  <si>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</si>
  <si>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</si>
  <si>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</si>
  <si>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</si>
  <si>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</si>
  <si>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</si>
  <si>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</si>
  <si>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</si>
  <si>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</si>
  <si>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</si>
  <si>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</si>
  <si>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</si>
  <si>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</si>
  <si>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</si>
  <si>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</si>
  <si>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</si>
  <si>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</si>
  <si>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</si>
  <si>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</si>
  <si>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</si>
  <si>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</si>
  <si>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</si>
  <si>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</si>
  <si>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</si>
  <si>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</si>
  <si>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</si>
  <si>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</si>
  <si>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</si>
  <si>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</si>
  <si>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</si>
  <si>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</si>
  <si>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</si>
  <si>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</si>
  <si>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</si>
  <si>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</si>
  <si>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</si>
  <si>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</si>
  <si>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</si>
  <si>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</si>
  <si>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</si>
  <si>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</si>
  <si>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</si>
  <si>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</si>
  <si>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</si>
  <si>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</si>
  <si>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</si>
  <si>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</si>
  <si>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</si>
  <si>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</si>
  <si>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</si>
  <si>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</si>
  <si>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</si>
  <si>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</si>
  <si>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</si>
  <si>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</si>
  <si>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</si>
  <si>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</si>
  <si>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</si>
  <si>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</si>
  <si>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</si>
  <si>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</si>
  <si>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</si>
  <si>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</si>
  <si>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</si>
  <si>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</si>
  <si>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</si>
  <si>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</si>
  <si>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</si>
  <si>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</si>
  <si>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</si>
  <si>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</si>
  <si>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</si>
  <si>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</si>
  <si>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980x1370</t>
  </si>
  <si>
    <t>PROGRAMAÇÃO ONDULADEIRA - Tolecaixas Indústria e Comércio Ltda  —  OF: 001264</t>
  </si>
  <si>
    <t>086</t>
  </si>
  <si>
    <t>183x215x183</t>
  </si>
  <si>
    <t>1182x1926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</si>
</sst>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8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14" fillId="6" borderId="1" xfId="3" applyFill="1" applyBorder="1" applyAlignment="1">
      <alignment horizontal="center" vertical="center"/>
    </xf>
    <xf numFmtId="0" fontId="15" fillId="6" borderId="1" xfId="3" applyFont="1" applyFill="1" applyBorder="1" applyAlignment="1">
      <alignment horizontal="center" vertical="center"/>
    </xf>
    <xf numFmtId="164" fontId="14" fillId="6" borderId="1" xfId="3" applyNumberFormat="1" applyFill="1" applyBorder="1" applyAlignment="1">
      <alignment horizontal="center" vertical="center"/>
    </xf>
    <xf numFmtId="165" fontId="14" fillId="6" borderId="1" xfId="3" applyNumberFormat="1" applyFill="1" applyBorder="1" applyAlignment="1">
      <alignment horizontal="center" vertical="center"/>
    </xf>
    <xf numFmtId="166" fontId="14" fillId="6" borderId="1" xfId="3" applyNumberFormat="1" applyFill="1" applyBorder="1" applyAlignment="1">
      <alignment horizontal="center" vertical="center"/>
    </xf>
    <xf numFmtId="2" fontId="14" fillId="6" borderId="1" xfId="3" applyNumberFormat="1" applyFill="1" applyBorder="1" applyAlignment="1">
      <alignment horizontal="center" vertic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1" fontId="2" fillId="0" borderId="0" xfId="1" applyNumberFormat="1"/>
    <xf numFmtId="1" fontId="3" fillId="2" borderId="1" xfId="1" applyNumberFormat="1" applyFont="1" applyFill="1" applyBorder="1" applyAlignment="1">
      <alignment horizontal="left"/>
    </xf>
    <xf numFmtId="1" fontId="2" fillId="3" borderId="1" xfId="1" applyNumberFormat="1" applyFill="1" applyBorder="1" applyAlignment="1">
      <alignment horizontal="left"/>
    </xf>
    <xf numFmtId="1" fontId="1" fillId="4" borderId="1" xfId="1" applyNumberFormat="1" applyFont="1" applyFill="1" applyBorder="1" applyAlignment="1">
      <alignment horizontal="center" vertical="center" wrapText="1"/>
    </xf>
    <xf numFmtId="0" fontId="14" fillId="6" borderId="0" xfId="3" applyFill="1" applyAlignment="1">
      <alignment horizontal="center" vertical="center"/>
    </xf>
    <xf numFmtId="0" fontId="2" fillId="3" borderId="1" xfId="3" applyFont="1" applyFill="1" applyBorder="1" applyAlignment="1">
      <alignment horizontal="center" vertical="center"/>
    </xf>
    <xf numFmtId="0" fontId="3" fillId="3" borderId="1" xfId="3" applyFont="1" applyFill="1" applyBorder="1" applyAlignment="1">
      <alignment horizontal="center" vertical="center"/>
    </xf>
    <xf numFmtId="164" fontId="2" fillId="3" borderId="1" xfId="3" applyNumberFormat="1" applyFont="1" applyFill="1" applyBorder="1" applyAlignment="1">
      <alignment horizontal="center" vertical="center"/>
    </xf>
    <xf numFmtId="165" fontId="2" fillId="3" borderId="1" xfId="3" applyNumberFormat="1" applyFont="1" applyFill="1" applyBorder="1" applyAlignment="1">
      <alignment horizontal="center" vertical="center"/>
    </xf>
    <xf numFmtId="166" fontId="2" fillId="3" borderId="1" xfId="3" applyNumberFormat="1" applyFont="1" applyFill="1" applyBorder="1" applyAlignment="1">
      <alignment horizontal="center" vertical="center"/>
    </xf>
    <xf numFmtId="2" fontId="2" fillId="3" borderId="1" xfId="3" applyNumberFormat="1" applyFont="1" applyFill="1" applyBorder="1" applyAlignment="1">
      <alignment horizontal="center" vertical="center"/>
    </xf>
    <xf numFmtId="0" fontId="6" fillId="0" borderId="0" xfId="1" applyFont="1" applyAlignment="1">
      <alignment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dimension ref="A1:AC9"/>
  <sheetViews>
    <sheetView workbookViewId="0">
      <selection activeCell="AI10" sqref="AI10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76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171" t="s">
        <v>672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  <c r="AC1" s="171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7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107</v>
      </c>
      <c r="C3" s="126" t="s">
        <v>49</v>
      </c>
      <c r="D3" s="126" t="s">
        <v>668</v>
      </c>
      <c r="E3" s="126">
        <v>262917</v>
      </c>
      <c r="F3" s="178">
        <v>71026</v>
      </c>
      <c r="G3" s="126">
        <v>5086</v>
      </c>
      <c r="H3" s="127">
        <v>0.39</v>
      </c>
      <c r="I3" s="127">
        <v>0.71</v>
      </c>
      <c r="J3" s="126" t="s">
        <v>27</v>
      </c>
      <c r="K3" s="126" t="s">
        <v>33</v>
      </c>
      <c r="L3" s="126" t="s">
        <v>27</v>
      </c>
      <c r="M3" s="123">
        <v>1408.3130000000001</v>
      </c>
      <c r="N3" s="125">
        <v>902.8</v>
      </c>
      <c r="O3" s="122">
        <v>6.2700000000000006E-2</v>
      </c>
      <c r="P3" s="124">
        <v>3.76</v>
      </c>
      <c r="Q3" s="121">
        <v>500</v>
      </c>
      <c r="R3" s="121">
        <v>4</v>
      </c>
      <c r="S3" s="121">
        <v>1600</v>
      </c>
      <c r="T3" s="123">
        <v>1.56</v>
      </c>
      <c r="U3" s="121">
        <v>40</v>
      </c>
      <c r="V3" s="122">
        <v>2.5000000000000001E-2</v>
      </c>
      <c r="W3" s="121" t="s">
        <v>29</v>
      </c>
      <c r="X3" s="121" t="s">
        <v>28</v>
      </c>
      <c r="Y3" s="121" t="s">
        <v>29</v>
      </c>
      <c r="Z3" s="121" t="s">
        <v>27</v>
      </c>
      <c r="AA3" s="121" t="s">
        <v>27</v>
      </c>
      <c r="AB3" s="121" t="s">
        <v>32</v>
      </c>
      <c r="AC3" s="121" t="s">
        <v>108</v>
      </c>
    </row>
    <row r="4" spans="1:29" x14ac:dyDescent="0.3">
      <c r="A4" s="126">
        <v>2</v>
      </c>
      <c r="B4" s="128" t="s">
        <v>107</v>
      </c>
      <c r="C4" s="126" t="s">
        <v>55</v>
      </c>
      <c r="D4" s="126" t="s">
        <v>668</v>
      </c>
      <c r="E4" s="126">
        <v>262916</v>
      </c>
      <c r="F4" s="178">
        <v>71026</v>
      </c>
      <c r="G4" s="126">
        <v>1268</v>
      </c>
      <c r="H4" s="127">
        <v>0.48</v>
      </c>
      <c r="I4" s="127">
        <v>1.35</v>
      </c>
      <c r="J4" s="126" t="s">
        <v>27</v>
      </c>
      <c r="K4" s="126" t="s">
        <v>33</v>
      </c>
      <c r="L4" s="126" t="s">
        <v>27</v>
      </c>
      <c r="M4" s="123">
        <v>821.66399999999999</v>
      </c>
      <c r="N4" s="125">
        <v>570.6</v>
      </c>
      <c r="O4" s="122">
        <v>5.28E-2</v>
      </c>
      <c r="P4" s="124">
        <v>3.17</v>
      </c>
      <c r="Q4" s="121">
        <v>299.89999999999998</v>
      </c>
      <c r="R4" s="121">
        <v>3</v>
      </c>
      <c r="S4" s="121">
        <v>1500</v>
      </c>
      <c r="T4" s="123">
        <v>1.44</v>
      </c>
      <c r="U4" s="121">
        <v>60</v>
      </c>
      <c r="V4" s="122">
        <v>0.04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32</v>
      </c>
      <c r="AC4" s="121" t="s">
        <v>671</v>
      </c>
    </row>
    <row r="5" spans="1:29" x14ac:dyDescent="0.3">
      <c r="A5" s="126">
        <v>3</v>
      </c>
      <c r="B5" s="128" t="s">
        <v>107</v>
      </c>
      <c r="C5" s="126" t="s">
        <v>55</v>
      </c>
      <c r="D5" s="126" t="s">
        <v>668</v>
      </c>
      <c r="E5" s="126">
        <v>262914</v>
      </c>
      <c r="F5" s="178">
        <v>71026</v>
      </c>
      <c r="G5" s="126">
        <v>1378</v>
      </c>
      <c r="H5" s="127">
        <v>0.67</v>
      </c>
      <c r="I5" s="127">
        <v>0.89</v>
      </c>
      <c r="J5" s="126" t="s">
        <v>27</v>
      </c>
      <c r="K5" s="126" t="s">
        <v>33</v>
      </c>
      <c r="L5" s="126" t="s">
        <v>27</v>
      </c>
      <c r="M5" s="123">
        <v>821.70100000000002</v>
      </c>
      <c r="N5" s="125">
        <v>613.20000000000005</v>
      </c>
      <c r="O5" s="122">
        <v>8.5199999999999998E-2</v>
      </c>
      <c r="P5" s="124">
        <v>5.1100000000000003</v>
      </c>
      <c r="Q5" s="121">
        <v>299.89999999999998</v>
      </c>
      <c r="R5" s="121">
        <v>2</v>
      </c>
      <c r="S5" s="121">
        <v>1400</v>
      </c>
      <c r="T5" s="123">
        <v>1.34</v>
      </c>
      <c r="U5" s="121">
        <v>60</v>
      </c>
      <c r="V5" s="122">
        <v>4.2900000000000001E-2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32</v>
      </c>
      <c r="AC5" s="121" t="s">
        <v>670</v>
      </c>
    </row>
    <row r="6" spans="1:29" x14ac:dyDescent="0.3">
      <c r="A6" s="126">
        <v>4</v>
      </c>
      <c r="B6" s="128" t="s">
        <v>107</v>
      </c>
      <c r="C6" s="126" t="s">
        <v>55</v>
      </c>
      <c r="D6" s="126" t="s">
        <v>668</v>
      </c>
      <c r="E6" s="126">
        <v>262913</v>
      </c>
      <c r="F6" s="178">
        <v>71026</v>
      </c>
      <c r="G6" s="126">
        <v>1662</v>
      </c>
      <c r="H6" s="127">
        <v>0.43</v>
      </c>
      <c r="I6" s="127">
        <v>1.1499999999999999</v>
      </c>
      <c r="J6" s="126" t="s">
        <v>27</v>
      </c>
      <c r="K6" s="126" t="s">
        <v>33</v>
      </c>
      <c r="L6" s="126" t="s">
        <v>27</v>
      </c>
      <c r="M6" s="123">
        <v>821.85900000000004</v>
      </c>
      <c r="N6" s="125">
        <v>637.1</v>
      </c>
      <c r="O6" s="122">
        <v>5.8999999999999997E-2</v>
      </c>
      <c r="P6" s="124">
        <v>3.54</v>
      </c>
      <c r="Q6" s="121">
        <v>300</v>
      </c>
      <c r="R6" s="121">
        <v>3</v>
      </c>
      <c r="S6" s="121">
        <v>1350</v>
      </c>
      <c r="T6" s="123">
        <v>1.29</v>
      </c>
      <c r="U6" s="121">
        <v>60</v>
      </c>
      <c r="V6" s="122">
        <v>4.4400000000000002E-2</v>
      </c>
      <c r="W6" s="121" t="s">
        <v>37</v>
      </c>
      <c r="X6" s="121" t="s">
        <v>29</v>
      </c>
      <c r="Y6" s="121" t="s">
        <v>34</v>
      </c>
      <c r="Z6" s="121" t="s">
        <v>27</v>
      </c>
      <c r="AA6" s="121" t="s">
        <v>27</v>
      </c>
      <c r="AB6" s="121" t="s">
        <v>32</v>
      </c>
      <c r="AC6" s="121" t="s">
        <v>238</v>
      </c>
    </row>
    <row r="7" spans="1:29" x14ac:dyDescent="0.3">
      <c r="A7" s="126">
        <v>5</v>
      </c>
      <c r="B7" s="128" t="s">
        <v>107</v>
      </c>
      <c r="C7" s="126" t="s">
        <v>55</v>
      </c>
      <c r="D7" s="126" t="s">
        <v>668</v>
      </c>
      <c r="E7" s="126">
        <v>262915</v>
      </c>
      <c r="F7" s="178">
        <v>71026</v>
      </c>
      <c r="G7" s="126">
        <v>1287</v>
      </c>
      <c r="H7" s="127">
        <v>0.56999999999999995</v>
      </c>
      <c r="I7" s="127">
        <v>1.1200000000000001</v>
      </c>
      <c r="J7" s="126" t="s">
        <v>27</v>
      </c>
      <c r="K7" s="126" t="s">
        <v>33</v>
      </c>
      <c r="L7" s="126" t="s">
        <v>27</v>
      </c>
      <c r="M7" s="123">
        <v>821.62099999999998</v>
      </c>
      <c r="N7" s="125">
        <v>720.7</v>
      </c>
      <c r="O7" s="122">
        <v>0.10009999999999999</v>
      </c>
      <c r="P7" s="124">
        <v>6.01</v>
      </c>
      <c r="Q7" s="121">
        <v>299.89999999999998</v>
      </c>
      <c r="R7" s="121">
        <v>2</v>
      </c>
      <c r="S7" s="121">
        <v>1200</v>
      </c>
      <c r="T7" s="123">
        <v>1.1399999999999999</v>
      </c>
      <c r="U7" s="121">
        <v>60</v>
      </c>
      <c r="V7" s="122">
        <v>0.05</v>
      </c>
      <c r="W7" s="121" t="s">
        <v>37</v>
      </c>
      <c r="X7" s="121" t="s">
        <v>29</v>
      </c>
      <c r="Y7" s="121" t="s">
        <v>34</v>
      </c>
      <c r="Z7" s="121" t="s">
        <v>27</v>
      </c>
      <c r="AA7" s="121" t="s">
        <v>27</v>
      </c>
      <c r="AB7" s="121" t="s">
        <v>32</v>
      </c>
      <c r="AC7" s="121" t="s">
        <v>669</v>
      </c>
    </row>
    <row r="8" spans="1:29" x14ac:dyDescent="0.3">
      <c r="A8" s="126">
        <v>6</v>
      </c>
      <c r="B8" s="128" t="s">
        <v>107</v>
      </c>
      <c r="C8" s="126" t="s">
        <v>49</v>
      </c>
      <c r="D8" s="126" t="s">
        <v>668</v>
      </c>
      <c r="E8" s="126">
        <v>262918</v>
      </c>
      <c r="F8" s="178">
        <v>71026</v>
      </c>
      <c r="G8" s="126">
        <v>2764</v>
      </c>
      <c r="H8" s="127">
        <v>0.56000000000000005</v>
      </c>
      <c r="I8" s="127">
        <v>0.91</v>
      </c>
      <c r="J8" s="126" t="s">
        <v>27</v>
      </c>
      <c r="K8" s="126" t="s">
        <v>33</v>
      </c>
      <c r="L8" s="126" t="s">
        <v>27</v>
      </c>
      <c r="M8" s="123">
        <v>1408.5340000000001</v>
      </c>
      <c r="N8" s="125">
        <v>1257.5999999999999</v>
      </c>
      <c r="O8" s="122">
        <v>0.17469999999999999</v>
      </c>
      <c r="P8" s="124">
        <v>10.48</v>
      </c>
      <c r="Q8" s="121">
        <v>500</v>
      </c>
      <c r="R8" s="121">
        <v>2</v>
      </c>
      <c r="S8" s="121">
        <v>1150</v>
      </c>
      <c r="T8" s="123">
        <v>1.1200000000000001</v>
      </c>
      <c r="U8" s="121">
        <v>30</v>
      </c>
      <c r="V8" s="122">
        <v>2.6100000000000002E-2</v>
      </c>
      <c r="W8" s="121" t="s">
        <v>29</v>
      </c>
      <c r="X8" s="121" t="s">
        <v>28</v>
      </c>
      <c r="Y8" s="121" t="s">
        <v>29</v>
      </c>
      <c r="Z8" s="121" t="s">
        <v>27</v>
      </c>
      <c r="AA8" s="121" t="s">
        <v>27</v>
      </c>
      <c r="AB8" s="121" t="s">
        <v>32</v>
      </c>
      <c r="AC8" s="121" t="s">
        <v>106</v>
      </c>
    </row>
    <row r="9" spans="1:29" x14ac:dyDescent="0.3">
      <c r="A9" s="120" t="s">
        <v>27</v>
      </c>
      <c r="B9" s="120" t="s">
        <v>27</v>
      </c>
      <c r="C9" s="120" t="s">
        <v>27</v>
      </c>
      <c r="D9" s="120" t="s">
        <v>27</v>
      </c>
      <c r="E9" s="120" t="s">
        <v>27</v>
      </c>
      <c r="F9" s="177" t="s">
        <v>27</v>
      </c>
      <c r="G9" s="120">
        <v>13445</v>
      </c>
      <c r="H9" s="120" t="s">
        <v>27</v>
      </c>
      <c r="I9" s="120" t="s">
        <v>27</v>
      </c>
      <c r="J9" s="120" t="s">
        <v>27</v>
      </c>
      <c r="K9" s="120" t="s">
        <v>27</v>
      </c>
      <c r="L9" s="120" t="s">
        <v>27</v>
      </c>
      <c r="M9" s="119" t="s">
        <v>27</v>
      </c>
      <c r="N9" s="119" t="s">
        <v>27</v>
      </c>
      <c r="O9" s="119" t="s">
        <v>27</v>
      </c>
      <c r="P9" s="119" t="s">
        <v>27</v>
      </c>
      <c r="Q9" s="119">
        <v>2199.6999999999998</v>
      </c>
      <c r="R9" s="119" t="s">
        <v>27</v>
      </c>
      <c r="S9" s="119" t="s">
        <v>27</v>
      </c>
      <c r="T9" s="119" t="s">
        <v>27</v>
      </c>
      <c r="U9" s="119" t="s">
        <v>27</v>
      </c>
      <c r="V9" s="119" t="s">
        <v>27</v>
      </c>
      <c r="W9" s="119" t="s">
        <v>27</v>
      </c>
      <c r="X9" s="119" t="s">
        <v>27</v>
      </c>
      <c r="Y9" s="119" t="s">
        <v>27</v>
      </c>
      <c r="Z9" s="119" t="s">
        <v>27</v>
      </c>
      <c r="AA9" s="119" t="s">
        <v>27</v>
      </c>
      <c r="AB9" s="119" t="s">
        <v>27</v>
      </c>
      <c r="AC9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H16" sqref="AH16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169" t="s">
        <v>667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/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588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666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665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588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664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588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663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588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662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661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660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659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658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657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656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655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654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653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workbookViewId="0">
      <selection activeCell="R25" sqref="R25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69" t="s">
        <v>652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/>
      <c r="L1" s="169" t="s">
        <v>27</v>
      </c>
      <c r="M1" s="169" t="s">
        <v>27</v>
      </c>
      <c r="N1" s="169" t="s">
        <v>27</v>
      </c>
      <c r="O1" s="169" t="s">
        <v>27</v>
      </c>
      <c r="P1" s="169"/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  <c r="AC1" s="169" t="s">
        <v>27</v>
      </c>
      <c r="AD1" s="169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601</v>
      </c>
      <c r="E3" s="162" t="s">
        <v>27</v>
      </c>
      <c r="F3" s="162">
        <v>262903</v>
      </c>
      <c r="G3" s="162" t="s">
        <v>634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601</v>
      </c>
      <c r="E4" s="162" t="s">
        <v>27</v>
      </c>
      <c r="F4" s="162">
        <v>262904</v>
      </c>
      <c r="G4" s="162" t="s">
        <v>634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6"/>
  <sheetViews>
    <sheetView workbookViewId="0">
      <selection activeCell="V20" sqref="V20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8" t="s">
        <v>629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262889</v>
      </c>
      <c r="G4" s="45" t="s">
        <v>624</v>
      </c>
      <c r="H4" s="45">
        <v>2500</v>
      </c>
      <c r="I4" s="47">
        <v>0.434</v>
      </c>
      <c r="J4" s="47">
        <v>1.4990000000000001</v>
      </c>
      <c r="K4" s="45" t="s">
        <v>626</v>
      </c>
      <c r="L4" s="47">
        <v>1626.415</v>
      </c>
      <c r="M4" s="48">
        <v>1249.2</v>
      </c>
      <c r="N4" s="49">
        <v>0.1157</v>
      </c>
      <c r="O4" s="50">
        <v>6.94</v>
      </c>
      <c r="P4" s="45">
        <v>875</v>
      </c>
      <c r="Q4" s="45">
        <v>3</v>
      </c>
      <c r="R4" s="45">
        <v>1350</v>
      </c>
      <c r="S4" s="47">
        <v>1.302</v>
      </c>
      <c r="T4" s="45">
        <v>48</v>
      </c>
      <c r="U4" s="49">
        <v>3.56E-2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54</v>
      </c>
      <c r="AB4" s="45" t="s">
        <v>625</v>
      </c>
    </row>
    <row r="5" spans="1:28" s="51" customFormat="1" ht="25.05" customHeight="1" x14ac:dyDescent="0.3">
      <c r="A5" s="45"/>
      <c r="B5" s="46" t="s">
        <v>60</v>
      </c>
      <c r="C5" s="45" t="s">
        <v>42</v>
      </c>
      <c r="D5" s="45" t="s">
        <v>588</v>
      </c>
      <c r="E5" s="45" t="s">
        <v>27</v>
      </c>
      <c r="F5" s="45">
        <v>262886</v>
      </c>
      <c r="G5" s="45" t="s">
        <v>624</v>
      </c>
      <c r="H5" s="45">
        <v>600</v>
      </c>
      <c r="I5" s="47">
        <v>0.84499999999999997</v>
      </c>
      <c r="J5" s="47">
        <v>1.589</v>
      </c>
      <c r="K5" s="45" t="s">
        <v>623</v>
      </c>
      <c r="L5" s="47">
        <v>805.62300000000005</v>
      </c>
      <c r="M5" s="48">
        <v>953.4</v>
      </c>
      <c r="N5" s="49">
        <v>0.26479999999999998</v>
      </c>
      <c r="O5" s="50">
        <v>15.89</v>
      </c>
      <c r="P5" s="45">
        <v>277.89999999999998</v>
      </c>
      <c r="Q5" s="45">
        <v>1</v>
      </c>
      <c r="R5" s="45">
        <v>900</v>
      </c>
      <c r="S5" s="47">
        <v>0.84499999999999997</v>
      </c>
      <c r="T5" s="45">
        <v>55</v>
      </c>
      <c r="U5" s="49">
        <v>6.1100000000000002E-2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622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1856.7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68" t="s">
        <v>621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616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0" t="s">
        <v>608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9" t="s">
        <v>597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1" t="s">
        <v>585</v>
      </c>
      <c r="B1" s="171" t="s">
        <v>27</v>
      </c>
      <c r="C1" s="171" t="s">
        <v>27</v>
      </c>
      <c r="D1" s="171" t="s">
        <v>27</v>
      </c>
      <c r="E1" s="171" t="s">
        <v>27</v>
      </c>
      <c r="F1" s="171" t="s">
        <v>27</v>
      </c>
      <c r="G1" s="171" t="s">
        <v>27</v>
      </c>
      <c r="H1" s="171" t="s">
        <v>27</v>
      </c>
      <c r="I1" s="171" t="s">
        <v>27</v>
      </c>
      <c r="J1" s="171" t="s">
        <v>27</v>
      </c>
      <c r="K1" s="171" t="s">
        <v>27</v>
      </c>
      <c r="L1" s="171" t="s">
        <v>27</v>
      </c>
      <c r="M1" s="171" t="s">
        <v>27</v>
      </c>
      <c r="N1" s="171" t="s">
        <v>27</v>
      </c>
      <c r="O1" s="171" t="s">
        <v>27</v>
      </c>
      <c r="P1" s="171" t="s">
        <v>27</v>
      </c>
      <c r="Q1" s="171" t="s">
        <v>27</v>
      </c>
      <c r="R1" s="171" t="s">
        <v>27</v>
      </c>
      <c r="S1" s="171" t="s">
        <v>27</v>
      </c>
      <c r="T1" s="171" t="s">
        <v>27</v>
      </c>
      <c r="U1" s="171" t="s">
        <v>27</v>
      </c>
      <c r="V1" s="171" t="s">
        <v>27</v>
      </c>
      <c r="W1" s="171" t="s">
        <v>27</v>
      </c>
      <c r="X1" s="171" t="s">
        <v>27</v>
      </c>
      <c r="Y1" s="171" t="s">
        <v>27</v>
      </c>
      <c r="Z1" s="171" t="s">
        <v>27</v>
      </c>
      <c r="AA1" s="171" t="s">
        <v>27</v>
      </c>
      <c r="AB1" s="171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D7"/>
  <sheetViews>
    <sheetView tabSelected="1" zoomScale="220" zoomScaleNormal="220" workbookViewId="0">
      <selection activeCell="S13" sqref="S13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9" style="1" customWidth="1"/>
    <col min="7" max="7" width="4.44140625" style="1" customWidth="1"/>
    <col min="8" max="8" width="6.44140625" style="1" customWidth="1"/>
    <col min="9" max="9" width="7.77734375" style="1" customWidth="1"/>
    <col min="10" max="11" width="7.109375" style="1" customWidth="1"/>
    <col min="12" max="12" width="11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6.6640625" style="1" customWidth="1"/>
    <col min="19" max="19" width="3.77734375" style="1" customWidth="1"/>
    <col min="20" max="20" width="6.21875" style="1" customWidth="1"/>
    <col min="21" max="21" width="6.6640625" style="1" customWidth="1"/>
    <col min="22" max="22" width="11.77734375" style="1" hidden="1" customWidth="1"/>
    <col min="23" max="23" width="8.77734375" style="1" hidden="1" customWidth="1"/>
    <col min="24" max="24" width="8.33203125" style="1" customWidth="1"/>
    <col min="25" max="25" width="7.44140625" style="1" customWidth="1"/>
    <col min="26" max="26" width="8" style="1" customWidth="1"/>
    <col min="27" max="27" width="7" style="1" customWidth="1"/>
    <col min="28" max="28" width="7.5546875" style="1" customWidth="1"/>
    <col min="29" max="29" width="4.6640625" style="1" customWidth="1"/>
    <col min="30" max="30" width="10.5546875" style="1" customWidth="1"/>
    <col min="31" max="16384" width="8.88671875" style="1"/>
  </cols>
  <sheetData>
    <row r="1" spans="1:30" ht="18" customHeight="1" x14ac:dyDescent="0.3">
      <c r="A1" s="187" t="s">
        <v>578</v>
      </c>
      <c r="B1" s="187" t="s">
        <v>27</v>
      </c>
      <c r="C1" s="187" t="s">
        <v>27</v>
      </c>
      <c r="D1" s="187" t="s">
        <v>27</v>
      </c>
      <c r="E1" s="187" t="s">
        <v>27</v>
      </c>
      <c r="F1" s="187" t="s">
        <v>27</v>
      </c>
      <c r="G1" s="187" t="s">
        <v>27</v>
      </c>
      <c r="H1" s="187" t="s">
        <v>27</v>
      </c>
      <c r="I1" s="187" t="s">
        <v>27</v>
      </c>
      <c r="J1" s="187" t="s">
        <v>27</v>
      </c>
      <c r="K1" s="187"/>
      <c r="L1" s="187" t="s">
        <v>27</v>
      </c>
      <c r="M1" s="187" t="s">
        <v>27</v>
      </c>
      <c r="N1" s="187" t="s">
        <v>27</v>
      </c>
      <c r="O1" s="187" t="s">
        <v>27</v>
      </c>
      <c r="P1" s="187" t="s">
        <v>27</v>
      </c>
      <c r="Q1" s="187"/>
      <c r="R1" s="187" t="s">
        <v>27</v>
      </c>
      <c r="S1" s="187" t="s">
        <v>27</v>
      </c>
      <c r="T1" s="187" t="s">
        <v>27</v>
      </c>
      <c r="U1" s="187" t="s">
        <v>27</v>
      </c>
      <c r="V1" s="187" t="s">
        <v>27</v>
      </c>
      <c r="W1" s="187" t="s">
        <v>27</v>
      </c>
      <c r="X1" s="187" t="s">
        <v>27</v>
      </c>
      <c r="Y1" s="187" t="s">
        <v>27</v>
      </c>
      <c r="Z1" s="187" t="s">
        <v>27</v>
      </c>
      <c r="AA1" s="187" t="s">
        <v>27</v>
      </c>
      <c r="AB1" s="187" t="s">
        <v>27</v>
      </c>
      <c r="AC1" s="187" t="s">
        <v>27</v>
      </c>
      <c r="AD1" s="187" t="s">
        <v>27</v>
      </c>
    </row>
    <row r="2" spans="1:30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/>
      <c r="L2" s="2" t="s">
        <v>8</v>
      </c>
      <c r="M2" s="2" t="s">
        <v>9</v>
      </c>
      <c r="N2" s="2" t="s">
        <v>10</v>
      </c>
      <c r="O2" s="2" t="s">
        <v>11</v>
      </c>
      <c r="P2" s="2" t="s">
        <v>12</v>
      </c>
      <c r="Q2" s="2"/>
      <c r="R2" s="2" t="s">
        <v>13</v>
      </c>
      <c r="S2" s="2" t="s">
        <v>14</v>
      </c>
      <c r="T2" s="2" t="s">
        <v>15</v>
      </c>
      <c r="U2" s="2" t="s">
        <v>16</v>
      </c>
      <c r="V2" s="2" t="s">
        <v>17</v>
      </c>
      <c r="W2" s="2" t="s">
        <v>18</v>
      </c>
      <c r="X2" s="2" t="s">
        <v>19</v>
      </c>
      <c r="Y2" s="2" t="s">
        <v>20</v>
      </c>
      <c r="Z2" s="2" t="s">
        <v>21</v>
      </c>
      <c r="AA2" s="2" t="s">
        <v>22</v>
      </c>
      <c r="AB2" s="2" t="s">
        <v>23</v>
      </c>
      <c r="AC2" s="2" t="s">
        <v>24</v>
      </c>
      <c r="AD2" s="2" t="s">
        <v>25</v>
      </c>
    </row>
    <row r="3" spans="1:30" s="12" customFormat="1" ht="25.05" customHeight="1" x14ac:dyDescent="0.3">
      <c r="A3" s="5">
        <v>1</v>
      </c>
      <c r="B3" s="10" t="s">
        <v>93</v>
      </c>
      <c r="C3" s="5" t="s">
        <v>35</v>
      </c>
      <c r="D3" s="5" t="s">
        <v>576</v>
      </c>
      <c r="E3" s="5" t="s">
        <v>27</v>
      </c>
      <c r="F3" s="5">
        <v>262865</v>
      </c>
      <c r="G3" s="5" t="s">
        <v>575</v>
      </c>
      <c r="H3" s="5">
        <v>1400</v>
      </c>
      <c r="I3" s="7">
        <v>0.44500000000000001</v>
      </c>
      <c r="J3" s="7">
        <v>0.83</v>
      </c>
      <c r="K3" s="7"/>
      <c r="L3" s="5" t="s">
        <v>577</v>
      </c>
      <c r="M3" s="7">
        <v>517.09</v>
      </c>
      <c r="N3" s="9">
        <v>387.3</v>
      </c>
      <c r="O3" s="6">
        <v>3.5900000000000001E-2</v>
      </c>
      <c r="P3" s="8">
        <v>2.15</v>
      </c>
      <c r="Q3" s="8"/>
      <c r="R3" s="5">
        <v>162.9</v>
      </c>
      <c r="S3" s="5">
        <v>3</v>
      </c>
      <c r="T3" s="5">
        <v>1400</v>
      </c>
      <c r="U3" s="7">
        <v>1.335</v>
      </c>
      <c r="V3" s="5">
        <v>65</v>
      </c>
      <c r="W3" s="6">
        <v>4.6399999999999997E-2</v>
      </c>
      <c r="X3" s="5" t="s">
        <v>28</v>
      </c>
      <c r="Y3" s="5" t="s">
        <v>28</v>
      </c>
      <c r="Z3" s="5" t="s">
        <v>28</v>
      </c>
      <c r="AA3" s="5" t="s">
        <v>27</v>
      </c>
      <c r="AB3" s="5" t="s">
        <v>27</v>
      </c>
      <c r="AC3" s="5" t="s">
        <v>38</v>
      </c>
      <c r="AD3" s="5" t="s">
        <v>574</v>
      </c>
    </row>
    <row r="4" spans="1:30" s="12" customFormat="1" ht="25.05" customHeight="1" x14ac:dyDescent="0.3">
      <c r="A4" s="5">
        <v>2</v>
      </c>
      <c r="B4" s="10" t="s">
        <v>93</v>
      </c>
      <c r="C4" s="5" t="s">
        <v>35</v>
      </c>
      <c r="D4" s="5" t="s">
        <v>576</v>
      </c>
      <c r="E4" s="5" t="s">
        <v>27</v>
      </c>
      <c r="F4" s="5">
        <v>262866</v>
      </c>
      <c r="G4" s="5">
        <v>83</v>
      </c>
      <c r="H4" s="5">
        <v>1000</v>
      </c>
      <c r="I4" s="7">
        <v>0.63</v>
      </c>
      <c r="J4" s="7">
        <v>1</v>
      </c>
      <c r="K4" s="7"/>
      <c r="L4" s="5" t="s">
        <v>33</v>
      </c>
      <c r="M4" s="7">
        <v>630</v>
      </c>
      <c r="N4" s="9">
        <v>500</v>
      </c>
      <c r="O4" s="6">
        <v>6.9400000000000003E-2</v>
      </c>
      <c r="P4" s="8">
        <v>4.17</v>
      </c>
      <c r="Q4" s="8"/>
      <c r="R4" s="5">
        <v>198.4</v>
      </c>
      <c r="S4" s="5">
        <v>2</v>
      </c>
      <c r="T4" s="5">
        <v>1300</v>
      </c>
      <c r="U4" s="7">
        <v>1.26</v>
      </c>
      <c r="V4" s="5">
        <v>40</v>
      </c>
      <c r="W4" s="6">
        <v>3.0800000000000001E-2</v>
      </c>
      <c r="X4" s="5" t="s">
        <v>28</v>
      </c>
      <c r="Y4" s="5" t="s">
        <v>28</v>
      </c>
      <c r="Z4" s="5" t="s">
        <v>28</v>
      </c>
      <c r="AA4" s="5" t="s">
        <v>27</v>
      </c>
      <c r="AB4" s="5" t="s">
        <v>27</v>
      </c>
      <c r="AC4" s="5" t="s">
        <v>38</v>
      </c>
      <c r="AD4" s="5" t="s">
        <v>574</v>
      </c>
    </row>
    <row r="5" spans="1:30" s="51" customFormat="1" ht="25.05" customHeight="1" x14ac:dyDescent="0.3">
      <c r="A5" s="5">
        <v>3</v>
      </c>
      <c r="B5" s="182" t="s">
        <v>126</v>
      </c>
      <c r="C5" s="181" t="s">
        <v>35</v>
      </c>
      <c r="D5" s="181"/>
      <c r="E5" s="181"/>
      <c r="F5" s="181">
        <v>262919</v>
      </c>
      <c r="G5" s="181" t="s">
        <v>673</v>
      </c>
      <c r="H5" s="181">
        <v>4500</v>
      </c>
      <c r="I5" s="183">
        <v>0.58099999999999996</v>
      </c>
      <c r="J5" s="183">
        <v>1.9059999999999999</v>
      </c>
      <c r="K5" s="183"/>
      <c r="L5" s="181" t="s">
        <v>674</v>
      </c>
      <c r="M5" s="183"/>
      <c r="N5" s="184"/>
      <c r="O5" s="185"/>
      <c r="P5" s="186"/>
      <c r="Q5" s="186"/>
      <c r="R5" s="181">
        <v>1569.7</v>
      </c>
      <c r="S5" s="181">
        <v>2</v>
      </c>
      <c r="T5" s="181">
        <v>1200</v>
      </c>
      <c r="U5" s="183">
        <v>1.1619999999999999</v>
      </c>
      <c r="V5" s="181">
        <v>38</v>
      </c>
      <c r="W5" s="185">
        <v>3.1699999999999999E-2</v>
      </c>
      <c r="X5" s="181" t="s">
        <v>28</v>
      </c>
      <c r="Y5" s="181" t="s">
        <v>28</v>
      </c>
      <c r="Z5" s="181" t="s">
        <v>28</v>
      </c>
      <c r="AA5" s="181" t="s">
        <v>27</v>
      </c>
      <c r="AB5" s="181" t="s">
        <v>27</v>
      </c>
      <c r="AC5" s="181" t="s">
        <v>40</v>
      </c>
      <c r="AD5" s="181" t="s">
        <v>675</v>
      </c>
    </row>
    <row r="6" spans="1:30" s="98" customFormat="1" ht="25.05" customHeight="1" x14ac:dyDescent="0.3">
      <c r="A6" s="5">
        <v>4</v>
      </c>
      <c r="B6" s="92" t="s">
        <v>126</v>
      </c>
      <c r="C6" s="91" t="s">
        <v>49</v>
      </c>
      <c r="D6" s="91" t="s">
        <v>601</v>
      </c>
      <c r="E6" s="91" t="s">
        <v>27</v>
      </c>
      <c r="F6" s="91">
        <v>262890</v>
      </c>
      <c r="G6" s="91" t="s">
        <v>632</v>
      </c>
      <c r="H6" s="91">
        <v>1000</v>
      </c>
      <c r="I6" s="93">
        <v>0.55000000000000004</v>
      </c>
      <c r="J6" s="93">
        <v>1.45</v>
      </c>
      <c r="K6" s="93"/>
      <c r="L6" s="91" t="s">
        <v>630</v>
      </c>
      <c r="M6" s="93">
        <v>797.5</v>
      </c>
      <c r="N6" s="94">
        <v>725</v>
      </c>
      <c r="O6" s="95">
        <v>0.1007</v>
      </c>
      <c r="P6" s="96">
        <v>6.04</v>
      </c>
      <c r="Q6" s="96"/>
      <c r="R6" s="91">
        <v>283.10000000000002</v>
      </c>
      <c r="S6" s="91">
        <v>2</v>
      </c>
      <c r="T6" s="91">
        <v>1150</v>
      </c>
      <c r="U6" s="93">
        <v>1.1000000000000001</v>
      </c>
      <c r="V6" s="91">
        <v>50</v>
      </c>
      <c r="W6" s="95">
        <v>4.3499999999999997E-2</v>
      </c>
      <c r="X6" s="91" t="s">
        <v>29</v>
      </c>
      <c r="Y6" s="91" t="s">
        <v>28</v>
      </c>
      <c r="Z6" s="91" t="s">
        <v>29</v>
      </c>
      <c r="AA6" s="91" t="s">
        <v>27</v>
      </c>
      <c r="AB6" s="91" t="s">
        <v>27</v>
      </c>
      <c r="AC6" s="91" t="s">
        <v>32</v>
      </c>
      <c r="AD6" s="91" t="s">
        <v>631</v>
      </c>
    </row>
    <row r="7" spans="1:30" s="129" customForma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f>SUM(H3:H6)</f>
        <v>7900</v>
      </c>
      <c r="I7" s="11" t="s">
        <v>27</v>
      </c>
      <c r="J7" s="11" t="s">
        <v>27</v>
      </c>
      <c r="K7" s="11"/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/>
      <c r="R7" s="11">
        <f>SUM(R3:R6)</f>
        <v>2214.1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  <c r="AD7" s="11" t="s">
        <v>27</v>
      </c>
    </row>
  </sheetData>
  <mergeCells count="1">
    <mergeCell ref="A1:AD1"/>
  </mergeCells>
  <pageMargins left="0.511811024" right="0.511811024" top="1.39" bottom="0.78740157499999996" header="0.31496062000000002" footer="0.31496062000000002"/>
  <pageSetup paperSize="9" scale="8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573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9" t="s">
        <v>566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0" t="s">
        <v>528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0" t="s">
        <v>508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72" t="s">
        <v>489</v>
      </c>
      <c r="B1" s="172" t="s">
        <v>27</v>
      </c>
      <c r="C1" s="172" t="s">
        <v>27</v>
      </c>
      <c r="D1" s="172" t="s">
        <v>27</v>
      </c>
      <c r="E1" s="172" t="s">
        <v>27</v>
      </c>
      <c r="F1" s="172" t="s">
        <v>27</v>
      </c>
      <c r="G1" s="172" t="s">
        <v>27</v>
      </c>
      <c r="H1" s="172" t="s">
        <v>27</v>
      </c>
      <c r="I1" s="172" t="s">
        <v>27</v>
      </c>
      <c r="J1" s="172" t="s">
        <v>27</v>
      </c>
      <c r="K1" s="172" t="s">
        <v>27</v>
      </c>
      <c r="L1" s="172" t="s">
        <v>27</v>
      </c>
      <c r="M1" s="172" t="s">
        <v>27</v>
      </c>
      <c r="N1" s="172" t="s">
        <v>27</v>
      </c>
      <c r="O1" s="172" t="s">
        <v>27</v>
      </c>
      <c r="P1" s="172" t="s">
        <v>27</v>
      </c>
      <c r="Q1" s="172" t="s">
        <v>27</v>
      </c>
      <c r="R1" s="172" t="s">
        <v>27</v>
      </c>
      <c r="S1" s="172" t="s">
        <v>27</v>
      </c>
      <c r="T1" s="172" t="s">
        <v>27</v>
      </c>
      <c r="U1" s="172" t="s">
        <v>27</v>
      </c>
      <c r="V1" s="172" t="s">
        <v>27</v>
      </c>
      <c r="W1" s="172" t="s">
        <v>27</v>
      </c>
      <c r="X1" s="172" t="s">
        <v>27</v>
      </c>
      <c r="Y1" s="172" t="s">
        <v>27</v>
      </c>
      <c r="Z1" s="172" t="s">
        <v>27</v>
      </c>
      <c r="AA1" s="172" t="s">
        <v>27</v>
      </c>
      <c r="AB1" s="172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0" t="s">
        <v>478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73" t="s">
        <v>477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9" t="s">
        <v>458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9" t="s">
        <v>395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9" t="s">
        <v>595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73" t="s">
        <v>364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321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8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8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8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8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8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8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8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8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8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8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8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8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8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8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8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8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8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9" t="s">
        <v>296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9" t="s">
        <v>278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9" t="s">
        <v>264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8" t="s">
        <v>247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234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9" t="s">
        <v>228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9" t="s">
        <v>218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9" t="s">
        <v>235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0" t="s">
        <v>181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0" t="s">
        <v>173</v>
      </c>
      <c r="B1" s="170" t="s">
        <v>27</v>
      </c>
      <c r="C1" s="170" t="s">
        <v>27</v>
      </c>
      <c r="D1" s="170" t="s">
        <v>27</v>
      </c>
      <c r="E1" s="170" t="s">
        <v>27</v>
      </c>
      <c r="F1" s="170" t="s">
        <v>27</v>
      </c>
      <c r="G1" s="170" t="s">
        <v>27</v>
      </c>
      <c r="H1" s="170" t="s">
        <v>27</v>
      </c>
      <c r="I1" s="170" t="s">
        <v>27</v>
      </c>
      <c r="J1" s="170" t="s">
        <v>27</v>
      </c>
      <c r="K1" s="170" t="s">
        <v>27</v>
      </c>
      <c r="L1" s="170" t="s">
        <v>27</v>
      </c>
      <c r="M1" s="170" t="s">
        <v>27</v>
      </c>
      <c r="N1" s="170" t="s">
        <v>27</v>
      </c>
      <c r="O1" s="170" t="s">
        <v>27</v>
      </c>
      <c r="P1" s="170" t="s">
        <v>27</v>
      </c>
      <c r="Q1" s="170" t="s">
        <v>27</v>
      </c>
      <c r="R1" s="170" t="s">
        <v>27</v>
      </c>
      <c r="S1" s="170" t="s">
        <v>27</v>
      </c>
      <c r="T1" s="170" t="s">
        <v>27</v>
      </c>
      <c r="U1" s="170" t="s">
        <v>27</v>
      </c>
      <c r="V1" s="170" t="s">
        <v>27</v>
      </c>
      <c r="W1" s="170" t="s">
        <v>27</v>
      </c>
      <c r="X1" s="170" t="s">
        <v>27</v>
      </c>
      <c r="Y1" s="170" t="s">
        <v>27</v>
      </c>
      <c r="Z1" s="170" t="s">
        <v>27</v>
      </c>
      <c r="AA1" s="170" t="s">
        <v>27</v>
      </c>
      <c r="AB1" s="17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9" t="s">
        <v>143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9" t="s">
        <v>139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73" t="s">
        <v>123</v>
      </c>
      <c r="B1" s="173" t="s">
        <v>27</v>
      </c>
      <c r="C1" s="173" t="s">
        <v>27</v>
      </c>
      <c r="D1" s="173" t="s">
        <v>27</v>
      </c>
      <c r="E1" s="173" t="s">
        <v>27</v>
      </c>
      <c r="F1" s="173" t="s">
        <v>27</v>
      </c>
      <c r="G1" s="173" t="s">
        <v>27</v>
      </c>
      <c r="H1" s="173" t="s">
        <v>27</v>
      </c>
      <c r="I1" s="173" t="s">
        <v>27</v>
      </c>
      <c r="J1" s="173" t="s">
        <v>27</v>
      </c>
      <c r="K1" s="173" t="s">
        <v>27</v>
      </c>
      <c r="L1" s="173" t="s">
        <v>27</v>
      </c>
      <c r="M1" s="173" t="s">
        <v>27</v>
      </c>
      <c r="N1" s="173" t="s">
        <v>27</v>
      </c>
      <c r="O1" s="173" t="s">
        <v>27</v>
      </c>
      <c r="P1" s="173" t="s">
        <v>27</v>
      </c>
      <c r="Q1" s="173" t="s">
        <v>27</v>
      </c>
      <c r="R1" s="173" t="s">
        <v>27</v>
      </c>
      <c r="S1" s="173" t="s">
        <v>27</v>
      </c>
      <c r="T1" s="173" t="s">
        <v>27</v>
      </c>
      <c r="U1" s="173" t="s">
        <v>27</v>
      </c>
      <c r="V1" s="173" t="s">
        <v>27</v>
      </c>
      <c r="W1" s="173" t="s">
        <v>27</v>
      </c>
      <c r="X1" s="173" t="s">
        <v>27</v>
      </c>
      <c r="Y1" s="173" t="s">
        <v>27</v>
      </c>
      <c r="Z1" s="173" t="s">
        <v>27</v>
      </c>
      <c r="AA1" s="173" t="s">
        <v>27</v>
      </c>
      <c r="AB1" s="173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74" t="s">
        <v>105</v>
      </c>
      <c r="B1" s="174" t="s">
        <v>27</v>
      </c>
      <c r="C1" s="174" t="s">
        <v>27</v>
      </c>
      <c r="D1" s="174" t="s">
        <v>27</v>
      </c>
      <c r="E1" s="174" t="s">
        <v>27</v>
      </c>
      <c r="F1" s="174" t="s">
        <v>27</v>
      </c>
      <c r="G1" s="174" t="s">
        <v>27</v>
      </c>
      <c r="H1" s="174" t="s">
        <v>27</v>
      </c>
      <c r="I1" s="174" t="s">
        <v>27</v>
      </c>
      <c r="J1" s="174" t="s">
        <v>27</v>
      </c>
      <c r="K1" s="174" t="s">
        <v>27</v>
      </c>
      <c r="L1" s="174" t="s">
        <v>27</v>
      </c>
      <c r="M1" s="174" t="s">
        <v>27</v>
      </c>
      <c r="N1" s="174" t="s">
        <v>27</v>
      </c>
      <c r="O1" s="174" t="s">
        <v>27</v>
      </c>
      <c r="P1" s="174" t="s">
        <v>27</v>
      </c>
      <c r="Q1" s="174" t="s">
        <v>27</v>
      </c>
      <c r="R1" s="174" t="s">
        <v>27</v>
      </c>
      <c r="S1" s="174" t="s">
        <v>27</v>
      </c>
      <c r="T1" s="174" t="s">
        <v>27</v>
      </c>
      <c r="U1" s="174" t="s">
        <v>27</v>
      </c>
      <c r="V1" s="174" t="s">
        <v>27</v>
      </c>
      <c r="W1" s="174" t="s">
        <v>27</v>
      </c>
      <c r="X1" s="174" t="s">
        <v>27</v>
      </c>
      <c r="Y1" s="174" t="s">
        <v>27</v>
      </c>
      <c r="Z1" s="174" t="s">
        <v>27</v>
      </c>
      <c r="AA1" s="174" t="s">
        <v>27</v>
      </c>
      <c r="AB1" s="174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75" t="s">
        <v>80</v>
      </c>
      <c r="B1" s="175" t="s">
        <v>27</v>
      </c>
      <c r="C1" s="175" t="s">
        <v>27</v>
      </c>
      <c r="D1" s="175" t="s">
        <v>27</v>
      </c>
      <c r="E1" s="175" t="s">
        <v>27</v>
      </c>
      <c r="F1" s="175" t="s">
        <v>27</v>
      </c>
      <c r="G1" s="175" t="s">
        <v>27</v>
      </c>
      <c r="H1" s="175" t="s">
        <v>27</v>
      </c>
      <c r="I1" s="175" t="s">
        <v>27</v>
      </c>
      <c r="J1" s="175" t="s">
        <v>27</v>
      </c>
      <c r="K1" s="175" t="s">
        <v>27</v>
      </c>
      <c r="L1" s="175" t="s">
        <v>27</v>
      </c>
      <c r="M1" s="175" t="s">
        <v>27</v>
      </c>
      <c r="N1" s="175" t="s">
        <v>27</v>
      </c>
      <c r="O1" s="175" t="s">
        <v>27</v>
      </c>
      <c r="P1" s="175" t="s">
        <v>27</v>
      </c>
      <c r="Q1" s="175" t="s">
        <v>27</v>
      </c>
      <c r="R1" s="175" t="s">
        <v>27</v>
      </c>
      <c r="S1" s="175" t="s">
        <v>27</v>
      </c>
      <c r="T1" s="175" t="s">
        <v>27</v>
      </c>
      <c r="U1" s="175" t="s">
        <v>27</v>
      </c>
      <c r="V1" s="175" t="s">
        <v>27</v>
      </c>
      <c r="W1" s="175" t="s">
        <v>27</v>
      </c>
      <c r="X1" s="175" t="s">
        <v>27</v>
      </c>
      <c r="Y1" s="175" t="s">
        <v>27</v>
      </c>
      <c r="Z1" s="175" t="s">
        <v>27</v>
      </c>
      <c r="AA1" s="175" t="s">
        <v>27</v>
      </c>
      <c r="AB1" s="175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37</vt:i4>
      </vt:variant>
    </vt:vector>
  </HeadingPairs>
  <TitlesOfParts>
    <vt:vector size="37" baseType="lpstr">
      <vt:lpstr>Tolecaixas 1264</vt:lpstr>
      <vt:lpstr>RM Embalagens 1263 P</vt:lpstr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 P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2026-10-07T18:39:29Z</cp:lastPrinted>
  <dcterms:created xsi:type="dcterms:W3CDTF">2026-07-02T17:42:15Z</dcterms:created>
  <dcterms:modified xsi:type="dcterms:W3CDTF">2026-10-07T18:46:37Z</dcterms:modified>
</cp:coreProperties>
</file>