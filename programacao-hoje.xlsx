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20DA062-6798-4273-8517-7828C433CB5D}" xr6:coauthVersionLast="47" xr6:coauthVersionMax="47" xr10:uidLastSave="{00000000-0000-0000-0000-000000000000}"/>
  <bookViews>
    <workbookView xWindow="-38510" yWindow="-10830" windowWidth="38620" windowHeight="21100" activeTab="4" xr2:uid="{00000000-000D-0000-FFFF-FFFF00000000}"/>
  </bookViews>
  <sheets>
    <sheet name="Tolecaixas 1264" sheetId="190" r:id="rId1"/>
    <sheet name="RM Embalagens 1263 P" sheetId="189" r:id="rId2"/>
    <sheet name="HARMONY EMBALAGENS 1262 P" sheetId="188" r:id="rId3"/>
    <sheet name="HARMONY EMBALAGENS 1260" sheetId="187" r:id="rId4"/>
    <sheet name="CARTOMIL EMBALAGENS LTDA 1258 P" sheetId="185" r:id="rId5"/>
    <sheet name="CARPEL 1257 P" sheetId="184" r:id="rId6"/>
    <sheet name="FAVINCO EMBALAGENS 1256 P" sheetId="183" r:id="rId7"/>
    <sheet name="RR STELLA 1253" sheetId="181" r:id="rId8"/>
    <sheet name="FAVINCO EMBALAGENS 1252 P" sheetId="180" r:id="rId9"/>
    <sheet name="DR EMBALAGENS 1250" sheetId="179" r:id="rId10"/>
    <sheet name="HARMONY EMBALAGENS 1249 P" sheetId="178" r:id="rId11"/>
    <sheet name="FAVINCO 1248 AMOSTRA" sheetId="177" r:id="rId12"/>
    <sheet name="ABAPEL 1246 P" sheetId="176" r:id="rId13"/>
    <sheet name="FAVINCO 1243 P" sheetId="175" r:id="rId14"/>
    <sheet name="Renovapel 1242 P" sheetId="174" r:id="rId15"/>
    <sheet name="Tole. DR EMB. VO CH S. M 1241 P" sheetId="173" r:id="rId16"/>
    <sheet name="FAVINCO 1239 P" sheetId="172" r:id="rId17"/>
    <sheet name="PCBOX EMBALAGENS 1233 P" sheetId="170" r:id="rId18"/>
    <sheet name="RM Embalagens 1232 P" sheetId="169" r:id="rId19"/>
    <sheet name="HARMONY EMBALAGENS 1231 P" sheetId="168" r:id="rId20"/>
    <sheet name="RM Embalagens P" sheetId="166" r:id="rId21"/>
    <sheet name="PCBOX EMBALAGENS LTDA 1222 P" sheetId="164" r:id="rId22"/>
    <sheet name="FORBOX 1220 P" sheetId="163" r:id="rId23"/>
    <sheet name="HARMONY EMBALAGENS 1217 P" sheetId="162" r:id="rId24"/>
    <sheet name="Z4A EMBALAGENS LTDA 1216" sheetId="161" r:id="rId25"/>
    <sheet name="ABAPEL 1213 P" sheetId="159" r:id="rId26"/>
    <sheet name="IPE - PCBOX 1212 P" sheetId="158" r:id="rId27"/>
    <sheet name="Z4A EMBALAGENS LTDA 1210 P" sheetId="157" r:id="rId28"/>
    <sheet name="RM Embalagens 1209 P" sheetId="156" r:id="rId29"/>
    <sheet name="ABAPEL 1201 P" sheetId="153" r:id="rId30"/>
    <sheet name="HARMONY EMBALAGENS 1200 P" sheetId="152" r:id="rId31"/>
    <sheet name="FAVINCO EMBALAGENS 1197 P" sheetId="150" r:id="rId32"/>
    <sheet name="ABAPEL 1196 P" sheetId="149" r:id="rId33"/>
    <sheet name="RM Embalagens 1184 P" sheetId="141" r:id="rId34"/>
    <sheet name="HARMONY EMBALAGENS 1180 P" sheetId="137" r:id="rId35"/>
    <sheet name="Carpel 1158 P" sheetId="119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75" l="1"/>
  <c r="H9" i="175"/>
  <c r="R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<sst xmlns="http://schemas.openxmlformats.org/spreadsheetml/2006/main" count="6821" uniqueCount="669">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</sst>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8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6" fillId="0" borderId="0" xfId="1" applyFont="1" applyAlignment="1">
      <alignment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76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1" t="s">
        <v>665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  <c r="AC1" s="17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8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8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8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8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8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8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77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H16" sqref="AH16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69" t="s">
        <v>660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/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69" t="s">
        <v>645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/>
      <c r="L1" s="169" t="s">
        <v>27</v>
      </c>
      <c r="M1" s="169" t="s">
        <v>27</v>
      </c>
      <c r="N1" s="169" t="s">
        <v>27</v>
      </c>
      <c r="O1" s="169" t="s">
        <v>27</v>
      </c>
      <c r="P1" s="169"/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  <c r="AD1" s="1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8" t="s">
        <v>622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tabSelected="1"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614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0" t="s">
        <v>606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9" t="s">
        <v>595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1" t="s">
        <v>585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D7"/>
  <sheetViews>
    <sheetView zoomScale="220" zoomScaleNormal="220" workbookViewId="0">
      <selection activeCell="S13" sqref="S13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1" width="7.109375" style="1" customWidth="1"/>
    <col min="12" max="12" width="11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6.6640625" style="1" customWidth="1"/>
    <col min="19" max="19" width="3.77734375" style="1" customWidth="1"/>
    <col min="20" max="20" width="6.21875" style="1" customWidth="1"/>
    <col min="21" max="21" width="6.6640625" style="1" customWidth="1"/>
    <col min="22" max="22" width="11.77734375" style="1" hidden="1" customWidth="1"/>
    <col min="23" max="23" width="8.77734375" style="1" hidden="1" customWidth="1"/>
    <col min="24" max="24" width="8.33203125" style="1" customWidth="1"/>
    <col min="25" max="25" width="7.44140625" style="1" customWidth="1"/>
    <col min="26" max="26" width="8" style="1" customWidth="1"/>
    <col min="27" max="27" width="7" style="1" customWidth="1"/>
    <col min="28" max="28" width="7.5546875" style="1" customWidth="1"/>
    <col min="29" max="29" width="4.6640625" style="1" customWidth="1"/>
    <col min="30" max="30" width="10.5546875" style="1" customWidth="1"/>
    <col min="31" max="16384" width="8.88671875" style="1"/>
  </cols>
  <sheetData>
    <row r="1" spans="1:30" ht="18" customHeight="1" x14ac:dyDescent="0.3">
      <c r="A1" s="187" t="s">
        <v>578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/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/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  <c r="AC1" s="187" t="s">
        <v>27</v>
      </c>
      <c r="AD1" s="187" t="s">
        <v>27</v>
      </c>
    </row>
    <row r="2" spans="1:30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/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/>
      <c r="R2" s="2" t="s">
        <v>13</v>
      </c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2" t="s">
        <v>21</v>
      </c>
      <c r="AA2" s="2" t="s">
        <v>22</v>
      </c>
      <c r="AB2" s="2" t="s">
        <v>23</v>
      </c>
      <c r="AC2" s="2" t="s">
        <v>24</v>
      </c>
      <c r="AD2" s="2" t="s">
        <v>25</v>
      </c>
    </row>
    <row r="3" spans="1:30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7"/>
      <c r="L3" s="5" t="s">
        <v>577</v>
      </c>
      <c r="M3" s="7">
        <v>517.09</v>
      </c>
      <c r="N3" s="9">
        <v>387.3</v>
      </c>
      <c r="O3" s="6">
        <v>3.5900000000000001E-2</v>
      </c>
      <c r="P3" s="8">
        <v>2.15</v>
      </c>
      <c r="Q3" s="8"/>
      <c r="R3" s="5">
        <v>162.9</v>
      </c>
      <c r="S3" s="5">
        <v>3</v>
      </c>
      <c r="T3" s="5">
        <v>1400</v>
      </c>
      <c r="U3" s="7">
        <v>1.335</v>
      </c>
      <c r="V3" s="5">
        <v>65</v>
      </c>
      <c r="W3" s="6">
        <v>4.6399999999999997E-2</v>
      </c>
      <c r="X3" s="5" t="s">
        <v>28</v>
      </c>
      <c r="Y3" s="5" t="s">
        <v>28</v>
      </c>
      <c r="Z3" s="5" t="s">
        <v>28</v>
      </c>
      <c r="AA3" s="5" t="s">
        <v>27</v>
      </c>
      <c r="AB3" s="5" t="s">
        <v>27</v>
      </c>
      <c r="AC3" s="5" t="s">
        <v>38</v>
      </c>
      <c r="AD3" s="5" t="s">
        <v>574</v>
      </c>
    </row>
    <row r="4" spans="1:30" s="12" customFormat="1" ht="25.05" customHeight="1" x14ac:dyDescent="0.3">
      <c r="A4" s="5">
        <v>2</v>
      </c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7"/>
      <c r="L4" s="5" t="s">
        <v>33</v>
      </c>
      <c r="M4" s="7">
        <v>630</v>
      </c>
      <c r="N4" s="9">
        <v>500</v>
      </c>
      <c r="O4" s="6">
        <v>6.9400000000000003E-2</v>
      </c>
      <c r="P4" s="8">
        <v>4.17</v>
      </c>
      <c r="Q4" s="8"/>
      <c r="R4" s="5">
        <v>198.4</v>
      </c>
      <c r="S4" s="5">
        <v>2</v>
      </c>
      <c r="T4" s="5">
        <v>1300</v>
      </c>
      <c r="U4" s="7">
        <v>1.26</v>
      </c>
      <c r="V4" s="5">
        <v>40</v>
      </c>
      <c r="W4" s="6">
        <v>3.0800000000000001E-2</v>
      </c>
      <c r="X4" s="5" t="s">
        <v>28</v>
      </c>
      <c r="Y4" s="5" t="s">
        <v>28</v>
      </c>
      <c r="Z4" s="5" t="s">
        <v>28</v>
      </c>
      <c r="AA4" s="5" t="s">
        <v>27</v>
      </c>
      <c r="AB4" s="5" t="s">
        <v>27</v>
      </c>
      <c r="AC4" s="5" t="s">
        <v>38</v>
      </c>
      <c r="AD4" s="5" t="s">
        <v>574</v>
      </c>
    </row>
    <row r="5" spans="1:30" s="51" customFormat="1" ht="25.05" customHeight="1" x14ac:dyDescent="0.3">
      <c r="A5" s="5">
        <v>3</v>
      </c>
      <c r="B5" s="182" t="s">
        <v>126</v>
      </c>
      <c r="C5" s="181" t="s">
        <v>35</v>
      </c>
      <c r="D5" s="181"/>
      <c r="E5" s="181"/>
      <c r="F5" s="181">
        <v>262919</v>
      </c>
      <c r="G5" s="181" t="s">
        <v>666</v>
      </c>
      <c r="H5" s="181">
        <v>4500</v>
      </c>
      <c r="I5" s="183">
        <v>0.58099999999999996</v>
      </c>
      <c r="J5" s="183">
        <v>1.9059999999999999</v>
      </c>
      <c r="K5" s="183"/>
      <c r="L5" s="181" t="s">
        <v>667</v>
      </c>
      <c r="M5" s="183"/>
      <c r="N5" s="184"/>
      <c r="O5" s="185"/>
      <c r="P5" s="186"/>
      <c r="Q5" s="186"/>
      <c r="R5" s="181">
        <v>1569.7</v>
      </c>
      <c r="S5" s="181">
        <v>2</v>
      </c>
      <c r="T5" s="181">
        <v>1200</v>
      </c>
      <c r="U5" s="183">
        <v>1.1619999999999999</v>
      </c>
      <c r="V5" s="181">
        <v>38</v>
      </c>
      <c r="W5" s="185">
        <v>3.1699999999999999E-2</v>
      </c>
      <c r="X5" s="181" t="s">
        <v>28</v>
      </c>
      <c r="Y5" s="181" t="s">
        <v>28</v>
      </c>
      <c r="Z5" s="181" t="s">
        <v>28</v>
      </c>
      <c r="AA5" s="181" t="s">
        <v>27</v>
      </c>
      <c r="AB5" s="181" t="s">
        <v>27</v>
      </c>
      <c r="AC5" s="181" t="s">
        <v>40</v>
      </c>
      <c r="AD5" s="181" t="s">
        <v>668</v>
      </c>
    </row>
    <row r="6" spans="1:30" s="98" customFormat="1" ht="25.05" customHeight="1" x14ac:dyDescent="0.3">
      <c r="A6" s="5">
        <v>4</v>
      </c>
      <c r="B6" s="92" t="s">
        <v>126</v>
      </c>
      <c r="C6" s="91" t="s">
        <v>49</v>
      </c>
      <c r="D6" s="91" t="s">
        <v>599</v>
      </c>
      <c r="E6" s="91" t="s">
        <v>27</v>
      </c>
      <c r="F6" s="91">
        <v>262890</v>
      </c>
      <c r="G6" s="91" t="s">
        <v>625</v>
      </c>
      <c r="H6" s="91">
        <v>1000</v>
      </c>
      <c r="I6" s="93">
        <v>0.55000000000000004</v>
      </c>
      <c r="J6" s="93">
        <v>1.45</v>
      </c>
      <c r="K6" s="93"/>
      <c r="L6" s="91" t="s">
        <v>623</v>
      </c>
      <c r="M6" s="93">
        <v>797.5</v>
      </c>
      <c r="N6" s="94">
        <v>725</v>
      </c>
      <c r="O6" s="95">
        <v>0.1007</v>
      </c>
      <c r="P6" s="96">
        <v>6.04</v>
      </c>
      <c r="Q6" s="96"/>
      <c r="R6" s="91">
        <v>283.10000000000002</v>
      </c>
      <c r="S6" s="91">
        <v>2</v>
      </c>
      <c r="T6" s="91">
        <v>1150</v>
      </c>
      <c r="U6" s="93">
        <v>1.1000000000000001</v>
      </c>
      <c r="V6" s="91">
        <v>50</v>
      </c>
      <c r="W6" s="95">
        <v>4.3499999999999997E-2</v>
      </c>
      <c r="X6" s="91" t="s">
        <v>29</v>
      </c>
      <c r="Y6" s="91" t="s">
        <v>28</v>
      </c>
      <c r="Z6" s="91" t="s">
        <v>29</v>
      </c>
      <c r="AA6" s="91" t="s">
        <v>27</v>
      </c>
      <c r="AB6" s="91" t="s">
        <v>27</v>
      </c>
      <c r="AC6" s="91" t="s">
        <v>32</v>
      </c>
      <c r="AD6" s="91" t="s">
        <v>624</v>
      </c>
    </row>
    <row r="7" spans="1:30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/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/>
      <c r="R7" s="11">
        <f>SUM(R3:R6)</f>
        <v>2214.1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  <c r="AD7" s="11" t="s">
        <v>27</v>
      </c>
    </row>
  </sheetData>
  <mergeCells count="1">
    <mergeCell ref="A1:AD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573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9" t="s">
        <v>566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0" t="s">
        <v>528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0" t="s">
        <v>508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72" t="s">
        <v>489</v>
      </c>
      <c r="B1" s="172" t="s">
        <v>27</v>
      </c>
      <c r="C1" s="172" t="s">
        <v>27</v>
      </c>
      <c r="D1" s="172" t="s">
        <v>27</v>
      </c>
      <c r="E1" s="172" t="s">
        <v>27</v>
      </c>
      <c r="F1" s="172" t="s">
        <v>27</v>
      </c>
      <c r="G1" s="172" t="s">
        <v>27</v>
      </c>
      <c r="H1" s="172" t="s">
        <v>27</v>
      </c>
      <c r="I1" s="172" t="s">
        <v>27</v>
      </c>
      <c r="J1" s="172" t="s">
        <v>27</v>
      </c>
      <c r="K1" s="172" t="s">
        <v>27</v>
      </c>
      <c r="L1" s="172" t="s">
        <v>27</v>
      </c>
      <c r="M1" s="172" t="s">
        <v>27</v>
      </c>
      <c r="N1" s="172" t="s">
        <v>27</v>
      </c>
      <c r="O1" s="172" t="s">
        <v>27</v>
      </c>
      <c r="P1" s="172" t="s">
        <v>27</v>
      </c>
      <c r="Q1" s="172" t="s">
        <v>27</v>
      </c>
      <c r="R1" s="172" t="s">
        <v>27</v>
      </c>
      <c r="S1" s="172" t="s">
        <v>27</v>
      </c>
      <c r="T1" s="172" t="s">
        <v>27</v>
      </c>
      <c r="U1" s="172" t="s">
        <v>27</v>
      </c>
      <c r="V1" s="172" t="s">
        <v>27</v>
      </c>
      <c r="W1" s="172" t="s">
        <v>27</v>
      </c>
      <c r="X1" s="172" t="s">
        <v>27</v>
      </c>
      <c r="Y1" s="172" t="s">
        <v>27</v>
      </c>
      <c r="Z1" s="172" t="s">
        <v>27</v>
      </c>
      <c r="AA1" s="172" t="s">
        <v>27</v>
      </c>
      <c r="AB1" s="172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0" t="s">
        <v>478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73" t="s">
        <v>477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9" t="s">
        <v>458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9" t="s">
        <v>395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9" t="s">
        <v>593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73" t="s">
        <v>364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321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8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8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8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8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8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8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8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8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8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8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8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8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8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8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8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8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8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9" t="s">
        <v>296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9" t="s">
        <v>278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9" t="s">
        <v>264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8" t="s">
        <v>247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234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228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9" t="s">
        <v>218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9" t="s">
        <v>235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0" t="s">
        <v>181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173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9" t="s">
        <v>143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139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73" t="s">
        <v>123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74" t="s">
        <v>105</v>
      </c>
      <c r="B1" s="174" t="s">
        <v>27</v>
      </c>
      <c r="C1" s="174" t="s">
        <v>27</v>
      </c>
      <c r="D1" s="174" t="s">
        <v>27</v>
      </c>
      <c r="E1" s="174" t="s">
        <v>27</v>
      </c>
      <c r="F1" s="174" t="s">
        <v>27</v>
      </c>
      <c r="G1" s="174" t="s">
        <v>27</v>
      </c>
      <c r="H1" s="174" t="s">
        <v>27</v>
      </c>
      <c r="I1" s="174" t="s">
        <v>27</v>
      </c>
      <c r="J1" s="174" t="s">
        <v>27</v>
      </c>
      <c r="K1" s="174" t="s">
        <v>27</v>
      </c>
      <c r="L1" s="174" t="s">
        <v>27</v>
      </c>
      <c r="M1" s="174" t="s">
        <v>27</v>
      </c>
      <c r="N1" s="174" t="s">
        <v>27</v>
      </c>
      <c r="O1" s="174" t="s">
        <v>27</v>
      </c>
      <c r="P1" s="174" t="s">
        <v>27</v>
      </c>
      <c r="Q1" s="174" t="s">
        <v>27</v>
      </c>
      <c r="R1" s="174" t="s">
        <v>27</v>
      </c>
      <c r="S1" s="174" t="s">
        <v>27</v>
      </c>
      <c r="T1" s="174" t="s">
        <v>27</v>
      </c>
      <c r="U1" s="174" t="s">
        <v>27</v>
      </c>
      <c r="V1" s="174" t="s">
        <v>27</v>
      </c>
      <c r="W1" s="174" t="s">
        <v>27</v>
      </c>
      <c r="X1" s="174" t="s">
        <v>27</v>
      </c>
      <c r="Y1" s="174" t="s">
        <v>27</v>
      </c>
      <c r="Z1" s="174" t="s">
        <v>27</v>
      </c>
      <c r="AA1" s="174" t="s">
        <v>27</v>
      </c>
      <c r="AB1" s="1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75" t="s">
        <v>80</v>
      </c>
      <c r="B1" s="175" t="s">
        <v>27</v>
      </c>
      <c r="C1" s="175" t="s">
        <v>27</v>
      </c>
      <c r="D1" s="175" t="s">
        <v>27</v>
      </c>
      <c r="E1" s="175" t="s">
        <v>27</v>
      </c>
      <c r="F1" s="175" t="s">
        <v>27</v>
      </c>
      <c r="G1" s="175" t="s">
        <v>27</v>
      </c>
      <c r="H1" s="175" t="s">
        <v>27</v>
      </c>
      <c r="I1" s="175" t="s">
        <v>27</v>
      </c>
      <c r="J1" s="175" t="s">
        <v>27</v>
      </c>
      <c r="K1" s="175" t="s">
        <v>27</v>
      </c>
      <c r="L1" s="175" t="s">
        <v>27</v>
      </c>
      <c r="M1" s="175" t="s">
        <v>27</v>
      </c>
      <c r="N1" s="175" t="s">
        <v>27</v>
      </c>
      <c r="O1" s="175" t="s">
        <v>27</v>
      </c>
      <c r="P1" s="175" t="s">
        <v>27</v>
      </c>
      <c r="Q1" s="175" t="s">
        <v>27</v>
      </c>
      <c r="R1" s="175" t="s">
        <v>27</v>
      </c>
      <c r="S1" s="175" t="s">
        <v>27</v>
      </c>
      <c r="T1" s="175" t="s">
        <v>27</v>
      </c>
      <c r="U1" s="175" t="s">
        <v>27</v>
      </c>
      <c r="V1" s="175" t="s">
        <v>27</v>
      </c>
      <c r="W1" s="175" t="s">
        <v>27</v>
      </c>
      <c r="X1" s="175" t="s">
        <v>27</v>
      </c>
      <c r="Y1" s="175" t="s">
        <v>27</v>
      </c>
      <c r="Z1" s="175" t="s">
        <v>27</v>
      </c>
      <c r="AA1" s="175" t="s">
        <v>27</v>
      </c>
      <c r="AB1" s="1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2026-10-07T18:39:29Z</cp:lastPrinted>
  <dcterms:created xsi:type="dcterms:W3CDTF">2026-07-02T17:42:15Z</dcterms:created>
  <dcterms:modified xsi:type="dcterms:W3CDTF">2026-10-07T19:53:53Z</dcterms:modified>
</cp:coreProperties>
</file>