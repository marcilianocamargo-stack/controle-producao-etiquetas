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88979F9C-1FAA-4AD1-ACBA-4C9533CC7BE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PE - PC BOX 1203" sheetId="154" r:id="rId1"/>
    <sheet name="ABAPEL 1201" sheetId="153" r:id="rId2"/>
    <sheet name="HARMONY EMBALAGENS 1200" sheetId="152" r:id="rId3"/>
    <sheet name="HARMONY EMBALAGENS 1199" sheetId="151" r:id="rId4"/>
    <sheet name="FAVINCO EMBALAGENS 1197" sheetId="150" r:id="rId5"/>
    <sheet name="ABAPEL 1196" sheetId="149" r:id="rId6"/>
    <sheet name="CARPELL LTDA 1195 P" sheetId="147" r:id="rId7"/>
    <sheet name="Renovapel 1192 P" sheetId="146" r:id="rId8"/>
    <sheet name="DR EMBALAGENS 1189  P" sheetId="144" r:id="rId9"/>
    <sheet name="FAVINCO EMBALAGENS 1188 R" sheetId="143" r:id="rId10"/>
    <sheet name="PCBOX - IPE 1187 P" sheetId="142" r:id="rId11"/>
    <sheet name="RM Embalagens 1184 P" sheetId="141" r:id="rId12"/>
    <sheet name="CARTOMIL EMBALAGENS LTDA 1183 P" sheetId="140" r:id="rId13"/>
    <sheet name="Z4A EMBALAGENS LTDA 1182" sheetId="139" r:id="rId14"/>
    <sheet name="HARMONY EMBALAGENS 1180 P" sheetId="137" r:id="rId15"/>
    <sheet name="RM Embalagens 1179 P" sheetId="136" r:id="rId16"/>
    <sheet name="Tolecaixas 1181 P" sheetId="138" r:id="rId17"/>
    <sheet name="ABAPEL 1178 P" sheetId="135" r:id="rId18"/>
    <sheet name="FAVINCO EMBALAGENS 1177 P" sheetId="134" r:id="rId19"/>
    <sheet name="IPE EMBALAGENS 1176 P" sheetId="133" r:id="rId20"/>
    <sheet name="PCBOX EMBALAGENS 1175 P" sheetId="132" r:id="rId21"/>
    <sheet name="ABAPEL 1174 P" sheetId="131" r:id="rId22"/>
    <sheet name="PCBOX EMBALAGENS 1171 P" sheetId="127" r:id="rId23"/>
    <sheet name="HARMONY EMBALAGENS 1169 P" sheetId="125" r:id="rId24"/>
    <sheet name="DR EMBALAGEM 1167 P" sheetId="124" r:id="rId25"/>
    <sheet name="Z4A EMBALAGENS  1166 P" sheetId="123" r:id="rId26"/>
    <sheet name="RM Embalagens 1165 P" sheetId="122" r:id="rId27"/>
    <sheet name="Carpel 1158 P" sheetId="119" r:id="rId28"/>
    <sheet name="ABAPEL 1155 P" sheetId="118" r:id="rId29"/>
    <sheet name="IPE - PCBOX 1154 P" sheetId="117" r:id="rId30"/>
    <sheet name="ABAPEL 1143 P" sheetId="109" r:id="rId31"/>
    <sheet name="HARMONY EMBALAGENS 1138 P" sheetId="102" r:id="rId32"/>
    <sheet name="ABAPEL 1127 P" sheetId="97" r:id="rId33"/>
    <sheet name="ABAPEL 1105 P" sheetId="85" r:id="rId34"/>
    <sheet name="IVAIR SILVA 1122 P" sheetId="91" r:id="rId35"/>
    <sheet name="RENOVAPEL 1115 P" sheetId="88" r:id="rId36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7" i="135" l="1"/>
  <c r="P6" i="143" l="1"/>
  <c r="H6" i="143"/>
  <c r="P10" i="150"/>
  <c r="H10" i="150"/>
  <c r="P8" i="134"/>
  <c r="H8" i="134"/>
  <c r="P17" i="135"/>
</calcChain>
</file>

<file path=xl/sharedStrings.xml><?xml version="1.0" encoding="utf-8"?>
<sst xmlns="http://schemas.openxmlformats.org/spreadsheetml/2006/main" count="6712" uniqueCount="732">
  <si>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</si>
  <si>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</si>
  <si>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</si>
  <si>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</si>
  <si>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</si>
  <si>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</si>
  <si>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</si>
  <si>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</si>
  <si>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</si>
  <si>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</si>
  <si>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</si>
  <si>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</si>
  <si>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</si>
  <si>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</si>
  <si>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</si>
  <si>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</si>
  <si>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</si>
  <si>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</si>
  <si>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</si>
  <si>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</si>
  <si>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</si>
  <si>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</si>
  <si>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</si>
  <si>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</si>
  <si>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</si>
  <si>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</si>
  <si>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</si>
  <si>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</si>
  <si>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</si>
  <si>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</si>
  <si>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</si>
  <si>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</si>
  <si>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</si>
  <si>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</si>
  <si>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</si>
  <si>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</si>
  <si>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</si>
  <si>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</si>
  <si>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</si>
  <si>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</si>
  <si>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</si>
  <si>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</si>
  <si>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</si>
  <si>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</si>
  <si>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</si>
  <si>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</si>
  <si>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</si>
  <si>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</si>
  <si>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</si>
  <si>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</si>
  <si>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</si>
  <si>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</si>
  <si>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</si>
  <si>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</si>
  <si>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</si>
  <si>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</si>
  <si>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</si>
  <si>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</si>
  <si>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</si>
  <si>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</si>
  <si>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</si>
  <si>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</si>
  <si>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</si>
  <si>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</si>
  <si>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</si>
  <si>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</si>
  <si>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</si>
  <si>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</si>
  <si>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</si>
  <si>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</si>
  <si>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</si>
  <si>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</si>
  <si>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</si>
  <si>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</si>
  <si>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</si>
  <si>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</si>
  <si>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</si>
  <si>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</si>
  <si>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</si>
  <si>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</si>
  <si>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</si>
  <si>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</si>
  <si>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</si>
  <si>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</si>
  <si>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</si>
  <si>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</si>
  <si>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</si>
  <si>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</si>
  <si>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</si>
  <si>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</si>
  <si>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</si>
  <si>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</si>
  <si>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</si>
  <si>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</si>
  <si>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</si>
  <si>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</si>
  <si>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</si>
  <si>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</si>
  <si>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</si>
  <si>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</si>
  <si>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</si>
  <si>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</si>
  <si>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</si>
  <si>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</si>
  <si>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</si>
  <si>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</si>
  <si>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</si>
  <si>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</si>
  <si>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</si>
  <si>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</si>
  <si>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</si>
  <si>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</si>
  <si>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</si>
  <si>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</si>
  <si>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</si>
  <si>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</si>
  <si>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</si>
  <si>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</si>
  <si>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</si>
  <si>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</si>
  <si>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</si>
  <si>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</si>
  <si>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</si>
  <si>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</si>
  <si>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</si>
  <si>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</si>
  <si>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</si>
  <si>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</si>
  <si>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</si>
  <si>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</si>
  <si>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</si>
  <si>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</si>
  <si>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</si>
  <si>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</si>
  <si>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</si>
  <si>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</si>
  <si>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</si>
  <si>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</si>
  <si>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</si>
  <si>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</si>
  <si>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</si>
  <si>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</si>
  <si>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</si>
  <si>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</si>
  <si>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</si>
  <si>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</si>
  <si>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</si>
  <si>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</si>
  <si>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</si>
  <si>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</si>
  <si>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</si>
  <si>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</si>
  <si>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</si>
  <si>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</si>
  <si>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</si>
  <si>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</si>
  <si>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</si>
  <si>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</si>
  <si>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</si>
  <si>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</si>
  <si>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</si>
  <si>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</si>
  <si>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</si>
  <si>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</si>
  <si>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</si>
  <si>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</si>
  <si>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</si>
  <si>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</si>
  <si>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</si>
  <si>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</si>
  <si>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</si>
  <si>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</si>
  <si>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</si>
  <si>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</si>
  <si>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</si>
  <si>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</si>
  <si>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</si>
  <si>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</si>
  <si>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</si>
  <si>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</si>
  <si>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</si>
  <si>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</si>
  <si>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</si>
  <si>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</si>
  <si>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</si>
  <si>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</si>
  <si>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</si>
  <si>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</si>
  <si>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</si>
  <si>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</si>
  <si>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</si>
  <si>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</si>
  <si>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</si>
  <si>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</si>
  <si>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</si>
  <si>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</si>
  <si>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</si>
  <si>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</si>
  <si>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</si>
  <si>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</si>
  <si>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</si>
  <si>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</si>
  <si>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</si>
  <si>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</si>
  <si>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</si>
  <si>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</si>
  <si>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</si>
  <si>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</si>
  <si>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</si>
  <si>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</si>
  <si>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</si>
  <si>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</si>
  <si>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</si>
  <si>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</si>
  <si>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</si>
  <si>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</si>
  <si>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</si>
  <si>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</si>
  <si>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</si>
  <si>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</si>
  <si>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</si>
  <si>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</si>
  <si>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</si>
  <si>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</si>
  <si>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</si>
  <si>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</si>
  <si>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</si>
  <si>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</si>
  <si>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</si>
  <si>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</si>
  <si>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</si>
  <si>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</si>
  <si>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</si>
  <si>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</si>
  <si>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</si>
  <si>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</si>
  <si>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</si>
  <si>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</si>
  <si>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</si>
  <si>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</si>
  <si>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</si>
  <si>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</si>
  <si>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</si>
  <si>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</si>
  <si>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</si>
  <si>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</si>
  <si>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</si>
  <si>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</si>
  <si>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</si>
  <si>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</si>
  <si>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</si>
  <si>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</si>
  <si>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</si>
  <si>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</si>
  <si>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</si>
  <si>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</si>
  <si>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</si>
  <si>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</si>
  <si>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</si>
  <si>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</si>
  <si>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</si>
  <si>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</si>
  <si>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</si>
  <si>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</si>
  <si>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</si>
  <si>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</si>
  <si>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</si>
  <si>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</si>
  <si>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</si>
  <si>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</si>
  <si>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</si>
  <si>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</si>
  <si>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</si>
  <si>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</si>
  <si>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</si>
  <si>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</si>
  <si>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</si>
  <si>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</si>
  <si>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</si>
  <si>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</si>
  <si>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</si>
  <si>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</si>
  <si>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</si>
  <si>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</si>
  <si>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</si>
  <si>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</si>
  <si>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</si>
  <si>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</si>
  <si>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</si>
  <si>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</si>
  <si>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</si>
  <si>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</si>
  <si>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</si>
  <si>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</si>
  <si>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</si>
  <si>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</si>
  <si>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</si>
  <si>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</si>
  <si>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</si>
  <si>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</si>
  <si>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</si>
  <si>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</si>
  <si>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</si>
  <si>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</si>
  <si>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</si>
  <si>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</si>
  <si>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</si>
  <si>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</si>
  <si>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</si>
  <si>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</si>
  <si>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</si>
  <si>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</si>
  <si>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</si>
  <si>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</si>
  <si>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</si>
  <si>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</si>
  <si>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</si>
  <si>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</si>
  <si>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</si>
  <si>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</si>
  <si>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</si>
  <si>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</si>
  <si>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</si>
  <si>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</si>
  <si>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</si>
  <si>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</si>
  <si>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</si>
  <si>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</si>
  <si>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</si>
  <si>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</si>
  <si>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</si>
  <si>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</si>
  <si>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</si>
  <si>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</si>
  <si>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</si>
  <si>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</si>
  <si>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</si>
  <si>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</si>
  <si>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</si>
  <si>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</si>
  <si>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</si>
  <si>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</si>
  <si>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</si>
  <si>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</si>
  <si>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</si>
  <si>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</si>
  <si>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</si>
  <si>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</si>
  <si>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</si>
  <si>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</si>
  <si>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</si>
  <si>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</si>
  <si>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</si>
  <si>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</si>
  <si>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</si>
  <si>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</si>
  <si>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</si>
  <si>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</si>
  <si>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</si>
  <si>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</si>
  <si>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</si>
  <si>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</si>
  <si>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</si>
  <si>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</si>
  <si>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</si>
  <si>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</si>
  <si>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</si>
  <si>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</si>
  <si>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</si>
  <si>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</si>
  <si>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</si>
  <si>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</si>
  <si>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</si>
  <si>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</si>
  <si>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</si>
  <si>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</si>
  <si>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</si>
  <si>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</si>
  <si>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</si>
  <si>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</si>
  <si>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</si>
  <si>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</si>
  <si>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</si>
  <si>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</si>
  <si>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</si>
  <si>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</si>
  <si>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</si>
  <si>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</si>
  <si>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</si>
  <si>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</si>
  <si>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</si>
  <si>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</si>
  <si>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</si>
  <si>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</si>
  <si>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</si>
  <si>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</si>
  <si>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</si>
  <si>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</si>
  <si>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</si>
  <si>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</si>
  <si>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</si>
  <si>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</si>
  <si>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</si>
  <si>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</si>
  <si>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</si>
  <si>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</si>
  <si>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</si>
  <si>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</si>
  <si>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</si>
  <si>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</si>
  <si>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</si>
  <si>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</si>
  <si>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</si>
  <si>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</si>
  <si>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</si>
  <si>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</si>
  <si>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</si>
  <si>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</si>
  <si>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</si>
  <si>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</si>
  <si>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</si>
  <si>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</si>
  <si>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</si>
  <si>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</si>
  <si>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</si>
  <si>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</si>
  <si>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</si>
  <si>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</si>
  <si>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</si>
  <si>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</si>
  <si>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</si>
  <si>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</si>
  <si>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</si>
  <si>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</si>
  <si>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</si>
  <si>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</si>
  <si>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</si>
  <si>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</si>
  <si>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</si>
  <si>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</si>
  <si>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</si>
  <si>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</si>
  <si>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</si>
  <si>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</si>
  <si>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</si>
  <si>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</si>
  <si>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</si>
  <si>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</si>
  <si>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</si>
  <si>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</si>
  <si>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</si>
  <si>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</si>
  <si>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</si>
  <si>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</si>
  <si>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</si>
  <si>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</si>
  <si>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</si>
  <si>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</si>
  <si>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</si>
  <si>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</si>
  <si>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</si>
  <si>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</si>
  <si>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</si>
  <si>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</si>
  <si>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</si>
  <si>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</si>
  <si>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</si>
  <si>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</si>
  <si>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</si>
  <si>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</si>
  <si>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</si>
  <si>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</si>
  <si>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</si>
  <si>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</si>
  <si>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</si>
  <si>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</si>
  <si>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</si>
  <si>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</si>
  <si>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</si>
  <si>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</si>
  <si>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</si>
  <si>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</si>
  <si>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</si>
  <si>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</si>
  <si>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</si>
  <si>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</si>
  <si>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</si>
  <si>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</si>
  <si>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</si>
  <si>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</si>
  <si>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</si>
  <si>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</si>
  <si>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</si>
  <si>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</si>
  <si>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</si>
  <si>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</si>
  <si>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</si>
  <si>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</si>
  <si>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</si>
  <si>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</si>
  <si>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</si>
  <si>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</si>
  <si>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</si>
  <si>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</si>
  <si>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</si>
  <si>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</si>
  <si>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</si>
  <si>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</si>
  <si>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</si>
  <si>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</si>
  <si>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</si>
  <si>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</si>
  <si>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</si>
  <si>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</si>
  <si>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</si>
  <si>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</si>
  <si>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</si>
  <si>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</si>
  <si>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</si>
  <si>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</si>
  <si>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</si>
  <si>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</si>
  <si>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</si>
  <si>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</si>
  <si>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</si>
  <si>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</si>
  <si>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</si>
  <si>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</si>
  <si>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</si>
  <si>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</si>
  <si>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</si>
  <si>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</si>
  <si>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</si>
  <si>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</si>
  <si>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</si>
  <si>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</si>
  <si>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</si>
  <si>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</si>
  <si>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</si>
  <si>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</si>
  <si>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</si>
  <si>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</si>
  <si>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</si>
  <si>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</si>
  <si>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</si>
  <si>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</si>
  <si>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</si>
  <si>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</si>
  <si>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</si>
  <si>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</si>
  <si>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</si>
  <si>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</si>
  <si>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</si>
  <si>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</si>
  <si>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</si>
  <si>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</si>
  <si>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</si>
  <si>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</si>
  <si>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</si>
  <si>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</si>
  <si>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</si>
  <si>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</si>
  <si>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</si>
  <si>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</si>
  <si>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</si>
  <si>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</si>
  <si>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</si>
  <si>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</si>
  <si>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</si>
  <si>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</si>
  <si>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</si>
  <si>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</si>
  <si>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</si>
  <si>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</si>
  <si>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</si>
  <si>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</si>
  <si>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</si>
  <si>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</si>
  <si>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</si>
  <si>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</si>
  <si>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</si>
  <si>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</si>
  <si>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</si>
  <si>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</si>
  <si>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</si>
  <si>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</si>
  <si>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</si>
  <si>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</si>
  <si>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</si>
  <si>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</si>
  <si>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</si>
  <si>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</si>
  <si>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</si>
  <si>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</si>
  <si>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</si>
  <si>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</si>
  <si>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</si>
  <si>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</si>
  <si>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</si>
  <si>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</si>
  <si>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</si>
  <si>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</si>
  <si>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</si>
  <si>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</si>
  <si>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</si>
  <si>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</si>
  <si>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</si>
  <si>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</si>
  <si>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</si>
  <si>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</si>
  <si>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</si>
  <si>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</si>
  <si>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</si>
  <si>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</si>
  <si>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</si>
  <si>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</si>
  <si>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</si>
  <si>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</si>
  <si>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</si>
  <si>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</si>
  <si>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</si>
  <si>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</si>
  <si>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</si>
  <si>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</si>
  <si>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</si>
  <si>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</si>
  <si>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</si>
  <si>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</si>
  <si>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</si>
  <si>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</si>
  <si>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</si>
  <si>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</si>
  <si>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</si>
  <si>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</si>
  <si>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</si>
  <si>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</si>
  <si>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</si>
  <si>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</si>
  <si>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</si>
  <si>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</si>
  <si>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</si>
  <si>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</si>
  <si>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</si>
  <si>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</si>
  <si>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</si>
  <si>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</si>
  <si>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</si>
  <si>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</si>
  <si>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</si>
  <si>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</si>
  <si>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</si>
  <si>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</si>
  <si>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</si>
  <si>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</si>
  <si>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</si>
  <si>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</si>
  <si>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</si>
  <si>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</si>
  <si>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</si>
  <si>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</si>
  <si>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</si>
  <si>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</si>
  <si>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</si>
  <si>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</si>
  <si>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</si>
  <si>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</si>
  <si>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</si>
  <si>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</si>
  <si>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</si>
  <si>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</si>
  <si>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</si>
  <si>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</si>
  <si>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</si>
  <si>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</si>
  <si>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</si>
  <si>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</si>
  <si>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</si>
  <si>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</si>
  <si>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920x1938</t>
  </si>
  <si>
    <t>000</t>
  </si>
  <si>
    <t>14/09/2026</t>
  </si>
  <si>
    <t>PROGRAMAÇÃO ONDULADEIRA - HARMONY EMBALAGENS  —  OF: 001199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</si>
  <si>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</si>
  <si>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</si>
  <si>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</si>
  <si>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</si>
  <si>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</si>
  <si>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</si>
  <si>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</si>
  <si>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</si>
  <si>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</si>
  <si>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</si>
  <si>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</si>
  <si>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</si>
  <si>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</si>
  <si>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</si>
  <si>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</si>
  <si>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</si>
  <si>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</si>
  <si>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</si>
  <si>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</si>
  <si>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</si>
  <si>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</si>
  <si>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</si>
  <si>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</si>
  <si>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</si>
  <si>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</si>
  <si>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</si>
  <si>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</si>
  <si>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</si>
  <si>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</si>
  <si>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</si>
  <si>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</si>
  <si>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932x1581</t>
  </si>
  <si>
    <t>154x148x154</t>
  </si>
  <si>
    <t>1731</t>
  </si>
  <si>
    <t>15/09/2026</t>
  </si>
  <si>
    <t>1120x3020</t>
  </si>
  <si>
    <t>1732</t>
  </si>
  <si>
    <t>686x1617</t>
  </si>
  <si>
    <t>150x270x150</t>
  </si>
  <si>
    <t>1734</t>
  </si>
  <si>
    <t>148x370x148</t>
  </si>
  <si>
    <t>PROGRAMAÇÃO ONDULADEIRA - IPE EMBALAGENS LTDA - PCBOX EMBALAGENS LTDA  —  OF: 001203</t>
  </si>
  <si>
    <t>W55R15</t>
  </si>
  <si>
    <t>1156x1820</t>
  </si>
  <si>
    <t>150x345x150</t>
  </si>
  <si>
    <t>665x1546</t>
  </si>
  <si>
    <t>1038x1955</t>
  </si>
  <si>
    <t>662x2099</t>
  </si>
  <si>
    <t>101x195x101</t>
  </si>
  <si>
    <t>814x2100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</si>
</sst>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3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28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center"/>
    </xf>
    <xf numFmtId="0" fontId="18" fillId="5" borderId="0" xfId="3" applyFill="1" applyAlignment="1">
      <alignment horizont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16" fillId="0" borderId="0" xfId="3" applyFont="1"/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 vertical="center"/>
    </xf>
    <xf numFmtId="166" fontId="18" fillId="5" borderId="1" xfId="0" applyNumberFormat="1" applyFont="1" applyFill="1" applyBorder="1" applyAlignment="1">
      <alignment horizontal="center" vertical="center"/>
    </xf>
    <xf numFmtId="2" fontId="18" fillId="5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4" fontId="4" fillId="5" borderId="1" xfId="1" applyNumberFormat="1" applyFill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16" fillId="8" borderId="1" xfId="3" applyFont="1" applyFill="1" applyBorder="1" applyAlignment="1">
      <alignment horizontal="center" vertical="center"/>
    </xf>
    <xf numFmtId="0" fontId="2" fillId="0" borderId="0" xfId="1" applyFont="1"/>
    <xf numFmtId="0" fontId="21" fillId="0" borderId="0" xfId="3" applyFont="1"/>
    <xf numFmtId="0" fontId="8" fillId="0" borderId="0" xfId="3" applyFont="1"/>
    <xf numFmtId="0" fontId="8" fillId="0" borderId="0" xfId="1" applyFont="1"/>
    <xf numFmtId="0" fontId="8" fillId="0" borderId="0" xfId="3" applyFont="1" applyAlignment="1">
      <alignment horizontal="center" vertical="center"/>
    </xf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C649A-4A24-4BCE-A798-0B107F907AA7}">
  <dimension ref="A1:AB7"/>
  <sheetViews>
    <sheetView tabSelected="1" workbookViewId="0">
      <selection activeCell="R15" sqref="R15"/>
    </sheetView>
  </sheetViews>
  <sheetFormatPr defaultRowHeight="14.4"/>
  <cols>
    <col min="1" max="1" width="4.664062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8.44140625" style="1" customWidth="1"/>
    <col min="6" max="6" width="7.6640625" style="1" customWidth="1"/>
    <col min="7" max="7" width="7.77734375" style="1" customWidth="1"/>
    <col min="8" max="8" width="6.44140625" style="1" customWidth="1"/>
    <col min="9" max="9" width="6.109375" style="1" customWidth="1"/>
    <col min="10" max="10" width="7.7773437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5.4414062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44140625" style="1" customWidth="1"/>
    <col min="23" max="23" width="7.6640625" style="1" customWidth="1"/>
    <col min="24" max="24" width="7.5546875" style="1" customWidth="1"/>
    <col min="25" max="25" width="7.44140625" style="1" customWidth="1"/>
    <col min="26" max="26" width="7.21875" style="1" customWidth="1"/>
    <col min="27" max="27" width="3.77734375" style="1" customWidth="1"/>
    <col min="28" max="28" width="10" style="1" customWidth="1"/>
    <col min="29" max="16384" width="8.88671875" style="1"/>
  </cols>
  <sheetData>
    <row r="1" spans="1:28" ht="18" customHeight="1">
      <c r="A1" s="218" t="s">
        <v>723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1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444</v>
      </c>
      <c r="C3" s="5" t="s">
        <v>26</v>
      </c>
      <c r="D3" s="5" t="s">
        <v>716</v>
      </c>
      <c r="E3" s="5" t="s">
        <v>27</v>
      </c>
      <c r="F3" s="5">
        <v>262607</v>
      </c>
      <c r="G3" s="5" t="s">
        <v>721</v>
      </c>
      <c r="H3" s="5">
        <v>800</v>
      </c>
      <c r="I3" s="7">
        <v>0.66600000000000004</v>
      </c>
      <c r="J3" s="7">
        <v>1.597</v>
      </c>
      <c r="K3" s="5" t="s">
        <v>722</v>
      </c>
      <c r="L3" s="7">
        <v>850.88199999999995</v>
      </c>
      <c r="M3" s="9">
        <v>638.79999999999995</v>
      </c>
      <c r="N3" s="6">
        <v>8.8700000000000001E-2</v>
      </c>
      <c r="O3" s="8">
        <v>5.32</v>
      </c>
      <c r="P3" s="5">
        <v>457.8</v>
      </c>
      <c r="Q3" s="5">
        <v>2</v>
      </c>
      <c r="R3" s="5">
        <v>1400</v>
      </c>
      <c r="S3" s="7">
        <v>1.3320000000000001</v>
      </c>
      <c r="T3" s="5">
        <v>68</v>
      </c>
      <c r="U3" s="6">
        <v>4.8599999999999997E-2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49</v>
      </c>
      <c r="AB3" s="5" t="s">
        <v>719</v>
      </c>
    </row>
    <row r="4" spans="1:28" s="12" customFormat="1" ht="25.05" customHeight="1">
      <c r="A4" s="5">
        <v>2</v>
      </c>
      <c r="B4" s="10" t="s">
        <v>444</v>
      </c>
      <c r="C4" s="5" t="s">
        <v>36</v>
      </c>
      <c r="D4" s="5" t="s">
        <v>716</v>
      </c>
      <c r="E4" s="5" t="s">
        <v>27</v>
      </c>
      <c r="F4" s="5">
        <v>262608</v>
      </c>
      <c r="G4" s="5" t="s">
        <v>721</v>
      </c>
      <c r="H4" s="5">
        <v>800</v>
      </c>
      <c r="I4" s="7">
        <v>0.56999999999999995</v>
      </c>
      <c r="J4" s="7">
        <v>1.355</v>
      </c>
      <c r="K4" s="5" t="s">
        <v>720</v>
      </c>
      <c r="L4" s="7">
        <v>617.88</v>
      </c>
      <c r="M4" s="9">
        <v>542</v>
      </c>
      <c r="N4" s="6">
        <v>7.5300000000000006E-2</v>
      </c>
      <c r="O4" s="8">
        <v>4.5199999999999996</v>
      </c>
      <c r="P4" s="5">
        <v>194.6</v>
      </c>
      <c r="Q4" s="5">
        <v>2</v>
      </c>
      <c r="R4" s="5">
        <v>1400</v>
      </c>
      <c r="S4" s="7">
        <v>1.1399999999999999</v>
      </c>
      <c r="T4" s="5">
        <v>260</v>
      </c>
      <c r="U4" s="6">
        <v>0.1857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49</v>
      </c>
      <c r="AB4" s="5" t="s">
        <v>719</v>
      </c>
    </row>
    <row r="5" spans="1:28" s="12" customFormat="1" ht="25.05" customHeight="1">
      <c r="A5" s="5">
        <v>4</v>
      </c>
      <c r="B5" s="10" t="s">
        <v>444</v>
      </c>
      <c r="C5" s="5" t="s">
        <v>36</v>
      </c>
      <c r="D5" s="5" t="s">
        <v>716</v>
      </c>
      <c r="E5" s="5" t="s">
        <v>27</v>
      </c>
      <c r="F5" s="5">
        <v>262605</v>
      </c>
      <c r="G5" s="5" t="s">
        <v>718</v>
      </c>
      <c r="H5" s="5">
        <v>800</v>
      </c>
      <c r="I5" s="7">
        <v>1.1000000000000001</v>
      </c>
      <c r="J5" s="7">
        <v>3</v>
      </c>
      <c r="K5" s="5" t="s">
        <v>34</v>
      </c>
      <c r="L5" s="7">
        <v>2640</v>
      </c>
      <c r="M5" s="9">
        <v>2400</v>
      </c>
      <c r="N5" s="6">
        <v>0.66669999999999996</v>
      </c>
      <c r="O5" s="8">
        <v>40</v>
      </c>
      <c r="P5" s="5">
        <v>831.6</v>
      </c>
      <c r="Q5" s="5">
        <v>1</v>
      </c>
      <c r="R5" s="5">
        <v>1150</v>
      </c>
      <c r="S5" s="7">
        <v>1.1000000000000001</v>
      </c>
      <c r="T5" s="5">
        <v>50</v>
      </c>
      <c r="U5" s="6">
        <v>4.3499999999999997E-2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33</v>
      </c>
      <c r="AB5" s="5" t="s">
        <v>717</v>
      </c>
    </row>
    <row r="6" spans="1:28" s="12" customFormat="1" ht="25.05" customHeight="1">
      <c r="A6" s="5">
        <v>5</v>
      </c>
      <c r="B6" s="10" t="s">
        <v>448</v>
      </c>
      <c r="C6" s="5" t="s">
        <v>36</v>
      </c>
      <c r="D6" s="5" t="s">
        <v>716</v>
      </c>
      <c r="E6" s="5" t="s">
        <v>27</v>
      </c>
      <c r="F6" s="5">
        <v>262604</v>
      </c>
      <c r="G6" s="5" t="s">
        <v>715</v>
      </c>
      <c r="H6" s="5">
        <v>3000</v>
      </c>
      <c r="I6" s="7">
        <v>0.45600000000000002</v>
      </c>
      <c r="J6" s="7">
        <v>1.5609999999999999</v>
      </c>
      <c r="K6" s="5" t="s">
        <v>714</v>
      </c>
      <c r="L6" s="7">
        <v>2135.4479999999999</v>
      </c>
      <c r="M6" s="9">
        <v>2341.5</v>
      </c>
      <c r="N6" s="6">
        <v>0.32519999999999999</v>
      </c>
      <c r="O6" s="8">
        <v>19.510000000000002</v>
      </c>
      <c r="P6" s="5">
        <v>672.7</v>
      </c>
      <c r="Q6" s="5">
        <v>2</v>
      </c>
      <c r="R6" s="5">
        <v>950</v>
      </c>
      <c r="S6" s="7">
        <v>0.91200000000000003</v>
      </c>
      <c r="T6" s="5">
        <v>38</v>
      </c>
      <c r="U6" s="6">
        <v>0.04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32</v>
      </c>
      <c r="AB6" s="5" t="s">
        <v>713</v>
      </c>
    </row>
    <row r="7" spans="1:28" s="12" customFormat="1" ht="25.05" customHeight="1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6200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2351.3000000000002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7"/>
  <sheetViews>
    <sheetView workbookViewId="0">
      <selection activeCell="Q17" sqref="Q17"/>
    </sheetView>
  </sheetViews>
  <sheetFormatPr defaultRowHeight="14.4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>
      <c r="A1" s="218" t="s">
        <v>710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63</v>
      </c>
      <c r="C3" s="5" t="s">
        <v>26</v>
      </c>
      <c r="D3" s="5" t="s">
        <v>680</v>
      </c>
      <c r="E3" s="5" t="s">
        <v>27</v>
      </c>
      <c r="F3" s="5">
        <v>262601</v>
      </c>
      <c r="G3" s="5" t="s">
        <v>704</v>
      </c>
      <c r="H3" s="5">
        <v>1000</v>
      </c>
      <c r="I3" s="7">
        <v>0.71199999999999997</v>
      </c>
      <c r="J3" s="7">
        <v>2.19</v>
      </c>
      <c r="K3" s="5" t="s">
        <v>709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41</v>
      </c>
      <c r="AB3" s="5" t="s">
        <v>708</v>
      </c>
    </row>
    <row r="4" spans="1:28" s="12" customFormat="1" ht="25.05" customHeight="1">
      <c r="A4" s="5">
        <v>2</v>
      </c>
      <c r="B4" s="10" t="s">
        <v>63</v>
      </c>
      <c r="C4" s="5" t="s">
        <v>26</v>
      </c>
      <c r="D4" s="5" t="s">
        <v>680</v>
      </c>
      <c r="E4" s="5" t="s">
        <v>27</v>
      </c>
      <c r="F4" s="5">
        <v>262600</v>
      </c>
      <c r="G4" s="5" t="s">
        <v>704</v>
      </c>
      <c r="H4" s="5">
        <v>900</v>
      </c>
      <c r="I4" s="7">
        <v>0.64200000000000002</v>
      </c>
      <c r="J4" s="7">
        <v>2.0779999999999998</v>
      </c>
      <c r="K4" s="5" t="s">
        <v>129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49</v>
      </c>
      <c r="AB4" s="5" t="s">
        <v>707</v>
      </c>
    </row>
    <row r="5" spans="1:28" s="12" customFormat="1" ht="25.05" customHeight="1">
      <c r="A5" s="5">
        <v>3</v>
      </c>
      <c r="B5" s="10" t="s">
        <v>63</v>
      </c>
      <c r="C5" s="5" t="s">
        <v>26</v>
      </c>
      <c r="D5" s="5" t="s">
        <v>680</v>
      </c>
      <c r="E5" s="5" t="s">
        <v>27</v>
      </c>
      <c r="F5" s="5">
        <v>262599</v>
      </c>
      <c r="G5" s="5" t="s">
        <v>704</v>
      </c>
      <c r="H5" s="5">
        <v>450</v>
      </c>
      <c r="I5" s="7">
        <v>0.622</v>
      </c>
      <c r="J5" s="7">
        <v>2.2000000000000002</v>
      </c>
      <c r="K5" s="5" t="s">
        <v>706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705</v>
      </c>
    </row>
    <row r="6" spans="1:28" s="12" customFormat="1" ht="25.05" customHeight="1">
      <c r="A6" s="5">
        <v>4</v>
      </c>
      <c r="B6" s="10" t="s">
        <v>63</v>
      </c>
      <c r="C6" s="5" t="s">
        <v>26</v>
      </c>
      <c r="D6" s="5" t="s">
        <v>680</v>
      </c>
      <c r="E6" s="5" t="s">
        <v>27</v>
      </c>
      <c r="F6" s="5">
        <v>262598</v>
      </c>
      <c r="G6" s="5" t="s">
        <v>704</v>
      </c>
      <c r="H6" s="5">
        <v>550</v>
      </c>
      <c r="I6" s="7">
        <v>0.96199999999999997</v>
      </c>
      <c r="J6" s="7">
        <v>2.1190000000000002</v>
      </c>
      <c r="K6" s="5" t="s">
        <v>150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703</v>
      </c>
    </row>
    <row r="7" spans="1:28" s="12" customFormat="1" ht="25.05" customHeight="1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2900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2419.3000000000002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dimension ref="A1:AB20"/>
  <sheetViews>
    <sheetView workbookViewId="0">
      <selection activeCell="AD3" sqref="AD3"/>
    </sheetView>
  </sheetViews>
  <sheetFormatPr defaultRowHeight="14.4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>
      <c r="A1" s="218" t="s">
        <v>702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42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66</v>
      </c>
      <c r="C3" s="5" t="s">
        <v>26</v>
      </c>
      <c r="D3" s="5" t="s">
        <v>680</v>
      </c>
      <c r="E3" s="5" t="s">
        <v>27</v>
      </c>
      <c r="F3" s="5">
        <v>262591</v>
      </c>
      <c r="G3" s="5" t="s">
        <v>684</v>
      </c>
      <c r="H3" s="5">
        <v>1250</v>
      </c>
      <c r="I3" s="7">
        <v>0.49</v>
      </c>
      <c r="J3" s="7">
        <v>1.5489999999999999</v>
      </c>
      <c r="K3" s="5" t="s">
        <v>34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32</v>
      </c>
      <c r="AB3" s="5" t="s">
        <v>701</v>
      </c>
    </row>
    <row r="4" spans="1:28" s="199" customFormat="1" ht="25.05" customHeight="1">
      <c r="A4" s="200">
        <v>2</v>
      </c>
      <c r="B4" s="205" t="s">
        <v>66</v>
      </c>
      <c r="C4" s="200" t="s">
        <v>62</v>
      </c>
      <c r="D4" s="200" t="s">
        <v>680</v>
      </c>
      <c r="E4" s="200" t="s">
        <v>27</v>
      </c>
      <c r="F4" s="200">
        <v>262597</v>
      </c>
      <c r="G4" s="200" t="s">
        <v>700</v>
      </c>
      <c r="H4" s="200">
        <v>600</v>
      </c>
      <c r="I4" s="202">
        <v>1.236</v>
      </c>
      <c r="J4" s="202">
        <v>2.5910000000000002</v>
      </c>
      <c r="K4" s="200" t="s">
        <v>522</v>
      </c>
      <c r="L4" s="202">
        <v>1921.4860000000001</v>
      </c>
      <c r="M4" s="204">
        <v>1554.6</v>
      </c>
      <c r="N4" s="201">
        <v>0.43180000000000002</v>
      </c>
      <c r="O4" s="203">
        <v>25.91</v>
      </c>
      <c r="P4" s="200">
        <v>1214.4000000000001</v>
      </c>
      <c r="Q4" s="200">
        <v>1</v>
      </c>
      <c r="R4" s="200">
        <v>1300</v>
      </c>
      <c r="S4" s="202">
        <v>1.236</v>
      </c>
      <c r="T4" s="200">
        <v>64</v>
      </c>
      <c r="U4" s="201">
        <v>4.9200000000000001E-2</v>
      </c>
      <c r="V4" s="200" t="s">
        <v>29</v>
      </c>
      <c r="W4" s="200" t="s">
        <v>40</v>
      </c>
      <c r="X4" s="200" t="s">
        <v>28</v>
      </c>
      <c r="Y4" s="200" t="s">
        <v>28</v>
      </c>
      <c r="Z4" s="200" t="s">
        <v>29</v>
      </c>
      <c r="AA4" s="200" t="s">
        <v>32</v>
      </c>
      <c r="AB4" s="200" t="s">
        <v>521</v>
      </c>
    </row>
    <row r="5" spans="1:28" s="199" customFormat="1" ht="25.05" customHeight="1">
      <c r="A5" s="200">
        <v>3</v>
      </c>
      <c r="B5" s="205" t="s">
        <v>66</v>
      </c>
      <c r="C5" s="200" t="s">
        <v>62</v>
      </c>
      <c r="D5" s="200" t="s">
        <v>680</v>
      </c>
      <c r="E5" s="200" t="s">
        <v>27</v>
      </c>
      <c r="F5" s="200">
        <v>262596</v>
      </c>
      <c r="G5" s="200" t="s">
        <v>700</v>
      </c>
      <c r="H5" s="200">
        <v>2000</v>
      </c>
      <c r="I5" s="202">
        <v>1.196</v>
      </c>
      <c r="J5" s="202">
        <v>1.6910000000000001</v>
      </c>
      <c r="K5" s="200" t="s">
        <v>519</v>
      </c>
      <c r="L5" s="202">
        <v>4044.8719999999998</v>
      </c>
      <c r="M5" s="204">
        <v>3382</v>
      </c>
      <c r="N5" s="201">
        <v>0.93940000000000001</v>
      </c>
      <c r="O5" s="203">
        <v>56.37</v>
      </c>
      <c r="P5" s="200">
        <v>2556.4</v>
      </c>
      <c r="Q5" s="200">
        <v>1</v>
      </c>
      <c r="R5" s="200">
        <v>1250</v>
      </c>
      <c r="S5" s="202">
        <v>1.196</v>
      </c>
      <c r="T5" s="200">
        <v>54</v>
      </c>
      <c r="U5" s="201">
        <v>4.3200000000000002E-2</v>
      </c>
      <c r="V5" s="200" t="s">
        <v>29</v>
      </c>
      <c r="W5" s="200" t="s">
        <v>40</v>
      </c>
      <c r="X5" s="200" t="s">
        <v>28</v>
      </c>
      <c r="Y5" s="200" t="s">
        <v>28</v>
      </c>
      <c r="Z5" s="200" t="s">
        <v>29</v>
      </c>
      <c r="AA5" s="200" t="s">
        <v>72</v>
      </c>
      <c r="AB5" s="200" t="s">
        <v>518</v>
      </c>
    </row>
    <row r="6" spans="1:28" s="199" customFormat="1" ht="25.05" customHeight="1">
      <c r="A6" s="200">
        <v>4</v>
      </c>
      <c r="B6" s="205" t="s">
        <v>66</v>
      </c>
      <c r="C6" s="200" t="s">
        <v>45</v>
      </c>
      <c r="D6" s="200" t="s">
        <v>680</v>
      </c>
      <c r="E6" s="200" t="s">
        <v>27</v>
      </c>
      <c r="F6" s="200">
        <v>262595</v>
      </c>
      <c r="G6" s="200" t="s">
        <v>700</v>
      </c>
      <c r="H6" s="200">
        <v>1400</v>
      </c>
      <c r="I6" s="202">
        <v>1.2050000000000001</v>
      </c>
      <c r="J6" s="202">
        <v>2.5910000000000002</v>
      </c>
      <c r="K6" s="200" t="s">
        <v>53</v>
      </c>
      <c r="L6" s="202">
        <v>4371.0169999999998</v>
      </c>
      <c r="M6" s="204">
        <v>3627.4</v>
      </c>
      <c r="N6" s="201">
        <v>1.0076000000000001</v>
      </c>
      <c r="O6" s="203">
        <v>60.46</v>
      </c>
      <c r="P6" s="200">
        <v>2482.6999999999998</v>
      </c>
      <c r="Q6" s="200">
        <v>1</v>
      </c>
      <c r="R6" s="200">
        <v>1250</v>
      </c>
      <c r="S6" s="202">
        <v>1.2050000000000001</v>
      </c>
      <c r="T6" s="200">
        <v>45</v>
      </c>
      <c r="U6" s="201">
        <v>3.5999999999999997E-2</v>
      </c>
      <c r="V6" s="200" t="s">
        <v>35</v>
      </c>
      <c r="W6" s="200" t="s">
        <v>40</v>
      </c>
      <c r="X6" s="200" t="s">
        <v>35</v>
      </c>
      <c r="Y6" s="200" t="s">
        <v>35</v>
      </c>
      <c r="Z6" s="200" t="s">
        <v>35</v>
      </c>
      <c r="AA6" s="200" t="s">
        <v>55</v>
      </c>
      <c r="AB6" s="200" t="s">
        <v>54</v>
      </c>
    </row>
    <row r="7" spans="1:28" s="12" customFormat="1" ht="25.05" customHeight="1">
      <c r="A7" s="5">
        <v>5</v>
      </c>
      <c r="B7" s="10" t="s">
        <v>66</v>
      </c>
      <c r="C7" s="5" t="s">
        <v>26</v>
      </c>
      <c r="D7" s="5" t="s">
        <v>680</v>
      </c>
      <c r="E7" s="5" t="s">
        <v>27</v>
      </c>
      <c r="F7" s="5">
        <v>262589</v>
      </c>
      <c r="G7" s="5" t="s">
        <v>684</v>
      </c>
      <c r="H7" s="5">
        <v>1250</v>
      </c>
      <c r="I7" s="7">
        <v>0.88800000000000001</v>
      </c>
      <c r="J7" s="7">
        <v>1.4990000000000001</v>
      </c>
      <c r="K7" s="5" t="s">
        <v>34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57</v>
      </c>
      <c r="AB7" s="5" t="s">
        <v>699</v>
      </c>
    </row>
    <row r="8" spans="1:28" s="12" customFormat="1" ht="25.05" customHeight="1">
      <c r="A8" s="5">
        <v>6</v>
      </c>
      <c r="B8" s="10" t="s">
        <v>66</v>
      </c>
      <c r="C8" s="5" t="s">
        <v>26</v>
      </c>
      <c r="D8" s="5" t="s">
        <v>680</v>
      </c>
      <c r="E8" s="5" t="s">
        <v>27</v>
      </c>
      <c r="F8" s="5">
        <v>262590</v>
      </c>
      <c r="G8" s="5" t="s">
        <v>684</v>
      </c>
      <c r="H8" s="5">
        <v>5000</v>
      </c>
      <c r="I8" s="7">
        <v>0.90200000000000002</v>
      </c>
      <c r="J8" s="7">
        <v>0.95899999999999996</v>
      </c>
      <c r="K8" s="5" t="s">
        <v>34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73</v>
      </c>
      <c r="AB8" s="5" t="s">
        <v>698</v>
      </c>
    </row>
    <row r="9" spans="1:28" s="12" customFormat="1" ht="25.05" customHeight="1">
      <c r="A9" s="5">
        <v>7</v>
      </c>
      <c r="B9" s="10" t="s">
        <v>66</v>
      </c>
      <c r="C9" s="5" t="s">
        <v>36</v>
      </c>
      <c r="D9" s="5" t="s">
        <v>680</v>
      </c>
      <c r="E9" s="5" t="s">
        <v>27</v>
      </c>
      <c r="F9" s="5">
        <v>262588</v>
      </c>
      <c r="G9" s="5" t="s">
        <v>684</v>
      </c>
      <c r="H9" s="5">
        <v>3000</v>
      </c>
      <c r="I9" s="7">
        <v>0.5</v>
      </c>
      <c r="J9" s="7">
        <v>0.81</v>
      </c>
      <c r="K9" s="5" t="s">
        <v>34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697</v>
      </c>
    </row>
    <row r="10" spans="1:28" s="12" customFormat="1" ht="25.05" customHeight="1">
      <c r="A10" s="5">
        <v>8</v>
      </c>
      <c r="B10" s="10" t="s">
        <v>66</v>
      </c>
      <c r="C10" s="5" t="s">
        <v>36</v>
      </c>
      <c r="D10" s="5" t="s">
        <v>680</v>
      </c>
      <c r="E10" s="5" t="s">
        <v>27</v>
      </c>
      <c r="F10" s="5">
        <v>262586</v>
      </c>
      <c r="G10" s="5" t="s">
        <v>684</v>
      </c>
      <c r="H10" s="5">
        <v>3000</v>
      </c>
      <c r="I10" s="7">
        <v>0.35</v>
      </c>
      <c r="J10" s="7">
        <v>0.6</v>
      </c>
      <c r="K10" s="5" t="s">
        <v>34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696</v>
      </c>
    </row>
    <row r="11" spans="1:28" s="12" customFormat="1" ht="25.05" customHeight="1">
      <c r="A11" s="5">
        <v>9</v>
      </c>
      <c r="B11" s="10" t="s">
        <v>66</v>
      </c>
      <c r="C11" s="5" t="s">
        <v>36</v>
      </c>
      <c r="D11" s="5" t="s">
        <v>680</v>
      </c>
      <c r="E11" s="5" t="s">
        <v>27</v>
      </c>
      <c r="F11" s="5">
        <v>262587</v>
      </c>
      <c r="G11" s="5" t="s">
        <v>684</v>
      </c>
      <c r="H11" s="5">
        <v>2000</v>
      </c>
      <c r="I11" s="7">
        <v>0.35</v>
      </c>
      <c r="J11" s="7">
        <v>0.73</v>
      </c>
      <c r="K11" s="5" t="s">
        <v>34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695</v>
      </c>
    </row>
    <row r="12" spans="1:28" s="12" customFormat="1" ht="25.05" customHeight="1">
      <c r="A12" s="5">
        <v>10</v>
      </c>
      <c r="B12" s="10" t="s">
        <v>66</v>
      </c>
      <c r="C12" s="5" t="s">
        <v>43</v>
      </c>
      <c r="D12" s="5" t="s">
        <v>680</v>
      </c>
      <c r="E12" s="5" t="s">
        <v>27</v>
      </c>
      <c r="F12" s="5">
        <v>262583</v>
      </c>
      <c r="G12" s="5" t="s">
        <v>684</v>
      </c>
      <c r="H12" s="5">
        <v>450</v>
      </c>
      <c r="I12" s="7">
        <v>0.51400000000000001</v>
      </c>
      <c r="J12" s="7">
        <v>1.169</v>
      </c>
      <c r="K12" s="5" t="s">
        <v>694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693</v>
      </c>
    </row>
    <row r="13" spans="1:28" s="12" customFormat="1" ht="25.05" customHeight="1">
      <c r="A13" s="5">
        <v>11</v>
      </c>
      <c r="B13" s="10" t="s">
        <v>66</v>
      </c>
      <c r="C13" s="5" t="s">
        <v>43</v>
      </c>
      <c r="D13" s="5" t="s">
        <v>680</v>
      </c>
      <c r="E13" s="5" t="s">
        <v>27</v>
      </c>
      <c r="F13" s="5">
        <v>262592</v>
      </c>
      <c r="G13" s="5" t="s">
        <v>684</v>
      </c>
      <c r="H13" s="5">
        <v>270</v>
      </c>
      <c r="I13" s="7">
        <v>1.022</v>
      </c>
      <c r="J13" s="7">
        <v>1.089</v>
      </c>
      <c r="K13" s="5" t="s">
        <v>34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692</v>
      </c>
    </row>
    <row r="14" spans="1:28" s="12" customFormat="1" ht="25.05" customHeight="1">
      <c r="A14" s="5">
        <v>12</v>
      </c>
      <c r="B14" s="10" t="s">
        <v>66</v>
      </c>
      <c r="C14" s="5" t="s">
        <v>36</v>
      </c>
      <c r="D14" s="5" t="s">
        <v>680</v>
      </c>
      <c r="E14" s="5" t="s">
        <v>27</v>
      </c>
      <c r="F14" s="5">
        <v>262593</v>
      </c>
      <c r="G14" s="5" t="s">
        <v>684</v>
      </c>
      <c r="H14" s="5">
        <v>500</v>
      </c>
      <c r="I14" s="7">
        <v>0.96</v>
      </c>
      <c r="J14" s="7">
        <v>0.749</v>
      </c>
      <c r="K14" s="5" t="s">
        <v>34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691</v>
      </c>
    </row>
    <row r="15" spans="1:28" s="12" customFormat="1" ht="25.05" customHeight="1">
      <c r="A15" s="5">
        <v>13</v>
      </c>
      <c r="B15" s="10" t="s">
        <v>66</v>
      </c>
      <c r="C15" s="5" t="s">
        <v>43</v>
      </c>
      <c r="D15" s="5" t="s">
        <v>680</v>
      </c>
      <c r="E15" s="5" t="s">
        <v>27</v>
      </c>
      <c r="F15" s="5">
        <v>262584</v>
      </c>
      <c r="G15" s="5" t="s">
        <v>684</v>
      </c>
      <c r="H15" s="5">
        <v>550</v>
      </c>
      <c r="I15" s="7">
        <v>0.44400000000000001</v>
      </c>
      <c r="J15" s="7">
        <v>1.0489999999999999</v>
      </c>
      <c r="K15" s="5" t="s">
        <v>690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689</v>
      </c>
    </row>
    <row r="16" spans="1:28" s="12" customFormat="1" ht="25.05" customHeight="1">
      <c r="A16" s="5">
        <v>14</v>
      </c>
      <c r="B16" s="10" t="s">
        <v>66</v>
      </c>
      <c r="C16" s="5" t="s">
        <v>36</v>
      </c>
      <c r="D16" s="5" t="s">
        <v>680</v>
      </c>
      <c r="E16" s="5" t="s">
        <v>27</v>
      </c>
      <c r="F16" s="5">
        <v>262585</v>
      </c>
      <c r="G16" s="5" t="s">
        <v>684</v>
      </c>
      <c r="H16" s="5">
        <v>550</v>
      </c>
      <c r="I16" s="7">
        <v>0.91600000000000004</v>
      </c>
      <c r="J16" s="7">
        <v>0.629</v>
      </c>
      <c r="K16" s="5" t="s">
        <v>34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688</v>
      </c>
    </row>
    <row r="17" spans="1:28" s="12" customFormat="1" ht="25.05" customHeight="1">
      <c r="A17" s="5">
        <v>15</v>
      </c>
      <c r="B17" s="10" t="s">
        <v>66</v>
      </c>
      <c r="C17" s="5" t="s">
        <v>36</v>
      </c>
      <c r="D17" s="5" t="s">
        <v>680</v>
      </c>
      <c r="E17" s="5" t="s">
        <v>27</v>
      </c>
      <c r="F17" s="5">
        <v>262594</v>
      </c>
      <c r="G17" s="5" t="s">
        <v>684</v>
      </c>
      <c r="H17" s="5">
        <v>600</v>
      </c>
      <c r="I17" s="7">
        <v>0.85</v>
      </c>
      <c r="J17" s="7">
        <v>1.2490000000000001</v>
      </c>
      <c r="K17" s="5" t="s">
        <v>34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33</v>
      </c>
      <c r="AB17" s="5" t="s">
        <v>687</v>
      </c>
    </row>
    <row r="18" spans="1:28" s="12" customFormat="1" ht="25.05" customHeight="1">
      <c r="A18" s="5">
        <v>16</v>
      </c>
      <c r="B18" s="10" t="s">
        <v>66</v>
      </c>
      <c r="C18" s="5" t="s">
        <v>50</v>
      </c>
      <c r="D18" s="5" t="s">
        <v>680</v>
      </c>
      <c r="E18" s="5" t="s">
        <v>27</v>
      </c>
      <c r="F18" s="5">
        <v>262581</v>
      </c>
      <c r="G18" s="5" t="s">
        <v>684</v>
      </c>
      <c r="H18" s="5">
        <v>1000</v>
      </c>
      <c r="I18" s="7">
        <v>0.33500000000000002</v>
      </c>
      <c r="J18" s="7">
        <v>0.94899999999999995</v>
      </c>
      <c r="K18" s="5" t="s">
        <v>686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39</v>
      </c>
      <c r="AB18" s="5" t="s">
        <v>685</v>
      </c>
    </row>
    <row r="19" spans="1:28" s="12" customFormat="1" ht="25.05" customHeight="1">
      <c r="A19" s="5">
        <v>17</v>
      </c>
      <c r="B19" s="10" t="s">
        <v>66</v>
      </c>
      <c r="C19" s="5" t="s">
        <v>36</v>
      </c>
      <c r="D19" s="5" t="s">
        <v>680</v>
      </c>
      <c r="E19" s="5" t="s">
        <v>27</v>
      </c>
      <c r="F19" s="5">
        <v>262582</v>
      </c>
      <c r="G19" s="5" t="s">
        <v>684</v>
      </c>
      <c r="H19" s="5">
        <v>1300</v>
      </c>
      <c r="I19" s="7">
        <v>0.33400000000000002</v>
      </c>
      <c r="J19" s="7">
        <v>0.78900000000000003</v>
      </c>
      <c r="K19" s="5" t="s">
        <v>683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39</v>
      </c>
      <c r="AB19" s="5" t="s">
        <v>682</v>
      </c>
    </row>
    <row r="20" spans="1:28" s="12" customFormat="1" ht="25.05" customHeight="1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v>11647.9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3CE4-617A-4EF9-89C8-ADAA1610BB0C}">
  <dimension ref="A1:AB4"/>
  <sheetViews>
    <sheetView workbookViewId="0">
      <selection activeCell="AC10" sqref="AC10"/>
    </sheetView>
  </sheetViews>
  <sheetFormatPr defaultRowHeight="14.4"/>
  <cols>
    <col min="1" max="1" width="5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7.21875" style="108" customWidth="1"/>
    <col min="7" max="7" width="5.44140625" style="108" customWidth="1"/>
    <col min="8" max="8" width="6.44140625" style="108" customWidth="1"/>
    <col min="9" max="9" width="6.33203125" style="108" customWidth="1"/>
    <col min="10" max="10" width="7" style="108" customWidth="1"/>
    <col min="11" max="11" width="12.441406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6640625" style="108" customWidth="1"/>
    <col min="17" max="17" width="4.44140625" style="108" customWidth="1"/>
    <col min="18" max="18" width="6.1093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4" width="8.33203125" style="108" customWidth="1"/>
    <col min="25" max="25" width="7.44140625" style="108" customWidth="1"/>
    <col min="26" max="26" width="7.88671875" style="108" customWidth="1"/>
    <col min="27" max="27" width="5.21875" style="108" customWidth="1"/>
    <col min="28" max="28" width="10.33203125" style="108" customWidth="1"/>
    <col min="29" max="16384" width="8.88671875" style="108"/>
  </cols>
  <sheetData>
    <row r="1" spans="1:28" ht="18" customHeight="1">
      <c r="A1" s="219" t="s">
        <v>681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60.6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19.2" customHeight="1">
      <c r="A3" s="116">
        <v>1</v>
      </c>
      <c r="B3" s="118" t="s">
        <v>66</v>
      </c>
      <c r="C3" s="116" t="s">
        <v>26</v>
      </c>
      <c r="D3" s="116" t="s">
        <v>680</v>
      </c>
      <c r="E3" s="116" t="s">
        <v>27</v>
      </c>
      <c r="F3" s="116">
        <v>262580</v>
      </c>
      <c r="G3" s="116" t="s">
        <v>679</v>
      </c>
      <c r="H3" s="116">
        <v>5100</v>
      </c>
      <c r="I3" s="117">
        <v>0.9</v>
      </c>
      <c r="J3" s="117">
        <v>0.95899999999999996</v>
      </c>
      <c r="K3" s="116" t="s">
        <v>34</v>
      </c>
      <c r="L3" s="113">
        <v>4401.8100000000004</v>
      </c>
      <c r="M3" s="115">
        <v>4890.8999999999996</v>
      </c>
      <c r="N3" s="112">
        <v>1.3586</v>
      </c>
      <c r="O3" s="114">
        <v>81.52</v>
      </c>
      <c r="P3" s="111">
        <v>2610.3000000000002</v>
      </c>
      <c r="Q3" s="111">
        <v>1</v>
      </c>
      <c r="R3" s="111">
        <v>950</v>
      </c>
      <c r="S3" s="113">
        <v>0.9</v>
      </c>
      <c r="T3" s="111">
        <v>50</v>
      </c>
      <c r="U3" s="112">
        <v>5.2600000000000001E-2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426</v>
      </c>
      <c r="AB3" s="111" t="s">
        <v>678</v>
      </c>
    </row>
    <row r="4" spans="1:28">
      <c r="A4" s="110" t="s">
        <v>27</v>
      </c>
      <c r="B4" s="110" t="s">
        <v>27</v>
      </c>
      <c r="C4" s="110" t="s">
        <v>27</v>
      </c>
      <c r="D4" s="110" t="s">
        <v>27</v>
      </c>
      <c r="E4" s="110" t="s">
        <v>27</v>
      </c>
      <c r="F4" s="110" t="s">
        <v>27</v>
      </c>
      <c r="G4" s="110" t="s">
        <v>27</v>
      </c>
      <c r="H4" s="110">
        <v>5100</v>
      </c>
      <c r="I4" s="110" t="s">
        <v>27</v>
      </c>
      <c r="J4" s="110" t="s">
        <v>27</v>
      </c>
      <c r="K4" s="110" t="s">
        <v>27</v>
      </c>
      <c r="L4" s="109" t="s">
        <v>27</v>
      </c>
      <c r="M4" s="109" t="s">
        <v>27</v>
      </c>
      <c r="N4" s="109" t="s">
        <v>27</v>
      </c>
      <c r="O4" s="109" t="s">
        <v>27</v>
      </c>
      <c r="P4" s="109">
        <v>2610.3000000000002</v>
      </c>
      <c r="Q4" s="109" t="s">
        <v>27</v>
      </c>
      <c r="R4" s="109" t="s">
        <v>27</v>
      </c>
      <c r="S4" s="109" t="s">
        <v>27</v>
      </c>
      <c r="T4" s="109" t="s">
        <v>27</v>
      </c>
      <c r="U4" s="109" t="s">
        <v>27</v>
      </c>
      <c r="V4" s="109" t="s">
        <v>27</v>
      </c>
      <c r="W4" s="109" t="s">
        <v>27</v>
      </c>
      <c r="X4" s="109" t="s">
        <v>27</v>
      </c>
      <c r="Y4" s="109" t="s">
        <v>27</v>
      </c>
      <c r="Z4" s="109" t="s">
        <v>27</v>
      </c>
      <c r="AA4" s="109" t="s">
        <v>27</v>
      </c>
      <c r="AB4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dimension ref="A1:AB10"/>
  <sheetViews>
    <sheetView workbookViewId="0">
      <selection activeCell="A3" sqref="A3:A9"/>
    </sheetView>
  </sheetViews>
  <sheetFormatPr defaultRowHeight="14.4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44140625" style="108" customWidth="1"/>
    <col min="7" max="7" width="4.44140625" style="108" customWidth="1"/>
    <col min="8" max="8" width="5.6640625" style="108" customWidth="1"/>
    <col min="9" max="9" width="6.109375" style="108" customWidth="1"/>
    <col min="10" max="10" width="6.44140625" style="108" customWidth="1"/>
    <col min="11" max="11" width="13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3.88671875" style="108" customWidth="1"/>
    <col min="18" max="18" width="6.5546875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8.6640625" style="108" customWidth="1"/>
    <col min="25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>
      <c r="A1" s="219" t="s">
        <v>669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1.4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>
      <c r="A3" s="161">
        <v>1</v>
      </c>
      <c r="B3" s="162" t="s">
        <v>480</v>
      </c>
      <c r="C3" s="161" t="s">
        <v>62</v>
      </c>
      <c r="D3" s="161" t="s">
        <v>602</v>
      </c>
      <c r="E3" s="161" t="s">
        <v>27</v>
      </c>
      <c r="F3" s="161">
        <v>262575</v>
      </c>
      <c r="G3" s="161" t="s">
        <v>668</v>
      </c>
      <c r="H3" s="161">
        <v>600</v>
      </c>
      <c r="I3" s="163">
        <v>0.54300000000000004</v>
      </c>
      <c r="J3" s="163">
        <v>0.95</v>
      </c>
      <c r="K3" s="161" t="s">
        <v>667</v>
      </c>
      <c r="L3" s="163">
        <v>309.51</v>
      </c>
      <c r="M3" s="164">
        <v>285</v>
      </c>
      <c r="N3" s="165">
        <v>3.9600000000000003E-2</v>
      </c>
      <c r="O3" s="166">
        <v>2.38</v>
      </c>
      <c r="P3" s="161">
        <v>193.8</v>
      </c>
      <c r="Q3" s="161">
        <v>2</v>
      </c>
      <c r="R3" s="161">
        <v>1150</v>
      </c>
      <c r="S3" s="163">
        <v>1.0860000000000001</v>
      </c>
      <c r="T3" s="161">
        <v>64</v>
      </c>
      <c r="U3" s="165">
        <v>5.57E-2</v>
      </c>
      <c r="V3" s="161" t="s">
        <v>29</v>
      </c>
      <c r="W3" s="161" t="s">
        <v>40</v>
      </c>
      <c r="X3" s="161" t="s">
        <v>28</v>
      </c>
      <c r="Y3" s="161" t="s">
        <v>28</v>
      </c>
      <c r="Z3" s="161" t="s">
        <v>29</v>
      </c>
      <c r="AA3" s="161" t="s">
        <v>39</v>
      </c>
      <c r="AB3" s="161" t="s">
        <v>666</v>
      </c>
    </row>
    <row r="4" spans="1:28" s="167" customFormat="1">
      <c r="A4" s="161">
        <v>2</v>
      </c>
      <c r="B4" s="162" t="s">
        <v>480</v>
      </c>
      <c r="C4" s="161" t="s">
        <v>62</v>
      </c>
      <c r="D4" s="191">
        <v>46279</v>
      </c>
      <c r="E4" s="161"/>
      <c r="F4" s="161">
        <v>262579</v>
      </c>
      <c r="G4" s="161">
        <v>69</v>
      </c>
      <c r="H4" s="161">
        <v>300</v>
      </c>
      <c r="I4" s="163">
        <v>1.113</v>
      </c>
      <c r="J4" s="163">
        <v>2.41</v>
      </c>
      <c r="K4" s="161" t="s">
        <v>676</v>
      </c>
      <c r="L4" s="163">
        <v>804.69899999999996</v>
      </c>
      <c r="M4" s="164">
        <v>723</v>
      </c>
      <c r="N4" s="165">
        <v>0.20080000000000001</v>
      </c>
      <c r="O4" s="166">
        <v>12.05</v>
      </c>
      <c r="P4" s="161">
        <v>503.7</v>
      </c>
      <c r="Q4" s="161">
        <v>1</v>
      </c>
      <c r="R4" s="161">
        <v>1150</v>
      </c>
      <c r="S4" s="163">
        <v>1.113</v>
      </c>
      <c r="T4" s="161">
        <v>37</v>
      </c>
      <c r="U4" s="165">
        <v>3.2199999999999999E-2</v>
      </c>
      <c r="V4" s="161" t="s">
        <v>29</v>
      </c>
      <c r="W4" s="161" t="s">
        <v>40</v>
      </c>
      <c r="X4" s="161" t="s">
        <v>28</v>
      </c>
      <c r="Y4" s="161" t="s">
        <v>28</v>
      </c>
      <c r="Z4" s="161" t="s">
        <v>29</v>
      </c>
      <c r="AA4" s="161">
        <v>2</v>
      </c>
      <c r="AB4" s="161" t="s">
        <v>677</v>
      </c>
    </row>
    <row r="5" spans="1:28" s="167" customFormat="1">
      <c r="A5" s="161">
        <v>3</v>
      </c>
      <c r="B5" s="162" t="s">
        <v>480</v>
      </c>
      <c r="C5" s="161" t="s">
        <v>670</v>
      </c>
      <c r="D5" s="191">
        <v>46279</v>
      </c>
      <c r="E5" s="161"/>
      <c r="F5" s="161">
        <v>262576</v>
      </c>
      <c r="G5" s="161">
        <v>69</v>
      </c>
      <c r="H5" s="161">
        <v>500</v>
      </c>
      <c r="I5" s="163">
        <v>0.45</v>
      </c>
      <c r="J5" s="163">
        <v>1.59</v>
      </c>
      <c r="K5" s="161" t="s">
        <v>671</v>
      </c>
      <c r="L5" s="163">
        <v>357.75</v>
      </c>
      <c r="M5" s="164">
        <v>397.5</v>
      </c>
      <c r="N5" s="165">
        <v>5.5199999999999999E-2</v>
      </c>
      <c r="O5" s="166">
        <v>3.31</v>
      </c>
      <c r="P5" s="161">
        <v>138.80000000000001</v>
      </c>
      <c r="Q5" s="161">
        <v>2</v>
      </c>
      <c r="R5" s="161">
        <v>1150</v>
      </c>
      <c r="S5" s="163">
        <v>0.9</v>
      </c>
      <c r="T5" s="161">
        <v>250</v>
      </c>
      <c r="U5" s="165">
        <v>0.21740000000000001</v>
      </c>
      <c r="V5" s="161" t="s">
        <v>40</v>
      </c>
      <c r="W5" s="161" t="s">
        <v>29</v>
      </c>
      <c r="X5" s="161" t="s">
        <v>29</v>
      </c>
      <c r="Y5" s="161"/>
      <c r="Z5" s="161"/>
      <c r="AA5" s="161">
        <v>1</v>
      </c>
      <c r="AB5" s="161" t="s">
        <v>666</v>
      </c>
    </row>
    <row r="6" spans="1:28" s="167" customFormat="1">
      <c r="A6" s="161">
        <v>4</v>
      </c>
      <c r="B6" s="162" t="s">
        <v>480</v>
      </c>
      <c r="C6" s="161" t="s">
        <v>670</v>
      </c>
      <c r="D6" s="191">
        <v>46279</v>
      </c>
      <c r="E6" s="161"/>
      <c r="F6" s="161">
        <v>262578</v>
      </c>
      <c r="G6" s="161">
        <v>69</v>
      </c>
      <c r="H6" s="161">
        <v>600</v>
      </c>
      <c r="I6" s="163">
        <v>0.54600000000000004</v>
      </c>
      <c r="J6" s="163">
        <v>1.41</v>
      </c>
      <c r="K6" s="161" t="s">
        <v>674</v>
      </c>
      <c r="L6" s="163">
        <v>461.916</v>
      </c>
      <c r="M6" s="164">
        <v>423</v>
      </c>
      <c r="N6" s="165">
        <v>5.8700000000000002E-2</v>
      </c>
      <c r="O6" s="166">
        <v>3.52</v>
      </c>
      <c r="P6" s="161">
        <v>179.2</v>
      </c>
      <c r="Q6" s="161">
        <v>2</v>
      </c>
      <c r="R6" s="161">
        <v>1150</v>
      </c>
      <c r="S6" s="163">
        <v>1.0920000000000001</v>
      </c>
      <c r="T6" s="161">
        <v>58</v>
      </c>
      <c r="U6" s="165">
        <v>5.04E-2</v>
      </c>
      <c r="V6" s="161" t="s">
        <v>40</v>
      </c>
      <c r="W6" s="161" t="s">
        <v>29</v>
      </c>
      <c r="X6" s="161" t="s">
        <v>29</v>
      </c>
      <c r="Y6" s="161"/>
      <c r="Z6" s="161"/>
      <c r="AA6" s="161">
        <v>1</v>
      </c>
      <c r="AB6" s="161" t="s">
        <v>675</v>
      </c>
    </row>
    <row r="7" spans="1:28" s="167" customFormat="1">
      <c r="A7" s="161">
        <v>5</v>
      </c>
      <c r="B7" s="162" t="s">
        <v>480</v>
      </c>
      <c r="C7" s="161" t="s">
        <v>36</v>
      </c>
      <c r="D7" s="191">
        <v>46280</v>
      </c>
      <c r="E7" s="161"/>
      <c r="F7" s="161">
        <v>262603</v>
      </c>
      <c r="G7" s="161">
        <v>70</v>
      </c>
      <c r="H7" s="161">
        <v>600</v>
      </c>
      <c r="I7" s="163">
        <v>0.69</v>
      </c>
      <c r="J7" s="163">
        <v>1</v>
      </c>
      <c r="K7" s="161" t="s">
        <v>34</v>
      </c>
      <c r="L7" s="163">
        <v>414</v>
      </c>
      <c r="M7" s="164">
        <v>300</v>
      </c>
      <c r="N7" s="165">
        <v>4.1700000000000001E-2</v>
      </c>
      <c r="O7" s="166">
        <v>2.5</v>
      </c>
      <c r="P7" s="161">
        <v>130.4</v>
      </c>
      <c r="Q7" s="161">
        <v>2</v>
      </c>
      <c r="R7" s="161">
        <v>1400</v>
      </c>
      <c r="S7" s="163">
        <v>1.38</v>
      </c>
      <c r="T7" s="161">
        <v>20</v>
      </c>
      <c r="U7" s="165">
        <v>1.43E-2</v>
      </c>
      <c r="V7" s="161" t="s">
        <v>28</v>
      </c>
      <c r="W7" s="161" t="s">
        <v>28</v>
      </c>
      <c r="X7" s="161" t="s">
        <v>28</v>
      </c>
      <c r="Y7" s="161"/>
      <c r="Z7" s="161"/>
      <c r="AA7" s="161">
        <v>1</v>
      </c>
      <c r="AB7" s="161" t="s">
        <v>712</v>
      </c>
    </row>
    <row r="8" spans="1:28" s="167" customFormat="1">
      <c r="A8" s="161">
        <v>6</v>
      </c>
      <c r="B8" s="162" t="s">
        <v>480</v>
      </c>
      <c r="C8" s="161" t="s">
        <v>670</v>
      </c>
      <c r="D8" s="191">
        <v>46279</v>
      </c>
      <c r="E8" s="161"/>
      <c r="F8" s="161">
        <v>262577</v>
      </c>
      <c r="G8" s="161">
        <v>69</v>
      </c>
      <c r="H8" s="161">
        <v>1000</v>
      </c>
      <c r="I8" s="163">
        <v>0.52500000000000002</v>
      </c>
      <c r="J8" s="163">
        <v>1.29</v>
      </c>
      <c r="K8" s="161" t="s">
        <v>672</v>
      </c>
      <c r="L8" s="163">
        <v>677.25</v>
      </c>
      <c r="M8" s="164">
        <v>645</v>
      </c>
      <c r="N8" s="165">
        <v>8.9599999999999999E-2</v>
      </c>
      <c r="O8" s="166">
        <v>5.38</v>
      </c>
      <c r="P8" s="161">
        <v>262.8</v>
      </c>
      <c r="Q8" s="161">
        <v>2</v>
      </c>
      <c r="R8" s="161">
        <v>1100</v>
      </c>
      <c r="S8" s="163">
        <v>1.05</v>
      </c>
      <c r="T8" s="161">
        <v>50</v>
      </c>
      <c r="U8" s="165">
        <v>4.5499999999999999E-2</v>
      </c>
      <c r="V8" s="161" t="s">
        <v>40</v>
      </c>
      <c r="W8" s="161" t="s">
        <v>29</v>
      </c>
      <c r="X8" s="161" t="s">
        <v>29</v>
      </c>
      <c r="Y8" s="161"/>
      <c r="Z8" s="161"/>
      <c r="AA8" s="161">
        <v>2</v>
      </c>
      <c r="AB8" s="161" t="s">
        <v>673</v>
      </c>
    </row>
    <row r="9" spans="1:28" s="167" customFormat="1">
      <c r="A9" s="161">
        <v>7</v>
      </c>
      <c r="B9" s="162" t="s">
        <v>480</v>
      </c>
      <c r="C9" s="161" t="s">
        <v>36</v>
      </c>
      <c r="D9" s="191">
        <v>46280</v>
      </c>
      <c r="E9" s="161"/>
      <c r="F9" s="161">
        <v>262602</v>
      </c>
      <c r="G9" s="161">
        <v>70</v>
      </c>
      <c r="H9" s="161">
        <v>1250</v>
      </c>
      <c r="I9" s="163">
        <v>0.54</v>
      </c>
      <c r="J9" s="163">
        <v>1</v>
      </c>
      <c r="K9" s="161" t="s">
        <v>34</v>
      </c>
      <c r="L9" s="163">
        <v>675</v>
      </c>
      <c r="M9" s="164">
        <v>625</v>
      </c>
      <c r="N9" s="165">
        <v>8.6800000000000002E-2</v>
      </c>
      <c r="O9" s="166">
        <v>5.21</v>
      </c>
      <c r="P9" s="161">
        <v>212.6</v>
      </c>
      <c r="Q9" s="161">
        <v>2</v>
      </c>
      <c r="R9" s="161">
        <v>1100</v>
      </c>
      <c r="S9" s="163">
        <v>1.08</v>
      </c>
      <c r="T9" s="161">
        <v>20</v>
      </c>
      <c r="U9" s="165">
        <v>1.8200000000000001E-2</v>
      </c>
      <c r="V9" s="161" t="s">
        <v>28</v>
      </c>
      <c r="W9" s="161" t="s">
        <v>28</v>
      </c>
      <c r="X9" s="161" t="s">
        <v>28</v>
      </c>
      <c r="Y9" s="161"/>
      <c r="Z9" s="161"/>
      <c r="AA9" s="161">
        <v>1</v>
      </c>
      <c r="AB9" s="161" t="s">
        <v>711</v>
      </c>
    </row>
    <row r="10" spans="1:28" s="167" customFormat="1">
      <c r="A10" s="168" t="s">
        <v>27</v>
      </c>
      <c r="B10" s="168" t="s">
        <v>27</v>
      </c>
      <c r="C10" s="168" t="s">
        <v>27</v>
      </c>
      <c r="D10" s="168" t="s">
        <v>27</v>
      </c>
      <c r="E10" s="168" t="s">
        <v>27</v>
      </c>
      <c r="F10" s="168" t="s">
        <v>27</v>
      </c>
      <c r="G10" s="168" t="s">
        <v>27</v>
      </c>
      <c r="H10" s="168">
        <f>SUM(H3:H8)</f>
        <v>3600</v>
      </c>
      <c r="I10" s="168" t="s">
        <v>27</v>
      </c>
      <c r="J10" s="168" t="s">
        <v>27</v>
      </c>
      <c r="K10" s="168" t="s">
        <v>27</v>
      </c>
      <c r="L10" s="168" t="s">
        <v>27</v>
      </c>
      <c r="M10" s="168" t="s">
        <v>27</v>
      </c>
      <c r="N10" s="168" t="s">
        <v>27</v>
      </c>
      <c r="O10" s="168" t="s">
        <v>27</v>
      </c>
      <c r="P10" s="168">
        <f>SUM(P3:P8)</f>
        <v>1408.7</v>
      </c>
      <c r="Q10" s="168" t="s">
        <v>27</v>
      </c>
      <c r="R10" s="168" t="s">
        <v>27</v>
      </c>
      <c r="S10" s="168" t="s">
        <v>27</v>
      </c>
      <c r="T10" s="168" t="s">
        <v>27</v>
      </c>
      <c r="U10" s="168" t="s">
        <v>27</v>
      </c>
      <c r="V10" s="168" t="s">
        <v>27</v>
      </c>
      <c r="W10" s="168" t="s">
        <v>27</v>
      </c>
      <c r="X10" s="168" t="s">
        <v>27</v>
      </c>
      <c r="Y10" s="168" t="s">
        <v>27</v>
      </c>
      <c r="Z10" s="168" t="s">
        <v>27</v>
      </c>
      <c r="AA10" s="168" t="s">
        <v>27</v>
      </c>
      <c r="AB10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J25" sqref="J25"/>
    </sheetView>
  </sheetViews>
  <sheetFormatPr defaultRowHeight="14.4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>
      <c r="A1" s="219" t="s">
        <v>665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167" customFormat="1" ht="42.6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4" customFormat="1">
      <c r="A3" s="178">
        <v>1</v>
      </c>
      <c r="B3" s="179" t="s">
        <v>63</v>
      </c>
      <c r="C3" s="178" t="s">
        <v>26</v>
      </c>
      <c r="D3" s="178" t="s">
        <v>602</v>
      </c>
      <c r="E3" s="178" t="s">
        <v>27</v>
      </c>
      <c r="F3" s="178">
        <v>262566</v>
      </c>
      <c r="G3" s="178" t="s">
        <v>654</v>
      </c>
      <c r="H3" s="178">
        <v>450</v>
      </c>
      <c r="I3" s="180">
        <v>1.155</v>
      </c>
      <c r="J3" s="180">
        <v>2.13</v>
      </c>
      <c r="K3" s="178" t="s">
        <v>664</v>
      </c>
      <c r="L3" s="180">
        <v>1107.068</v>
      </c>
      <c r="M3" s="181">
        <v>958.5</v>
      </c>
      <c r="N3" s="182">
        <v>0.26619999999999999</v>
      </c>
      <c r="O3" s="183">
        <v>15.97</v>
      </c>
      <c r="P3" s="178">
        <v>656.5</v>
      </c>
      <c r="Q3" s="178">
        <v>1</v>
      </c>
      <c r="R3" s="178">
        <v>1200</v>
      </c>
      <c r="S3" s="180">
        <v>1.155</v>
      </c>
      <c r="T3" s="178">
        <v>45</v>
      </c>
      <c r="U3" s="182">
        <v>3.7499999999999999E-2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30</v>
      </c>
      <c r="AB3" s="178" t="s">
        <v>663</v>
      </c>
    </row>
    <row r="4" spans="1:28" s="184" customFormat="1">
      <c r="A4" s="178">
        <v>2</v>
      </c>
      <c r="B4" s="179" t="s">
        <v>63</v>
      </c>
      <c r="C4" s="178" t="s">
        <v>26</v>
      </c>
      <c r="D4" s="178" t="s">
        <v>602</v>
      </c>
      <c r="E4" s="178" t="s">
        <v>27</v>
      </c>
      <c r="F4" s="178">
        <v>262571</v>
      </c>
      <c r="G4" s="178" t="s">
        <v>654</v>
      </c>
      <c r="H4" s="178">
        <v>1100</v>
      </c>
      <c r="I4" s="180">
        <v>0.85299999999999998</v>
      </c>
      <c r="J4" s="180">
        <v>2.105</v>
      </c>
      <c r="K4" s="178" t="s">
        <v>245</v>
      </c>
      <c r="L4" s="180">
        <v>1975.1210000000001</v>
      </c>
      <c r="M4" s="181">
        <v>2315.5</v>
      </c>
      <c r="N4" s="182">
        <v>0.64319999999999999</v>
      </c>
      <c r="O4" s="183">
        <v>38.590000000000003</v>
      </c>
      <c r="P4" s="178">
        <v>1171.2</v>
      </c>
      <c r="Q4" s="178">
        <v>1</v>
      </c>
      <c r="R4" s="178">
        <v>900</v>
      </c>
      <c r="S4" s="180">
        <v>0.85299999999999998</v>
      </c>
      <c r="T4" s="178">
        <v>47</v>
      </c>
      <c r="U4" s="182">
        <v>5.2200000000000003E-2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41</v>
      </c>
      <c r="AB4" s="178" t="s">
        <v>662</v>
      </c>
    </row>
    <row r="5" spans="1:28" s="184" customFormat="1">
      <c r="A5" s="178">
        <v>3</v>
      </c>
      <c r="B5" s="179" t="s">
        <v>63</v>
      </c>
      <c r="C5" s="178" t="s">
        <v>65</v>
      </c>
      <c r="D5" s="178" t="s">
        <v>602</v>
      </c>
      <c r="E5" s="178" t="s">
        <v>27</v>
      </c>
      <c r="F5" s="178">
        <v>262573</v>
      </c>
      <c r="G5" s="178" t="s">
        <v>654</v>
      </c>
      <c r="H5" s="178">
        <v>750</v>
      </c>
      <c r="I5" s="180">
        <v>1.522</v>
      </c>
      <c r="J5" s="180">
        <v>0.80600000000000005</v>
      </c>
      <c r="K5" s="178" t="s">
        <v>34</v>
      </c>
      <c r="L5" s="180">
        <v>920.04899999999998</v>
      </c>
      <c r="M5" s="181">
        <v>604.5</v>
      </c>
      <c r="N5" s="182">
        <v>0.16789999999999999</v>
      </c>
      <c r="O5" s="183">
        <v>10.07</v>
      </c>
      <c r="P5" s="178">
        <v>317.39999999999998</v>
      </c>
      <c r="Q5" s="178">
        <v>1</v>
      </c>
      <c r="R5" s="178">
        <v>1550</v>
      </c>
      <c r="S5" s="180">
        <v>1.522</v>
      </c>
      <c r="T5" s="178">
        <v>28</v>
      </c>
      <c r="U5" s="182">
        <v>1.8100000000000002E-2</v>
      </c>
      <c r="V5" s="178" t="s">
        <v>28</v>
      </c>
      <c r="W5" s="178" t="s">
        <v>28</v>
      </c>
      <c r="X5" s="178" t="s">
        <v>28</v>
      </c>
      <c r="Y5" s="178" t="s">
        <v>27</v>
      </c>
      <c r="Z5" s="178" t="s">
        <v>27</v>
      </c>
      <c r="AA5" s="178" t="s">
        <v>30</v>
      </c>
      <c r="AB5" s="178" t="s">
        <v>661</v>
      </c>
    </row>
    <row r="6" spans="1:28" s="184" customFormat="1">
      <c r="A6" s="178">
        <v>4</v>
      </c>
      <c r="B6" s="179" t="s">
        <v>63</v>
      </c>
      <c r="C6" s="178" t="s">
        <v>65</v>
      </c>
      <c r="D6" s="178" t="s">
        <v>602</v>
      </c>
      <c r="E6" s="178" t="s">
        <v>27</v>
      </c>
      <c r="F6" s="178">
        <v>262567</v>
      </c>
      <c r="G6" s="178" t="s">
        <v>654</v>
      </c>
      <c r="H6" s="178">
        <v>520</v>
      </c>
      <c r="I6" s="180">
        <v>1.2949999999999999</v>
      </c>
      <c r="J6" s="180">
        <v>1.21</v>
      </c>
      <c r="K6" s="178" t="s">
        <v>34</v>
      </c>
      <c r="L6" s="180">
        <v>814.81399999999996</v>
      </c>
      <c r="M6" s="181">
        <v>629.20000000000005</v>
      </c>
      <c r="N6" s="182">
        <v>0.17480000000000001</v>
      </c>
      <c r="O6" s="183">
        <v>10.49</v>
      </c>
      <c r="P6" s="178">
        <v>281.10000000000002</v>
      </c>
      <c r="Q6" s="178">
        <v>1</v>
      </c>
      <c r="R6" s="178">
        <v>1350</v>
      </c>
      <c r="S6" s="180">
        <v>1.2949999999999999</v>
      </c>
      <c r="T6" s="178">
        <v>55</v>
      </c>
      <c r="U6" s="182">
        <v>4.07E-2</v>
      </c>
      <c r="V6" s="178" t="s">
        <v>28</v>
      </c>
      <c r="W6" s="178" t="s">
        <v>28</v>
      </c>
      <c r="X6" s="178" t="s">
        <v>28</v>
      </c>
      <c r="Y6" s="178" t="s">
        <v>27</v>
      </c>
      <c r="Z6" s="178" t="s">
        <v>27</v>
      </c>
      <c r="AA6" s="178" t="s">
        <v>33</v>
      </c>
      <c r="AB6" s="178" t="s">
        <v>660</v>
      </c>
    </row>
    <row r="7" spans="1:28" s="184" customFormat="1">
      <c r="A7" s="178">
        <v>5</v>
      </c>
      <c r="B7" s="179" t="s">
        <v>63</v>
      </c>
      <c r="C7" s="178" t="s">
        <v>65</v>
      </c>
      <c r="D7" s="178" t="s">
        <v>602</v>
      </c>
      <c r="E7" s="178" t="s">
        <v>27</v>
      </c>
      <c r="F7" s="178">
        <v>262572</v>
      </c>
      <c r="G7" s="178" t="s">
        <v>654</v>
      </c>
      <c r="H7" s="178">
        <v>900</v>
      </c>
      <c r="I7" s="180">
        <v>1.01</v>
      </c>
      <c r="J7" s="180">
        <v>1.006</v>
      </c>
      <c r="K7" s="178" t="s">
        <v>34</v>
      </c>
      <c r="L7" s="180">
        <v>914.45399999999995</v>
      </c>
      <c r="M7" s="181">
        <v>905.4</v>
      </c>
      <c r="N7" s="182">
        <v>0.2515</v>
      </c>
      <c r="O7" s="183">
        <v>15.09</v>
      </c>
      <c r="P7" s="178">
        <v>315.5</v>
      </c>
      <c r="Q7" s="178">
        <v>1</v>
      </c>
      <c r="R7" s="178">
        <v>1050</v>
      </c>
      <c r="S7" s="180">
        <v>1.01</v>
      </c>
      <c r="T7" s="178">
        <v>40</v>
      </c>
      <c r="U7" s="182">
        <v>3.8100000000000002E-2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33</v>
      </c>
      <c r="AB7" s="178" t="s">
        <v>659</v>
      </c>
    </row>
    <row r="8" spans="1:28" s="184" customFormat="1">
      <c r="A8" s="178">
        <v>6</v>
      </c>
      <c r="B8" s="179" t="s">
        <v>63</v>
      </c>
      <c r="C8" s="178" t="s">
        <v>65</v>
      </c>
      <c r="D8" s="178" t="s">
        <v>602</v>
      </c>
      <c r="E8" s="178" t="s">
        <v>27</v>
      </c>
      <c r="F8" s="178">
        <v>262574</v>
      </c>
      <c r="G8" s="178" t="s">
        <v>654</v>
      </c>
      <c r="H8" s="178">
        <v>1500</v>
      </c>
      <c r="I8" s="180">
        <v>0.98799999999999999</v>
      </c>
      <c r="J8" s="180">
        <v>0.72599999999999998</v>
      </c>
      <c r="K8" s="178" t="s">
        <v>34</v>
      </c>
      <c r="L8" s="180">
        <v>1075.932</v>
      </c>
      <c r="M8" s="181">
        <v>1089</v>
      </c>
      <c r="N8" s="182">
        <v>0.30249999999999999</v>
      </c>
      <c r="O8" s="183">
        <v>18.149999999999999</v>
      </c>
      <c r="P8" s="178">
        <v>371.2</v>
      </c>
      <c r="Q8" s="178">
        <v>1</v>
      </c>
      <c r="R8" s="178">
        <v>1050</v>
      </c>
      <c r="S8" s="180">
        <v>0.98799999999999999</v>
      </c>
      <c r="T8" s="178">
        <v>62</v>
      </c>
      <c r="U8" s="182">
        <v>5.8999999999999997E-2</v>
      </c>
      <c r="V8" s="178" t="s">
        <v>28</v>
      </c>
      <c r="W8" s="178" t="s">
        <v>28</v>
      </c>
      <c r="X8" s="178" t="s">
        <v>28</v>
      </c>
      <c r="Y8" s="178" t="s">
        <v>27</v>
      </c>
      <c r="Z8" s="178" t="s">
        <v>27</v>
      </c>
      <c r="AA8" s="178" t="s">
        <v>33</v>
      </c>
      <c r="AB8" s="178" t="s">
        <v>658</v>
      </c>
    </row>
    <row r="9" spans="1:28" s="184" customFormat="1">
      <c r="A9" s="178">
        <v>7</v>
      </c>
      <c r="B9" s="179" t="s">
        <v>63</v>
      </c>
      <c r="C9" s="178" t="s">
        <v>36</v>
      </c>
      <c r="D9" s="178" t="s">
        <v>602</v>
      </c>
      <c r="E9" s="178" t="s">
        <v>27</v>
      </c>
      <c r="F9" s="178">
        <v>262568</v>
      </c>
      <c r="G9" s="178" t="s">
        <v>654</v>
      </c>
      <c r="H9" s="178">
        <v>1100</v>
      </c>
      <c r="I9" s="180">
        <v>1.4410000000000001</v>
      </c>
      <c r="J9" s="180">
        <v>1.85</v>
      </c>
      <c r="K9" s="178" t="s">
        <v>657</v>
      </c>
      <c r="L9" s="180">
        <v>2932.4349999999999</v>
      </c>
      <c r="M9" s="181">
        <v>2035</v>
      </c>
      <c r="N9" s="182">
        <v>0.56530000000000002</v>
      </c>
      <c r="O9" s="183">
        <v>33.92</v>
      </c>
      <c r="P9" s="178">
        <v>1011.7</v>
      </c>
      <c r="Q9" s="178">
        <v>1</v>
      </c>
      <c r="R9" s="178">
        <v>1500</v>
      </c>
      <c r="S9" s="180">
        <v>1.4410000000000001</v>
      </c>
      <c r="T9" s="178">
        <v>59</v>
      </c>
      <c r="U9" s="182">
        <v>3.9300000000000002E-2</v>
      </c>
      <c r="V9" s="178" t="s">
        <v>28</v>
      </c>
      <c r="W9" s="178" t="s">
        <v>28</v>
      </c>
      <c r="X9" s="178" t="s">
        <v>28</v>
      </c>
      <c r="Y9" s="178" t="s">
        <v>27</v>
      </c>
      <c r="Z9" s="178" t="s">
        <v>27</v>
      </c>
      <c r="AA9" s="178" t="s">
        <v>30</v>
      </c>
      <c r="AB9" s="178" t="s">
        <v>656</v>
      </c>
    </row>
    <row r="10" spans="1:28" s="184" customFormat="1">
      <c r="A10" s="178">
        <v>8</v>
      </c>
      <c r="B10" s="179" t="s">
        <v>63</v>
      </c>
      <c r="C10" s="178" t="s">
        <v>36</v>
      </c>
      <c r="D10" s="178" t="s">
        <v>602</v>
      </c>
      <c r="E10" s="178" t="s">
        <v>27</v>
      </c>
      <c r="F10" s="178">
        <v>262570</v>
      </c>
      <c r="G10" s="178" t="s">
        <v>654</v>
      </c>
      <c r="H10" s="178">
        <v>11000</v>
      </c>
      <c r="I10" s="180">
        <v>0.44600000000000001</v>
      </c>
      <c r="J10" s="180">
        <v>1.2290000000000001</v>
      </c>
      <c r="K10" s="178" t="s">
        <v>427</v>
      </c>
      <c r="L10" s="180">
        <v>6029.4740000000002</v>
      </c>
      <c r="M10" s="181">
        <v>6759.5</v>
      </c>
      <c r="N10" s="182">
        <v>0.93879999999999997</v>
      </c>
      <c r="O10" s="183">
        <v>56.33</v>
      </c>
      <c r="P10" s="178">
        <v>2080.1999999999998</v>
      </c>
      <c r="Q10" s="178">
        <v>2</v>
      </c>
      <c r="R10" s="178">
        <v>950</v>
      </c>
      <c r="S10" s="180">
        <v>0.89200000000000002</v>
      </c>
      <c r="T10" s="178">
        <v>58</v>
      </c>
      <c r="U10" s="182">
        <v>6.1100000000000002E-2</v>
      </c>
      <c r="V10" s="178" t="s">
        <v>28</v>
      </c>
      <c r="W10" s="178" t="s">
        <v>28</v>
      </c>
      <c r="X10" s="178" t="s">
        <v>28</v>
      </c>
      <c r="Y10" s="178" t="s">
        <v>27</v>
      </c>
      <c r="Z10" s="178" t="s">
        <v>27</v>
      </c>
      <c r="AA10" s="178" t="s">
        <v>426</v>
      </c>
      <c r="AB10" s="178" t="s">
        <v>655</v>
      </c>
    </row>
    <row r="11" spans="1:28" s="184" customFormat="1">
      <c r="A11" s="178">
        <v>9</v>
      </c>
      <c r="B11" s="179" t="s">
        <v>63</v>
      </c>
      <c r="C11" s="178" t="s">
        <v>36</v>
      </c>
      <c r="D11" s="178" t="s">
        <v>602</v>
      </c>
      <c r="E11" s="178" t="s">
        <v>27</v>
      </c>
      <c r="F11" s="178">
        <v>262569</v>
      </c>
      <c r="G11" s="178" t="s">
        <v>654</v>
      </c>
      <c r="H11" s="178">
        <v>1800</v>
      </c>
      <c r="I11" s="180">
        <v>0.91</v>
      </c>
      <c r="J11" s="180">
        <v>0.65900000000000003</v>
      </c>
      <c r="K11" s="178" t="s">
        <v>34</v>
      </c>
      <c r="L11" s="180">
        <v>1079.442</v>
      </c>
      <c r="M11" s="181">
        <v>1186.2</v>
      </c>
      <c r="N11" s="182">
        <v>0.32950000000000002</v>
      </c>
      <c r="O11" s="183">
        <v>19.77</v>
      </c>
      <c r="P11" s="178">
        <v>372.4</v>
      </c>
      <c r="Q11" s="178">
        <v>1</v>
      </c>
      <c r="R11" s="178">
        <v>950</v>
      </c>
      <c r="S11" s="180">
        <v>0.91</v>
      </c>
      <c r="T11" s="178">
        <v>40</v>
      </c>
      <c r="U11" s="182">
        <v>4.2099999999999999E-2</v>
      </c>
      <c r="V11" s="178" t="s">
        <v>28</v>
      </c>
      <c r="W11" s="178" t="s">
        <v>28</v>
      </c>
      <c r="X11" s="178" t="s">
        <v>28</v>
      </c>
      <c r="Y11" s="178" t="s">
        <v>27</v>
      </c>
      <c r="Z11" s="178" t="s">
        <v>27</v>
      </c>
      <c r="AA11" s="178" t="s">
        <v>33</v>
      </c>
      <c r="AB11" s="178" t="s">
        <v>653</v>
      </c>
    </row>
    <row r="12" spans="1:28" s="167" customFormat="1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sheetPr>
    <pageSetUpPr fitToPage="1"/>
  </sheetPr>
  <dimension ref="A1:AB29"/>
  <sheetViews>
    <sheetView workbookViewId="0">
      <selection activeCell="H29" sqref="H29"/>
    </sheetView>
  </sheetViews>
  <sheetFormatPr defaultRowHeight="14.4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9.33203125" style="108" customWidth="1"/>
    <col min="28" max="28" width="19.88671875" style="108" customWidth="1"/>
    <col min="29" max="16384" width="8.88671875" style="108"/>
  </cols>
  <sheetData>
    <row r="1" spans="1:28" ht="18" customHeight="1">
      <c r="A1" s="220" t="s">
        <v>652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7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>
      <c r="A3" s="150">
        <v>1</v>
      </c>
      <c r="B3" s="216" t="s">
        <v>626</v>
      </c>
      <c r="C3" s="150" t="s">
        <v>45</v>
      </c>
      <c r="D3" s="150" t="s">
        <v>625</v>
      </c>
      <c r="E3" s="150" t="s">
        <v>27</v>
      </c>
      <c r="F3" s="150">
        <v>262546</v>
      </c>
      <c r="G3" s="150" t="s">
        <v>624</v>
      </c>
      <c r="H3" s="150">
        <v>300</v>
      </c>
      <c r="I3" s="152">
        <v>0.71</v>
      </c>
      <c r="J3" s="152">
        <v>1.26</v>
      </c>
      <c r="K3" s="150" t="s">
        <v>34</v>
      </c>
      <c r="L3" s="152">
        <v>268.38</v>
      </c>
      <c r="M3" s="153">
        <v>189</v>
      </c>
      <c r="N3" s="154">
        <v>2.6200000000000001E-2</v>
      </c>
      <c r="O3" s="155">
        <v>1.57</v>
      </c>
      <c r="P3" s="150">
        <v>162.6</v>
      </c>
      <c r="Q3" s="150">
        <v>2</v>
      </c>
      <c r="R3" s="150">
        <v>1450</v>
      </c>
      <c r="S3" s="152">
        <v>1.42</v>
      </c>
      <c r="T3" s="150">
        <v>30</v>
      </c>
      <c r="U3" s="154">
        <v>2.07E-2</v>
      </c>
      <c r="V3" s="150" t="s">
        <v>35</v>
      </c>
      <c r="W3" s="150" t="s">
        <v>40</v>
      </c>
      <c r="X3" s="150" t="s">
        <v>35</v>
      </c>
      <c r="Y3" s="150" t="s">
        <v>35</v>
      </c>
      <c r="Z3" s="150" t="s">
        <v>35</v>
      </c>
      <c r="AA3" s="150" t="s">
        <v>33</v>
      </c>
      <c r="AB3" s="150" t="s">
        <v>651</v>
      </c>
    </row>
    <row r="4" spans="1:28" s="156" customFormat="1" ht="25.05" customHeight="1">
      <c r="A4" s="150">
        <v>2</v>
      </c>
      <c r="B4" s="151" t="s">
        <v>626</v>
      </c>
      <c r="C4" s="150" t="s">
        <v>45</v>
      </c>
      <c r="D4" s="150" t="s">
        <v>625</v>
      </c>
      <c r="E4" s="150" t="s">
        <v>27</v>
      </c>
      <c r="F4" s="150">
        <v>262547</v>
      </c>
      <c r="G4" s="150" t="s">
        <v>624</v>
      </c>
      <c r="H4" s="150">
        <v>300</v>
      </c>
      <c r="I4" s="152">
        <v>0.71</v>
      </c>
      <c r="J4" s="152">
        <v>1.46</v>
      </c>
      <c r="K4" s="150" t="s">
        <v>34</v>
      </c>
      <c r="L4" s="152">
        <v>310.98</v>
      </c>
      <c r="M4" s="153">
        <v>219</v>
      </c>
      <c r="N4" s="154">
        <v>3.04E-2</v>
      </c>
      <c r="O4" s="155">
        <v>1.82</v>
      </c>
      <c r="P4" s="150">
        <v>188.5</v>
      </c>
      <c r="Q4" s="150">
        <v>2</v>
      </c>
      <c r="R4" s="150">
        <v>1450</v>
      </c>
      <c r="S4" s="152">
        <v>1.42</v>
      </c>
      <c r="T4" s="150">
        <v>30</v>
      </c>
      <c r="U4" s="154">
        <v>2.07E-2</v>
      </c>
      <c r="V4" s="150" t="s">
        <v>35</v>
      </c>
      <c r="W4" s="150" t="s">
        <v>40</v>
      </c>
      <c r="X4" s="150" t="s">
        <v>35</v>
      </c>
      <c r="Y4" s="150" t="s">
        <v>35</v>
      </c>
      <c r="Z4" s="150" t="s">
        <v>35</v>
      </c>
      <c r="AA4" s="150" t="s">
        <v>33</v>
      </c>
      <c r="AB4" s="150" t="s">
        <v>650</v>
      </c>
    </row>
    <row r="5" spans="1:28" s="156" customFormat="1" ht="25.05" customHeight="1">
      <c r="A5" s="150">
        <v>3</v>
      </c>
      <c r="B5" s="151" t="s">
        <v>626</v>
      </c>
      <c r="C5" s="150" t="s">
        <v>36</v>
      </c>
      <c r="D5" s="150" t="s">
        <v>625</v>
      </c>
      <c r="E5" s="150" t="s">
        <v>27</v>
      </c>
      <c r="F5" s="150">
        <v>262560</v>
      </c>
      <c r="G5" s="150" t="s">
        <v>624</v>
      </c>
      <c r="H5" s="150">
        <v>500</v>
      </c>
      <c r="I5" s="152">
        <v>0.49399999999999999</v>
      </c>
      <c r="J5" s="152">
        <v>1.56</v>
      </c>
      <c r="K5" s="150" t="s">
        <v>34</v>
      </c>
      <c r="L5" s="152">
        <v>385.32</v>
      </c>
      <c r="M5" s="153">
        <v>260</v>
      </c>
      <c r="N5" s="154">
        <v>2.41E-2</v>
      </c>
      <c r="O5" s="155">
        <v>1.44</v>
      </c>
      <c r="P5" s="150">
        <v>132.9</v>
      </c>
      <c r="Q5" s="150">
        <v>3</v>
      </c>
      <c r="R5" s="150">
        <v>1550</v>
      </c>
      <c r="S5" s="152">
        <v>1.482</v>
      </c>
      <c r="T5" s="150">
        <v>68</v>
      </c>
      <c r="U5" s="154">
        <v>4.3900000000000002E-2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649</v>
      </c>
    </row>
    <row r="6" spans="1:28" s="156" customFormat="1" ht="25.05" customHeight="1">
      <c r="A6" s="150">
        <v>4</v>
      </c>
      <c r="B6" s="151" t="s">
        <v>626</v>
      </c>
      <c r="C6" s="150" t="s">
        <v>36</v>
      </c>
      <c r="D6" s="150" t="s">
        <v>625</v>
      </c>
      <c r="E6" s="150" t="s">
        <v>27</v>
      </c>
      <c r="F6" s="150">
        <v>262542</v>
      </c>
      <c r="G6" s="150" t="s">
        <v>624</v>
      </c>
      <c r="H6" s="150">
        <v>1000</v>
      </c>
      <c r="I6" s="152">
        <v>0.70899999999999996</v>
      </c>
      <c r="J6" s="152">
        <v>1.28</v>
      </c>
      <c r="K6" s="150" t="s">
        <v>647</v>
      </c>
      <c r="L6" s="152">
        <v>907.52</v>
      </c>
      <c r="M6" s="153">
        <v>640</v>
      </c>
      <c r="N6" s="154">
        <v>8.8900000000000007E-2</v>
      </c>
      <c r="O6" s="155">
        <v>5.33</v>
      </c>
      <c r="P6" s="150">
        <v>313.10000000000002</v>
      </c>
      <c r="Q6" s="150">
        <v>2</v>
      </c>
      <c r="R6" s="150">
        <v>1450</v>
      </c>
      <c r="S6" s="152">
        <v>1.4179999999999999</v>
      </c>
      <c r="T6" s="150">
        <v>32</v>
      </c>
      <c r="U6" s="154">
        <v>2.2100000000000002E-2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30</v>
      </c>
      <c r="AB6" s="150" t="s">
        <v>648</v>
      </c>
    </row>
    <row r="7" spans="1:28" s="156" customFormat="1" ht="25.05" customHeight="1">
      <c r="A7" s="150">
        <v>5</v>
      </c>
      <c r="B7" s="151" t="s">
        <v>626</v>
      </c>
      <c r="C7" s="150" t="s">
        <v>36</v>
      </c>
      <c r="D7" s="150" t="s">
        <v>625</v>
      </c>
      <c r="E7" s="150" t="s">
        <v>27</v>
      </c>
      <c r="F7" s="150">
        <v>262543</v>
      </c>
      <c r="G7" s="150" t="s">
        <v>624</v>
      </c>
      <c r="H7" s="150">
        <v>1000</v>
      </c>
      <c r="I7" s="152">
        <v>0.70899999999999996</v>
      </c>
      <c r="J7" s="152">
        <v>1.9</v>
      </c>
      <c r="K7" s="150" t="s">
        <v>647</v>
      </c>
      <c r="L7" s="152">
        <v>1347.1</v>
      </c>
      <c r="M7" s="153">
        <v>950</v>
      </c>
      <c r="N7" s="154">
        <v>0.13189999999999999</v>
      </c>
      <c r="O7" s="155">
        <v>7.92</v>
      </c>
      <c r="P7" s="150">
        <v>464.7</v>
      </c>
      <c r="Q7" s="150">
        <v>2</v>
      </c>
      <c r="R7" s="150">
        <v>1450</v>
      </c>
      <c r="S7" s="152">
        <v>1.4179999999999999</v>
      </c>
      <c r="T7" s="150">
        <v>32</v>
      </c>
      <c r="U7" s="154">
        <v>2.2100000000000002E-2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30</v>
      </c>
      <c r="AB7" s="150" t="s">
        <v>646</v>
      </c>
    </row>
    <row r="8" spans="1:28" s="156" customFormat="1" ht="25.05" customHeight="1">
      <c r="A8" s="150">
        <v>6</v>
      </c>
      <c r="B8" s="151" t="s">
        <v>626</v>
      </c>
      <c r="C8" s="150" t="s">
        <v>36</v>
      </c>
      <c r="D8" s="150" t="s">
        <v>625</v>
      </c>
      <c r="E8" s="150" t="s">
        <v>27</v>
      </c>
      <c r="F8" s="150">
        <v>262550</v>
      </c>
      <c r="G8" s="150" t="s">
        <v>624</v>
      </c>
      <c r="H8" s="150">
        <v>1000</v>
      </c>
      <c r="I8" s="152">
        <v>0.71</v>
      </c>
      <c r="J8" s="152">
        <v>1.36</v>
      </c>
      <c r="K8" s="150" t="s">
        <v>34</v>
      </c>
      <c r="L8" s="152">
        <v>965.6</v>
      </c>
      <c r="M8" s="153">
        <v>680</v>
      </c>
      <c r="N8" s="154">
        <v>9.4399999999999998E-2</v>
      </c>
      <c r="O8" s="155">
        <v>5.67</v>
      </c>
      <c r="P8" s="150">
        <v>333.1</v>
      </c>
      <c r="Q8" s="150">
        <v>2</v>
      </c>
      <c r="R8" s="150">
        <v>1450</v>
      </c>
      <c r="S8" s="152">
        <v>1.42</v>
      </c>
      <c r="T8" s="150">
        <v>30</v>
      </c>
      <c r="U8" s="154">
        <v>2.07E-2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30</v>
      </c>
      <c r="AB8" s="150" t="s">
        <v>645</v>
      </c>
    </row>
    <row r="9" spans="1:28" s="156" customFormat="1" ht="25.05" customHeight="1">
      <c r="A9" s="150">
        <v>7</v>
      </c>
      <c r="B9" s="151" t="s">
        <v>626</v>
      </c>
      <c r="C9" s="150" t="s">
        <v>36</v>
      </c>
      <c r="D9" s="150" t="s">
        <v>625</v>
      </c>
      <c r="E9" s="150" t="s">
        <v>27</v>
      </c>
      <c r="F9" s="150">
        <v>262555</v>
      </c>
      <c r="G9" s="150" t="s">
        <v>624</v>
      </c>
      <c r="H9" s="150">
        <v>2000</v>
      </c>
      <c r="I9" s="152">
        <v>0.45</v>
      </c>
      <c r="J9" s="152">
        <v>0.75</v>
      </c>
      <c r="K9" s="150" t="s">
        <v>34</v>
      </c>
      <c r="L9" s="152">
        <v>675</v>
      </c>
      <c r="M9" s="153">
        <v>500</v>
      </c>
      <c r="N9" s="154">
        <v>4.6300000000000001E-2</v>
      </c>
      <c r="O9" s="155">
        <v>2.78</v>
      </c>
      <c r="P9" s="150">
        <v>232.9</v>
      </c>
      <c r="Q9" s="150">
        <v>3</v>
      </c>
      <c r="R9" s="150">
        <v>1400</v>
      </c>
      <c r="S9" s="152">
        <v>1.35</v>
      </c>
      <c r="T9" s="150">
        <v>50</v>
      </c>
      <c r="U9" s="154">
        <v>3.5700000000000003E-2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33</v>
      </c>
      <c r="AB9" s="150" t="s">
        <v>644</v>
      </c>
    </row>
    <row r="10" spans="1:28" s="156" customFormat="1" ht="25.05" customHeight="1">
      <c r="A10" s="150">
        <v>8</v>
      </c>
      <c r="B10" s="151" t="s">
        <v>626</v>
      </c>
      <c r="C10" s="150" t="s">
        <v>36</v>
      </c>
      <c r="D10" s="150" t="s">
        <v>625</v>
      </c>
      <c r="E10" s="150" t="s">
        <v>27</v>
      </c>
      <c r="F10" s="150">
        <v>262556</v>
      </c>
      <c r="G10" s="150" t="s">
        <v>624</v>
      </c>
      <c r="H10" s="150">
        <v>1500</v>
      </c>
      <c r="I10" s="152">
        <v>0.45</v>
      </c>
      <c r="J10" s="152">
        <v>0.65</v>
      </c>
      <c r="K10" s="150" t="s">
        <v>34</v>
      </c>
      <c r="L10" s="152">
        <v>438.75</v>
      </c>
      <c r="M10" s="153">
        <v>325</v>
      </c>
      <c r="N10" s="154">
        <v>3.0099999999999998E-2</v>
      </c>
      <c r="O10" s="155">
        <v>1.81</v>
      </c>
      <c r="P10" s="150">
        <v>151.4</v>
      </c>
      <c r="Q10" s="150">
        <v>3</v>
      </c>
      <c r="R10" s="150">
        <v>1400</v>
      </c>
      <c r="S10" s="152">
        <v>1.35</v>
      </c>
      <c r="T10" s="150">
        <v>50</v>
      </c>
      <c r="U10" s="154">
        <v>3.5700000000000003E-2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643</v>
      </c>
    </row>
    <row r="11" spans="1:28" s="156" customFormat="1" ht="25.05" customHeight="1">
      <c r="A11" s="150">
        <v>9</v>
      </c>
      <c r="B11" s="151" t="s">
        <v>626</v>
      </c>
      <c r="C11" s="150" t="s">
        <v>60</v>
      </c>
      <c r="D11" s="150" t="s">
        <v>625</v>
      </c>
      <c r="E11" s="150" t="s">
        <v>27</v>
      </c>
      <c r="F11" s="150">
        <v>262565</v>
      </c>
      <c r="G11" s="150" t="s">
        <v>624</v>
      </c>
      <c r="H11" s="150">
        <v>500</v>
      </c>
      <c r="I11" s="152">
        <v>0.46</v>
      </c>
      <c r="J11" s="152">
        <v>0.9</v>
      </c>
      <c r="K11" s="150" t="s">
        <v>34</v>
      </c>
      <c r="L11" s="152">
        <v>207</v>
      </c>
      <c r="M11" s="153">
        <v>150</v>
      </c>
      <c r="N11" s="154">
        <v>1.3899999999999999E-2</v>
      </c>
      <c r="O11" s="155">
        <v>0.83</v>
      </c>
      <c r="P11" s="150">
        <v>78.2</v>
      </c>
      <c r="Q11" s="150">
        <v>3</v>
      </c>
      <c r="R11" s="150">
        <v>1400</v>
      </c>
      <c r="S11" s="152">
        <v>1.38</v>
      </c>
      <c r="T11" s="150">
        <v>20</v>
      </c>
      <c r="U11" s="154">
        <v>1.43E-2</v>
      </c>
      <c r="V11" s="150" t="s">
        <v>38</v>
      </c>
      <c r="W11" s="150" t="s">
        <v>29</v>
      </c>
      <c r="X11" s="150" t="s">
        <v>35</v>
      </c>
      <c r="Y11" s="150" t="s">
        <v>27</v>
      </c>
      <c r="Z11" s="150" t="s">
        <v>27</v>
      </c>
      <c r="AA11" s="150" t="s">
        <v>39</v>
      </c>
      <c r="AB11" s="150" t="s">
        <v>280</v>
      </c>
    </row>
    <row r="12" spans="1:28" s="156" customFormat="1" ht="25.05" customHeight="1">
      <c r="A12" s="150">
        <v>10</v>
      </c>
      <c r="B12" s="151" t="s">
        <v>626</v>
      </c>
      <c r="C12" s="150" t="s">
        <v>36</v>
      </c>
      <c r="D12" s="150" t="s">
        <v>625</v>
      </c>
      <c r="E12" s="150" t="s">
        <v>27</v>
      </c>
      <c r="F12" s="150">
        <v>262563</v>
      </c>
      <c r="G12" s="150" t="s">
        <v>624</v>
      </c>
      <c r="H12" s="150">
        <v>500</v>
      </c>
      <c r="I12" s="152">
        <v>0.66</v>
      </c>
      <c r="J12" s="152">
        <v>1.2</v>
      </c>
      <c r="K12" s="150" t="s">
        <v>34</v>
      </c>
      <c r="L12" s="152">
        <v>396</v>
      </c>
      <c r="M12" s="153">
        <v>300</v>
      </c>
      <c r="N12" s="154">
        <v>4.1700000000000001E-2</v>
      </c>
      <c r="O12" s="155">
        <v>2.5</v>
      </c>
      <c r="P12" s="150">
        <v>136.6</v>
      </c>
      <c r="Q12" s="150">
        <v>2</v>
      </c>
      <c r="R12" s="150">
        <v>1350</v>
      </c>
      <c r="S12" s="152">
        <v>1.32</v>
      </c>
      <c r="T12" s="150">
        <v>30</v>
      </c>
      <c r="U12" s="154">
        <v>2.2200000000000001E-2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642</v>
      </c>
    </row>
    <row r="13" spans="1:28" s="156" customFormat="1" ht="25.05" customHeight="1">
      <c r="A13" s="150">
        <v>11</v>
      </c>
      <c r="B13" s="151" t="s">
        <v>626</v>
      </c>
      <c r="C13" s="150" t="s">
        <v>36</v>
      </c>
      <c r="D13" s="150" t="s">
        <v>625</v>
      </c>
      <c r="E13" s="150" t="s">
        <v>27</v>
      </c>
      <c r="F13" s="150">
        <v>262564</v>
      </c>
      <c r="G13" s="150" t="s">
        <v>624</v>
      </c>
      <c r="H13" s="150">
        <v>1000</v>
      </c>
      <c r="I13" s="152">
        <v>0.432</v>
      </c>
      <c r="J13" s="152">
        <v>1.44</v>
      </c>
      <c r="K13" s="150" t="s">
        <v>34</v>
      </c>
      <c r="L13" s="152">
        <v>311.04000000000002</v>
      </c>
      <c r="M13" s="153">
        <v>240</v>
      </c>
      <c r="N13" s="154">
        <v>2.2200000000000001E-2</v>
      </c>
      <c r="O13" s="155">
        <v>1.33</v>
      </c>
      <c r="P13" s="150">
        <v>107.3</v>
      </c>
      <c r="Q13" s="150">
        <v>3</v>
      </c>
      <c r="R13" s="150">
        <v>1350</v>
      </c>
      <c r="S13" s="152">
        <v>1.296</v>
      </c>
      <c r="T13" s="150">
        <v>54</v>
      </c>
      <c r="U13" s="154">
        <v>0.04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39</v>
      </c>
      <c r="AB13" s="150" t="s">
        <v>641</v>
      </c>
    </row>
    <row r="14" spans="1:28" s="156" customFormat="1" ht="25.05" customHeight="1">
      <c r="A14" s="150">
        <v>12</v>
      </c>
      <c r="B14" s="151" t="s">
        <v>626</v>
      </c>
      <c r="C14" s="150" t="s">
        <v>36</v>
      </c>
      <c r="D14" s="150" t="s">
        <v>625</v>
      </c>
      <c r="E14" s="150" t="s">
        <v>27</v>
      </c>
      <c r="F14" s="150">
        <v>262544</v>
      </c>
      <c r="G14" s="150" t="s">
        <v>624</v>
      </c>
      <c r="H14" s="150">
        <v>500</v>
      </c>
      <c r="I14" s="152">
        <v>0.6</v>
      </c>
      <c r="J14" s="152">
        <v>1.1399999999999999</v>
      </c>
      <c r="K14" s="150" t="s">
        <v>640</v>
      </c>
      <c r="L14" s="152">
        <v>342</v>
      </c>
      <c r="M14" s="153">
        <v>285</v>
      </c>
      <c r="N14" s="154">
        <v>3.9600000000000003E-2</v>
      </c>
      <c r="O14" s="155">
        <v>2.38</v>
      </c>
      <c r="P14" s="150">
        <v>118</v>
      </c>
      <c r="Q14" s="150">
        <v>2</v>
      </c>
      <c r="R14" s="150">
        <v>1250</v>
      </c>
      <c r="S14" s="152">
        <v>1.2</v>
      </c>
      <c r="T14" s="150">
        <v>50</v>
      </c>
      <c r="U14" s="154">
        <v>0.04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39</v>
      </c>
      <c r="AB14" s="150" t="s">
        <v>483</v>
      </c>
    </row>
    <row r="15" spans="1:28" s="156" customFormat="1" ht="25.05" customHeight="1">
      <c r="A15" s="150">
        <v>13</v>
      </c>
      <c r="B15" s="151" t="s">
        <v>626</v>
      </c>
      <c r="C15" s="150" t="s">
        <v>36</v>
      </c>
      <c r="D15" s="150" t="s">
        <v>625</v>
      </c>
      <c r="E15" s="150" t="s">
        <v>27</v>
      </c>
      <c r="F15" s="150">
        <v>262561</v>
      </c>
      <c r="G15" s="150" t="s">
        <v>624</v>
      </c>
      <c r="H15" s="150">
        <v>500</v>
      </c>
      <c r="I15" s="152">
        <v>0.61499999999999999</v>
      </c>
      <c r="J15" s="152">
        <v>0.9</v>
      </c>
      <c r="K15" s="150" t="s">
        <v>34</v>
      </c>
      <c r="L15" s="152">
        <v>276.75</v>
      </c>
      <c r="M15" s="153">
        <v>225</v>
      </c>
      <c r="N15" s="154">
        <v>3.1300000000000001E-2</v>
      </c>
      <c r="O15" s="155">
        <v>1.88</v>
      </c>
      <c r="P15" s="150">
        <v>95.5</v>
      </c>
      <c r="Q15" s="150">
        <v>2</v>
      </c>
      <c r="R15" s="150">
        <v>1250</v>
      </c>
      <c r="S15" s="152">
        <v>1.23</v>
      </c>
      <c r="T15" s="150">
        <v>20</v>
      </c>
      <c r="U15" s="154">
        <v>1.6E-2</v>
      </c>
      <c r="V15" s="150" t="s">
        <v>28</v>
      </c>
      <c r="W15" s="150" t="s">
        <v>28</v>
      </c>
      <c r="X15" s="150" t="s">
        <v>28</v>
      </c>
      <c r="Y15" s="150" t="s">
        <v>27</v>
      </c>
      <c r="Z15" s="150" t="s">
        <v>27</v>
      </c>
      <c r="AA15" s="150" t="s">
        <v>39</v>
      </c>
      <c r="AB15" s="150" t="s">
        <v>639</v>
      </c>
    </row>
    <row r="16" spans="1:28" s="156" customFormat="1" ht="25.05" customHeight="1">
      <c r="A16" s="150">
        <v>14</v>
      </c>
      <c r="B16" s="151" t="s">
        <v>626</v>
      </c>
      <c r="C16" s="150" t="s">
        <v>36</v>
      </c>
      <c r="D16" s="150" t="s">
        <v>625</v>
      </c>
      <c r="E16" s="150" t="s">
        <v>27</v>
      </c>
      <c r="F16" s="150">
        <v>262559</v>
      </c>
      <c r="G16" s="150" t="s">
        <v>624</v>
      </c>
      <c r="H16" s="150">
        <v>700</v>
      </c>
      <c r="I16" s="152">
        <v>0.57999999999999996</v>
      </c>
      <c r="J16" s="152">
        <v>0.54</v>
      </c>
      <c r="K16" s="150" t="s">
        <v>638</v>
      </c>
      <c r="L16" s="152">
        <v>219.24</v>
      </c>
      <c r="M16" s="153">
        <v>189</v>
      </c>
      <c r="N16" s="154">
        <v>2.6200000000000001E-2</v>
      </c>
      <c r="O16" s="155">
        <v>1.57</v>
      </c>
      <c r="P16" s="150">
        <v>75.599999999999994</v>
      </c>
      <c r="Q16" s="150">
        <v>2</v>
      </c>
      <c r="R16" s="150">
        <v>1200</v>
      </c>
      <c r="S16" s="152">
        <v>1.1599999999999999</v>
      </c>
      <c r="T16" s="150">
        <v>40</v>
      </c>
      <c r="U16" s="154">
        <v>3.3300000000000003E-2</v>
      </c>
      <c r="V16" s="150" t="s">
        <v>28</v>
      </c>
      <c r="W16" s="150" t="s">
        <v>28</v>
      </c>
      <c r="X16" s="150" t="s">
        <v>28</v>
      </c>
      <c r="Y16" s="150" t="s">
        <v>27</v>
      </c>
      <c r="Z16" s="150" t="s">
        <v>27</v>
      </c>
      <c r="AA16" s="150" t="s">
        <v>39</v>
      </c>
      <c r="AB16" s="150" t="s">
        <v>637</v>
      </c>
    </row>
    <row r="17" spans="1:28" s="156" customFormat="1" ht="25.05" customHeight="1">
      <c r="A17" s="150">
        <v>15</v>
      </c>
      <c r="B17" s="151" t="s">
        <v>626</v>
      </c>
      <c r="C17" s="150" t="s">
        <v>36</v>
      </c>
      <c r="D17" s="150" t="s">
        <v>625</v>
      </c>
      <c r="E17" s="150" t="s">
        <v>27</v>
      </c>
      <c r="F17" s="150">
        <v>262558</v>
      </c>
      <c r="G17" s="150" t="s">
        <v>624</v>
      </c>
      <c r="H17" s="150">
        <v>1000</v>
      </c>
      <c r="I17" s="152">
        <v>0.59</v>
      </c>
      <c r="J17" s="152">
        <v>0.5</v>
      </c>
      <c r="K17" s="150" t="s">
        <v>636</v>
      </c>
      <c r="L17" s="152">
        <v>295</v>
      </c>
      <c r="M17" s="153">
        <v>250</v>
      </c>
      <c r="N17" s="154">
        <v>3.4700000000000002E-2</v>
      </c>
      <c r="O17" s="155">
        <v>2.08</v>
      </c>
      <c r="P17" s="150">
        <v>101.8</v>
      </c>
      <c r="Q17" s="150">
        <v>2</v>
      </c>
      <c r="R17" s="150">
        <v>1200</v>
      </c>
      <c r="S17" s="152">
        <v>1.18</v>
      </c>
      <c r="T17" s="150">
        <v>20</v>
      </c>
      <c r="U17" s="154">
        <v>1.67E-2</v>
      </c>
      <c r="V17" s="150" t="s">
        <v>28</v>
      </c>
      <c r="W17" s="150" t="s">
        <v>28</v>
      </c>
      <c r="X17" s="150" t="s">
        <v>28</v>
      </c>
      <c r="Y17" s="150" t="s">
        <v>27</v>
      </c>
      <c r="Z17" s="150" t="s">
        <v>27</v>
      </c>
      <c r="AA17" s="150" t="s">
        <v>39</v>
      </c>
      <c r="AB17" s="150" t="s">
        <v>635</v>
      </c>
    </row>
    <row r="18" spans="1:28" s="156" customFormat="1" ht="25.05" customHeight="1">
      <c r="A18" s="150">
        <v>16</v>
      </c>
      <c r="B18" s="151" t="s">
        <v>626</v>
      </c>
      <c r="C18" s="150" t="s">
        <v>43</v>
      </c>
      <c r="D18" s="150" t="s">
        <v>625</v>
      </c>
      <c r="E18" s="150" t="s">
        <v>27</v>
      </c>
      <c r="F18" s="150">
        <v>262548</v>
      </c>
      <c r="G18" s="150" t="s">
        <v>624</v>
      </c>
      <c r="H18" s="150">
        <v>1000</v>
      </c>
      <c r="I18" s="152">
        <v>0.55400000000000005</v>
      </c>
      <c r="J18" s="152">
        <v>2.2040000000000002</v>
      </c>
      <c r="K18" s="150" t="s">
        <v>34</v>
      </c>
      <c r="L18" s="152">
        <v>1221.0160000000001</v>
      </c>
      <c r="M18" s="153">
        <v>1102</v>
      </c>
      <c r="N18" s="154">
        <v>0.15310000000000001</v>
      </c>
      <c r="O18" s="155">
        <v>9.18</v>
      </c>
      <c r="P18" s="150">
        <v>449.3</v>
      </c>
      <c r="Q18" s="150">
        <v>2</v>
      </c>
      <c r="R18" s="150">
        <v>1150</v>
      </c>
      <c r="S18" s="152">
        <v>1.1080000000000001</v>
      </c>
      <c r="T18" s="150">
        <v>42</v>
      </c>
      <c r="U18" s="154">
        <v>3.6499999999999998E-2</v>
      </c>
      <c r="V18" s="150" t="s">
        <v>29</v>
      </c>
      <c r="W18" s="150" t="s">
        <v>29</v>
      </c>
      <c r="X18" s="150" t="s">
        <v>28</v>
      </c>
      <c r="Y18" s="150" t="s">
        <v>27</v>
      </c>
      <c r="Z18" s="150" t="s">
        <v>27</v>
      </c>
      <c r="AA18" s="150" t="s">
        <v>30</v>
      </c>
      <c r="AB18" s="150" t="s">
        <v>68</v>
      </c>
    </row>
    <row r="19" spans="1:28" s="156" customFormat="1" ht="25.05" customHeight="1">
      <c r="A19" s="150">
        <v>17</v>
      </c>
      <c r="B19" s="151" t="s">
        <v>626</v>
      </c>
      <c r="C19" s="150" t="s">
        <v>43</v>
      </c>
      <c r="D19" s="150" t="s">
        <v>625</v>
      </c>
      <c r="E19" s="150" t="s">
        <v>27</v>
      </c>
      <c r="F19" s="150">
        <v>262549</v>
      </c>
      <c r="G19" s="150" t="s">
        <v>624</v>
      </c>
      <c r="H19" s="150">
        <v>1500</v>
      </c>
      <c r="I19" s="152">
        <v>0.56399999999999995</v>
      </c>
      <c r="J19" s="152">
        <v>2.16</v>
      </c>
      <c r="K19" s="150" t="s">
        <v>34</v>
      </c>
      <c r="L19" s="152">
        <v>1827.36</v>
      </c>
      <c r="M19" s="153">
        <v>1620</v>
      </c>
      <c r="N19" s="154">
        <v>0.22500000000000001</v>
      </c>
      <c r="O19" s="155">
        <v>13.5</v>
      </c>
      <c r="P19" s="150">
        <v>672.5</v>
      </c>
      <c r="Q19" s="150">
        <v>2</v>
      </c>
      <c r="R19" s="150">
        <v>1150</v>
      </c>
      <c r="S19" s="152">
        <v>1.1279999999999999</v>
      </c>
      <c r="T19" s="150">
        <v>22</v>
      </c>
      <c r="U19" s="154">
        <v>1.9099999999999999E-2</v>
      </c>
      <c r="V19" s="150" t="s">
        <v>29</v>
      </c>
      <c r="W19" s="150" t="s">
        <v>29</v>
      </c>
      <c r="X19" s="150" t="s">
        <v>28</v>
      </c>
      <c r="Y19" s="150" t="s">
        <v>27</v>
      </c>
      <c r="Z19" s="150" t="s">
        <v>27</v>
      </c>
      <c r="AA19" s="150" t="s">
        <v>33</v>
      </c>
      <c r="AB19" s="150" t="s">
        <v>634</v>
      </c>
    </row>
    <row r="20" spans="1:28" s="156" customFormat="1" ht="25.05" customHeight="1">
      <c r="A20" s="150">
        <v>18</v>
      </c>
      <c r="B20" s="151" t="s">
        <v>626</v>
      </c>
      <c r="C20" s="150" t="s">
        <v>36</v>
      </c>
      <c r="D20" s="150" t="s">
        <v>625</v>
      </c>
      <c r="E20" s="150" t="s">
        <v>27</v>
      </c>
      <c r="F20" s="150">
        <v>262562</v>
      </c>
      <c r="G20" s="150" t="s">
        <v>624</v>
      </c>
      <c r="H20" s="150">
        <v>1000</v>
      </c>
      <c r="I20" s="152">
        <v>0.33</v>
      </c>
      <c r="J20" s="152">
        <v>0.76</v>
      </c>
      <c r="K20" s="150" t="s">
        <v>34</v>
      </c>
      <c r="L20" s="152">
        <v>250.8</v>
      </c>
      <c r="M20" s="153">
        <v>253.3</v>
      </c>
      <c r="N20" s="154">
        <v>2.35E-2</v>
      </c>
      <c r="O20" s="155">
        <v>1.41</v>
      </c>
      <c r="P20" s="150">
        <v>86.5</v>
      </c>
      <c r="Q20" s="150">
        <v>3</v>
      </c>
      <c r="R20" s="150">
        <v>1050</v>
      </c>
      <c r="S20" s="152">
        <v>0.99</v>
      </c>
      <c r="T20" s="150">
        <v>60</v>
      </c>
      <c r="U20" s="154">
        <v>5.7099999999999998E-2</v>
      </c>
      <c r="V20" s="150" t="s">
        <v>28</v>
      </c>
      <c r="W20" s="150" t="s">
        <v>28</v>
      </c>
      <c r="X20" s="150" t="s">
        <v>28</v>
      </c>
      <c r="Y20" s="150" t="s">
        <v>27</v>
      </c>
      <c r="Z20" s="150" t="s">
        <v>27</v>
      </c>
      <c r="AA20" s="150" t="s">
        <v>39</v>
      </c>
      <c r="AB20" s="150" t="s">
        <v>633</v>
      </c>
    </row>
    <row r="21" spans="1:28" s="156" customFormat="1" ht="25.05" customHeight="1">
      <c r="A21" s="150">
        <v>19</v>
      </c>
      <c r="B21" s="151" t="s">
        <v>626</v>
      </c>
      <c r="C21" s="150" t="s">
        <v>36</v>
      </c>
      <c r="D21" s="150" t="s">
        <v>625</v>
      </c>
      <c r="E21" s="150" t="s">
        <v>27</v>
      </c>
      <c r="F21" s="150">
        <v>262545</v>
      </c>
      <c r="G21" s="150" t="s">
        <v>624</v>
      </c>
      <c r="H21" s="150">
        <v>2000</v>
      </c>
      <c r="I21" s="152">
        <v>0.92500000000000004</v>
      </c>
      <c r="J21" s="152">
        <v>1.2</v>
      </c>
      <c r="K21" s="150" t="s">
        <v>632</v>
      </c>
      <c r="L21" s="152">
        <v>2220</v>
      </c>
      <c r="M21" s="153">
        <v>2400</v>
      </c>
      <c r="N21" s="154">
        <v>0.66669999999999996</v>
      </c>
      <c r="O21" s="155">
        <v>40</v>
      </c>
      <c r="P21" s="150">
        <v>765.9</v>
      </c>
      <c r="Q21" s="150">
        <v>1</v>
      </c>
      <c r="R21" s="150">
        <v>950</v>
      </c>
      <c r="S21" s="152">
        <v>0.92500000000000004</v>
      </c>
      <c r="T21" s="150">
        <v>25</v>
      </c>
      <c r="U21" s="154">
        <v>2.63E-2</v>
      </c>
      <c r="V21" s="150" t="s">
        <v>28</v>
      </c>
      <c r="W21" s="150" t="s">
        <v>28</v>
      </c>
      <c r="X21" s="150" t="s">
        <v>28</v>
      </c>
      <c r="Y21" s="150" t="s">
        <v>27</v>
      </c>
      <c r="Z21" s="150" t="s">
        <v>27</v>
      </c>
      <c r="AA21" s="150" t="s">
        <v>49</v>
      </c>
      <c r="AB21" s="150" t="s">
        <v>631</v>
      </c>
    </row>
    <row r="22" spans="1:28" s="156" customFormat="1" ht="25.05" customHeight="1">
      <c r="A22" s="150">
        <v>20</v>
      </c>
      <c r="B22" s="151" t="s">
        <v>626</v>
      </c>
      <c r="C22" s="150" t="s">
        <v>43</v>
      </c>
      <c r="D22" s="177">
        <v>46280</v>
      </c>
      <c r="E22" s="150"/>
      <c r="F22" s="150">
        <v>262609</v>
      </c>
      <c r="G22" s="150" t="s">
        <v>724</v>
      </c>
      <c r="H22" s="150">
        <v>1000</v>
      </c>
      <c r="I22" s="152">
        <v>0.28399999999999997</v>
      </c>
      <c r="J22" s="152">
        <v>1.8</v>
      </c>
      <c r="K22" s="217" t="s">
        <v>44</v>
      </c>
      <c r="L22" s="152">
        <v>511.2</v>
      </c>
      <c r="M22" s="153">
        <v>600</v>
      </c>
      <c r="N22" s="154">
        <v>5.5599999999999997E-2</v>
      </c>
      <c r="O22" s="155">
        <v>3.33</v>
      </c>
      <c r="P22" s="150">
        <v>176.4</v>
      </c>
      <c r="Q22" s="150">
        <v>3</v>
      </c>
      <c r="R22" s="150">
        <v>900</v>
      </c>
      <c r="S22" s="152">
        <v>0.85199999999999998</v>
      </c>
      <c r="T22" s="150">
        <v>48</v>
      </c>
      <c r="U22" s="154">
        <v>5.33E-2</v>
      </c>
      <c r="V22" s="150" t="s">
        <v>29</v>
      </c>
      <c r="W22" s="150" t="s">
        <v>29</v>
      </c>
      <c r="X22" s="150" t="s">
        <v>28</v>
      </c>
      <c r="Y22" s="150"/>
      <c r="Z22" s="150"/>
      <c r="AA22" s="150">
        <v>1</v>
      </c>
      <c r="AB22" s="150" t="s">
        <v>725</v>
      </c>
    </row>
    <row r="23" spans="1:28" s="156" customFormat="1" ht="25.05" customHeight="1">
      <c r="A23" s="150">
        <v>21</v>
      </c>
      <c r="B23" s="151" t="s">
        <v>626</v>
      </c>
      <c r="C23" s="150" t="s">
        <v>36</v>
      </c>
      <c r="D23" s="150" t="s">
        <v>625</v>
      </c>
      <c r="E23" s="150" t="s">
        <v>27</v>
      </c>
      <c r="F23" s="150">
        <v>262554</v>
      </c>
      <c r="G23" s="150" t="s">
        <v>624</v>
      </c>
      <c r="H23" s="150">
        <v>1500</v>
      </c>
      <c r="I23" s="152">
        <v>0.40400000000000003</v>
      </c>
      <c r="J23" s="152">
        <v>0.84</v>
      </c>
      <c r="K23" s="150" t="s">
        <v>630</v>
      </c>
      <c r="L23" s="152">
        <v>509.04</v>
      </c>
      <c r="M23" s="153">
        <v>630</v>
      </c>
      <c r="N23" s="154">
        <v>8.7499999999999994E-2</v>
      </c>
      <c r="O23" s="155">
        <v>5.25</v>
      </c>
      <c r="P23" s="150">
        <v>175.6</v>
      </c>
      <c r="Q23" s="150">
        <v>2</v>
      </c>
      <c r="R23" s="150">
        <v>850</v>
      </c>
      <c r="S23" s="152">
        <v>0.80800000000000005</v>
      </c>
      <c r="T23" s="150">
        <v>42</v>
      </c>
      <c r="U23" s="154">
        <v>4.9399999999999999E-2</v>
      </c>
      <c r="V23" s="150" t="s">
        <v>28</v>
      </c>
      <c r="W23" s="150" t="s">
        <v>28</v>
      </c>
      <c r="X23" s="150" t="s">
        <v>28</v>
      </c>
      <c r="Y23" s="150" t="s">
        <v>27</v>
      </c>
      <c r="Z23" s="150" t="s">
        <v>27</v>
      </c>
      <c r="AA23" s="150" t="s">
        <v>39</v>
      </c>
      <c r="AB23" s="150" t="s">
        <v>629</v>
      </c>
    </row>
    <row r="24" spans="1:28" s="156" customFormat="1" ht="25.05" customHeight="1">
      <c r="A24" s="150">
        <v>22</v>
      </c>
      <c r="B24" s="151" t="s">
        <v>626</v>
      </c>
      <c r="C24" s="150" t="s">
        <v>43</v>
      </c>
      <c r="D24" s="150" t="s">
        <v>625</v>
      </c>
      <c r="E24" s="150" t="s">
        <v>27</v>
      </c>
      <c r="F24" s="150">
        <v>262551</v>
      </c>
      <c r="G24" s="150" t="s">
        <v>624</v>
      </c>
      <c r="H24" s="150">
        <v>500</v>
      </c>
      <c r="I24" s="152">
        <v>0.40400000000000003</v>
      </c>
      <c r="J24" s="152">
        <v>1.39</v>
      </c>
      <c r="K24" s="150" t="s">
        <v>279</v>
      </c>
      <c r="L24" s="152">
        <v>280.77999999999997</v>
      </c>
      <c r="M24" s="153">
        <v>347.5</v>
      </c>
      <c r="N24" s="154">
        <v>4.8300000000000003E-2</v>
      </c>
      <c r="O24" s="155">
        <v>2.9</v>
      </c>
      <c r="P24" s="150">
        <v>103.3</v>
      </c>
      <c r="Q24" s="150">
        <v>2</v>
      </c>
      <c r="R24" s="150">
        <v>850</v>
      </c>
      <c r="S24" s="152">
        <v>0.80800000000000005</v>
      </c>
      <c r="T24" s="150">
        <v>42</v>
      </c>
      <c r="U24" s="154">
        <v>4.9399999999999999E-2</v>
      </c>
      <c r="V24" s="150" t="s">
        <v>29</v>
      </c>
      <c r="W24" s="150" t="s">
        <v>29</v>
      </c>
      <c r="X24" s="150" t="s">
        <v>28</v>
      </c>
      <c r="Y24" s="150" t="s">
        <v>27</v>
      </c>
      <c r="Z24" s="150" t="s">
        <v>27</v>
      </c>
      <c r="AA24" s="150" t="s">
        <v>39</v>
      </c>
      <c r="AB24" s="150" t="s">
        <v>278</v>
      </c>
    </row>
    <row r="25" spans="1:28" s="156" customFormat="1" ht="25.05" customHeight="1">
      <c r="A25" s="150">
        <v>23</v>
      </c>
      <c r="B25" s="151" t="s">
        <v>626</v>
      </c>
      <c r="C25" s="150" t="s">
        <v>36</v>
      </c>
      <c r="D25" s="150" t="s">
        <v>625</v>
      </c>
      <c r="E25" s="150" t="s">
        <v>27</v>
      </c>
      <c r="F25" s="150">
        <v>262552</v>
      </c>
      <c r="G25" s="150" t="s">
        <v>624</v>
      </c>
      <c r="H25" s="150">
        <v>3000</v>
      </c>
      <c r="I25" s="152">
        <v>0.40400000000000003</v>
      </c>
      <c r="J25" s="152">
        <v>1.39</v>
      </c>
      <c r="K25" s="150" t="s">
        <v>279</v>
      </c>
      <c r="L25" s="152">
        <v>1684.68</v>
      </c>
      <c r="M25" s="153">
        <v>2085</v>
      </c>
      <c r="N25" s="154">
        <v>0.28960000000000002</v>
      </c>
      <c r="O25" s="155">
        <v>17.38</v>
      </c>
      <c r="P25" s="150">
        <v>581.20000000000005</v>
      </c>
      <c r="Q25" s="150">
        <v>2</v>
      </c>
      <c r="R25" s="150">
        <v>850</v>
      </c>
      <c r="S25" s="152">
        <v>0.80800000000000005</v>
      </c>
      <c r="T25" s="150">
        <v>42</v>
      </c>
      <c r="U25" s="154">
        <v>4.9399999999999999E-2</v>
      </c>
      <c r="V25" s="150" t="s">
        <v>28</v>
      </c>
      <c r="W25" s="150" t="s">
        <v>28</v>
      </c>
      <c r="X25" s="150" t="s">
        <v>28</v>
      </c>
      <c r="Y25" s="150" t="s">
        <v>27</v>
      </c>
      <c r="Z25" s="150" t="s">
        <v>27</v>
      </c>
      <c r="AA25" s="150" t="s">
        <v>32</v>
      </c>
      <c r="AB25" s="150" t="s">
        <v>278</v>
      </c>
    </row>
    <row r="26" spans="1:28" s="156" customFormat="1" ht="25.05" customHeight="1">
      <c r="A26" s="150">
        <v>24</v>
      </c>
      <c r="B26" s="151" t="s">
        <v>626</v>
      </c>
      <c r="C26" s="150" t="s">
        <v>36</v>
      </c>
      <c r="D26" s="150" t="s">
        <v>625</v>
      </c>
      <c r="E26" s="150" t="s">
        <v>27</v>
      </c>
      <c r="F26" s="150">
        <v>262553</v>
      </c>
      <c r="G26" s="150" t="s">
        <v>624</v>
      </c>
      <c r="H26" s="150">
        <v>2000</v>
      </c>
      <c r="I26" s="152">
        <v>0.34399999999999997</v>
      </c>
      <c r="J26" s="152">
        <v>1.26</v>
      </c>
      <c r="K26" s="150" t="s">
        <v>628</v>
      </c>
      <c r="L26" s="152">
        <v>866.88</v>
      </c>
      <c r="M26" s="153">
        <v>1260</v>
      </c>
      <c r="N26" s="154">
        <v>0.17499999999999999</v>
      </c>
      <c r="O26" s="155">
        <v>10.5</v>
      </c>
      <c r="P26" s="150">
        <v>299.10000000000002</v>
      </c>
      <c r="Q26" s="150">
        <v>2</v>
      </c>
      <c r="R26" s="150">
        <v>750</v>
      </c>
      <c r="S26" s="152">
        <v>0.68799999999999994</v>
      </c>
      <c r="T26" s="150">
        <v>62</v>
      </c>
      <c r="U26" s="154">
        <v>8.2699999999999996E-2</v>
      </c>
      <c r="V26" s="150" t="s">
        <v>28</v>
      </c>
      <c r="W26" s="150" t="s">
        <v>28</v>
      </c>
      <c r="X26" s="150" t="s">
        <v>28</v>
      </c>
      <c r="Y26" s="150" t="s">
        <v>27</v>
      </c>
      <c r="Z26" s="150" t="s">
        <v>27</v>
      </c>
      <c r="AA26" s="150" t="s">
        <v>33</v>
      </c>
      <c r="AB26" s="150" t="s">
        <v>627</v>
      </c>
    </row>
    <row r="27" spans="1:28" s="156" customFormat="1" ht="25.05" customHeight="1">
      <c r="A27" s="150">
        <v>25</v>
      </c>
      <c r="B27" s="151" t="s">
        <v>626</v>
      </c>
      <c r="C27" s="150" t="s">
        <v>36</v>
      </c>
      <c r="D27" s="150" t="s">
        <v>625</v>
      </c>
      <c r="E27" s="150" t="s">
        <v>27</v>
      </c>
      <c r="F27" s="150">
        <v>262557</v>
      </c>
      <c r="G27" s="150" t="s">
        <v>624</v>
      </c>
      <c r="H27" s="150">
        <v>1500</v>
      </c>
      <c r="I27" s="152">
        <v>0.30399999999999999</v>
      </c>
      <c r="J27" s="152">
        <v>0.84</v>
      </c>
      <c r="K27" s="150" t="s">
        <v>319</v>
      </c>
      <c r="L27" s="152">
        <v>383.04</v>
      </c>
      <c r="M27" s="153">
        <v>630</v>
      </c>
      <c r="N27" s="154">
        <v>8.7499999999999994E-2</v>
      </c>
      <c r="O27" s="155">
        <v>5.25</v>
      </c>
      <c r="P27" s="150">
        <v>132.1</v>
      </c>
      <c r="Q27" s="150">
        <v>2</v>
      </c>
      <c r="R27" s="150">
        <v>650</v>
      </c>
      <c r="S27" s="152">
        <v>0.60799999999999998</v>
      </c>
      <c r="T27" s="150">
        <v>42</v>
      </c>
      <c r="U27" s="154">
        <v>6.4600000000000005E-2</v>
      </c>
      <c r="V27" s="150" t="s">
        <v>28</v>
      </c>
      <c r="W27" s="150" t="s">
        <v>28</v>
      </c>
      <c r="X27" s="150" t="s">
        <v>28</v>
      </c>
      <c r="Y27" s="150" t="s">
        <v>27</v>
      </c>
      <c r="Z27" s="150" t="s">
        <v>27</v>
      </c>
      <c r="AA27" s="150" t="s">
        <v>39</v>
      </c>
      <c r="AB27" s="150" t="s">
        <v>623</v>
      </c>
    </row>
    <row r="28" spans="1:28" s="156" customFormat="1" ht="25.05" customHeight="1">
      <c r="A28" s="157" t="s">
        <v>27</v>
      </c>
      <c r="B28" s="157" t="s">
        <v>27</v>
      </c>
      <c r="C28" s="157" t="s">
        <v>27</v>
      </c>
      <c r="D28" s="157" t="s">
        <v>27</v>
      </c>
      <c r="E28" s="157" t="s">
        <v>27</v>
      </c>
      <c r="F28" s="157" t="s">
        <v>27</v>
      </c>
      <c r="G28" s="157" t="s">
        <v>27</v>
      </c>
      <c r="H28" s="157">
        <v>25800</v>
      </c>
      <c r="I28" s="157" t="s">
        <v>27</v>
      </c>
      <c r="J28" s="157" t="s">
        <v>27</v>
      </c>
      <c r="K28" s="157" t="s">
        <v>27</v>
      </c>
      <c r="L28" s="157" t="s">
        <v>27</v>
      </c>
      <c r="M28" s="157" t="s">
        <v>27</v>
      </c>
      <c r="N28" s="157" t="s">
        <v>27</v>
      </c>
      <c r="O28" s="157" t="s">
        <v>27</v>
      </c>
      <c r="P28" s="157">
        <v>5957.9</v>
      </c>
      <c r="Q28" s="157" t="s">
        <v>27</v>
      </c>
      <c r="R28" s="157" t="s">
        <v>27</v>
      </c>
      <c r="S28" s="157" t="s">
        <v>27</v>
      </c>
      <c r="T28" s="157" t="s">
        <v>27</v>
      </c>
      <c r="U28" s="157" t="s">
        <v>27</v>
      </c>
      <c r="V28" s="157" t="s">
        <v>27</v>
      </c>
      <c r="W28" s="157" t="s">
        <v>27</v>
      </c>
      <c r="X28" s="157" t="s">
        <v>27</v>
      </c>
      <c r="Y28" s="157" t="s">
        <v>27</v>
      </c>
      <c r="Z28" s="157" t="s">
        <v>27</v>
      </c>
      <c r="AA28" s="157" t="s">
        <v>27</v>
      </c>
      <c r="AB28" s="157" t="s">
        <v>27</v>
      </c>
    </row>
    <row r="29" spans="1:28">
      <c r="B29" s="206"/>
    </row>
  </sheetData>
  <mergeCells count="1">
    <mergeCell ref="A1:AB1"/>
  </mergeCells>
  <pageMargins left="0.89" right="0.39" top="0.48" bottom="0.26" header="0.31496062000000002" footer="0.31496062000000002"/>
  <pageSetup paperSize="9" scale="74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>
      <c r="A1" s="220" t="s">
        <v>618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7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>
      <c r="A1" s="220" t="s">
        <v>606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7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R12" sqref="R12"/>
    </sheetView>
  </sheetViews>
  <sheetFormatPr defaultRowHeight="14.4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>
      <c r="A1" s="220" t="s">
        <v>599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39.6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>
      <c r="A5" s="150"/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34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f>SUM(H3:H5)</f>
        <v>3550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f>SUM(P3:P5)</f>
        <v>405.9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>
      <c r="A1" s="221" t="s">
        <v>592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0.200000000000003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opLeftCell="A3" workbookViewId="0">
      <selection sqref="A1:AB15"/>
    </sheetView>
  </sheetViews>
  <sheetFormatPr defaultRowHeight="14.4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>
      <c r="A1" s="222" t="s">
        <v>554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38.4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92" customFormat="1" ht="25.05" customHeight="1">
      <c r="A3" s="193">
        <v>1</v>
      </c>
      <c r="B3" s="194" t="s">
        <v>135</v>
      </c>
      <c r="C3" s="193" t="s">
        <v>26</v>
      </c>
      <c r="D3" s="193" t="s">
        <v>543</v>
      </c>
      <c r="E3" s="193" t="s">
        <v>27</v>
      </c>
      <c r="F3" s="193">
        <v>262497</v>
      </c>
      <c r="G3" s="193" t="s">
        <v>542</v>
      </c>
      <c r="H3" s="193">
        <v>225</v>
      </c>
      <c r="I3" s="195">
        <v>1.548</v>
      </c>
      <c r="J3" s="195">
        <v>1.62</v>
      </c>
      <c r="K3" s="193" t="s">
        <v>34</v>
      </c>
      <c r="L3" s="195">
        <v>564.24599999999998</v>
      </c>
      <c r="M3" s="196">
        <v>364.5</v>
      </c>
      <c r="N3" s="197">
        <v>0.1013</v>
      </c>
      <c r="O3" s="198">
        <v>6.08</v>
      </c>
      <c r="P3" s="193">
        <v>334.6</v>
      </c>
      <c r="Q3" s="193">
        <v>1</v>
      </c>
      <c r="R3" s="193">
        <v>1600</v>
      </c>
      <c r="S3" s="195">
        <v>1.548</v>
      </c>
      <c r="T3" s="193">
        <v>52</v>
      </c>
      <c r="U3" s="197">
        <v>3.2500000000000001E-2</v>
      </c>
      <c r="V3" s="193" t="s">
        <v>28</v>
      </c>
      <c r="W3" s="193" t="s">
        <v>29</v>
      </c>
      <c r="X3" s="193" t="s">
        <v>28</v>
      </c>
      <c r="Y3" s="193" t="s">
        <v>28</v>
      </c>
      <c r="Z3" s="193" t="s">
        <v>28</v>
      </c>
      <c r="AA3" s="193" t="s">
        <v>33</v>
      </c>
      <c r="AB3" s="193" t="s">
        <v>553</v>
      </c>
    </row>
    <row r="4" spans="1:28" s="167" customFormat="1" ht="25.05" customHeight="1">
      <c r="A4" s="150">
        <v>2</v>
      </c>
      <c r="B4" s="151" t="s">
        <v>135</v>
      </c>
      <c r="C4" s="150" t="s">
        <v>26</v>
      </c>
      <c r="D4" s="150" t="s">
        <v>543</v>
      </c>
      <c r="E4" s="150" t="s">
        <v>27</v>
      </c>
      <c r="F4" s="150">
        <v>262501</v>
      </c>
      <c r="G4" s="150" t="s">
        <v>542</v>
      </c>
      <c r="H4" s="150">
        <v>510</v>
      </c>
      <c r="I4" s="152">
        <v>0.76600000000000001</v>
      </c>
      <c r="J4" s="152">
        <v>1.43</v>
      </c>
      <c r="K4" s="150" t="s">
        <v>34</v>
      </c>
      <c r="L4" s="152">
        <v>558.64400000000001</v>
      </c>
      <c r="M4" s="153">
        <v>364.6</v>
      </c>
      <c r="N4" s="154">
        <v>5.0599999999999999E-2</v>
      </c>
      <c r="O4" s="155">
        <v>3.04</v>
      </c>
      <c r="P4" s="150">
        <v>331.3</v>
      </c>
      <c r="Q4" s="150">
        <v>2</v>
      </c>
      <c r="R4" s="150">
        <v>1600</v>
      </c>
      <c r="S4" s="152">
        <v>1.532</v>
      </c>
      <c r="T4" s="150">
        <v>68</v>
      </c>
      <c r="U4" s="154">
        <v>4.2500000000000003E-2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30</v>
      </c>
      <c r="AB4" s="150" t="s">
        <v>138</v>
      </c>
    </row>
    <row r="5" spans="1:28" s="192" customFormat="1" ht="25.05" customHeight="1">
      <c r="A5" s="193">
        <v>3</v>
      </c>
      <c r="B5" s="194" t="s">
        <v>135</v>
      </c>
      <c r="C5" s="193" t="s">
        <v>26</v>
      </c>
      <c r="D5" s="193" t="s">
        <v>543</v>
      </c>
      <c r="E5" s="193" t="s">
        <v>27</v>
      </c>
      <c r="F5" s="193">
        <v>262495</v>
      </c>
      <c r="G5" s="193" t="s">
        <v>542</v>
      </c>
      <c r="H5" s="193">
        <v>395</v>
      </c>
      <c r="I5" s="195">
        <v>0.69</v>
      </c>
      <c r="J5" s="195">
        <v>2.0699999999999998</v>
      </c>
      <c r="K5" s="193" t="s">
        <v>34</v>
      </c>
      <c r="L5" s="195">
        <v>564.178</v>
      </c>
      <c r="M5" s="196">
        <v>408.8</v>
      </c>
      <c r="N5" s="197">
        <v>5.6800000000000003E-2</v>
      </c>
      <c r="O5" s="198">
        <v>3.41</v>
      </c>
      <c r="P5" s="193">
        <v>334.6</v>
      </c>
      <c r="Q5" s="193">
        <v>2</v>
      </c>
      <c r="R5" s="193">
        <v>1400</v>
      </c>
      <c r="S5" s="195">
        <v>1.38</v>
      </c>
      <c r="T5" s="193">
        <v>20</v>
      </c>
      <c r="U5" s="197">
        <v>1.43E-2</v>
      </c>
      <c r="V5" s="193" t="s">
        <v>28</v>
      </c>
      <c r="W5" s="193" t="s">
        <v>29</v>
      </c>
      <c r="X5" s="193" t="s">
        <v>28</v>
      </c>
      <c r="Y5" s="193" t="s">
        <v>28</v>
      </c>
      <c r="Z5" s="193" t="s">
        <v>28</v>
      </c>
      <c r="AA5" s="193" t="s">
        <v>30</v>
      </c>
      <c r="AB5" s="193" t="s">
        <v>552</v>
      </c>
    </row>
    <row r="6" spans="1:28" s="192" customFormat="1" ht="25.05" customHeight="1">
      <c r="A6" s="193">
        <v>4</v>
      </c>
      <c r="B6" s="194" t="s">
        <v>135</v>
      </c>
      <c r="C6" s="193" t="s">
        <v>26</v>
      </c>
      <c r="D6" s="193" t="s">
        <v>543</v>
      </c>
      <c r="E6" s="193" t="s">
        <v>27</v>
      </c>
      <c r="F6" s="193">
        <v>262496</v>
      </c>
      <c r="G6" s="193" t="s">
        <v>542</v>
      </c>
      <c r="H6" s="193">
        <v>610</v>
      </c>
      <c r="I6" s="195">
        <v>1.29</v>
      </c>
      <c r="J6" s="195">
        <v>1.59</v>
      </c>
      <c r="K6" s="193" t="s">
        <v>34</v>
      </c>
      <c r="L6" s="195">
        <v>1251.171</v>
      </c>
      <c r="M6" s="196">
        <v>969.9</v>
      </c>
      <c r="N6" s="197">
        <v>0.26939999999999997</v>
      </c>
      <c r="O6" s="198">
        <v>16.170000000000002</v>
      </c>
      <c r="P6" s="193">
        <v>741.9</v>
      </c>
      <c r="Q6" s="193">
        <v>1</v>
      </c>
      <c r="R6" s="193">
        <v>1350</v>
      </c>
      <c r="S6" s="195">
        <v>1.29</v>
      </c>
      <c r="T6" s="193">
        <v>60</v>
      </c>
      <c r="U6" s="197">
        <v>4.4400000000000002E-2</v>
      </c>
      <c r="V6" s="193" t="s">
        <v>28</v>
      </c>
      <c r="W6" s="193" t="s">
        <v>29</v>
      </c>
      <c r="X6" s="193" t="s">
        <v>28</v>
      </c>
      <c r="Y6" s="193" t="s">
        <v>28</v>
      </c>
      <c r="Z6" s="193" t="s">
        <v>28</v>
      </c>
      <c r="AA6" s="193" t="s">
        <v>32</v>
      </c>
      <c r="AB6" s="193" t="s">
        <v>551</v>
      </c>
    </row>
    <row r="7" spans="1:28" s="192" customFormat="1" ht="25.05" customHeight="1">
      <c r="A7" s="193">
        <v>5</v>
      </c>
      <c r="B7" s="194" t="s">
        <v>135</v>
      </c>
      <c r="C7" s="193" t="s">
        <v>26</v>
      </c>
      <c r="D7" s="193" t="s">
        <v>543</v>
      </c>
      <c r="E7" s="193" t="s">
        <v>27</v>
      </c>
      <c r="F7" s="193">
        <v>262494</v>
      </c>
      <c r="G7" s="193" t="s">
        <v>542</v>
      </c>
      <c r="H7" s="193">
        <v>700</v>
      </c>
      <c r="I7" s="195">
        <v>1.0740000000000001</v>
      </c>
      <c r="J7" s="195">
        <v>1.27</v>
      </c>
      <c r="K7" s="193" t="s">
        <v>34</v>
      </c>
      <c r="L7" s="195">
        <v>954.78599999999994</v>
      </c>
      <c r="M7" s="196">
        <v>889</v>
      </c>
      <c r="N7" s="197">
        <v>0.24690000000000001</v>
      </c>
      <c r="O7" s="198">
        <v>14.82</v>
      </c>
      <c r="P7" s="193">
        <v>566.20000000000005</v>
      </c>
      <c r="Q7" s="193">
        <v>1</v>
      </c>
      <c r="R7" s="193">
        <v>1100</v>
      </c>
      <c r="S7" s="195">
        <v>1.0740000000000001</v>
      </c>
      <c r="T7" s="193">
        <v>26</v>
      </c>
      <c r="U7" s="197">
        <v>2.3599999999999999E-2</v>
      </c>
      <c r="V7" s="193" t="s">
        <v>28</v>
      </c>
      <c r="W7" s="193" t="s">
        <v>29</v>
      </c>
      <c r="X7" s="193" t="s">
        <v>28</v>
      </c>
      <c r="Y7" s="193" t="s">
        <v>28</v>
      </c>
      <c r="Z7" s="193" t="s">
        <v>28</v>
      </c>
      <c r="AA7" s="193" t="s">
        <v>32</v>
      </c>
      <c r="AB7" s="193" t="s">
        <v>550</v>
      </c>
    </row>
    <row r="8" spans="1:28" s="167" customFormat="1" ht="25.05" customHeight="1">
      <c r="A8" s="150">
        <v>6</v>
      </c>
      <c r="B8" s="151" t="s">
        <v>135</v>
      </c>
      <c r="C8" s="150" t="s">
        <v>26</v>
      </c>
      <c r="D8" s="150" t="s">
        <v>543</v>
      </c>
      <c r="E8" s="150" t="s">
        <v>27</v>
      </c>
      <c r="F8" s="150">
        <v>262502</v>
      </c>
      <c r="G8" s="150" t="s">
        <v>542</v>
      </c>
      <c r="H8" s="150">
        <v>550</v>
      </c>
      <c r="I8" s="152">
        <v>0.95599999999999996</v>
      </c>
      <c r="J8" s="152">
        <v>1.23</v>
      </c>
      <c r="K8" s="150" t="s">
        <v>34</v>
      </c>
      <c r="L8" s="152">
        <v>646.73400000000004</v>
      </c>
      <c r="M8" s="153">
        <v>676.5</v>
      </c>
      <c r="N8" s="154">
        <v>0.18790000000000001</v>
      </c>
      <c r="O8" s="155">
        <v>11.28</v>
      </c>
      <c r="P8" s="150">
        <v>383.5</v>
      </c>
      <c r="Q8" s="150">
        <v>1</v>
      </c>
      <c r="R8" s="150">
        <v>1000</v>
      </c>
      <c r="S8" s="152">
        <v>0.95599999999999996</v>
      </c>
      <c r="T8" s="150">
        <v>44</v>
      </c>
      <c r="U8" s="154">
        <v>4.3999999999999997E-2</v>
      </c>
      <c r="V8" s="150" t="s">
        <v>28</v>
      </c>
      <c r="W8" s="150" t="s">
        <v>29</v>
      </c>
      <c r="X8" s="150" t="s">
        <v>28</v>
      </c>
      <c r="Y8" s="150" t="s">
        <v>28</v>
      </c>
      <c r="Z8" s="150" t="s">
        <v>28</v>
      </c>
      <c r="AA8" s="150" t="s">
        <v>30</v>
      </c>
      <c r="AB8" s="150" t="s">
        <v>549</v>
      </c>
    </row>
    <row r="9" spans="1:28" s="167" customFormat="1" ht="25.05" customHeight="1">
      <c r="A9" s="150">
        <v>7</v>
      </c>
      <c r="B9" s="151" t="s">
        <v>135</v>
      </c>
      <c r="C9" s="150" t="s">
        <v>26</v>
      </c>
      <c r="D9" s="150" t="s">
        <v>543</v>
      </c>
      <c r="E9" s="150" t="s">
        <v>27</v>
      </c>
      <c r="F9" s="150">
        <v>262503</v>
      </c>
      <c r="G9" s="150" t="s">
        <v>542</v>
      </c>
      <c r="H9" s="150">
        <v>550</v>
      </c>
      <c r="I9" s="152">
        <v>0.97099999999999997</v>
      </c>
      <c r="J9" s="152">
        <v>1.26</v>
      </c>
      <c r="K9" s="150" t="s">
        <v>34</v>
      </c>
      <c r="L9" s="152">
        <v>672.90300000000002</v>
      </c>
      <c r="M9" s="153">
        <v>693</v>
      </c>
      <c r="N9" s="154">
        <v>0.1925</v>
      </c>
      <c r="O9" s="155">
        <v>11.55</v>
      </c>
      <c r="P9" s="150">
        <v>399</v>
      </c>
      <c r="Q9" s="150">
        <v>1</v>
      </c>
      <c r="R9" s="150">
        <v>1000</v>
      </c>
      <c r="S9" s="152">
        <v>0.97099999999999997</v>
      </c>
      <c r="T9" s="150">
        <v>29</v>
      </c>
      <c r="U9" s="154">
        <v>2.9000000000000001E-2</v>
      </c>
      <c r="V9" s="150" t="s">
        <v>28</v>
      </c>
      <c r="W9" s="150" t="s">
        <v>29</v>
      </c>
      <c r="X9" s="150" t="s">
        <v>28</v>
      </c>
      <c r="Y9" s="150" t="s">
        <v>28</v>
      </c>
      <c r="Z9" s="150" t="s">
        <v>28</v>
      </c>
      <c r="AA9" s="150" t="s">
        <v>30</v>
      </c>
      <c r="AB9" s="150" t="s">
        <v>548</v>
      </c>
    </row>
    <row r="10" spans="1:28" s="167" customFormat="1" ht="25.05" customHeight="1">
      <c r="A10" s="150">
        <v>8</v>
      </c>
      <c r="B10" s="151" t="s">
        <v>135</v>
      </c>
      <c r="C10" s="150" t="s">
        <v>296</v>
      </c>
      <c r="D10" s="150" t="s">
        <v>543</v>
      </c>
      <c r="E10" s="150" t="s">
        <v>27</v>
      </c>
      <c r="F10" s="150">
        <v>262504</v>
      </c>
      <c r="G10" s="150" t="s">
        <v>542</v>
      </c>
      <c r="H10" s="150">
        <v>375</v>
      </c>
      <c r="I10" s="152">
        <v>1.44</v>
      </c>
      <c r="J10" s="152">
        <v>1.538</v>
      </c>
      <c r="K10" s="150" t="s">
        <v>34</v>
      </c>
      <c r="L10" s="152">
        <v>830.52</v>
      </c>
      <c r="M10" s="153">
        <v>576.79999999999995</v>
      </c>
      <c r="N10" s="154">
        <v>0.16020000000000001</v>
      </c>
      <c r="O10" s="155">
        <v>9.61</v>
      </c>
      <c r="P10" s="150">
        <v>318.10000000000002</v>
      </c>
      <c r="Q10" s="150">
        <v>1</v>
      </c>
      <c r="R10" s="150">
        <v>1500</v>
      </c>
      <c r="S10" s="152">
        <v>1.44</v>
      </c>
      <c r="T10" s="150">
        <v>60</v>
      </c>
      <c r="U10" s="154">
        <v>0.04</v>
      </c>
      <c r="V10" s="150" t="s">
        <v>42</v>
      </c>
      <c r="W10" s="150" t="s">
        <v>29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547</v>
      </c>
    </row>
    <row r="11" spans="1:28" s="167" customFormat="1" ht="25.05" customHeight="1">
      <c r="A11" s="150">
        <v>9</v>
      </c>
      <c r="B11" s="151" t="s">
        <v>135</v>
      </c>
      <c r="C11" s="150" t="s">
        <v>36</v>
      </c>
      <c r="D11" s="150" t="s">
        <v>543</v>
      </c>
      <c r="E11" s="150" t="s">
        <v>27</v>
      </c>
      <c r="F11" s="150">
        <v>262505</v>
      </c>
      <c r="G11" s="150" t="s">
        <v>542</v>
      </c>
      <c r="H11" s="150">
        <v>1750</v>
      </c>
      <c r="I11" s="152">
        <v>0.74</v>
      </c>
      <c r="J11" s="152">
        <v>0.75</v>
      </c>
      <c r="K11" s="150" t="s">
        <v>34</v>
      </c>
      <c r="L11" s="152">
        <v>971.25</v>
      </c>
      <c r="M11" s="153">
        <v>656.3</v>
      </c>
      <c r="N11" s="154">
        <v>9.11E-2</v>
      </c>
      <c r="O11" s="155">
        <v>5.47</v>
      </c>
      <c r="P11" s="150">
        <v>335.1</v>
      </c>
      <c r="Q11" s="150">
        <v>2</v>
      </c>
      <c r="R11" s="150">
        <v>1500</v>
      </c>
      <c r="S11" s="152">
        <v>1.48</v>
      </c>
      <c r="T11" s="150">
        <v>20</v>
      </c>
      <c r="U11" s="154">
        <v>1.3299999999999999E-2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30</v>
      </c>
      <c r="AB11" s="150" t="s">
        <v>546</v>
      </c>
    </row>
    <row r="12" spans="1:28" s="167" customFormat="1" ht="25.05" customHeight="1">
      <c r="A12" s="150">
        <v>10</v>
      </c>
      <c r="B12" s="151" t="s">
        <v>135</v>
      </c>
      <c r="C12" s="150" t="s">
        <v>296</v>
      </c>
      <c r="D12" s="150" t="s">
        <v>543</v>
      </c>
      <c r="E12" s="150" t="s">
        <v>27</v>
      </c>
      <c r="F12" s="150">
        <v>262499</v>
      </c>
      <c r="G12" s="150" t="s">
        <v>542</v>
      </c>
      <c r="H12" s="150">
        <v>3200</v>
      </c>
      <c r="I12" s="152">
        <v>0.46100000000000002</v>
      </c>
      <c r="J12" s="152">
        <v>1.32</v>
      </c>
      <c r="K12" s="150" t="s">
        <v>34</v>
      </c>
      <c r="L12" s="152">
        <v>1947.2639999999999</v>
      </c>
      <c r="M12" s="153">
        <v>1408</v>
      </c>
      <c r="N12" s="154">
        <v>0.13039999999999999</v>
      </c>
      <c r="O12" s="155">
        <v>7.82</v>
      </c>
      <c r="P12" s="150">
        <v>745.8</v>
      </c>
      <c r="Q12" s="150">
        <v>3</v>
      </c>
      <c r="R12" s="150">
        <v>1450</v>
      </c>
      <c r="S12" s="152">
        <v>1.383</v>
      </c>
      <c r="T12" s="150">
        <v>67</v>
      </c>
      <c r="U12" s="154">
        <v>4.6199999999999998E-2</v>
      </c>
      <c r="V12" s="150" t="s">
        <v>42</v>
      </c>
      <c r="W12" s="150" t="s">
        <v>29</v>
      </c>
      <c r="X12" s="150" t="s">
        <v>28</v>
      </c>
      <c r="Y12" s="150" t="s">
        <v>27</v>
      </c>
      <c r="Z12" s="150" t="s">
        <v>27</v>
      </c>
      <c r="AA12" s="150" t="s">
        <v>32</v>
      </c>
      <c r="AB12" s="150" t="s">
        <v>545</v>
      </c>
    </row>
    <row r="13" spans="1:28" s="167" customFormat="1" ht="25.05" customHeight="1">
      <c r="A13" s="150">
        <v>11</v>
      </c>
      <c r="B13" s="151" t="s">
        <v>135</v>
      </c>
      <c r="C13" s="150" t="s">
        <v>36</v>
      </c>
      <c r="D13" s="150" t="s">
        <v>543</v>
      </c>
      <c r="E13" s="150" t="s">
        <v>27</v>
      </c>
      <c r="F13" s="150">
        <v>262498</v>
      </c>
      <c r="G13" s="150" t="s">
        <v>542</v>
      </c>
      <c r="H13" s="150">
        <v>3550</v>
      </c>
      <c r="I13" s="152">
        <v>0.3</v>
      </c>
      <c r="J13" s="152">
        <v>0.9</v>
      </c>
      <c r="K13" s="150" t="s">
        <v>34</v>
      </c>
      <c r="L13" s="152">
        <v>958.5</v>
      </c>
      <c r="M13" s="153">
        <v>1065</v>
      </c>
      <c r="N13" s="154">
        <v>9.8599999999999993E-2</v>
      </c>
      <c r="O13" s="155">
        <v>5.92</v>
      </c>
      <c r="P13" s="150">
        <v>330.7</v>
      </c>
      <c r="Q13" s="150">
        <v>3</v>
      </c>
      <c r="R13" s="150">
        <v>950</v>
      </c>
      <c r="S13" s="152">
        <v>0.9</v>
      </c>
      <c r="T13" s="150">
        <v>50</v>
      </c>
      <c r="U13" s="154">
        <v>5.2600000000000001E-2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33</v>
      </c>
      <c r="AB13" s="150" t="s">
        <v>544</v>
      </c>
    </row>
    <row r="14" spans="1:28" s="167" customFormat="1" ht="25.05" customHeight="1">
      <c r="A14" s="150">
        <v>12</v>
      </c>
      <c r="B14" s="151" t="s">
        <v>135</v>
      </c>
      <c r="C14" s="150" t="s">
        <v>36</v>
      </c>
      <c r="D14" s="150" t="s">
        <v>543</v>
      </c>
      <c r="E14" s="150" t="s">
        <v>27</v>
      </c>
      <c r="F14" s="150">
        <v>262500</v>
      </c>
      <c r="G14" s="150" t="s">
        <v>542</v>
      </c>
      <c r="H14" s="150">
        <v>6000</v>
      </c>
      <c r="I14" s="152">
        <v>0.374</v>
      </c>
      <c r="J14" s="152">
        <v>0.44</v>
      </c>
      <c r="K14" s="150" t="s">
        <v>541</v>
      </c>
      <c r="L14" s="152">
        <v>987.36</v>
      </c>
      <c r="M14" s="153">
        <v>1320</v>
      </c>
      <c r="N14" s="154">
        <v>0.18329999999999999</v>
      </c>
      <c r="O14" s="155">
        <v>11</v>
      </c>
      <c r="P14" s="150">
        <v>340.6</v>
      </c>
      <c r="Q14" s="150">
        <v>2</v>
      </c>
      <c r="R14" s="150">
        <v>800</v>
      </c>
      <c r="S14" s="152">
        <v>0.748</v>
      </c>
      <c r="T14" s="150">
        <v>52</v>
      </c>
      <c r="U14" s="154">
        <v>6.5000000000000002E-2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33</v>
      </c>
      <c r="AB14" s="150" t="s">
        <v>540</v>
      </c>
    </row>
    <row r="15" spans="1:28" s="167" customFormat="1" ht="25.05" customHeight="1">
      <c r="A15" s="157" t="s">
        <v>27</v>
      </c>
      <c r="B15" s="157" t="s">
        <v>27</v>
      </c>
      <c r="C15" s="157" t="s">
        <v>27</v>
      </c>
      <c r="D15" s="157" t="s">
        <v>27</v>
      </c>
      <c r="E15" s="157" t="s">
        <v>27</v>
      </c>
      <c r="F15" s="157" t="s">
        <v>27</v>
      </c>
      <c r="G15" s="157" t="s">
        <v>27</v>
      </c>
      <c r="H15" s="157">
        <v>18415</v>
      </c>
      <c r="I15" s="157" t="s">
        <v>27</v>
      </c>
      <c r="J15" s="157" t="s">
        <v>27</v>
      </c>
      <c r="K15" s="157" t="s">
        <v>27</v>
      </c>
      <c r="L15" s="157" t="s">
        <v>27</v>
      </c>
      <c r="M15" s="157" t="s">
        <v>27</v>
      </c>
      <c r="N15" s="157" t="s">
        <v>27</v>
      </c>
      <c r="O15" s="157" t="s">
        <v>27</v>
      </c>
      <c r="P15" s="157">
        <v>5161.3999999999996</v>
      </c>
      <c r="Q15" s="157" t="s">
        <v>27</v>
      </c>
      <c r="R15" s="157" t="s">
        <v>27</v>
      </c>
      <c r="S15" s="157" t="s">
        <v>27</v>
      </c>
      <c r="T15" s="157" t="s">
        <v>27</v>
      </c>
      <c r="U15" s="157" t="s">
        <v>27</v>
      </c>
      <c r="V15" s="157" t="s">
        <v>27</v>
      </c>
      <c r="W15" s="157" t="s">
        <v>27</v>
      </c>
      <c r="X15" s="157" t="s">
        <v>27</v>
      </c>
      <c r="Y15" s="157" t="s">
        <v>27</v>
      </c>
      <c r="Z15" s="157" t="s">
        <v>27</v>
      </c>
      <c r="AA15" s="157" t="s">
        <v>27</v>
      </c>
      <c r="AB15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>
      <c r="A1" s="221" t="s">
        <v>539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s="12" customFormat="1" ht="46.8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workbookViewId="0">
      <selection activeCell="AD17" sqref="AD17"/>
    </sheetView>
  </sheetViews>
  <sheetFormatPr defaultRowHeight="14.4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>
      <c r="A1" s="218" t="s">
        <v>535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47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>
      <c r="A1" s="223" t="s">
        <v>523</v>
      </c>
      <c r="B1" s="223" t="s">
        <v>27</v>
      </c>
      <c r="C1" s="223" t="s">
        <v>27</v>
      </c>
      <c r="D1" s="223" t="s">
        <v>27</v>
      </c>
      <c r="E1" s="223" t="s">
        <v>27</v>
      </c>
      <c r="F1" s="223" t="s">
        <v>27</v>
      </c>
      <c r="G1" s="223" t="s">
        <v>27</v>
      </c>
      <c r="H1" s="223" t="s">
        <v>27</v>
      </c>
      <c r="I1" s="223" t="s">
        <v>27</v>
      </c>
      <c r="J1" s="223" t="s">
        <v>27</v>
      </c>
      <c r="K1" s="223" t="s">
        <v>27</v>
      </c>
      <c r="L1" s="223" t="s">
        <v>27</v>
      </c>
      <c r="M1" s="223" t="s">
        <v>27</v>
      </c>
      <c r="N1" s="223" t="s">
        <v>27</v>
      </c>
      <c r="O1" s="223" t="s">
        <v>27</v>
      </c>
      <c r="P1" s="223" t="s">
        <v>27</v>
      </c>
      <c r="Q1" s="223" t="s">
        <v>27</v>
      </c>
      <c r="R1" s="223" t="s">
        <v>27</v>
      </c>
      <c r="S1" s="223" t="s">
        <v>27</v>
      </c>
      <c r="T1" s="223" t="s">
        <v>27</v>
      </c>
      <c r="U1" s="223" t="s">
        <v>27</v>
      </c>
      <c r="V1" s="223" t="s">
        <v>27</v>
      </c>
      <c r="W1" s="223" t="s">
        <v>27</v>
      </c>
      <c r="X1" s="223" t="s">
        <v>27</v>
      </c>
      <c r="Y1" s="223" t="s">
        <v>27</v>
      </c>
      <c r="Z1" s="223" t="s">
        <v>27</v>
      </c>
      <c r="AA1" s="223" t="s">
        <v>27</v>
      </c>
      <c r="AB1" s="223" t="s">
        <v>27</v>
      </c>
    </row>
    <row r="2" spans="1:28" ht="43.2" customHeight="1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>
      <c r="A1" s="224" t="s">
        <v>512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40.799999999999997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>
      <c r="A1" s="220" t="s">
        <v>531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39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sheetPr>
    <pageSetUpPr fitToPage="1"/>
  </sheetPr>
  <dimension ref="A1:AB17"/>
  <sheetViews>
    <sheetView workbookViewId="0">
      <selection sqref="A1:AB17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>
      <c r="A1" s="221" t="s">
        <v>496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6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214" customFormat="1" ht="25.05" customHeight="1">
      <c r="A6" s="207">
        <v>4</v>
      </c>
      <c r="B6" s="208" t="s">
        <v>63</v>
      </c>
      <c r="C6" s="207" t="s">
        <v>26</v>
      </c>
      <c r="D6" s="209">
        <v>46274</v>
      </c>
      <c r="E6" s="207"/>
      <c r="F6" s="207">
        <v>262613</v>
      </c>
      <c r="G6" s="207">
        <v>8223</v>
      </c>
      <c r="H6" s="207">
        <v>700</v>
      </c>
      <c r="I6" s="210">
        <v>0.64200000000000002</v>
      </c>
      <c r="J6" s="210">
        <v>2.0790000000000002</v>
      </c>
      <c r="K6" s="207" t="s">
        <v>129</v>
      </c>
      <c r="L6" s="210">
        <v>934.303</v>
      </c>
      <c r="M6" s="211">
        <v>727.7</v>
      </c>
      <c r="N6" s="212">
        <v>0.1011</v>
      </c>
      <c r="O6" s="213">
        <v>6.06</v>
      </c>
      <c r="P6" s="207">
        <v>502.7</v>
      </c>
      <c r="Q6" s="207">
        <v>2</v>
      </c>
      <c r="R6" s="207">
        <v>1350</v>
      </c>
      <c r="S6" s="210">
        <v>1.284</v>
      </c>
      <c r="T6" s="207">
        <v>66</v>
      </c>
      <c r="U6" s="212">
        <v>4.8899999999999999E-2</v>
      </c>
      <c r="V6" s="207" t="s">
        <v>28</v>
      </c>
      <c r="W6" s="207" t="s">
        <v>29</v>
      </c>
      <c r="X6" s="207" t="s">
        <v>28</v>
      </c>
      <c r="Y6" s="207" t="s">
        <v>28</v>
      </c>
      <c r="Z6" s="207" t="s">
        <v>28</v>
      </c>
      <c r="AA6" s="207">
        <v>4</v>
      </c>
      <c r="AB6" s="207" t="s">
        <v>729</v>
      </c>
    </row>
    <row r="7" spans="1:28" s="214" customFormat="1" ht="25.05" customHeight="1">
      <c r="A7" s="207">
        <v>5</v>
      </c>
      <c r="B7" s="208" t="s">
        <v>63</v>
      </c>
      <c r="C7" s="207" t="s">
        <v>26</v>
      </c>
      <c r="D7" s="209">
        <v>46279</v>
      </c>
      <c r="E7" s="207"/>
      <c r="F7" s="207">
        <v>262610</v>
      </c>
      <c r="G7" s="207">
        <v>8235</v>
      </c>
      <c r="H7" s="207">
        <v>1000</v>
      </c>
      <c r="I7" s="210">
        <v>0.64500000000000002</v>
      </c>
      <c r="J7" s="210">
        <v>1.526</v>
      </c>
      <c r="K7" s="207" t="s">
        <v>726</v>
      </c>
      <c r="L7" s="210">
        <v>984.27</v>
      </c>
      <c r="M7" s="211">
        <v>763</v>
      </c>
      <c r="N7" s="212">
        <v>0.106</v>
      </c>
      <c r="O7" s="213">
        <v>6.36</v>
      </c>
      <c r="P7" s="207">
        <v>529.5</v>
      </c>
      <c r="Q7" s="207">
        <v>2</v>
      </c>
      <c r="R7" s="207">
        <v>1350</v>
      </c>
      <c r="S7" s="210">
        <v>1.29</v>
      </c>
      <c r="T7" s="207">
        <v>60</v>
      </c>
      <c r="U7" s="212">
        <v>4.4400000000000002E-2</v>
      </c>
      <c r="V7" s="207" t="s">
        <v>28</v>
      </c>
      <c r="W7" s="207" t="s">
        <v>29</v>
      </c>
      <c r="X7" s="207" t="s">
        <v>28</v>
      </c>
      <c r="Y7" s="207" t="s">
        <v>28</v>
      </c>
      <c r="Z7" s="207" t="s">
        <v>28</v>
      </c>
      <c r="AA7" s="207">
        <v>6</v>
      </c>
      <c r="AB7" s="207" t="s">
        <v>727</v>
      </c>
    </row>
    <row r="8" spans="1:28" s="12" customFormat="1" ht="25.05" customHeight="1">
      <c r="A8" s="133">
        <v>6</v>
      </c>
      <c r="B8" s="10" t="s">
        <v>63</v>
      </c>
      <c r="C8" s="97" t="s">
        <v>26</v>
      </c>
      <c r="D8" s="97" t="s">
        <v>489</v>
      </c>
      <c r="E8" s="97" t="s">
        <v>27</v>
      </c>
      <c r="F8" s="97">
        <v>262467</v>
      </c>
      <c r="G8" s="97" t="s">
        <v>488</v>
      </c>
      <c r="H8" s="97">
        <v>800</v>
      </c>
      <c r="I8" s="99">
        <v>0.56799999999999995</v>
      </c>
      <c r="J8" s="99">
        <v>1.508</v>
      </c>
      <c r="K8" s="97" t="s">
        <v>495</v>
      </c>
      <c r="L8" s="99">
        <v>685.23500000000001</v>
      </c>
      <c r="M8" s="100">
        <v>603.20000000000005</v>
      </c>
      <c r="N8" s="101">
        <v>8.3799999999999999E-2</v>
      </c>
      <c r="O8" s="102">
        <v>5.03</v>
      </c>
      <c r="P8" s="97">
        <v>406.3</v>
      </c>
      <c r="Q8" s="97">
        <v>2</v>
      </c>
      <c r="R8" s="97">
        <v>1200</v>
      </c>
      <c r="S8" s="99">
        <v>1.1359999999999999</v>
      </c>
      <c r="T8" s="97">
        <v>64</v>
      </c>
      <c r="U8" s="101">
        <v>5.33E-2</v>
      </c>
      <c r="V8" s="97" t="s">
        <v>28</v>
      </c>
      <c r="W8" s="97" t="s">
        <v>29</v>
      </c>
      <c r="X8" s="97" t="s">
        <v>28</v>
      </c>
      <c r="Y8" s="97" t="s">
        <v>28</v>
      </c>
      <c r="Z8" s="97" t="s">
        <v>28</v>
      </c>
      <c r="AA8" s="97" t="s">
        <v>30</v>
      </c>
      <c r="AB8" s="97" t="s">
        <v>494</v>
      </c>
    </row>
    <row r="9" spans="1:28" s="103" customFormat="1" ht="25.05" customHeight="1">
      <c r="A9" s="207">
        <v>7</v>
      </c>
      <c r="B9" s="186" t="s">
        <v>63</v>
      </c>
      <c r="C9" s="185" t="s">
        <v>26</v>
      </c>
      <c r="D9" s="215">
        <v>46274</v>
      </c>
      <c r="E9" s="185"/>
      <c r="F9" s="185">
        <v>262612</v>
      </c>
      <c r="G9" s="185">
        <v>8223</v>
      </c>
      <c r="H9" s="185">
        <v>835</v>
      </c>
      <c r="I9" s="187">
        <v>1.018</v>
      </c>
      <c r="J9" s="187">
        <v>0.64500000000000002</v>
      </c>
      <c r="K9" s="185" t="s">
        <v>34</v>
      </c>
      <c r="L9" s="187">
        <v>548.26900000000001</v>
      </c>
      <c r="M9" s="188">
        <v>538.6</v>
      </c>
      <c r="N9" s="189">
        <v>0.14960000000000001</v>
      </c>
      <c r="O9" s="190">
        <v>8.98</v>
      </c>
      <c r="P9" s="185">
        <v>295</v>
      </c>
      <c r="Q9" s="185">
        <v>1</v>
      </c>
      <c r="R9" s="185">
        <v>1050</v>
      </c>
      <c r="S9" s="187">
        <v>1.018</v>
      </c>
      <c r="T9" s="185">
        <v>32</v>
      </c>
      <c r="U9" s="189">
        <v>3.0499999999999999E-2</v>
      </c>
      <c r="V9" s="185" t="s">
        <v>28</v>
      </c>
      <c r="W9" s="185" t="s">
        <v>29</v>
      </c>
      <c r="X9" s="185" t="s">
        <v>28</v>
      </c>
      <c r="Y9" s="185" t="s">
        <v>28</v>
      </c>
      <c r="Z9" s="185" t="s">
        <v>28</v>
      </c>
      <c r="AA9" s="185">
        <v>2</v>
      </c>
      <c r="AB9" s="185" t="s">
        <v>728</v>
      </c>
    </row>
    <row r="10" spans="1:28" s="12" customFormat="1" ht="25.05" customHeight="1">
      <c r="A10" s="133">
        <v>8</v>
      </c>
      <c r="B10" s="10" t="s">
        <v>63</v>
      </c>
      <c r="C10" s="97" t="s">
        <v>26</v>
      </c>
      <c r="D10" s="97" t="s">
        <v>489</v>
      </c>
      <c r="E10" s="97" t="s">
        <v>27</v>
      </c>
      <c r="F10" s="97">
        <v>262468</v>
      </c>
      <c r="G10" s="97" t="s">
        <v>488</v>
      </c>
      <c r="H10" s="97">
        <v>1000</v>
      </c>
      <c r="I10" s="99">
        <v>0.46400000000000002</v>
      </c>
      <c r="J10" s="99">
        <v>1.208</v>
      </c>
      <c r="K10" s="97" t="s">
        <v>493</v>
      </c>
      <c r="L10" s="99">
        <v>560.51199999999994</v>
      </c>
      <c r="M10" s="100">
        <v>604</v>
      </c>
      <c r="N10" s="101">
        <v>8.3900000000000002E-2</v>
      </c>
      <c r="O10" s="102">
        <v>5.03</v>
      </c>
      <c r="P10" s="97">
        <v>332.4</v>
      </c>
      <c r="Q10" s="97">
        <v>2</v>
      </c>
      <c r="R10" s="97">
        <v>950</v>
      </c>
      <c r="S10" s="99">
        <v>0.92800000000000005</v>
      </c>
      <c r="T10" s="97">
        <v>22</v>
      </c>
      <c r="U10" s="101">
        <v>2.3199999999999998E-2</v>
      </c>
      <c r="V10" s="97" t="s">
        <v>28</v>
      </c>
      <c r="W10" s="97" t="s">
        <v>29</v>
      </c>
      <c r="X10" s="97" t="s">
        <v>28</v>
      </c>
      <c r="Y10" s="97" t="s">
        <v>28</v>
      </c>
      <c r="Z10" s="97" t="s">
        <v>28</v>
      </c>
      <c r="AA10" s="97" t="s">
        <v>30</v>
      </c>
      <c r="AB10" s="97" t="s">
        <v>492</v>
      </c>
    </row>
    <row r="11" spans="1:28" s="103" customFormat="1" ht="25.05" customHeight="1">
      <c r="A11" s="207">
        <v>9</v>
      </c>
      <c r="B11" s="186" t="s">
        <v>63</v>
      </c>
      <c r="C11" s="185" t="s">
        <v>26</v>
      </c>
      <c r="D11" s="215">
        <v>46274</v>
      </c>
      <c r="E11" s="185"/>
      <c r="F11" s="185">
        <v>262614</v>
      </c>
      <c r="G11" s="185">
        <v>8223</v>
      </c>
      <c r="H11" s="185">
        <v>3300</v>
      </c>
      <c r="I11" s="187">
        <v>0.39700000000000002</v>
      </c>
      <c r="J11" s="187">
        <v>1.04</v>
      </c>
      <c r="K11" s="185" t="s">
        <v>730</v>
      </c>
      <c r="L11" s="187">
        <v>1362.5039999999999</v>
      </c>
      <c r="M11" s="188">
        <v>1716</v>
      </c>
      <c r="N11" s="189">
        <v>0.23830000000000001</v>
      </c>
      <c r="O11" s="190">
        <v>14.3</v>
      </c>
      <c r="P11" s="185">
        <v>733</v>
      </c>
      <c r="Q11" s="185">
        <v>2</v>
      </c>
      <c r="R11" s="185">
        <v>850</v>
      </c>
      <c r="S11" s="187">
        <v>0.79400000000000004</v>
      </c>
      <c r="T11" s="185">
        <v>56</v>
      </c>
      <c r="U11" s="189">
        <v>6.59E-2</v>
      </c>
      <c r="V11" s="185" t="s">
        <v>28</v>
      </c>
      <c r="W11" s="185" t="s">
        <v>29</v>
      </c>
      <c r="X11" s="185" t="s">
        <v>28</v>
      </c>
      <c r="Y11" s="185" t="s">
        <v>28</v>
      </c>
      <c r="Z11" s="185" t="s">
        <v>28</v>
      </c>
      <c r="AA11" s="185">
        <v>5</v>
      </c>
      <c r="AB11" s="185" t="s">
        <v>731</v>
      </c>
    </row>
    <row r="12" spans="1:28" s="12" customFormat="1" ht="25.05" customHeight="1">
      <c r="A12" s="133">
        <v>10</v>
      </c>
      <c r="B12" s="10" t="s">
        <v>63</v>
      </c>
      <c r="C12" s="97" t="s">
        <v>65</v>
      </c>
      <c r="D12" s="97" t="s">
        <v>489</v>
      </c>
      <c r="E12" s="97" t="s">
        <v>27</v>
      </c>
      <c r="F12" s="97">
        <v>262465</v>
      </c>
      <c r="G12" s="97" t="s">
        <v>488</v>
      </c>
      <c r="H12" s="97">
        <v>900</v>
      </c>
      <c r="I12" s="99">
        <v>0.78200000000000003</v>
      </c>
      <c r="J12" s="99">
        <v>1.5680000000000001</v>
      </c>
      <c r="K12" s="97" t="s">
        <v>491</v>
      </c>
      <c r="L12" s="99">
        <v>1103.558</v>
      </c>
      <c r="M12" s="100">
        <v>705.6</v>
      </c>
      <c r="N12" s="101">
        <v>9.8000000000000004E-2</v>
      </c>
      <c r="O12" s="102">
        <v>5.88</v>
      </c>
      <c r="P12" s="97">
        <v>380.7</v>
      </c>
      <c r="Q12" s="97">
        <v>2</v>
      </c>
      <c r="R12" s="97">
        <v>1600</v>
      </c>
      <c r="S12" s="99">
        <v>1.5640000000000001</v>
      </c>
      <c r="T12" s="97">
        <v>36</v>
      </c>
      <c r="U12" s="101">
        <v>2.2499999999999999E-2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30</v>
      </c>
      <c r="AB12" s="97" t="s">
        <v>490</v>
      </c>
    </row>
    <row r="13" spans="1:28" s="38" customFormat="1" ht="25.05" customHeight="1">
      <c r="A13" s="133">
        <v>11</v>
      </c>
      <c r="B13" s="134" t="s">
        <v>63</v>
      </c>
      <c r="C13" s="133" t="s">
        <v>65</v>
      </c>
      <c r="D13" s="133" t="s">
        <v>534</v>
      </c>
      <c r="E13" s="133" t="s">
        <v>27</v>
      </c>
      <c r="F13" s="133">
        <v>262510</v>
      </c>
      <c r="G13" s="133" t="s">
        <v>557</v>
      </c>
      <c r="H13" s="133">
        <v>1100</v>
      </c>
      <c r="I13" s="135">
        <v>0.77200000000000002</v>
      </c>
      <c r="J13" s="135">
        <v>1.7589999999999999</v>
      </c>
      <c r="K13" s="133" t="s">
        <v>556</v>
      </c>
      <c r="L13" s="135">
        <v>1493.7429999999999</v>
      </c>
      <c r="M13" s="136">
        <v>967.4</v>
      </c>
      <c r="N13" s="137">
        <v>0.13439999999999999</v>
      </c>
      <c r="O13" s="138">
        <v>8.06</v>
      </c>
      <c r="P13" s="133">
        <v>515.29999999999995</v>
      </c>
      <c r="Q13" s="133">
        <v>2</v>
      </c>
      <c r="R13" s="133">
        <v>1600</v>
      </c>
      <c r="S13" s="135">
        <v>1.544</v>
      </c>
      <c r="T13" s="133">
        <v>56</v>
      </c>
      <c r="U13" s="137">
        <v>3.5000000000000003E-2</v>
      </c>
      <c r="V13" s="133" t="s">
        <v>28</v>
      </c>
      <c r="W13" s="133" t="s">
        <v>28</v>
      </c>
      <c r="X13" s="133" t="s">
        <v>28</v>
      </c>
      <c r="Y13" s="133" t="s">
        <v>27</v>
      </c>
      <c r="Z13" s="133" t="s">
        <v>27</v>
      </c>
      <c r="AA13" s="133" t="s">
        <v>32</v>
      </c>
      <c r="AB13" s="133" t="s">
        <v>562</v>
      </c>
    </row>
    <row r="14" spans="1:28" s="38" customFormat="1" ht="25.05" customHeight="1">
      <c r="A14" s="133">
        <v>12</v>
      </c>
      <c r="B14" s="134" t="s">
        <v>63</v>
      </c>
      <c r="C14" s="133" t="s">
        <v>65</v>
      </c>
      <c r="D14" s="133" t="s">
        <v>534</v>
      </c>
      <c r="E14" s="133" t="s">
        <v>27</v>
      </c>
      <c r="F14" s="133">
        <v>262509</v>
      </c>
      <c r="G14" s="133" t="s">
        <v>557</v>
      </c>
      <c r="H14" s="133">
        <v>650</v>
      </c>
      <c r="I14" s="135">
        <v>1.0680000000000001</v>
      </c>
      <c r="J14" s="135">
        <v>1.375</v>
      </c>
      <c r="K14" s="133" t="s">
        <v>120</v>
      </c>
      <c r="L14" s="135">
        <v>954.52499999999998</v>
      </c>
      <c r="M14" s="136">
        <v>893.8</v>
      </c>
      <c r="N14" s="137">
        <v>0.24829999999999999</v>
      </c>
      <c r="O14" s="138">
        <v>14.9</v>
      </c>
      <c r="P14" s="133">
        <v>329.3</v>
      </c>
      <c r="Q14" s="133">
        <v>1</v>
      </c>
      <c r="R14" s="133">
        <v>1100</v>
      </c>
      <c r="S14" s="135">
        <v>1.0680000000000001</v>
      </c>
      <c r="T14" s="133">
        <v>32</v>
      </c>
      <c r="U14" s="137">
        <v>2.9100000000000001E-2</v>
      </c>
      <c r="V14" s="133" t="s">
        <v>28</v>
      </c>
      <c r="W14" s="133" t="s">
        <v>28</v>
      </c>
      <c r="X14" s="133" t="s">
        <v>28</v>
      </c>
      <c r="Y14" s="133" t="s">
        <v>27</v>
      </c>
      <c r="Z14" s="133" t="s">
        <v>27</v>
      </c>
      <c r="AA14" s="133" t="s">
        <v>30</v>
      </c>
      <c r="AB14" s="133" t="s">
        <v>561</v>
      </c>
    </row>
    <row r="15" spans="1:28" s="38" customFormat="1" ht="25.05" customHeight="1">
      <c r="A15" s="133">
        <v>13</v>
      </c>
      <c r="B15" s="134" t="s">
        <v>63</v>
      </c>
      <c r="C15" s="133" t="s">
        <v>36</v>
      </c>
      <c r="D15" s="133" t="s">
        <v>534</v>
      </c>
      <c r="E15" s="133" t="s">
        <v>27</v>
      </c>
      <c r="F15" s="133">
        <v>262508</v>
      </c>
      <c r="G15" s="133" t="s">
        <v>557</v>
      </c>
      <c r="H15" s="133">
        <v>1650</v>
      </c>
      <c r="I15" s="135">
        <v>0.47199999999999998</v>
      </c>
      <c r="J15" s="135">
        <v>1.2589999999999999</v>
      </c>
      <c r="K15" s="133" t="s">
        <v>564</v>
      </c>
      <c r="L15" s="135">
        <v>980.50900000000001</v>
      </c>
      <c r="M15" s="136">
        <v>1038.7</v>
      </c>
      <c r="N15" s="137">
        <v>0.14430000000000001</v>
      </c>
      <c r="O15" s="138">
        <v>8.66</v>
      </c>
      <c r="P15" s="133">
        <v>338.3</v>
      </c>
      <c r="Q15" s="133">
        <v>2</v>
      </c>
      <c r="R15" s="133">
        <v>1000</v>
      </c>
      <c r="S15" s="135">
        <v>0.94399999999999995</v>
      </c>
      <c r="T15" s="133">
        <v>56</v>
      </c>
      <c r="U15" s="137">
        <v>5.6000000000000001E-2</v>
      </c>
      <c r="V15" s="133" t="s">
        <v>28</v>
      </c>
      <c r="W15" s="133" t="s">
        <v>28</v>
      </c>
      <c r="X15" s="133" t="s">
        <v>28</v>
      </c>
      <c r="Y15" s="133" t="s">
        <v>27</v>
      </c>
      <c r="Z15" s="133" t="s">
        <v>27</v>
      </c>
      <c r="AA15" s="133" t="s">
        <v>30</v>
      </c>
      <c r="AB15" s="133" t="s">
        <v>563</v>
      </c>
    </row>
    <row r="16" spans="1:28" s="12" customFormat="1" ht="25.05" customHeight="1">
      <c r="A16" s="133">
        <v>14</v>
      </c>
      <c r="B16" s="10" t="s">
        <v>63</v>
      </c>
      <c r="C16" s="5" t="s">
        <v>36</v>
      </c>
      <c r="D16" s="5" t="s">
        <v>489</v>
      </c>
      <c r="E16" s="5" t="s">
        <v>27</v>
      </c>
      <c r="F16" s="5">
        <v>262466</v>
      </c>
      <c r="G16" s="5" t="s">
        <v>488</v>
      </c>
      <c r="H16" s="5">
        <v>2000</v>
      </c>
      <c r="I16" s="7">
        <v>0.90900000000000003</v>
      </c>
      <c r="J16" s="7">
        <v>0.65900000000000003</v>
      </c>
      <c r="K16" s="5" t="s">
        <v>34</v>
      </c>
      <c r="L16" s="7">
        <v>1198.0619999999999</v>
      </c>
      <c r="M16" s="9">
        <v>1318</v>
      </c>
      <c r="N16" s="6">
        <v>0.36609999999999998</v>
      </c>
      <c r="O16" s="8">
        <v>21.97</v>
      </c>
      <c r="P16" s="5">
        <v>413.3</v>
      </c>
      <c r="Q16" s="5">
        <v>1</v>
      </c>
      <c r="R16" s="5">
        <v>950</v>
      </c>
      <c r="S16" s="7">
        <v>0.90900000000000003</v>
      </c>
      <c r="T16" s="5">
        <v>41</v>
      </c>
      <c r="U16" s="6">
        <v>4.3200000000000002E-2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33</v>
      </c>
      <c r="AB16" s="5" t="s">
        <v>487</v>
      </c>
    </row>
    <row r="17" spans="1:28" s="12" customFormat="1" ht="25.05" customHeight="1">
      <c r="A17" s="11" t="s">
        <v>27</v>
      </c>
      <c r="B17" s="11" t="s">
        <v>27</v>
      </c>
      <c r="C17" s="11" t="s">
        <v>27</v>
      </c>
      <c r="D17" s="11" t="s">
        <v>27</v>
      </c>
      <c r="E17" s="11" t="s">
        <v>27</v>
      </c>
      <c r="F17" s="11" t="s">
        <v>27</v>
      </c>
      <c r="G17" s="11" t="s">
        <v>27</v>
      </c>
      <c r="H17" s="11">
        <f>SUM(H3:H16)</f>
        <v>16135</v>
      </c>
      <c r="I17" s="11" t="s">
        <v>27</v>
      </c>
      <c r="J17" s="11" t="s">
        <v>27</v>
      </c>
      <c r="K17" s="11" t="s">
        <v>27</v>
      </c>
      <c r="L17" s="11" t="s">
        <v>27</v>
      </c>
      <c r="M17" s="11" t="s">
        <v>27</v>
      </c>
      <c r="N17" s="11" t="s">
        <v>27</v>
      </c>
      <c r="O17" s="11" t="s">
        <v>27</v>
      </c>
      <c r="P17" s="11">
        <f>SUM(P3:P16)</f>
        <v>6348.2000000000007</v>
      </c>
      <c r="Q17" s="11" t="s">
        <v>27</v>
      </c>
      <c r="R17" s="11" t="s">
        <v>27</v>
      </c>
      <c r="S17" s="11" t="s">
        <v>27</v>
      </c>
      <c r="T17" s="11" t="s">
        <v>27</v>
      </c>
      <c r="U17" s="11" t="s">
        <v>27</v>
      </c>
      <c r="V17" s="11" t="s">
        <v>27</v>
      </c>
      <c r="W17" s="11" t="s">
        <v>27</v>
      </c>
      <c r="X17" s="11" t="s">
        <v>27</v>
      </c>
      <c r="Y17" s="11" t="s">
        <v>27</v>
      </c>
      <c r="Z17" s="11" t="s">
        <v>27</v>
      </c>
      <c r="AA17" s="11" t="s">
        <v>27</v>
      </c>
      <c r="AB1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0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>
      <c r="A1" s="221" t="s">
        <v>486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4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>
      <c r="A1" s="221" t="s">
        <v>475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1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>
      <c r="A1" s="221" t="s">
        <v>454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0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>
      <c r="A1" s="221" t="s">
        <v>440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>
      <c r="A1" s="221" t="s">
        <v>403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s="88" customFormat="1" ht="53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zoomScale="85" zoomScaleNormal="85" workbookViewId="0">
      <selection activeCell="AE5" sqref="AE5"/>
    </sheetView>
  </sheetViews>
  <sheetFormatPr defaultRowHeight="14.4"/>
  <cols>
    <col min="1" max="1" width="5.33203125" style="3" customWidth="1"/>
    <col min="2" max="2" width="20.77734375" style="3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>
      <c r="A1" s="225" t="s">
        <v>380</v>
      </c>
      <c r="B1" s="225" t="s">
        <v>27</v>
      </c>
      <c r="C1" s="225" t="s">
        <v>27</v>
      </c>
      <c r="D1" s="225" t="s">
        <v>27</v>
      </c>
      <c r="E1" s="225" t="s">
        <v>27</v>
      </c>
      <c r="F1" s="225" t="s">
        <v>27</v>
      </c>
      <c r="G1" s="225" t="s">
        <v>27</v>
      </c>
      <c r="H1" s="225" t="s">
        <v>27</v>
      </c>
      <c r="I1" s="225" t="s">
        <v>27</v>
      </c>
      <c r="J1" s="225" t="s">
        <v>27</v>
      </c>
      <c r="K1" s="225" t="s">
        <v>27</v>
      </c>
      <c r="L1" s="225" t="s">
        <v>27</v>
      </c>
      <c r="M1" s="225" t="s">
        <v>27</v>
      </c>
      <c r="N1" s="225" t="s">
        <v>27</v>
      </c>
      <c r="O1" s="225" t="s">
        <v>27</v>
      </c>
      <c r="P1" s="225" t="s">
        <v>27</v>
      </c>
      <c r="Q1" s="225" t="s">
        <v>27</v>
      </c>
      <c r="R1" s="225" t="s">
        <v>27</v>
      </c>
      <c r="S1" s="225" t="s">
        <v>27</v>
      </c>
      <c r="T1" s="225" t="s">
        <v>27</v>
      </c>
      <c r="U1" s="225" t="s">
        <v>27</v>
      </c>
      <c r="V1" s="225" t="s">
        <v>27</v>
      </c>
      <c r="W1" s="225" t="s">
        <v>27</v>
      </c>
      <c r="X1" s="225" t="s">
        <v>27</v>
      </c>
      <c r="Y1" s="225" t="s">
        <v>27</v>
      </c>
      <c r="Z1" s="225" t="s">
        <v>27</v>
      </c>
      <c r="AA1" s="225" t="s">
        <v>27</v>
      </c>
      <c r="AB1" s="225" t="s">
        <v>27</v>
      </c>
    </row>
    <row r="2" spans="1:28" ht="47.4" customHeight="1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>
      <c r="A1" s="224" t="s">
        <v>332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56.4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>
      <c r="A1" s="221" t="s">
        <v>329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s="44" customFormat="1" ht="40.799999999999997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/>
    <row r="8" spans="1:28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>
      <c r="A1" s="221" t="s">
        <v>324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4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>
      <c r="A1" s="224" t="s">
        <v>281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51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workbookViewId="0">
      <selection activeCell="AD8" sqref="AD8"/>
    </sheetView>
  </sheetViews>
  <sheetFormatPr defaultRowHeight="14.4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>
      <c r="A1" s="221" t="s">
        <v>258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1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>
      <c r="A1" s="221" t="s">
        <v>240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1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>
      <c r="A1" s="221" t="s">
        <v>202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s="12" customFormat="1" ht="57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>
      <c r="A4" s="185">
        <v>1</v>
      </c>
      <c r="B4" s="186" t="s">
        <v>63</v>
      </c>
      <c r="C4" s="185" t="s">
        <v>26</v>
      </c>
      <c r="D4" s="185" t="s">
        <v>199</v>
      </c>
      <c r="E4" s="185" t="s">
        <v>27</v>
      </c>
      <c r="F4" s="185">
        <v>262278</v>
      </c>
      <c r="G4" s="185" t="s">
        <v>201</v>
      </c>
      <c r="H4" s="185">
        <v>210</v>
      </c>
      <c r="I4" s="187">
        <v>1.389</v>
      </c>
      <c r="J4" s="187">
        <v>1.91</v>
      </c>
      <c r="K4" s="185" t="s">
        <v>34</v>
      </c>
      <c r="L4" s="187">
        <v>557.12800000000004</v>
      </c>
      <c r="M4" s="188">
        <v>401.1</v>
      </c>
      <c r="N4" s="189">
        <v>0.1114</v>
      </c>
      <c r="O4" s="190">
        <v>6.68</v>
      </c>
      <c r="P4" s="185">
        <v>330.4</v>
      </c>
      <c r="Q4" s="185">
        <v>1</v>
      </c>
      <c r="R4" s="185">
        <v>1450</v>
      </c>
      <c r="S4" s="187">
        <v>1.389</v>
      </c>
      <c r="T4" s="185">
        <v>61</v>
      </c>
      <c r="U4" s="189">
        <v>4.2099999999999999E-2</v>
      </c>
      <c r="V4" s="185" t="s">
        <v>28</v>
      </c>
      <c r="W4" s="185" t="s">
        <v>29</v>
      </c>
      <c r="X4" s="185" t="s">
        <v>28</v>
      </c>
      <c r="Y4" s="185" t="s">
        <v>28</v>
      </c>
      <c r="Z4" s="185" t="s">
        <v>28</v>
      </c>
      <c r="AA4" s="185" t="s">
        <v>33</v>
      </c>
      <c r="AB4" s="185" t="s">
        <v>200</v>
      </c>
    </row>
    <row r="5" spans="1:28" s="38" customFormat="1" ht="25.05" customHeight="1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activeCell="R19" sqref="R19"/>
    </sheetView>
  </sheetViews>
  <sheetFormatPr defaultRowHeight="14.4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>
      <c r="A1" s="221" t="s">
        <v>192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8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>
      <c r="A1" s="226" t="s">
        <v>155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s="45" customFormat="1" ht="56.4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>
      <c r="A1" s="221" t="s">
        <v>79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63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>
      <c r="A1" s="221" t="s">
        <v>134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8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>
      <c r="A1" s="227" t="s">
        <v>109</v>
      </c>
      <c r="B1" s="227" t="s">
        <v>27</v>
      </c>
      <c r="C1" s="227" t="s">
        <v>27</v>
      </c>
      <c r="D1" s="227" t="s">
        <v>27</v>
      </c>
      <c r="E1" s="227" t="s">
        <v>27</v>
      </c>
      <c r="F1" s="227" t="s">
        <v>27</v>
      </c>
      <c r="G1" s="227" t="s">
        <v>27</v>
      </c>
      <c r="H1" s="227" t="s">
        <v>27</v>
      </c>
      <c r="I1" s="227" t="s">
        <v>27</v>
      </c>
      <c r="J1" s="227" t="s">
        <v>27</v>
      </c>
      <c r="K1" s="227" t="s">
        <v>27</v>
      </c>
      <c r="L1" s="227" t="s">
        <v>27</v>
      </c>
      <c r="M1" s="227" t="s">
        <v>27</v>
      </c>
      <c r="N1" s="227" t="s">
        <v>27</v>
      </c>
      <c r="O1" s="227" t="s">
        <v>27</v>
      </c>
      <c r="P1" s="227" t="s">
        <v>27</v>
      </c>
      <c r="Q1" s="227" t="s">
        <v>27</v>
      </c>
      <c r="R1" s="227" t="s">
        <v>27</v>
      </c>
      <c r="S1" s="227" t="s">
        <v>27</v>
      </c>
      <c r="T1" s="227" t="s">
        <v>27</v>
      </c>
      <c r="U1" s="227" t="s">
        <v>27</v>
      </c>
      <c r="V1" s="227" t="s">
        <v>27</v>
      </c>
      <c r="W1" s="227" t="s">
        <v>27</v>
      </c>
      <c r="X1" s="227" t="s">
        <v>27</v>
      </c>
      <c r="Y1" s="227" t="s">
        <v>27</v>
      </c>
      <c r="Z1" s="227" t="s">
        <v>27</v>
      </c>
      <c r="AA1" s="227" t="s">
        <v>27</v>
      </c>
      <c r="AB1" s="227" t="s">
        <v>27</v>
      </c>
    </row>
    <row r="2" spans="1:28" s="12" customFormat="1" ht="45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36</vt:i4>
      </vt:variant>
    </vt:vector>
  </HeadingPairs>
  <TitlesOfParts>
    <vt:vector size="36" baseType="lpstr">
      <vt:lpstr>IPE - PC BOX 1203</vt:lpstr>
      <vt:lpstr>ABAPEL 1201</vt:lpstr>
      <vt:lpstr>HARMONY EMBALAGENS 1200</vt:lpstr>
      <vt:lpstr>HARMONY EMBALAGENS 1199</vt:lpstr>
      <vt:lpstr>FAVINCO EMBALAGENS 1197</vt:lpstr>
      <vt:lpstr>ABAPEL 1196</vt:lpstr>
      <vt:lpstr>CARPELL LTDA 1195 P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</vt:lpstr>
      <vt:lpstr>HARMONY EMBALAGENS 1180 P</vt:lpstr>
      <vt:lpstr>RM Embalagens 1179 P</vt:lpstr>
      <vt:lpstr>Tolecaixas 1181 P</vt:lpstr>
      <vt:lpstr>ABAPEL 1178 P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2026-09-15T19:40:12Z</cp:lastPrinted>
  <dcterms:created xsi:type="dcterms:W3CDTF">2026-07-02T17:42:15Z</dcterms:created>
  <dcterms:modified xsi:type="dcterms:W3CDTF">2026-09-16T11:33:44Z</dcterms:modified>
</cp:coreProperties>
</file>