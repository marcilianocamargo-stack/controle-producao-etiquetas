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8DC19D9-B070-4411-AB41-9D97A3535E61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FORBOX 1220" sheetId="163" r:id="rId1"/>
    <sheet name="HARMONY EMBALAGENS 1217" sheetId="162" r:id="rId2"/>
    <sheet name="Z4A EMBALAGENS LTDA 1216" sheetId="161" r:id="rId3"/>
    <sheet name="Tolecaixas 1215" sheetId="160" r:id="rId4"/>
    <sheet name="ABAPEL 1213" sheetId="159" r:id="rId5"/>
    <sheet name="IPE - PCBOX 1212" sheetId="158" r:id="rId6"/>
    <sheet name="Z4A EMBALAGENS LTDA 1210 P" sheetId="157" r:id="rId7"/>
    <sheet name="RM Embalagens 1209 P" sheetId="156" r:id="rId8"/>
    <sheet name="IPE - PC BOX 1203P" sheetId="154" r:id="rId9"/>
    <sheet name="ABAPEL 1201" sheetId="153" r:id="rId10"/>
    <sheet name="HARMONY EMBALAGENS 1200" sheetId="152" r:id="rId11"/>
    <sheet name="HARMONY EMBALAGENS 1199 P" sheetId="151" r:id="rId12"/>
    <sheet name="FAVINCO EMBALAGENS 1197 P" sheetId="150" r:id="rId13"/>
    <sheet name="ABAPEL 1196" sheetId="149" r:id="rId14"/>
    <sheet name="CARPELL LTDA 1195 P" sheetId="147" r:id="rId15"/>
    <sheet name="Renovapel 1192 P" sheetId="146" r:id="rId16"/>
    <sheet name="DR EMBALAGENS 1189  P" sheetId="144" r:id="rId17"/>
    <sheet name="FAVINCO EMBALAGENS 1188 R" sheetId="143" r:id="rId18"/>
    <sheet name="PCBOX - IPE 1187 P" sheetId="142" r:id="rId19"/>
    <sheet name="RM Embalagens 1184 P" sheetId="141" r:id="rId20"/>
    <sheet name="CARTOMIL EMBALAGENS LTDA 1183 P" sheetId="140" r:id="rId21"/>
    <sheet name="Z4A EMBALAGENS LTDA 1182P" sheetId="139" r:id="rId22"/>
    <sheet name="HARMONY EMBALAGENS 1180 P" sheetId="137" r:id="rId23"/>
    <sheet name="RM Embalagens 1179 P" sheetId="136" r:id="rId24"/>
    <sheet name="Tolecaixas 1181 P" sheetId="138" r:id="rId25"/>
    <sheet name="ABAPEL 1178 P" sheetId="135" r:id="rId26"/>
    <sheet name="FAVINCO EMBALAGENS 1177 P" sheetId="134" r:id="rId27"/>
    <sheet name="IPE EMBALAGENS 1176 P" sheetId="133" r:id="rId28"/>
    <sheet name="PCBOX EMBALAGENS 1175 P" sheetId="132" r:id="rId29"/>
    <sheet name="ABAPEL 1174 P" sheetId="131" r:id="rId30"/>
    <sheet name="PCBOX EMBALAGENS 1171 P" sheetId="127" r:id="rId31"/>
    <sheet name="HARMONY EMBALAGENS 1169 P" sheetId="125" r:id="rId32"/>
    <sheet name="DR EMBALAGEM 1167 P" sheetId="124" r:id="rId33"/>
    <sheet name="Z4A EMBALAGENS  1166 P" sheetId="123" r:id="rId34"/>
    <sheet name="RM Embalagens 1165 P" sheetId="122" r:id="rId35"/>
    <sheet name="Carpel 1158 P" sheetId="119" r:id="rId36"/>
    <sheet name="ABAPEL 1155 P" sheetId="118" r:id="rId37"/>
    <sheet name="IPE - PCBOX 1154 P" sheetId="117" r:id="rId38"/>
    <sheet name="ABAPEL 1143 P" sheetId="109" r:id="rId39"/>
    <sheet name="HARMONY EMBALAGENS 1138 P" sheetId="102" r:id="rId40"/>
    <sheet name="ABAPEL 1127 P" sheetId="97" r:id="rId41"/>
    <sheet name="ABAPEL 1105 P" sheetId="85" r:id="rId42"/>
    <sheet name="IVAIR SILVA 1122 P" sheetId="91" r:id="rId43"/>
    <sheet name="RENOVAPEL 1115 P" sheetId="88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" i="152" l="1"/>
  <c r="P20" i="152"/>
  <c r="H12" i="158"/>
  <c r="P12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<sst xmlns="http://schemas.openxmlformats.org/spreadsheetml/2006/main" count="7984" uniqueCount="831">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</sst>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3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6"/>
  <sheetViews>
    <sheetView tabSelected="1" workbookViewId="0">
      <selection activeCell="H10" sqref="H10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6.21875" style="108" customWidth="1"/>
    <col min="4" max="4" width="11.77734375" style="108" hidden="1" customWidth="1"/>
    <col min="5" max="5" width="9" style="108" customWidth="1"/>
    <col min="6" max="6" width="7.33203125" style="108" customWidth="1"/>
    <col min="7" max="7" width="4.5546875" style="108" customWidth="1"/>
    <col min="8" max="8" width="5.88671875" style="108" customWidth="1"/>
    <col min="9" max="10" width="6.6640625" style="108" customWidth="1"/>
    <col min="11" max="11" width="1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33203125" style="108" customWidth="1"/>
    <col min="18" max="18" width="4.77734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2" width="8.109375" style="108" customWidth="1"/>
    <col min="23" max="24" width="7.5546875" style="108" customWidth="1"/>
    <col min="25" max="26" width="7.109375" style="108" customWidth="1"/>
    <col min="27" max="27" width="4.2187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0" t="s">
        <v>830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825</v>
      </c>
      <c r="C3" s="116" t="s">
        <v>45</v>
      </c>
      <c r="D3" s="116" t="s">
        <v>824</v>
      </c>
      <c r="E3" s="116" t="s">
        <v>27</v>
      </c>
      <c r="F3" s="116">
        <v>262670</v>
      </c>
      <c r="G3" s="116" t="s">
        <v>823</v>
      </c>
      <c r="H3" s="116">
        <v>1050</v>
      </c>
      <c r="I3" s="117">
        <v>0.56899999999999995</v>
      </c>
      <c r="J3" s="117">
        <v>1.33</v>
      </c>
      <c r="K3" s="116" t="s">
        <v>829</v>
      </c>
      <c r="L3" s="113">
        <v>794.60799999999995</v>
      </c>
      <c r="M3" s="115">
        <v>698.3</v>
      </c>
      <c r="N3" s="112">
        <v>9.7000000000000003E-2</v>
      </c>
      <c r="O3" s="114">
        <v>5.82</v>
      </c>
      <c r="P3" s="111">
        <v>451.3</v>
      </c>
      <c r="Q3" s="111">
        <v>2</v>
      </c>
      <c r="R3" s="111">
        <v>1200</v>
      </c>
      <c r="S3" s="113">
        <v>1.1379999999999999</v>
      </c>
      <c r="T3" s="111">
        <v>62</v>
      </c>
      <c r="U3" s="112">
        <v>5.1700000000000003E-2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30</v>
      </c>
      <c r="AB3" s="111" t="s">
        <v>828</v>
      </c>
    </row>
    <row r="4" spans="1:28" x14ac:dyDescent="0.3">
      <c r="A4" s="116">
        <v>2</v>
      </c>
      <c r="B4" s="118" t="s">
        <v>825</v>
      </c>
      <c r="C4" s="116" t="s">
        <v>45</v>
      </c>
      <c r="D4" s="116" t="s">
        <v>824</v>
      </c>
      <c r="E4" s="116" t="s">
        <v>27</v>
      </c>
      <c r="F4" s="116">
        <v>262669</v>
      </c>
      <c r="G4" s="116" t="s">
        <v>823</v>
      </c>
      <c r="H4" s="116">
        <v>3100</v>
      </c>
      <c r="I4" s="117">
        <v>1.119</v>
      </c>
      <c r="J4" s="117">
        <v>1.67</v>
      </c>
      <c r="K4" s="116" t="s">
        <v>827</v>
      </c>
      <c r="L4" s="113">
        <v>5793.0630000000001</v>
      </c>
      <c r="M4" s="115">
        <v>5177</v>
      </c>
      <c r="N4" s="112">
        <v>1.4380999999999999</v>
      </c>
      <c r="O4" s="114">
        <v>86.28</v>
      </c>
      <c r="P4" s="111">
        <v>3290.5</v>
      </c>
      <c r="Q4" s="111">
        <v>1</v>
      </c>
      <c r="R4" s="111">
        <v>1150</v>
      </c>
      <c r="S4" s="113">
        <v>1.119</v>
      </c>
      <c r="T4" s="111">
        <v>31</v>
      </c>
      <c r="U4" s="112">
        <v>2.7E-2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71</v>
      </c>
      <c r="AB4" s="111" t="s">
        <v>826</v>
      </c>
    </row>
    <row r="5" spans="1:28" x14ac:dyDescent="0.3">
      <c r="A5" s="116">
        <v>3</v>
      </c>
      <c r="B5" s="118" t="s">
        <v>825</v>
      </c>
      <c r="C5" s="116" t="s">
        <v>45</v>
      </c>
      <c r="D5" s="116" t="s">
        <v>824</v>
      </c>
      <c r="E5" s="116" t="s">
        <v>27</v>
      </c>
      <c r="F5" s="116">
        <v>262668</v>
      </c>
      <c r="G5" s="116" t="s">
        <v>823</v>
      </c>
      <c r="H5" s="116">
        <v>4200</v>
      </c>
      <c r="I5" s="117">
        <v>0.879</v>
      </c>
      <c r="J5" s="117">
        <v>1.48</v>
      </c>
      <c r="K5" s="116" t="s">
        <v>822</v>
      </c>
      <c r="L5" s="113">
        <v>5463.8639999999996</v>
      </c>
      <c r="M5" s="115">
        <v>6216</v>
      </c>
      <c r="N5" s="112">
        <v>1.7266999999999999</v>
      </c>
      <c r="O5" s="114">
        <v>103.6</v>
      </c>
      <c r="P5" s="111">
        <v>3103.5</v>
      </c>
      <c r="Q5" s="111">
        <v>1</v>
      </c>
      <c r="R5" s="111">
        <v>900</v>
      </c>
      <c r="S5" s="113">
        <v>0.879</v>
      </c>
      <c r="T5" s="111">
        <v>21</v>
      </c>
      <c r="U5" s="112">
        <v>2.3300000000000001E-2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821</v>
      </c>
      <c r="AB5" s="111" t="s">
        <v>820</v>
      </c>
    </row>
    <row r="6" spans="1:28" x14ac:dyDescent="0.3">
      <c r="A6" s="110" t="s">
        <v>27</v>
      </c>
      <c r="B6" s="110" t="s">
        <v>27</v>
      </c>
      <c r="C6" s="110" t="s">
        <v>27</v>
      </c>
      <c r="D6" s="110" t="s">
        <v>27</v>
      </c>
      <c r="E6" s="110" t="s">
        <v>27</v>
      </c>
      <c r="F6" s="110" t="s">
        <v>27</v>
      </c>
      <c r="G6" s="110" t="s">
        <v>27</v>
      </c>
      <c r="H6" s="110">
        <v>8350</v>
      </c>
      <c r="I6" s="110" t="s">
        <v>27</v>
      </c>
      <c r="J6" s="110" t="s">
        <v>27</v>
      </c>
      <c r="K6" s="110" t="s">
        <v>27</v>
      </c>
      <c r="L6" s="109" t="s">
        <v>27</v>
      </c>
      <c r="M6" s="109" t="s">
        <v>27</v>
      </c>
      <c r="N6" s="109" t="s">
        <v>27</v>
      </c>
      <c r="O6" s="109" t="s">
        <v>27</v>
      </c>
      <c r="P6" s="109">
        <v>6845.3</v>
      </c>
      <c r="Q6" s="109" t="s">
        <v>27</v>
      </c>
      <c r="R6" s="109" t="s">
        <v>27</v>
      </c>
      <c r="S6" s="109" t="s">
        <v>27</v>
      </c>
      <c r="T6" s="109" t="s">
        <v>27</v>
      </c>
      <c r="U6" s="109" t="s">
        <v>27</v>
      </c>
      <c r="V6" s="109" t="s">
        <v>27</v>
      </c>
      <c r="W6" s="109" t="s">
        <v>27</v>
      </c>
      <c r="X6" s="109" t="s">
        <v>27</v>
      </c>
      <c r="Y6" s="109" t="s">
        <v>27</v>
      </c>
      <c r="Z6" s="109" t="s">
        <v>27</v>
      </c>
      <c r="AA6" s="109" t="s">
        <v>27</v>
      </c>
      <c r="AB6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AF2" sqref="AF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77734375" style="108" customWidth="1"/>
    <col min="6" max="6" width="7" style="108" customWidth="1"/>
    <col min="7" max="7" width="8.6640625" style="108" customWidth="1"/>
    <col min="8" max="8" width="5.88671875" style="108" customWidth="1"/>
    <col min="9" max="9" width="6.5546875" style="108" customWidth="1"/>
    <col min="10" max="10" width="6.777343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109375" style="108" customWidth="1"/>
    <col min="19" max="19" width="6.33203125" style="108" customWidth="1"/>
    <col min="20" max="20" width="11.77734375" style="108" hidden="1" customWidth="1"/>
    <col min="21" max="21" width="8.77734375" style="108" hidden="1" customWidth="1"/>
    <col min="22" max="23" width="7.5546875" style="108" customWidth="1"/>
    <col min="24" max="24" width="7.44140625" style="108" customWidth="1"/>
    <col min="25" max="25" width="8.109375" style="108" customWidth="1"/>
    <col min="26" max="26" width="7.77734375" style="108" customWidth="1"/>
    <col min="27" max="27" width="4.109375" style="108" customWidth="1"/>
    <col min="28" max="28" width="11.21875" style="108" customWidth="1"/>
    <col min="29" max="16384" width="8.88671875" style="108"/>
  </cols>
  <sheetData>
    <row r="1" spans="1:28" ht="18" customHeight="1" x14ac:dyDescent="0.35">
      <c r="A1" s="220" t="s">
        <v>816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9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66</v>
      </c>
      <c r="C3" s="150" t="s">
        <v>26</v>
      </c>
      <c r="D3" s="150" t="s">
        <v>803</v>
      </c>
      <c r="E3" s="150" t="s">
        <v>27</v>
      </c>
      <c r="F3" s="150">
        <v>262658</v>
      </c>
      <c r="G3" s="150" t="s">
        <v>802</v>
      </c>
      <c r="H3" s="150">
        <v>300</v>
      </c>
      <c r="I3" s="152">
        <v>1.1539999999999999</v>
      </c>
      <c r="J3" s="152">
        <v>1.9710000000000001</v>
      </c>
      <c r="K3" s="150" t="s">
        <v>367</v>
      </c>
      <c r="L3" s="152">
        <v>682.36</v>
      </c>
      <c r="M3" s="153">
        <v>591.29999999999995</v>
      </c>
      <c r="N3" s="154">
        <v>0.1643</v>
      </c>
      <c r="O3" s="155">
        <v>9.86</v>
      </c>
      <c r="P3" s="150">
        <v>367.1</v>
      </c>
      <c r="Q3" s="150">
        <v>1</v>
      </c>
      <c r="R3" s="150">
        <v>1200</v>
      </c>
      <c r="S3" s="152">
        <v>1.1539999999999999</v>
      </c>
      <c r="T3" s="150">
        <v>46</v>
      </c>
      <c r="U3" s="154">
        <v>3.8300000000000001E-2</v>
      </c>
      <c r="V3" s="150" t="s">
        <v>28</v>
      </c>
      <c r="W3" s="150" t="s">
        <v>29</v>
      </c>
      <c r="X3" s="150" t="s">
        <v>28</v>
      </c>
      <c r="Y3" s="150" t="s">
        <v>28</v>
      </c>
      <c r="Z3" s="150" t="s">
        <v>28</v>
      </c>
      <c r="AA3" s="150" t="s">
        <v>33</v>
      </c>
      <c r="AB3" s="150" t="s">
        <v>366</v>
      </c>
    </row>
    <row r="4" spans="1:28" s="156" customFormat="1" ht="25.05" customHeight="1" x14ac:dyDescent="0.3">
      <c r="A4" s="150">
        <v>2</v>
      </c>
      <c r="B4" s="151" t="s">
        <v>66</v>
      </c>
      <c r="C4" s="150" t="s">
        <v>36</v>
      </c>
      <c r="D4" s="150" t="s">
        <v>803</v>
      </c>
      <c r="E4" s="150" t="s">
        <v>27</v>
      </c>
      <c r="F4" s="150">
        <v>262656</v>
      </c>
      <c r="G4" s="150" t="s">
        <v>802</v>
      </c>
      <c r="H4" s="150">
        <v>1000</v>
      </c>
      <c r="I4" s="152">
        <v>0.76200000000000001</v>
      </c>
      <c r="J4" s="152">
        <v>0.69299999999999995</v>
      </c>
      <c r="K4" s="150" t="s">
        <v>815</v>
      </c>
      <c r="L4" s="152">
        <v>528.06600000000003</v>
      </c>
      <c r="M4" s="153">
        <v>346.5</v>
      </c>
      <c r="N4" s="154">
        <v>4.8099999999999997E-2</v>
      </c>
      <c r="O4" s="155">
        <v>2.89</v>
      </c>
      <c r="P4" s="150">
        <v>166.3</v>
      </c>
      <c r="Q4" s="150">
        <v>2</v>
      </c>
      <c r="R4" s="150">
        <v>1550</v>
      </c>
      <c r="S4" s="152">
        <v>1.524</v>
      </c>
      <c r="T4" s="150">
        <v>26</v>
      </c>
      <c r="U4" s="154">
        <v>1.6799999999999999E-2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814</v>
      </c>
    </row>
    <row r="5" spans="1:28" s="156" customFormat="1" ht="25.05" customHeight="1" x14ac:dyDescent="0.3">
      <c r="A5" s="150">
        <v>3</v>
      </c>
      <c r="B5" s="151" t="s">
        <v>66</v>
      </c>
      <c r="C5" s="150" t="s">
        <v>36</v>
      </c>
      <c r="D5" s="150" t="s">
        <v>803</v>
      </c>
      <c r="E5" s="150" t="s">
        <v>27</v>
      </c>
      <c r="F5" s="150">
        <v>262651</v>
      </c>
      <c r="G5" s="150" t="s">
        <v>802</v>
      </c>
      <c r="H5" s="150">
        <v>400</v>
      </c>
      <c r="I5" s="152">
        <v>0.48799999999999999</v>
      </c>
      <c r="J5" s="152">
        <v>1.2689999999999999</v>
      </c>
      <c r="K5" s="150" t="s">
        <v>34</v>
      </c>
      <c r="L5" s="152">
        <v>247.709</v>
      </c>
      <c r="M5" s="153">
        <v>169.2</v>
      </c>
      <c r="N5" s="154">
        <v>1.5699999999999999E-2</v>
      </c>
      <c r="O5" s="155">
        <v>0.94</v>
      </c>
      <c r="P5" s="150">
        <v>78</v>
      </c>
      <c r="Q5" s="150">
        <v>3</v>
      </c>
      <c r="R5" s="150">
        <v>1500</v>
      </c>
      <c r="S5" s="152">
        <v>1.464</v>
      </c>
      <c r="T5" s="150">
        <v>36</v>
      </c>
      <c r="U5" s="154">
        <v>2.4E-2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813</v>
      </c>
    </row>
    <row r="6" spans="1:28" s="156" customFormat="1" ht="25.05" customHeight="1" x14ac:dyDescent="0.3">
      <c r="A6" s="150">
        <v>4</v>
      </c>
      <c r="B6" s="151" t="s">
        <v>66</v>
      </c>
      <c r="C6" s="150" t="s">
        <v>36</v>
      </c>
      <c r="D6" s="150" t="s">
        <v>803</v>
      </c>
      <c r="E6" s="150" t="s">
        <v>27</v>
      </c>
      <c r="F6" s="150">
        <v>262653</v>
      </c>
      <c r="G6" s="150" t="s">
        <v>802</v>
      </c>
      <c r="H6" s="150">
        <v>400</v>
      </c>
      <c r="I6" s="152">
        <v>0.46800000000000003</v>
      </c>
      <c r="J6" s="152">
        <v>1.1890000000000001</v>
      </c>
      <c r="K6" s="150" t="s">
        <v>34</v>
      </c>
      <c r="L6" s="152">
        <v>222.58099999999999</v>
      </c>
      <c r="M6" s="153">
        <v>158.5</v>
      </c>
      <c r="N6" s="154">
        <v>1.47E-2</v>
      </c>
      <c r="O6" s="155">
        <v>0.88</v>
      </c>
      <c r="P6" s="150">
        <v>70.099999999999994</v>
      </c>
      <c r="Q6" s="150">
        <v>3</v>
      </c>
      <c r="R6" s="150">
        <v>1450</v>
      </c>
      <c r="S6" s="152">
        <v>1.4039999999999999</v>
      </c>
      <c r="T6" s="150">
        <v>46</v>
      </c>
      <c r="U6" s="154">
        <v>3.1699999999999999E-2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39</v>
      </c>
      <c r="AB6" s="150" t="s">
        <v>812</v>
      </c>
    </row>
    <row r="7" spans="1:28" s="156" customFormat="1" ht="25.05" customHeight="1" x14ac:dyDescent="0.3">
      <c r="A7" s="150">
        <v>5</v>
      </c>
      <c r="B7" s="151" t="s">
        <v>66</v>
      </c>
      <c r="C7" s="150" t="s">
        <v>36</v>
      </c>
      <c r="D7" s="150" t="s">
        <v>803</v>
      </c>
      <c r="E7" s="150" t="s">
        <v>27</v>
      </c>
      <c r="F7" s="150">
        <v>262654</v>
      </c>
      <c r="G7" s="150" t="s">
        <v>802</v>
      </c>
      <c r="H7" s="150">
        <v>600</v>
      </c>
      <c r="I7" s="152">
        <v>0.66400000000000003</v>
      </c>
      <c r="J7" s="152">
        <v>1.2490000000000001</v>
      </c>
      <c r="K7" s="150" t="s">
        <v>811</v>
      </c>
      <c r="L7" s="152">
        <v>497.60199999999998</v>
      </c>
      <c r="M7" s="153">
        <v>374.7</v>
      </c>
      <c r="N7" s="154">
        <v>5.1999999999999998E-2</v>
      </c>
      <c r="O7" s="155">
        <v>3.12</v>
      </c>
      <c r="P7" s="150">
        <v>156.69999999999999</v>
      </c>
      <c r="Q7" s="150">
        <v>2</v>
      </c>
      <c r="R7" s="150">
        <v>1350</v>
      </c>
      <c r="S7" s="152">
        <v>1.3280000000000001</v>
      </c>
      <c r="T7" s="150">
        <v>22</v>
      </c>
      <c r="U7" s="154">
        <v>1.6299999999999999E-2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33</v>
      </c>
      <c r="AB7" s="150" t="s">
        <v>810</v>
      </c>
    </row>
    <row r="8" spans="1:28" s="156" customFormat="1" ht="25.05" customHeight="1" x14ac:dyDescent="0.3">
      <c r="A8" s="150">
        <v>6</v>
      </c>
      <c r="B8" s="151" t="s">
        <v>66</v>
      </c>
      <c r="C8" s="150" t="s">
        <v>36</v>
      </c>
      <c r="D8" s="150" t="s">
        <v>803</v>
      </c>
      <c r="E8" s="150" t="s">
        <v>27</v>
      </c>
      <c r="F8" s="150">
        <v>262657</v>
      </c>
      <c r="G8" s="150" t="s">
        <v>802</v>
      </c>
      <c r="H8" s="150">
        <v>600</v>
      </c>
      <c r="I8" s="152">
        <v>1.1519999999999999</v>
      </c>
      <c r="J8" s="152">
        <v>0.69299999999999995</v>
      </c>
      <c r="K8" s="150" t="s">
        <v>809</v>
      </c>
      <c r="L8" s="152">
        <v>479.00200000000001</v>
      </c>
      <c r="M8" s="153">
        <v>415.8</v>
      </c>
      <c r="N8" s="154">
        <v>0.11550000000000001</v>
      </c>
      <c r="O8" s="155">
        <v>6.93</v>
      </c>
      <c r="P8" s="150">
        <v>150.9</v>
      </c>
      <c r="Q8" s="150">
        <v>1</v>
      </c>
      <c r="R8" s="150">
        <v>1200</v>
      </c>
      <c r="S8" s="152">
        <v>1.1519999999999999</v>
      </c>
      <c r="T8" s="150">
        <v>48</v>
      </c>
      <c r="U8" s="154">
        <v>0.04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39</v>
      </c>
      <c r="AB8" s="150" t="s">
        <v>808</v>
      </c>
    </row>
    <row r="9" spans="1:28" s="156" customFormat="1" ht="25.05" customHeight="1" x14ac:dyDescent="0.3">
      <c r="A9" s="150">
        <v>7</v>
      </c>
      <c r="B9" s="151" t="s">
        <v>66</v>
      </c>
      <c r="C9" s="150" t="s">
        <v>36</v>
      </c>
      <c r="D9" s="150" t="s">
        <v>803</v>
      </c>
      <c r="E9" s="150" t="s">
        <v>27</v>
      </c>
      <c r="F9" s="150">
        <v>262655</v>
      </c>
      <c r="G9" s="150" t="s">
        <v>802</v>
      </c>
      <c r="H9" s="150">
        <v>2500</v>
      </c>
      <c r="I9" s="152">
        <v>0.38400000000000001</v>
      </c>
      <c r="J9" s="152">
        <v>0.58299999999999996</v>
      </c>
      <c r="K9" s="150" t="s">
        <v>34</v>
      </c>
      <c r="L9" s="152">
        <v>559.67999999999995</v>
      </c>
      <c r="M9" s="153">
        <v>485.8</v>
      </c>
      <c r="N9" s="154">
        <v>4.4999999999999998E-2</v>
      </c>
      <c r="O9" s="155">
        <v>2.7</v>
      </c>
      <c r="P9" s="150">
        <v>176.3</v>
      </c>
      <c r="Q9" s="150">
        <v>3</v>
      </c>
      <c r="R9" s="150">
        <v>1200</v>
      </c>
      <c r="S9" s="152">
        <v>1.1519999999999999</v>
      </c>
      <c r="T9" s="150">
        <v>48</v>
      </c>
      <c r="U9" s="154">
        <v>0.04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39</v>
      </c>
      <c r="AB9" s="150" t="s">
        <v>807</v>
      </c>
    </row>
    <row r="10" spans="1:28" s="156" customFormat="1" ht="25.05" customHeight="1" x14ac:dyDescent="0.3">
      <c r="A10" s="150">
        <v>8</v>
      </c>
      <c r="B10" s="151" t="s">
        <v>66</v>
      </c>
      <c r="C10" s="150" t="s">
        <v>36</v>
      </c>
      <c r="D10" s="150" t="s">
        <v>803</v>
      </c>
      <c r="E10" s="150" t="s">
        <v>27</v>
      </c>
      <c r="F10" s="150">
        <v>262652</v>
      </c>
      <c r="G10" s="150" t="s">
        <v>802</v>
      </c>
      <c r="H10" s="150">
        <v>400</v>
      </c>
      <c r="I10" s="152">
        <v>0.52800000000000002</v>
      </c>
      <c r="J10" s="152">
        <v>1.149</v>
      </c>
      <c r="K10" s="150" t="s">
        <v>34</v>
      </c>
      <c r="L10" s="152">
        <v>242.66900000000001</v>
      </c>
      <c r="M10" s="153">
        <v>229.8</v>
      </c>
      <c r="N10" s="154">
        <v>3.1899999999999998E-2</v>
      </c>
      <c r="O10" s="155">
        <v>1.92</v>
      </c>
      <c r="P10" s="150">
        <v>76.400000000000006</v>
      </c>
      <c r="Q10" s="150">
        <v>2</v>
      </c>
      <c r="R10" s="150">
        <v>1100</v>
      </c>
      <c r="S10" s="152">
        <v>1.056</v>
      </c>
      <c r="T10" s="150">
        <v>44</v>
      </c>
      <c r="U10" s="154">
        <v>0.04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806</v>
      </c>
    </row>
    <row r="11" spans="1:28" s="156" customFormat="1" ht="25.05" customHeight="1" x14ac:dyDescent="0.3">
      <c r="A11" s="150">
        <v>9</v>
      </c>
      <c r="B11" s="151" t="s">
        <v>66</v>
      </c>
      <c r="C11" s="150" t="s">
        <v>36</v>
      </c>
      <c r="D11" s="150" t="s">
        <v>803</v>
      </c>
      <c r="E11" s="150" t="s">
        <v>27</v>
      </c>
      <c r="F11" s="150">
        <v>262660</v>
      </c>
      <c r="G11" s="150" t="s">
        <v>802</v>
      </c>
      <c r="H11" s="150">
        <v>1500</v>
      </c>
      <c r="I11" s="152">
        <v>0.42399999999999999</v>
      </c>
      <c r="J11" s="152">
        <v>0.78900000000000003</v>
      </c>
      <c r="K11" s="150" t="s">
        <v>805</v>
      </c>
      <c r="L11" s="152">
        <v>501.80399999999997</v>
      </c>
      <c r="M11" s="153">
        <v>591.79999999999995</v>
      </c>
      <c r="N11" s="154">
        <v>8.2199999999999995E-2</v>
      </c>
      <c r="O11" s="155">
        <v>4.93</v>
      </c>
      <c r="P11" s="150">
        <v>158.1</v>
      </c>
      <c r="Q11" s="150">
        <v>2</v>
      </c>
      <c r="R11" s="150">
        <v>900</v>
      </c>
      <c r="S11" s="152">
        <v>0.84799999999999998</v>
      </c>
      <c r="T11" s="150">
        <v>52</v>
      </c>
      <c r="U11" s="154">
        <v>5.7799999999999997E-2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39</v>
      </c>
      <c r="AB11" s="150" t="s">
        <v>804</v>
      </c>
    </row>
    <row r="12" spans="1:28" s="156" customFormat="1" ht="25.05" customHeight="1" x14ac:dyDescent="0.3">
      <c r="A12" s="150">
        <v>10</v>
      </c>
      <c r="B12" s="151" t="s">
        <v>66</v>
      </c>
      <c r="C12" s="150" t="s">
        <v>36</v>
      </c>
      <c r="D12" s="150" t="s">
        <v>803</v>
      </c>
      <c r="E12" s="150" t="s">
        <v>27</v>
      </c>
      <c r="F12" s="150">
        <v>262659</v>
      </c>
      <c r="G12" s="150" t="s">
        <v>802</v>
      </c>
      <c r="H12" s="150">
        <v>3000</v>
      </c>
      <c r="I12" s="152">
        <v>0.36799999999999999</v>
      </c>
      <c r="J12" s="152">
        <v>0.72899999999999998</v>
      </c>
      <c r="K12" s="150" t="s">
        <v>801</v>
      </c>
      <c r="L12" s="152">
        <v>804.81600000000003</v>
      </c>
      <c r="M12" s="153">
        <v>1093.5</v>
      </c>
      <c r="N12" s="154">
        <v>0.15190000000000001</v>
      </c>
      <c r="O12" s="155">
        <v>9.11</v>
      </c>
      <c r="P12" s="150">
        <v>253.5</v>
      </c>
      <c r="Q12" s="150">
        <v>2</v>
      </c>
      <c r="R12" s="150">
        <v>800</v>
      </c>
      <c r="S12" s="152">
        <v>0.73599999999999999</v>
      </c>
      <c r="T12" s="150">
        <v>64</v>
      </c>
      <c r="U12" s="154">
        <v>0.08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800</v>
      </c>
    </row>
    <row r="13" spans="1:28" s="156" customFormat="1" ht="25.05" customHeight="1" x14ac:dyDescent="0.3">
      <c r="A13" s="157" t="s">
        <v>27</v>
      </c>
      <c r="B13" s="157" t="s">
        <v>27</v>
      </c>
      <c r="C13" s="157" t="s">
        <v>27</v>
      </c>
      <c r="D13" s="157" t="s">
        <v>27</v>
      </c>
      <c r="E13" s="157" t="s">
        <v>27</v>
      </c>
      <c r="F13" s="157" t="s">
        <v>27</v>
      </c>
      <c r="G13" s="157" t="s">
        <v>27</v>
      </c>
      <c r="H13" s="157">
        <v>10700</v>
      </c>
      <c r="I13" s="157" t="s">
        <v>27</v>
      </c>
      <c r="J13" s="157" t="s">
        <v>27</v>
      </c>
      <c r="K13" s="157" t="s">
        <v>27</v>
      </c>
      <c r="L13" s="157" t="s">
        <v>27</v>
      </c>
      <c r="M13" s="157" t="s">
        <v>27</v>
      </c>
      <c r="N13" s="157" t="s">
        <v>27</v>
      </c>
      <c r="O13" s="157" t="s">
        <v>27</v>
      </c>
      <c r="P13" s="157">
        <v>1653.5</v>
      </c>
      <c r="Q13" s="157" t="s">
        <v>27</v>
      </c>
      <c r="R13" s="157" t="s">
        <v>27</v>
      </c>
      <c r="S13" s="157" t="s">
        <v>27</v>
      </c>
      <c r="T13" s="157" t="s">
        <v>27</v>
      </c>
      <c r="U13" s="157" t="s">
        <v>27</v>
      </c>
      <c r="V13" s="157" t="s">
        <v>27</v>
      </c>
      <c r="W13" s="157" t="s">
        <v>27</v>
      </c>
      <c r="X13" s="157" t="s">
        <v>27</v>
      </c>
      <c r="Y13" s="157" t="s">
        <v>27</v>
      </c>
      <c r="Z13" s="157" t="s">
        <v>27</v>
      </c>
      <c r="AA13" s="157" t="s">
        <v>27</v>
      </c>
      <c r="AB13" s="157" t="s">
        <v>27</v>
      </c>
    </row>
    <row r="14" spans="1:28" s="156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108" customWidth="1"/>
    <col min="2" max="2" width="20.77734375" style="108" hidden="1" customWidth="1"/>
    <col min="3" max="3" width="5.6640625" style="108" customWidth="1"/>
    <col min="4" max="4" width="11.77734375" style="108" hidden="1" customWidth="1"/>
    <col min="5" max="5" width="9.109375" style="108" customWidth="1"/>
    <col min="6" max="6" width="7.21875" style="108" customWidth="1"/>
    <col min="7" max="7" width="6.21875" style="108" customWidth="1"/>
    <col min="8" max="8" width="6" style="108" customWidth="1"/>
    <col min="9" max="9" width="6.5546875" style="108" customWidth="1"/>
    <col min="10" max="10" width="6.44140625" style="108" customWidth="1"/>
    <col min="11" max="11" width="12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77734375" style="108" customWidth="1"/>
    <col min="17" max="17" width="3.6640625" style="108" customWidth="1"/>
    <col min="18" max="18" width="5.6640625" style="108" customWidth="1"/>
    <col min="19" max="19" width="5.33203125" style="108" customWidth="1"/>
    <col min="20" max="20" width="11.77734375" style="108" hidden="1" customWidth="1"/>
    <col min="21" max="21" width="8.77734375" style="108" hidden="1" customWidth="1"/>
    <col min="22" max="22" width="7.109375" style="108" customWidth="1"/>
    <col min="23" max="23" width="6.88671875" style="108" customWidth="1"/>
    <col min="24" max="24" width="7.21875" style="108" customWidth="1"/>
    <col min="25" max="25" width="7.33203125" style="108" customWidth="1"/>
    <col min="26" max="26" width="7.5546875" style="108" customWidth="1"/>
    <col min="27" max="27" width="3.5546875" style="108" customWidth="1"/>
    <col min="28" max="28" width="9.77734375" style="108" customWidth="1"/>
    <col min="29" max="16384" width="8.88671875" style="108"/>
  </cols>
  <sheetData>
    <row r="1" spans="1:28" ht="18" customHeight="1" x14ac:dyDescent="0.35">
      <c r="A1" s="220" t="s">
        <v>799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296</v>
      </c>
      <c r="D3" s="116" t="s">
        <v>795</v>
      </c>
      <c r="E3" s="116" t="s">
        <v>27</v>
      </c>
      <c r="F3" s="116">
        <v>262649</v>
      </c>
      <c r="G3" s="116" t="s">
        <v>798</v>
      </c>
      <c r="H3" s="116">
        <v>2600</v>
      </c>
      <c r="I3" s="117">
        <v>0.49199999999999999</v>
      </c>
      <c r="J3" s="117">
        <v>1.2629999999999999</v>
      </c>
      <c r="K3" s="116" t="s">
        <v>797</v>
      </c>
      <c r="L3" s="113">
        <v>1615.63</v>
      </c>
      <c r="M3" s="115">
        <v>1641.9</v>
      </c>
      <c r="N3" s="112">
        <v>0.22800000000000001</v>
      </c>
      <c r="O3" s="114">
        <v>13.68</v>
      </c>
      <c r="P3" s="111">
        <v>589.70000000000005</v>
      </c>
      <c r="Q3" s="111">
        <v>2</v>
      </c>
      <c r="R3" s="111">
        <v>1050</v>
      </c>
      <c r="S3" s="113">
        <v>0.98399999999999999</v>
      </c>
      <c r="T3" s="111">
        <v>66</v>
      </c>
      <c r="U3" s="112">
        <v>6.2899999999999998E-2</v>
      </c>
      <c r="V3" s="111" t="s">
        <v>42</v>
      </c>
      <c r="W3" s="111" t="s">
        <v>29</v>
      </c>
      <c r="X3" s="111" t="s">
        <v>28</v>
      </c>
      <c r="Y3" s="111" t="s">
        <v>27</v>
      </c>
      <c r="Z3" s="111" t="s">
        <v>27</v>
      </c>
      <c r="AA3" s="111" t="s">
        <v>32</v>
      </c>
      <c r="AB3" s="111" t="s">
        <v>796</v>
      </c>
    </row>
    <row r="4" spans="1:28" x14ac:dyDescent="0.3">
      <c r="A4" s="116">
        <v>2</v>
      </c>
      <c r="B4" s="118" t="s">
        <v>326</v>
      </c>
      <c r="C4" s="116" t="s">
        <v>296</v>
      </c>
      <c r="D4" s="116" t="s">
        <v>795</v>
      </c>
      <c r="E4" s="116" t="s">
        <v>27</v>
      </c>
      <c r="F4" s="116">
        <v>262650</v>
      </c>
      <c r="G4" s="116" t="s">
        <v>794</v>
      </c>
      <c r="H4" s="116">
        <v>2300</v>
      </c>
      <c r="I4" s="117">
        <v>0.45700000000000002</v>
      </c>
      <c r="J4" s="117">
        <v>1.393</v>
      </c>
      <c r="K4" s="116" t="s">
        <v>793</v>
      </c>
      <c r="L4" s="113">
        <v>1464.182</v>
      </c>
      <c r="M4" s="115">
        <v>1602</v>
      </c>
      <c r="N4" s="112">
        <v>0.2225</v>
      </c>
      <c r="O4" s="114">
        <v>13.35</v>
      </c>
      <c r="P4" s="111">
        <v>534.4</v>
      </c>
      <c r="Q4" s="111">
        <v>2</v>
      </c>
      <c r="R4" s="111">
        <v>950</v>
      </c>
      <c r="S4" s="113">
        <v>0.91400000000000003</v>
      </c>
      <c r="T4" s="111">
        <v>36</v>
      </c>
      <c r="U4" s="112">
        <v>3.7900000000000003E-2</v>
      </c>
      <c r="V4" s="111" t="s">
        <v>42</v>
      </c>
      <c r="W4" s="111" t="s">
        <v>29</v>
      </c>
      <c r="X4" s="111" t="s">
        <v>28</v>
      </c>
      <c r="Y4" s="111" t="s">
        <v>27</v>
      </c>
      <c r="Z4" s="111" t="s">
        <v>27</v>
      </c>
      <c r="AA4" s="111" t="s">
        <v>30</v>
      </c>
      <c r="AB4" s="111" t="s">
        <v>792</v>
      </c>
    </row>
    <row r="5" spans="1:28" x14ac:dyDescent="0.3">
      <c r="A5" s="110" t="s">
        <v>27</v>
      </c>
      <c r="B5" s="110" t="s">
        <v>27</v>
      </c>
      <c r="C5" s="110" t="s">
        <v>27</v>
      </c>
      <c r="D5" s="110" t="s">
        <v>27</v>
      </c>
      <c r="E5" s="110" t="s">
        <v>27</v>
      </c>
      <c r="F5" s="110" t="s">
        <v>27</v>
      </c>
      <c r="G5" s="110" t="s">
        <v>27</v>
      </c>
      <c r="H5" s="110">
        <v>4900</v>
      </c>
      <c r="I5" s="110" t="s">
        <v>27</v>
      </c>
      <c r="J5" s="110" t="s">
        <v>27</v>
      </c>
      <c r="K5" s="110" t="s">
        <v>27</v>
      </c>
      <c r="L5" s="109" t="s">
        <v>27</v>
      </c>
      <c r="M5" s="109" t="s">
        <v>27</v>
      </c>
      <c r="N5" s="109" t="s">
        <v>27</v>
      </c>
      <c r="O5" s="109" t="s">
        <v>27</v>
      </c>
      <c r="P5" s="109">
        <v>1124.0999999999999</v>
      </c>
      <c r="Q5" s="109" t="s">
        <v>27</v>
      </c>
      <c r="R5" s="109" t="s">
        <v>27</v>
      </c>
      <c r="S5" s="109" t="s">
        <v>27</v>
      </c>
      <c r="T5" s="109" t="s">
        <v>27</v>
      </c>
      <c r="U5" s="109" t="s">
        <v>27</v>
      </c>
      <c r="V5" s="109" t="s">
        <v>27</v>
      </c>
      <c r="W5" s="109" t="s">
        <v>27</v>
      </c>
      <c r="X5" s="109" t="s">
        <v>27</v>
      </c>
      <c r="Y5" s="109" t="s">
        <v>27</v>
      </c>
      <c r="Z5" s="109" t="s">
        <v>27</v>
      </c>
      <c r="AA5" s="109" t="s">
        <v>27</v>
      </c>
      <c r="AB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8.44140625" style="108" customWidth="1"/>
    <col min="6" max="6" width="6.77734375" style="108" customWidth="1"/>
    <col min="7" max="7" width="8.77734375" style="108" customWidth="1"/>
    <col min="8" max="8" width="6.21875" style="108" customWidth="1"/>
    <col min="9" max="9" width="5.77734375" style="108" customWidth="1"/>
    <col min="10" max="11" width="6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77734375" style="108" customWidth="1"/>
    <col min="17" max="17" width="4" style="108" customWidth="1"/>
    <col min="18" max="18" width="6.332031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8.109375" style="108" customWidth="1"/>
    <col min="25" max="25" width="9.44140625" style="108" customWidth="1"/>
    <col min="26" max="26" width="9.6640625" style="108" customWidth="1"/>
    <col min="27" max="27" width="4.109375" style="108" customWidth="1"/>
    <col min="28" max="28" width="11.44140625" style="108" customWidth="1"/>
    <col min="29" max="16384" width="8.88671875" style="108"/>
  </cols>
  <sheetData>
    <row r="1" spans="1:28" ht="18" customHeight="1" x14ac:dyDescent="0.35">
      <c r="A1" s="220" t="s">
        <v>791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770</v>
      </c>
      <c r="E3" s="116" t="s">
        <v>27</v>
      </c>
      <c r="F3" s="116">
        <v>262645</v>
      </c>
      <c r="G3" s="116" t="s">
        <v>787</v>
      </c>
      <c r="H3" s="116">
        <v>2740</v>
      </c>
      <c r="I3" s="117">
        <v>0.48</v>
      </c>
      <c r="J3" s="117">
        <v>1.25</v>
      </c>
      <c r="K3" s="116" t="s">
        <v>34</v>
      </c>
      <c r="L3" s="113">
        <v>1644</v>
      </c>
      <c r="M3" s="115">
        <v>1141.7</v>
      </c>
      <c r="N3" s="112">
        <v>0.1057</v>
      </c>
      <c r="O3" s="114">
        <v>6.34</v>
      </c>
      <c r="P3" s="111">
        <v>600.1</v>
      </c>
      <c r="Q3" s="111">
        <v>3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32</v>
      </c>
      <c r="AB3" s="111" t="s">
        <v>790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770</v>
      </c>
      <c r="E4" s="116" t="s">
        <v>27</v>
      </c>
      <c r="F4" s="116">
        <v>262644</v>
      </c>
      <c r="G4" s="116" t="s">
        <v>787</v>
      </c>
      <c r="H4" s="116">
        <v>1662</v>
      </c>
      <c r="I4" s="117">
        <v>0.43</v>
      </c>
      <c r="J4" s="117">
        <v>1.1499999999999999</v>
      </c>
      <c r="K4" s="116" t="s">
        <v>34</v>
      </c>
      <c r="L4" s="113">
        <v>821.85900000000004</v>
      </c>
      <c r="M4" s="115">
        <v>637.1</v>
      </c>
      <c r="N4" s="112">
        <v>5.8999999999999997E-2</v>
      </c>
      <c r="O4" s="114">
        <v>3.54</v>
      </c>
      <c r="P4" s="111">
        <v>300</v>
      </c>
      <c r="Q4" s="111">
        <v>3</v>
      </c>
      <c r="R4" s="111">
        <v>1350</v>
      </c>
      <c r="S4" s="113">
        <v>1.29</v>
      </c>
      <c r="T4" s="111">
        <v>60</v>
      </c>
      <c r="U4" s="112">
        <v>4.4400000000000002E-2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789</v>
      </c>
    </row>
    <row r="5" spans="1:28" ht="25.05" customHeight="1" x14ac:dyDescent="0.3">
      <c r="A5" s="116">
        <v>5</v>
      </c>
      <c r="B5" s="118" t="s">
        <v>526</v>
      </c>
      <c r="C5" s="116" t="s">
        <v>60</v>
      </c>
      <c r="D5" s="116" t="s">
        <v>770</v>
      </c>
      <c r="E5" s="116" t="s">
        <v>27</v>
      </c>
      <c r="F5" s="116">
        <v>262646</v>
      </c>
      <c r="G5" s="116" t="s">
        <v>787</v>
      </c>
      <c r="H5" s="116">
        <v>1140</v>
      </c>
      <c r="I5" s="117">
        <v>0.53</v>
      </c>
      <c r="J5" s="117">
        <v>1.36</v>
      </c>
      <c r="K5" s="116" t="s">
        <v>34</v>
      </c>
      <c r="L5" s="113">
        <v>821.71199999999999</v>
      </c>
      <c r="M5" s="115">
        <v>775.2</v>
      </c>
      <c r="N5" s="112">
        <v>0.1077</v>
      </c>
      <c r="O5" s="114">
        <v>6.46</v>
      </c>
      <c r="P5" s="111">
        <v>299.89999999999998</v>
      </c>
      <c r="Q5" s="111">
        <v>2</v>
      </c>
      <c r="R5" s="111">
        <v>1100</v>
      </c>
      <c r="S5" s="113">
        <v>1.06</v>
      </c>
      <c r="T5" s="111">
        <v>40</v>
      </c>
      <c r="U5" s="112">
        <v>3.6400000000000002E-2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788</v>
      </c>
    </row>
    <row r="6" spans="1:28" ht="25.05" customHeight="1" x14ac:dyDescent="0.3">
      <c r="A6" s="116">
        <v>3</v>
      </c>
      <c r="B6" s="118" t="s">
        <v>526</v>
      </c>
      <c r="C6" s="116" t="s">
        <v>50</v>
      </c>
      <c r="D6" s="116" t="s">
        <v>770</v>
      </c>
      <c r="E6" s="116" t="s">
        <v>27</v>
      </c>
      <c r="F6" s="116">
        <v>262647</v>
      </c>
      <c r="G6" s="116" t="s">
        <v>787</v>
      </c>
      <c r="H6" s="116">
        <v>3052</v>
      </c>
      <c r="I6" s="117">
        <v>0.39</v>
      </c>
      <c r="J6" s="117">
        <v>0.71</v>
      </c>
      <c r="K6" s="116" t="s">
        <v>34</v>
      </c>
      <c r="L6" s="113">
        <v>845.09900000000005</v>
      </c>
      <c r="M6" s="115">
        <v>722.3</v>
      </c>
      <c r="N6" s="112">
        <v>6.6900000000000001E-2</v>
      </c>
      <c r="O6" s="114">
        <v>4.01</v>
      </c>
      <c r="P6" s="111">
        <v>300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39</v>
      </c>
      <c r="AB6" s="111" t="s">
        <v>527</v>
      </c>
    </row>
    <row r="7" spans="1:28" ht="25.05" customHeight="1" x14ac:dyDescent="0.3">
      <c r="A7" s="116">
        <v>4</v>
      </c>
      <c r="B7" s="118" t="s">
        <v>526</v>
      </c>
      <c r="C7" s="116" t="s">
        <v>50</v>
      </c>
      <c r="D7" s="116" t="s">
        <v>770</v>
      </c>
      <c r="E7" s="116" t="s">
        <v>27</v>
      </c>
      <c r="F7" s="116">
        <v>262648</v>
      </c>
      <c r="G7" s="116" t="s">
        <v>787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600.1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11911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2100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784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770</v>
      </c>
      <c r="E3" s="150" t="s">
        <v>27</v>
      </c>
      <c r="F3" s="150">
        <v>262640</v>
      </c>
      <c r="G3" s="150" t="s">
        <v>779</v>
      </c>
      <c r="H3" s="150">
        <v>800</v>
      </c>
      <c r="I3" s="152">
        <v>0.73199999999999998</v>
      </c>
      <c r="J3" s="152">
        <v>1.6739999999999999</v>
      </c>
      <c r="K3" s="150" t="s">
        <v>783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782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770</v>
      </c>
      <c r="E4" s="150" t="s">
        <v>27</v>
      </c>
      <c r="F4" s="150">
        <v>262641</v>
      </c>
      <c r="G4" s="150" t="s">
        <v>779</v>
      </c>
      <c r="H4" s="150">
        <v>1150</v>
      </c>
      <c r="I4" s="152">
        <v>0.54700000000000004</v>
      </c>
      <c r="J4" s="152">
        <v>1.44</v>
      </c>
      <c r="K4" s="150" t="s">
        <v>781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780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770</v>
      </c>
      <c r="E5" s="150" t="s">
        <v>27</v>
      </c>
      <c r="F5" s="150">
        <v>262642</v>
      </c>
      <c r="G5" s="150" t="s">
        <v>779</v>
      </c>
      <c r="H5" s="150">
        <v>1000</v>
      </c>
      <c r="I5" s="152">
        <v>0.58099999999999996</v>
      </c>
      <c r="J5" s="152">
        <v>1.58</v>
      </c>
      <c r="K5" s="150" t="s">
        <v>778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777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K17" sqref="K17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20" t="s">
        <v>776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customFormat="1" ht="25.05" customHeight="1" x14ac:dyDescent="0.3">
      <c r="A3">
        <v>1</v>
      </c>
      <c r="B3" t="s">
        <v>444</v>
      </c>
      <c r="C3" t="s">
        <v>45</v>
      </c>
      <c r="D3" s="219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34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35</v>
      </c>
      <c r="W3" t="s">
        <v>40</v>
      </c>
      <c r="X3" t="s">
        <v>35</v>
      </c>
      <c r="Y3" t="s">
        <v>35</v>
      </c>
      <c r="Z3" t="s">
        <v>35</v>
      </c>
      <c r="AA3">
        <v>3</v>
      </c>
      <c r="AB3" t="s">
        <v>817</v>
      </c>
    </row>
    <row r="4" spans="1:28" customFormat="1" ht="25.05" customHeight="1" x14ac:dyDescent="0.3">
      <c r="A4">
        <v>2</v>
      </c>
      <c r="B4" t="s">
        <v>444</v>
      </c>
      <c r="C4" t="s">
        <v>45</v>
      </c>
      <c r="D4" s="219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34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35</v>
      </c>
      <c r="W4" t="s">
        <v>40</v>
      </c>
      <c r="X4" t="s">
        <v>35</v>
      </c>
      <c r="Y4" t="s">
        <v>35</v>
      </c>
      <c r="Z4" t="s">
        <v>35</v>
      </c>
      <c r="AA4">
        <v>3</v>
      </c>
      <c r="AB4" t="s">
        <v>818</v>
      </c>
    </row>
    <row r="5" spans="1:28" customFormat="1" ht="25.05" customHeight="1" x14ac:dyDescent="0.3">
      <c r="A5">
        <v>3</v>
      </c>
      <c r="B5" t="s">
        <v>444</v>
      </c>
      <c r="C5" t="s">
        <v>45</v>
      </c>
      <c r="D5" s="219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34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35</v>
      </c>
      <c r="W5" t="s">
        <v>40</v>
      </c>
      <c r="X5" t="s">
        <v>35</v>
      </c>
      <c r="Y5" t="s">
        <v>35</v>
      </c>
      <c r="Z5" t="s">
        <v>35</v>
      </c>
      <c r="AA5">
        <v>3</v>
      </c>
      <c r="AB5" t="s">
        <v>819</v>
      </c>
    </row>
    <row r="6" spans="1:28" ht="25.05" customHeight="1" x14ac:dyDescent="0.3">
      <c r="A6">
        <v>4</v>
      </c>
      <c r="B6" s="118" t="s">
        <v>444</v>
      </c>
      <c r="C6" s="116" t="s">
        <v>45</v>
      </c>
      <c r="D6" s="116" t="s">
        <v>770</v>
      </c>
      <c r="E6" s="116" t="s">
        <v>27</v>
      </c>
      <c r="F6" s="116">
        <v>262639</v>
      </c>
      <c r="G6" s="116" t="s">
        <v>775</v>
      </c>
      <c r="H6" s="116">
        <v>300</v>
      </c>
      <c r="I6" s="117">
        <v>0.67400000000000004</v>
      </c>
      <c r="J6" s="117">
        <v>1.5229999999999999</v>
      </c>
      <c r="K6" t="s">
        <v>34</v>
      </c>
      <c r="L6" s="113">
        <v>307.95100000000002</v>
      </c>
      <c r="M6" s="115">
        <v>228.4</v>
      </c>
      <c r="N6" s="112">
        <v>3.1699999999999999E-2</v>
      </c>
      <c r="O6" s="114">
        <v>1.9</v>
      </c>
      <c r="P6" s="111">
        <v>174.9</v>
      </c>
      <c r="Q6" s="111">
        <v>2</v>
      </c>
      <c r="R6" s="111">
        <v>1400</v>
      </c>
      <c r="S6" s="113">
        <v>1.3480000000000001</v>
      </c>
      <c r="T6" s="111">
        <v>52</v>
      </c>
      <c r="U6" s="112">
        <v>3.7100000000000001E-2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33</v>
      </c>
      <c r="AB6" s="111" t="s">
        <v>774</v>
      </c>
    </row>
    <row r="7" spans="1:28" ht="25.05" customHeight="1" x14ac:dyDescent="0.3">
      <c r="A7">
        <v>5</v>
      </c>
      <c r="B7" s="118" t="s">
        <v>444</v>
      </c>
      <c r="C7" s="116" t="s">
        <v>45</v>
      </c>
      <c r="D7" s="116" t="s">
        <v>770</v>
      </c>
      <c r="E7" s="116" t="s">
        <v>27</v>
      </c>
      <c r="F7" s="116">
        <v>262637</v>
      </c>
      <c r="G7" s="116" t="s">
        <v>773</v>
      </c>
      <c r="H7" s="116">
        <v>500</v>
      </c>
      <c r="I7" s="117">
        <v>0.56599999999999995</v>
      </c>
      <c r="J7" s="117">
        <v>1.4630000000000001</v>
      </c>
      <c r="K7" t="s">
        <v>34</v>
      </c>
      <c r="L7" s="113">
        <v>414.029</v>
      </c>
      <c r="M7" s="115">
        <v>365.8</v>
      </c>
      <c r="N7" s="112">
        <v>5.0799999999999998E-2</v>
      </c>
      <c r="O7" s="114">
        <v>3.05</v>
      </c>
      <c r="P7" s="111">
        <v>235.2</v>
      </c>
      <c r="Q7" s="111">
        <v>2</v>
      </c>
      <c r="R7" s="111">
        <v>1200</v>
      </c>
      <c r="S7" s="113">
        <v>1.1319999999999999</v>
      </c>
      <c r="T7" s="111">
        <v>68</v>
      </c>
      <c r="U7" s="112">
        <v>5.67E-2</v>
      </c>
      <c r="V7" s="111" t="s">
        <v>35</v>
      </c>
      <c r="W7" s="111" t="s">
        <v>40</v>
      </c>
      <c r="X7" s="111" t="s">
        <v>35</v>
      </c>
      <c r="Y7" s="111" t="s">
        <v>35</v>
      </c>
      <c r="Z7" s="111" t="s">
        <v>35</v>
      </c>
      <c r="AA7" s="111" t="s">
        <v>33</v>
      </c>
      <c r="AB7" s="111" t="s">
        <v>772</v>
      </c>
    </row>
    <row r="8" spans="1:28" ht="25.05" customHeight="1" x14ac:dyDescent="0.3">
      <c r="A8">
        <v>6</v>
      </c>
      <c r="B8" s="118" t="s">
        <v>448</v>
      </c>
      <c r="C8" s="116" t="s">
        <v>45</v>
      </c>
      <c r="D8" s="116" t="s">
        <v>770</v>
      </c>
      <c r="E8" s="116" t="s">
        <v>27</v>
      </c>
      <c r="F8" s="116">
        <v>262635</v>
      </c>
      <c r="G8" s="116" t="s">
        <v>771</v>
      </c>
      <c r="H8" s="116">
        <v>5000</v>
      </c>
      <c r="I8" s="117">
        <v>0.55900000000000005</v>
      </c>
      <c r="J8" s="117">
        <v>1.389</v>
      </c>
      <c r="K8" t="s">
        <v>34</v>
      </c>
      <c r="L8" s="113">
        <v>3882.2550000000001</v>
      </c>
      <c r="M8" s="115">
        <v>3472.5</v>
      </c>
      <c r="N8" s="112">
        <v>0.48230000000000001</v>
      </c>
      <c r="O8" s="114">
        <v>28.94</v>
      </c>
      <c r="P8" s="111">
        <v>2205.1</v>
      </c>
      <c r="Q8" s="111">
        <v>2</v>
      </c>
      <c r="R8" s="111">
        <v>1150</v>
      </c>
      <c r="S8" s="113">
        <v>1.1180000000000001</v>
      </c>
      <c r="T8" s="111">
        <v>32</v>
      </c>
      <c r="U8" s="112">
        <v>2.7799999999999998E-2</v>
      </c>
      <c r="V8" s="111" t="s">
        <v>35</v>
      </c>
      <c r="W8" s="111" t="s">
        <v>40</v>
      </c>
      <c r="X8" s="111" t="s">
        <v>35</v>
      </c>
      <c r="Y8" s="111" t="s">
        <v>35</v>
      </c>
      <c r="Z8" s="111" t="s">
        <v>35</v>
      </c>
      <c r="AA8" s="111" t="s">
        <v>73</v>
      </c>
      <c r="AB8" s="111" t="s">
        <v>445</v>
      </c>
    </row>
    <row r="9" spans="1:28" ht="25.05" customHeight="1" x14ac:dyDescent="0.3">
      <c r="A9">
        <v>7</v>
      </c>
      <c r="B9" s="118" t="s">
        <v>448</v>
      </c>
      <c r="C9" s="116" t="s">
        <v>45</v>
      </c>
      <c r="D9" s="116" t="s">
        <v>770</v>
      </c>
      <c r="E9" s="116" t="s">
        <v>27</v>
      </c>
      <c r="F9" s="116">
        <v>262636</v>
      </c>
      <c r="G9" s="116" t="s">
        <v>771</v>
      </c>
      <c r="H9" s="116">
        <v>5000</v>
      </c>
      <c r="I9" s="117">
        <v>0.55900000000000005</v>
      </c>
      <c r="J9" s="117">
        <v>1.389</v>
      </c>
      <c r="K9" t="s">
        <v>34</v>
      </c>
      <c r="L9" s="113">
        <v>3882.2550000000001</v>
      </c>
      <c r="M9" s="115">
        <v>3472.5</v>
      </c>
      <c r="N9" s="112">
        <v>0.48230000000000001</v>
      </c>
      <c r="O9" s="114">
        <v>28.94</v>
      </c>
      <c r="P9" s="111">
        <v>2205.1</v>
      </c>
      <c r="Q9" s="111">
        <v>2</v>
      </c>
      <c r="R9" s="111">
        <v>1150</v>
      </c>
      <c r="S9" s="113">
        <v>1.1180000000000001</v>
      </c>
      <c r="T9" s="111">
        <v>32</v>
      </c>
      <c r="U9" s="112">
        <v>2.7799999999999998E-2</v>
      </c>
      <c r="V9" s="111" t="s">
        <v>35</v>
      </c>
      <c r="W9" s="111" t="s">
        <v>40</v>
      </c>
      <c r="X9" s="111" t="s">
        <v>35</v>
      </c>
      <c r="Y9" s="111" t="s">
        <v>35</v>
      </c>
      <c r="Z9" s="111" t="s">
        <v>35</v>
      </c>
      <c r="AA9" s="111" t="s">
        <v>73</v>
      </c>
      <c r="AB9" s="111" t="s">
        <v>445</v>
      </c>
    </row>
    <row r="10" spans="1:28" ht="25.05" customHeight="1" x14ac:dyDescent="0.3">
      <c r="A10">
        <v>8</v>
      </c>
      <c r="B10" s="118" t="s">
        <v>444</v>
      </c>
      <c r="C10" s="116" t="s">
        <v>26</v>
      </c>
      <c r="D10" s="116" t="s">
        <v>770</v>
      </c>
      <c r="E10" s="116" t="s">
        <v>27</v>
      </c>
      <c r="F10" s="116">
        <v>262638</v>
      </c>
      <c r="G10" s="116" t="s">
        <v>769</v>
      </c>
      <c r="H10" s="116">
        <v>200</v>
      </c>
      <c r="I10" s="117">
        <v>0.53800000000000003</v>
      </c>
      <c r="J10" s="117">
        <v>1.423</v>
      </c>
      <c r="K10" t="s">
        <v>34</v>
      </c>
      <c r="L10" s="113">
        <v>153.11500000000001</v>
      </c>
      <c r="M10" s="115">
        <v>142.30000000000001</v>
      </c>
      <c r="N10" s="112">
        <v>1.9800000000000002E-2</v>
      </c>
      <c r="O10" s="114">
        <v>1.19</v>
      </c>
      <c r="P10" s="111">
        <v>82.4</v>
      </c>
      <c r="Q10" s="111">
        <v>2</v>
      </c>
      <c r="R10" s="111">
        <v>1100</v>
      </c>
      <c r="S10" s="113">
        <v>1.0760000000000001</v>
      </c>
      <c r="T10" s="111">
        <v>24</v>
      </c>
      <c r="U10" s="112">
        <v>2.18E-2</v>
      </c>
      <c r="V10" s="111" t="s">
        <v>28</v>
      </c>
      <c r="W10" s="111" t="s">
        <v>29</v>
      </c>
      <c r="X10" s="111" t="s">
        <v>28</v>
      </c>
      <c r="Y10" s="111" t="s">
        <v>28</v>
      </c>
      <c r="Z10" s="111" t="s">
        <v>28</v>
      </c>
      <c r="AA10" s="111" t="s">
        <v>39</v>
      </c>
      <c r="AB10" s="111" t="s">
        <v>768</v>
      </c>
    </row>
    <row r="11" spans="1:28" ht="25.05" customHeight="1" x14ac:dyDescent="0.3">
      <c r="A11">
        <v>9</v>
      </c>
      <c r="B11" s="118" t="s">
        <v>444</v>
      </c>
      <c r="C11" s="116" t="s">
        <v>36</v>
      </c>
      <c r="D11" s="218">
        <v>46282</v>
      </c>
      <c r="E11" s="116"/>
      <c r="F11" s="116">
        <v>262643</v>
      </c>
      <c r="G11" s="116">
        <v>1748</v>
      </c>
      <c r="H11" s="116">
        <v>600</v>
      </c>
      <c r="I11" s="117">
        <v>0.94899999999999995</v>
      </c>
      <c r="J11" s="117">
        <v>1.536</v>
      </c>
      <c r="K11" t="s">
        <v>34</v>
      </c>
      <c r="L11" s="113">
        <v>874.59799999999996</v>
      </c>
      <c r="M11" s="115">
        <v>921.6</v>
      </c>
      <c r="N11" s="112">
        <v>0.25600000000000001</v>
      </c>
      <c r="O11" s="114">
        <v>15.36</v>
      </c>
      <c r="P11" s="111">
        <v>275.5</v>
      </c>
      <c r="Q11" s="111">
        <v>1</v>
      </c>
      <c r="R11" s="111">
        <v>1000</v>
      </c>
      <c r="S11" s="113">
        <v>0.94899999999999995</v>
      </c>
      <c r="T11" s="111">
        <v>51</v>
      </c>
      <c r="U11" s="112">
        <v>5.0999999999999997E-2</v>
      </c>
      <c r="V11" s="111" t="s">
        <v>28</v>
      </c>
      <c r="W11" s="111" t="s">
        <v>28</v>
      </c>
      <c r="X11" s="111" t="s">
        <v>28</v>
      </c>
      <c r="Y11" s="111"/>
      <c r="Z11" s="111"/>
      <c r="AA11" s="111">
        <v>2</v>
      </c>
      <c r="AB11" s="111" t="s">
        <v>586</v>
      </c>
    </row>
    <row r="12" spans="1:28" ht="25.05" customHeight="1" x14ac:dyDescent="0.3">
      <c r="A12" s="110" t="s">
        <v>27</v>
      </c>
      <c r="B12" s="110" t="s">
        <v>27</v>
      </c>
      <c r="C12" s="110" t="s">
        <v>27</v>
      </c>
      <c r="D12" s="110" t="s">
        <v>27</v>
      </c>
      <c r="E12" s="110" t="s">
        <v>27</v>
      </c>
      <c r="F12" s="110" t="s">
        <v>27</v>
      </c>
      <c r="G12" s="110" t="s">
        <v>27</v>
      </c>
      <c r="H12" s="110">
        <f>SUM(H3:H11)</f>
        <v>13000</v>
      </c>
      <c r="I12" s="110" t="s">
        <v>27</v>
      </c>
      <c r="J12" s="110" t="s">
        <v>27</v>
      </c>
      <c r="K12" s="110" t="s">
        <v>27</v>
      </c>
      <c r="L12" s="109" t="s">
        <v>27</v>
      </c>
      <c r="M12" s="109" t="s">
        <v>27</v>
      </c>
      <c r="N12" s="109" t="s">
        <v>27</v>
      </c>
      <c r="O12" s="109" t="s">
        <v>27</v>
      </c>
      <c r="P12" s="109">
        <f>SUM(P3:P11)</f>
        <v>7717</v>
      </c>
      <c r="Q12" s="109" t="s">
        <v>27</v>
      </c>
      <c r="R12" s="109" t="s">
        <v>27</v>
      </c>
      <c r="S12" s="109" t="s">
        <v>27</v>
      </c>
      <c r="T12" s="109" t="s">
        <v>27</v>
      </c>
      <c r="U12" s="109" t="s">
        <v>27</v>
      </c>
      <c r="V12" s="109" t="s">
        <v>27</v>
      </c>
      <c r="W12" s="109" t="s">
        <v>27</v>
      </c>
      <c r="X12" s="109" t="s">
        <v>27</v>
      </c>
      <c r="Y12" s="109" t="s">
        <v>27</v>
      </c>
      <c r="Z12" s="109" t="s">
        <v>27</v>
      </c>
      <c r="AA12" s="109" t="s">
        <v>27</v>
      </c>
      <c r="AB12" s="109" t="s">
        <v>27</v>
      </c>
    </row>
  </sheetData>
  <mergeCells count="1">
    <mergeCell ref="A1:AB1"/>
  </mergeCells>
  <phoneticPr fontId="23" type="noConversion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21" t="s">
        <v>766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765</v>
      </c>
      <c r="H3" s="116">
        <v>7200</v>
      </c>
      <c r="I3" s="117">
        <v>0.64600000000000002</v>
      </c>
      <c r="J3" s="117">
        <v>1.843</v>
      </c>
      <c r="K3" s="116" t="s">
        <v>764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763</v>
      </c>
      <c r="AB3" s="111" t="s">
        <v>762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761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760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759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758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757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108" customWidth="1"/>
    <col min="2" max="2" width="17.109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21" t="s">
        <v>785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786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756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755</v>
      </c>
    </row>
    <row r="4" spans="1:28" ht="25.05" customHeight="1" x14ac:dyDescent="0.3">
      <c r="A4" s="116">
        <v>2</v>
      </c>
      <c r="B4" s="118" t="s">
        <v>786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754</v>
      </c>
    </row>
    <row r="5" spans="1:28" ht="25.05" customHeight="1" x14ac:dyDescent="0.3">
      <c r="A5" s="116">
        <v>3</v>
      </c>
      <c r="B5" s="118" t="s">
        <v>786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753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752</v>
      </c>
    </row>
    <row r="6" spans="1:28" ht="25.05" customHeight="1" x14ac:dyDescent="0.3">
      <c r="A6" s="116">
        <v>4</v>
      </c>
      <c r="B6" s="118" t="s">
        <v>786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751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750</v>
      </c>
    </row>
    <row r="7" spans="1:28" ht="25.05" customHeight="1" x14ac:dyDescent="0.3">
      <c r="A7" s="116">
        <v>5</v>
      </c>
      <c r="B7" s="118" t="s">
        <v>786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749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748</v>
      </c>
    </row>
    <row r="8" spans="1:28" ht="25.05" customHeight="1" x14ac:dyDescent="0.3">
      <c r="A8" s="116">
        <v>6</v>
      </c>
      <c r="B8" s="118" t="s">
        <v>786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747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746</v>
      </c>
    </row>
    <row r="9" spans="1:28" ht="25.05" customHeight="1" x14ac:dyDescent="0.3">
      <c r="A9" s="116">
        <v>7</v>
      </c>
      <c r="B9" s="118" t="s">
        <v>786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745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744</v>
      </c>
    </row>
    <row r="10" spans="1:28" ht="25.05" customHeight="1" x14ac:dyDescent="0.3">
      <c r="A10" s="116">
        <v>8</v>
      </c>
      <c r="B10" s="118" t="s">
        <v>786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743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742</v>
      </c>
    </row>
    <row r="11" spans="1:28" ht="25.05" customHeight="1" x14ac:dyDescent="0.3">
      <c r="A11" s="116">
        <v>9</v>
      </c>
      <c r="B11" s="118" t="s">
        <v>786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741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740</v>
      </c>
    </row>
    <row r="12" spans="1:28" ht="25.05" customHeight="1" x14ac:dyDescent="0.3">
      <c r="A12" s="116">
        <v>10</v>
      </c>
      <c r="B12" s="118" t="s">
        <v>786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22" t="s">
        <v>723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3" t="s">
        <v>710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3" t="s">
        <v>702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5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5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5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6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7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8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9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10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11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12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13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14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15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16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17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18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sheetPr>
    <pageSetUpPr fitToPage="1"/>
  </sheetPr>
  <dimension ref="A1:AB4"/>
  <sheetViews>
    <sheetView workbookViewId="0">
      <selection sqref="A1:AB5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21" t="s">
        <v>681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7.332031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767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20" t="s">
        <v>665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22" t="s">
        <v>592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4" t="s">
        <v>554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22" t="s">
        <v>539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sheetPr>
    <pageSetUpPr fitToPage="1"/>
  </sheetPr>
  <dimension ref="A1:AB4"/>
  <sheetViews>
    <sheetView workbookViewId="0">
      <selection activeCell="S17" sqref="S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3" width="7.44140625" style="1" customWidth="1"/>
    <col min="24" max="24" width="7.33203125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2" t="s">
        <v>535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x14ac:dyDescent="0.3">
      <c r="A4" s="28" t="s">
        <v>27</v>
      </c>
      <c r="B4" s="28" t="s">
        <v>27</v>
      </c>
      <c r="C4" s="28" t="s">
        <v>27</v>
      </c>
      <c r="D4" s="28" t="s">
        <v>27</v>
      </c>
      <c r="E4" s="28" t="s">
        <v>27</v>
      </c>
      <c r="F4" s="28" t="s">
        <v>27</v>
      </c>
      <c r="G4" s="28" t="s">
        <v>27</v>
      </c>
      <c r="H4" s="28">
        <v>8250</v>
      </c>
      <c r="I4" s="28" t="s">
        <v>27</v>
      </c>
      <c r="J4" s="28" t="s">
        <v>27</v>
      </c>
      <c r="K4" s="28" t="s">
        <v>27</v>
      </c>
      <c r="L4" s="27" t="s">
        <v>27</v>
      </c>
      <c r="M4" s="27" t="s">
        <v>27</v>
      </c>
      <c r="N4" s="27" t="s">
        <v>27</v>
      </c>
      <c r="O4" s="27" t="s">
        <v>27</v>
      </c>
      <c r="P4" s="27">
        <v>1408</v>
      </c>
      <c r="Q4" s="27" t="s">
        <v>27</v>
      </c>
      <c r="R4" s="27" t="s">
        <v>27</v>
      </c>
      <c r="S4" s="27" t="s">
        <v>27</v>
      </c>
      <c r="T4" s="27" t="s">
        <v>27</v>
      </c>
      <c r="U4" s="27" t="s">
        <v>27</v>
      </c>
      <c r="V4" s="27" t="s">
        <v>27</v>
      </c>
      <c r="W4" s="27" t="s">
        <v>27</v>
      </c>
      <c r="X4" s="27" t="s">
        <v>27</v>
      </c>
      <c r="Y4" s="27" t="s">
        <v>27</v>
      </c>
      <c r="Z4" s="27" t="s">
        <v>27</v>
      </c>
      <c r="AA4" s="27" t="s">
        <v>27</v>
      </c>
      <c r="AB4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5" t="s">
        <v>523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6" t="s">
        <v>512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22" t="s">
        <v>496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22" t="s">
        <v>486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2" t="s">
        <v>475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22" t="s">
        <v>454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22" t="s">
        <v>440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22" t="s">
        <v>403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7" t="s">
        <v>380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10" sqref="G10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6" t="s">
        <v>332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22" t="s">
        <v>329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324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6" t="s">
        <v>281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22" t="s">
        <v>258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22" t="s">
        <v>240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22" t="s">
        <v>202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22" t="s">
        <v>192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8" t="s">
        <v>155</v>
      </c>
      <c r="B1" s="228" t="s">
        <v>27</v>
      </c>
      <c r="C1" s="228" t="s">
        <v>27</v>
      </c>
      <c r="D1" s="228" t="s">
        <v>27</v>
      </c>
      <c r="E1" s="228" t="s">
        <v>27</v>
      </c>
      <c r="F1" s="228" t="s">
        <v>27</v>
      </c>
      <c r="G1" s="228" t="s">
        <v>27</v>
      </c>
      <c r="H1" s="228" t="s">
        <v>27</v>
      </c>
      <c r="I1" s="228" t="s">
        <v>27</v>
      </c>
      <c r="J1" s="228" t="s">
        <v>27</v>
      </c>
      <c r="K1" s="228" t="s">
        <v>27</v>
      </c>
      <c r="L1" s="228" t="s">
        <v>27</v>
      </c>
      <c r="M1" s="228" t="s">
        <v>27</v>
      </c>
      <c r="N1" s="228" t="s">
        <v>27</v>
      </c>
      <c r="O1" s="228" t="s">
        <v>27</v>
      </c>
      <c r="P1" s="228" t="s">
        <v>27</v>
      </c>
      <c r="Q1" s="228" t="s">
        <v>27</v>
      </c>
      <c r="R1" s="228" t="s">
        <v>27</v>
      </c>
      <c r="S1" s="228" t="s">
        <v>27</v>
      </c>
      <c r="T1" s="228" t="s">
        <v>27</v>
      </c>
      <c r="U1" s="228" t="s">
        <v>27</v>
      </c>
      <c r="V1" s="228" t="s">
        <v>27</v>
      </c>
      <c r="W1" s="228" t="s">
        <v>27</v>
      </c>
      <c r="X1" s="228" t="s">
        <v>27</v>
      </c>
      <c r="Y1" s="228" t="s">
        <v>27</v>
      </c>
      <c r="Z1" s="228" t="s">
        <v>27</v>
      </c>
      <c r="AA1" s="228" t="s">
        <v>27</v>
      </c>
      <c r="AB1" s="22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22" t="s">
        <v>79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22" t="s">
        <v>134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9" t="s">
        <v>109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 t="s">
        <v>27</v>
      </c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 t="s">
        <v>27</v>
      </c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44</vt:i4>
      </vt:variant>
    </vt:vector>
  </HeadingPairs>
  <TitlesOfParts>
    <vt:vector size="44" baseType="lpstr"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IPE - PC BOX 1203P</vt:lpstr>
      <vt:lpstr>ABAPEL 1201</vt:lpstr>
      <vt:lpstr>HARMONY EMBALAGENS 1200</vt:lpstr>
      <vt:lpstr>HARMONY EMBALAGENS 1199 P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1182P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2026-09-22T13:29:12Z</dcterms:modified>
</cp:coreProperties>
</file>