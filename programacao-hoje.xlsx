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68B4BBF-CCA7-401F-BC13-6682CB8C2A31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R EMBALAGENS 1326 P" sheetId="226" r:id="rId1"/>
    <sheet name="HARMONY EMBALAGENS 1325 P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 P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<sst xmlns="http://schemas.openxmlformats.org/spreadsheetml/2006/main" count="2371" uniqueCount="285">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</sst>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4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8" t="s">
        <v>26</v>
      </c>
      <c r="B8" s="58" t="s">
        <v>26</v>
      </c>
      <c r="C8" s="58" t="s">
        <v>26</v>
      </c>
      <c r="D8" s="58" t="s">
        <v>26</v>
      </c>
      <c r="E8" s="58" t="s">
        <v>26</v>
      </c>
      <c r="F8" s="58" t="s">
        <v>26</v>
      </c>
      <c r="G8" s="58">
        <f>SUM(G3:G7)</f>
        <v>18500</v>
      </c>
      <c r="H8" s="58" t="s">
        <v>26</v>
      </c>
      <c r="I8" s="58" t="s">
        <v>26</v>
      </c>
      <c r="J8" s="58" t="s">
        <v>26</v>
      </c>
      <c r="K8" s="58" t="s">
        <v>26</v>
      </c>
      <c r="L8" s="58" t="s">
        <v>26</v>
      </c>
      <c r="M8" s="58" t="s">
        <v>26</v>
      </c>
      <c r="N8" s="58" t="s">
        <v>26</v>
      </c>
      <c r="O8" s="58" t="s">
        <v>26</v>
      </c>
      <c r="P8" s="58" t="s">
        <v>26</v>
      </c>
      <c r="Q8" s="58">
        <f>SUM(Q3:Q7)</f>
        <v>2347.1999999999998</v>
      </c>
      <c r="R8" s="58" t="s">
        <v>26</v>
      </c>
      <c r="S8" s="58" t="s">
        <v>26</v>
      </c>
      <c r="T8" s="58" t="s">
        <v>26</v>
      </c>
      <c r="U8" s="58" t="s">
        <v>26</v>
      </c>
      <c r="V8" s="58" t="s">
        <v>26</v>
      </c>
      <c r="W8" s="58" t="s">
        <v>26</v>
      </c>
      <c r="X8" s="58" t="s">
        <v>26</v>
      </c>
      <c r="Y8" s="58" t="s">
        <v>26</v>
      </c>
      <c r="Z8" s="58" t="s">
        <v>26</v>
      </c>
      <c r="AA8" s="58" t="s">
        <v>26</v>
      </c>
      <c r="AB8" s="58" t="s">
        <v>26</v>
      </c>
      <c r="AC8" s="5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6"/>
  <sheetViews>
    <sheetView tabSelected="1" workbookViewId="0">
      <selection sqref="A1:AC16"/>
    </sheetView>
  </sheetViews>
  <sheetFormatPr defaultRowHeight="14.4"/>
  <cols>
    <col min="1" max="1" width="5" style="3" customWidth="1"/>
    <col min="2" max="2" width="23.109375" style="3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5" t="s">
        <v>266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20"/>
      <c r="B11" s="6" t="s">
        <v>48</v>
      </c>
      <c r="C11" s="21" t="s">
        <v>46</v>
      </c>
      <c r="D11" s="21" t="s">
        <v>276</v>
      </c>
      <c r="E11" s="20">
        <v>263167</v>
      </c>
      <c r="F11" s="5" t="s">
        <v>277</v>
      </c>
      <c r="G11" s="20">
        <v>500</v>
      </c>
      <c r="H11" s="22">
        <v>0.98599999999999999</v>
      </c>
      <c r="I11" s="22">
        <v>2.371</v>
      </c>
      <c r="J11" s="20"/>
      <c r="K11" s="21" t="s">
        <v>215</v>
      </c>
      <c r="L11" s="20"/>
      <c r="M11" s="22">
        <v>1168.903</v>
      </c>
      <c r="N11" s="23">
        <v>1185.5</v>
      </c>
      <c r="O11" s="24">
        <v>0.32929999999999998</v>
      </c>
      <c r="P11" s="25">
        <v>19.760000000000002</v>
      </c>
      <c r="Q11" s="20">
        <v>738.7</v>
      </c>
      <c r="R11" s="20">
        <v>1</v>
      </c>
      <c r="S11" s="20">
        <v>1050</v>
      </c>
      <c r="T11" s="22">
        <v>0.98599999999999999</v>
      </c>
      <c r="U11" s="20">
        <v>64</v>
      </c>
      <c r="V11" s="24">
        <v>6.0999999999999999E-2</v>
      </c>
      <c r="W11" s="21" t="s">
        <v>28</v>
      </c>
      <c r="X11" s="21" t="s">
        <v>37</v>
      </c>
      <c r="Y11" s="21" t="s">
        <v>27</v>
      </c>
      <c r="Z11" s="21" t="s">
        <v>27</v>
      </c>
      <c r="AA11" s="21" t="s">
        <v>28</v>
      </c>
      <c r="AB11" s="21" t="s">
        <v>29</v>
      </c>
      <c r="AC11" s="21" t="s">
        <v>214</v>
      </c>
    </row>
    <row r="12" spans="1:29" s="11" customFormat="1" ht="25.05" customHeight="1">
      <c r="A12" s="5"/>
      <c r="B12" s="6" t="s">
        <v>48</v>
      </c>
      <c r="C12" s="5" t="s">
        <v>42</v>
      </c>
      <c r="D12" s="5" t="s">
        <v>198</v>
      </c>
      <c r="E12" s="5">
        <v>263161</v>
      </c>
      <c r="F12" s="5" t="s">
        <v>249</v>
      </c>
      <c r="G12" s="5">
        <v>200</v>
      </c>
      <c r="H12" s="7">
        <v>1.3240000000000001</v>
      </c>
      <c r="I12" s="7">
        <v>1.889</v>
      </c>
      <c r="J12" s="5" t="s">
        <v>26</v>
      </c>
      <c r="K12" s="5" t="s">
        <v>248</v>
      </c>
      <c r="L12" s="5" t="s">
        <v>26</v>
      </c>
      <c r="M12" s="7">
        <v>500.20699999999999</v>
      </c>
      <c r="N12" s="8">
        <v>377.8</v>
      </c>
      <c r="O12" s="9">
        <v>0.10489999999999999</v>
      </c>
      <c r="P12" s="10">
        <v>6.3</v>
      </c>
      <c r="Q12" s="5">
        <v>177.6</v>
      </c>
      <c r="R12" s="5">
        <v>1</v>
      </c>
      <c r="S12" s="5">
        <v>1350</v>
      </c>
      <c r="T12" s="7">
        <v>1.3240000000000001</v>
      </c>
      <c r="U12" s="5">
        <v>26</v>
      </c>
      <c r="V12" s="9">
        <v>1.9300000000000001E-2</v>
      </c>
      <c r="W12" s="5" t="s">
        <v>28</v>
      </c>
      <c r="X12" s="5" t="s">
        <v>27</v>
      </c>
      <c r="Y12" s="5" t="s">
        <v>28</v>
      </c>
      <c r="Z12" s="5" t="s">
        <v>26</v>
      </c>
      <c r="AA12" s="5" t="s">
        <v>26</v>
      </c>
      <c r="AB12" s="5" t="s">
        <v>36</v>
      </c>
      <c r="AC12" s="5" t="s">
        <v>247</v>
      </c>
    </row>
    <row r="13" spans="1:29" s="11" customFormat="1" ht="25.05" customHeight="1">
      <c r="A13" s="20"/>
      <c r="B13" s="59" t="s">
        <v>48</v>
      </c>
      <c r="C13" s="21" t="s">
        <v>62</v>
      </c>
      <c r="D13" s="21" t="s">
        <v>276</v>
      </c>
      <c r="E13" s="20">
        <v>263170</v>
      </c>
      <c r="F13" s="21" t="s">
        <v>278</v>
      </c>
      <c r="G13" s="20">
        <v>200</v>
      </c>
      <c r="H13" s="22">
        <v>0.67900000000000005</v>
      </c>
      <c r="I13" s="22">
        <v>1.839</v>
      </c>
      <c r="J13" s="20"/>
      <c r="K13" s="21" t="s">
        <v>283</v>
      </c>
      <c r="L13" s="20"/>
      <c r="M13" s="22">
        <v>249.73599999999999</v>
      </c>
      <c r="N13" s="23">
        <v>183.9</v>
      </c>
      <c r="O13" s="24">
        <v>2.5499999999999998E-2</v>
      </c>
      <c r="P13" s="25">
        <v>1.53</v>
      </c>
      <c r="Q13" s="20">
        <v>117.4</v>
      </c>
      <c r="R13" s="20">
        <v>2</v>
      </c>
      <c r="S13" s="20">
        <v>1400</v>
      </c>
      <c r="T13" s="22">
        <v>1.3580000000000001</v>
      </c>
      <c r="U13" s="20">
        <v>42</v>
      </c>
      <c r="V13" s="24">
        <v>0.03</v>
      </c>
      <c r="W13" s="21" t="s">
        <v>61</v>
      </c>
      <c r="X13" s="21" t="s">
        <v>38</v>
      </c>
      <c r="Y13" s="21" t="s">
        <v>61</v>
      </c>
      <c r="Z13" s="21"/>
      <c r="AA13" s="21"/>
      <c r="AB13" s="21" t="s">
        <v>36</v>
      </c>
      <c r="AC13" s="21" t="s">
        <v>284</v>
      </c>
    </row>
    <row r="14" spans="1:29" s="11" customFormat="1" ht="25.05" customHeight="1">
      <c r="A14" s="20"/>
      <c r="B14" s="59" t="s">
        <v>48</v>
      </c>
      <c r="C14" s="21" t="s">
        <v>62</v>
      </c>
      <c r="D14" s="21" t="s">
        <v>276</v>
      </c>
      <c r="E14" s="20">
        <v>263169</v>
      </c>
      <c r="F14" s="21" t="s">
        <v>278</v>
      </c>
      <c r="G14" s="20">
        <v>200</v>
      </c>
      <c r="H14" s="22">
        <v>0.65900000000000003</v>
      </c>
      <c r="I14" s="22">
        <v>1.889</v>
      </c>
      <c r="J14" s="20"/>
      <c r="K14" s="21" t="s">
        <v>281</v>
      </c>
      <c r="L14" s="20"/>
      <c r="M14" s="22">
        <v>248.97</v>
      </c>
      <c r="N14" s="23">
        <v>188.9</v>
      </c>
      <c r="O14" s="24">
        <v>2.6200000000000001E-2</v>
      </c>
      <c r="P14" s="25">
        <v>1.57</v>
      </c>
      <c r="Q14" s="20">
        <v>117</v>
      </c>
      <c r="R14" s="20">
        <v>2</v>
      </c>
      <c r="S14" s="20">
        <v>1350</v>
      </c>
      <c r="T14" s="22">
        <v>1.3180000000000001</v>
      </c>
      <c r="U14" s="20">
        <v>32</v>
      </c>
      <c r="V14" s="24">
        <v>2.3699999999999999E-2</v>
      </c>
      <c r="W14" s="21" t="s">
        <v>61</v>
      </c>
      <c r="X14" s="21" t="s">
        <v>38</v>
      </c>
      <c r="Y14" s="21" t="s">
        <v>61</v>
      </c>
      <c r="Z14" s="21"/>
      <c r="AA14" s="21"/>
      <c r="AB14" s="21" t="s">
        <v>36</v>
      </c>
      <c r="AC14" s="21" t="s">
        <v>282</v>
      </c>
    </row>
    <row r="15" spans="1:29" s="11" customFormat="1" ht="25.05" customHeight="1">
      <c r="A15" s="20"/>
      <c r="B15" s="59" t="s">
        <v>48</v>
      </c>
      <c r="C15" s="21" t="s">
        <v>62</v>
      </c>
      <c r="D15" s="21" t="s">
        <v>276</v>
      </c>
      <c r="E15" s="20">
        <v>263168</v>
      </c>
      <c r="F15" s="21" t="s">
        <v>278</v>
      </c>
      <c r="G15" s="20">
        <v>600</v>
      </c>
      <c r="H15" s="22">
        <v>0.63900000000000001</v>
      </c>
      <c r="I15" s="22">
        <v>1.829</v>
      </c>
      <c r="J15" s="20"/>
      <c r="K15" s="21" t="s">
        <v>279</v>
      </c>
      <c r="L15" s="20"/>
      <c r="M15" s="22">
        <v>701.23900000000003</v>
      </c>
      <c r="N15" s="23">
        <v>548.70000000000005</v>
      </c>
      <c r="O15" s="24">
        <v>7.6200000000000004E-2</v>
      </c>
      <c r="P15" s="25">
        <v>4.57</v>
      </c>
      <c r="Q15" s="20">
        <v>329.6</v>
      </c>
      <c r="R15" s="20">
        <v>2</v>
      </c>
      <c r="S15" s="20">
        <v>1300</v>
      </c>
      <c r="T15" s="22">
        <v>1.278</v>
      </c>
      <c r="U15" s="20">
        <v>22</v>
      </c>
      <c r="V15" s="24">
        <v>1.6899999999999998E-2</v>
      </c>
      <c r="W15" s="21" t="s">
        <v>61</v>
      </c>
      <c r="X15" s="21" t="s">
        <v>38</v>
      </c>
      <c r="Y15" s="21" t="s">
        <v>61</v>
      </c>
      <c r="Z15" s="21"/>
      <c r="AA15" s="21"/>
      <c r="AB15" s="21" t="s">
        <v>31</v>
      </c>
      <c r="AC15" s="21" t="s">
        <v>280</v>
      </c>
    </row>
    <row r="16" spans="1:29" s="11" customFormat="1" ht="25.05" customHeight="1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f>SUM(G3:G15)</f>
        <v>4455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f>SUM(Q3:Q15)</f>
        <v>2878.6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honeticPr fontId="13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1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2026-10-26T13:35:51Z</cp:lastPrinted>
  <dcterms:created xsi:type="dcterms:W3CDTF">2026-07-02T17:42:15Z</dcterms:created>
  <dcterms:modified xsi:type="dcterms:W3CDTF">2026-10-26T18:11:48Z</dcterms:modified>
</cp:coreProperties>
</file>