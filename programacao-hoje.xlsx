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1E570DF-96F3-4137-81ED-B155F1CDF9AB}" xr6:coauthVersionLast="47" xr6:coauthVersionMax="47" xr10:uidLastSave="{00000000-0000-0000-0000-000000000000}"/>
  <bookViews>
    <workbookView xWindow="-38510" yWindow="-10830" windowWidth="38620" windowHeight="21100" firstSheet="3" activeTab="3" xr2:uid="{00000000-000D-0000-FFFF-FFFF00000000}"/>
  </bookViews>
  <sheets>
    <sheet name="HARMONY EMBALAGENS 1249" sheetId="178" r:id="rId1"/>
    <sheet name="FAVINCO 1248 AMOSTRA" sheetId="177" r:id="rId2"/>
    <sheet name="ABAPEL 1246" sheetId="176" r:id="rId3"/>
    <sheet name="FAVINCO 1243 P" sheetId="175" r:id="rId4"/>
    <sheet name="Renovapel 1242 P" sheetId="174" r:id="rId5"/>
    <sheet name="Tole. DR EMB. VO CH S. M 1241 P" sheetId="173" r:id="rId6"/>
    <sheet name="FAVINCO 1239 P" sheetId="172" r:id="rId7"/>
    <sheet name="PCBOX EMBALAGENS LTDA 1233" sheetId="170" r:id="rId8"/>
    <sheet name="RM Embalagens 1232" sheetId="169" r:id="rId9"/>
    <sheet name="HARMONY EMBALAGENS 1231 P" sheetId="168" r:id="rId10"/>
    <sheet name="RM Embalagens P" sheetId="166" r:id="rId11"/>
    <sheet name="PCBOX EMBALAGENS LTDA 1222 P" sheetId="164" r:id="rId12"/>
    <sheet name="FORBOX 1220 P" sheetId="163" r:id="rId13"/>
    <sheet name="HARMONY EMBALAGENS 1217 P" sheetId="162" r:id="rId14"/>
    <sheet name="Z4A EMBALAGENS LTDA 1216" sheetId="161" r:id="rId15"/>
    <sheet name="ABAPEL 1213" sheetId="159" r:id="rId16"/>
    <sheet name="IPE - PCBOX 1212 P" sheetId="158" r:id="rId17"/>
    <sheet name="Z4A EMBALAGENS LTDA 1210 P" sheetId="157" r:id="rId18"/>
    <sheet name="RM Embalagens 1209 P" sheetId="156" r:id="rId19"/>
    <sheet name="ABAPEL 1201 P" sheetId="153" r:id="rId20"/>
    <sheet name="HARMONY EMBALAGENS 1200 P" sheetId="152" r:id="rId21"/>
    <sheet name="FAVINCO EMBALAGENS 1197 P" sheetId="150" r:id="rId22"/>
    <sheet name="ABAPEL 1196 P" sheetId="149" r:id="rId23"/>
    <sheet name="RM Embalagens 1184 P" sheetId="141" r:id="rId24"/>
    <sheet name="HARMONY EMBALAGENS 1180 P" sheetId="137" r:id="rId25"/>
    <sheet name="Carpel 1158 P" sheetId="119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70" l="1"/>
  <c r="H18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<sst xmlns="http://schemas.openxmlformats.org/spreadsheetml/2006/main" count="5305" uniqueCount="568">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</sst>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dimension ref="A1:AB23"/>
  <sheetViews>
    <sheetView topLeftCell="C1" zoomScale="145" zoomScaleNormal="145" workbookViewId="0">
      <selection activeCell="AE20" sqref="AE2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02" t="s">
        <v>567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56" customFormat="1" x14ac:dyDescent="0.3">
      <c r="A7" s="89">
        <v>5</v>
      </c>
      <c r="B7" s="151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52">
        <v>1.236</v>
      </c>
      <c r="J7" s="152">
        <v>2.5910000000000002</v>
      </c>
      <c r="K7" s="89" t="s">
        <v>104</v>
      </c>
      <c r="L7" s="152">
        <v>1921.4860000000001</v>
      </c>
      <c r="M7" s="153">
        <v>1554.6</v>
      </c>
      <c r="N7" s="154">
        <v>0.43180000000000002</v>
      </c>
      <c r="O7" s="155">
        <v>25.91</v>
      </c>
      <c r="P7" s="89">
        <v>1214.4000000000001</v>
      </c>
      <c r="Q7" s="89">
        <v>1</v>
      </c>
      <c r="R7" s="89">
        <v>1300</v>
      </c>
      <c r="S7" s="152">
        <v>1.236</v>
      </c>
      <c r="T7" s="89">
        <v>64</v>
      </c>
      <c r="U7" s="154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56" customFormat="1" x14ac:dyDescent="0.3">
      <c r="A10" s="89">
        <v>8</v>
      </c>
      <c r="B10" s="151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52">
        <v>1.196</v>
      </c>
      <c r="J10" s="152">
        <v>1.6910000000000001</v>
      </c>
      <c r="K10" s="89" t="s">
        <v>101</v>
      </c>
      <c r="L10" s="152">
        <v>2426.9229999999998</v>
      </c>
      <c r="M10" s="153">
        <v>2029.2</v>
      </c>
      <c r="N10" s="154">
        <v>0.56369999999999998</v>
      </c>
      <c r="O10" s="155">
        <v>33.82</v>
      </c>
      <c r="P10" s="89">
        <v>1533.8</v>
      </c>
      <c r="Q10" s="89">
        <v>1</v>
      </c>
      <c r="R10" s="89">
        <v>1250</v>
      </c>
      <c r="S10" s="152">
        <v>1.196</v>
      </c>
      <c r="T10" s="89">
        <v>54</v>
      </c>
      <c r="U10" s="154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56" customFormat="1" x14ac:dyDescent="0.3">
      <c r="A11" s="89">
        <v>9</v>
      </c>
      <c r="B11" s="151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52">
        <v>1.2050000000000001</v>
      </c>
      <c r="J11" s="152">
        <v>2.5110000000000001</v>
      </c>
      <c r="K11" s="89" t="s">
        <v>554</v>
      </c>
      <c r="L11" s="152">
        <v>5143.7839999999997</v>
      </c>
      <c r="M11" s="153">
        <v>4268.7</v>
      </c>
      <c r="N11" s="154">
        <v>1.1857</v>
      </c>
      <c r="O11" s="155">
        <v>71.14</v>
      </c>
      <c r="P11" s="89">
        <v>2921.7</v>
      </c>
      <c r="Q11" s="89">
        <v>1</v>
      </c>
      <c r="R11" s="89">
        <v>1250</v>
      </c>
      <c r="S11" s="152">
        <v>1.2050000000000001</v>
      </c>
      <c r="T11" s="89">
        <v>45</v>
      </c>
      <c r="U11" s="154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56" customFormat="1" x14ac:dyDescent="0.3">
      <c r="A12" s="89">
        <v>10</v>
      </c>
      <c r="B12" s="151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52">
        <v>1.2050000000000001</v>
      </c>
      <c r="J12" s="152">
        <v>2.5910000000000002</v>
      </c>
      <c r="K12" s="89" t="s">
        <v>50</v>
      </c>
      <c r="L12" s="152">
        <v>4371.0169999999998</v>
      </c>
      <c r="M12" s="153">
        <v>3627.4</v>
      </c>
      <c r="N12" s="154">
        <v>1.0076000000000001</v>
      </c>
      <c r="O12" s="155">
        <v>60.46</v>
      </c>
      <c r="P12" s="89">
        <v>2482.6999999999998</v>
      </c>
      <c r="Q12" s="89">
        <v>1</v>
      </c>
      <c r="R12" s="89">
        <v>1250</v>
      </c>
      <c r="S12" s="152">
        <v>1.2050000000000001</v>
      </c>
      <c r="T12" s="89">
        <v>45</v>
      </c>
      <c r="U12" s="154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56" customFormat="1" x14ac:dyDescent="0.3">
      <c r="A15" s="89">
        <v>13</v>
      </c>
      <c r="B15" s="151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52">
        <v>0.97599999999999998</v>
      </c>
      <c r="J15" s="152">
        <v>2.331</v>
      </c>
      <c r="K15" s="89" t="s">
        <v>546</v>
      </c>
      <c r="L15" s="152">
        <v>2957.5729999999999</v>
      </c>
      <c r="M15" s="153">
        <v>3030.3</v>
      </c>
      <c r="N15" s="154">
        <v>0.8417</v>
      </c>
      <c r="O15" s="155">
        <v>50.5</v>
      </c>
      <c r="P15" s="89">
        <v>1591.2</v>
      </c>
      <c r="Q15" s="89">
        <v>1</v>
      </c>
      <c r="R15" s="89">
        <v>1000</v>
      </c>
      <c r="S15" s="152">
        <v>0.97599999999999998</v>
      </c>
      <c r="T15" s="89">
        <v>24</v>
      </c>
      <c r="U15" s="154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00" t="s">
        <v>529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33">
        <v>1</v>
      </c>
      <c r="B3" s="135" t="s">
        <v>126</v>
      </c>
      <c r="C3" s="133" t="s">
        <v>44</v>
      </c>
      <c r="D3" s="133" t="s">
        <v>483</v>
      </c>
      <c r="E3" s="133" t="s">
        <v>27</v>
      </c>
      <c r="F3" s="133">
        <v>262840</v>
      </c>
      <c r="G3" s="133" t="s">
        <v>528</v>
      </c>
      <c r="H3" s="133">
        <v>6</v>
      </c>
      <c r="I3" s="134">
        <v>1.1000000000000001</v>
      </c>
      <c r="J3" s="134">
        <v>1.7</v>
      </c>
      <c r="K3" s="133" t="s">
        <v>43</v>
      </c>
      <c r="L3" s="130">
        <v>11.22</v>
      </c>
      <c r="M3" s="132">
        <v>10.199999999999999</v>
      </c>
      <c r="N3" s="129">
        <v>2.8E-3</v>
      </c>
      <c r="O3" s="131">
        <v>0.17</v>
      </c>
      <c r="P3" s="128">
        <v>6.4</v>
      </c>
      <c r="Q3" s="128">
        <v>1</v>
      </c>
      <c r="R3" s="128">
        <v>1150</v>
      </c>
      <c r="S3" s="130">
        <v>1.1000000000000001</v>
      </c>
      <c r="T3" s="128">
        <v>50</v>
      </c>
      <c r="U3" s="129">
        <v>4.3499999999999997E-2</v>
      </c>
      <c r="V3" s="128" t="s">
        <v>34</v>
      </c>
      <c r="W3" s="128" t="s">
        <v>39</v>
      </c>
      <c r="X3" s="128" t="s">
        <v>34</v>
      </c>
      <c r="Y3" s="128" t="s">
        <v>34</v>
      </c>
      <c r="Z3" s="128" t="s">
        <v>34</v>
      </c>
      <c r="AA3" s="128" t="s">
        <v>38</v>
      </c>
      <c r="AB3" s="128" t="s">
        <v>527</v>
      </c>
    </row>
    <row r="4" spans="1:28" ht="30" customHeight="1" x14ac:dyDescent="0.3">
      <c r="A4" s="127" t="s">
        <v>27</v>
      </c>
      <c r="B4" s="127" t="s">
        <v>27</v>
      </c>
      <c r="C4" s="127" t="s">
        <v>27</v>
      </c>
      <c r="D4" s="127" t="s">
        <v>27</v>
      </c>
      <c r="E4" s="127" t="s">
        <v>27</v>
      </c>
      <c r="F4" s="127" t="s">
        <v>27</v>
      </c>
      <c r="G4" s="127" t="s">
        <v>27</v>
      </c>
      <c r="H4" s="127">
        <v>6</v>
      </c>
      <c r="I4" s="127" t="s">
        <v>27</v>
      </c>
      <c r="J4" s="127" t="s">
        <v>27</v>
      </c>
      <c r="K4" s="127" t="s">
        <v>27</v>
      </c>
      <c r="L4" s="126" t="s">
        <v>27</v>
      </c>
      <c r="M4" s="126" t="s">
        <v>27</v>
      </c>
      <c r="N4" s="126" t="s">
        <v>27</v>
      </c>
      <c r="O4" s="126" t="s">
        <v>27</v>
      </c>
      <c r="P4" s="126">
        <v>6.4</v>
      </c>
      <c r="Q4" s="126" t="s">
        <v>27</v>
      </c>
      <c r="R4" s="126" t="s">
        <v>27</v>
      </c>
      <c r="S4" s="126" t="s">
        <v>27</v>
      </c>
      <c r="T4" s="126" t="s">
        <v>27</v>
      </c>
      <c r="U4" s="126" t="s">
        <v>27</v>
      </c>
      <c r="V4" s="126" t="s">
        <v>27</v>
      </c>
      <c r="W4" s="126" t="s">
        <v>27</v>
      </c>
      <c r="X4" s="126" t="s">
        <v>27</v>
      </c>
      <c r="Y4" s="126" t="s">
        <v>27</v>
      </c>
      <c r="Z4" s="126" t="s">
        <v>27</v>
      </c>
      <c r="AA4" s="126" t="s">
        <v>27</v>
      </c>
      <c r="AB4" s="126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36" t="s">
        <v>509</v>
      </c>
      <c r="B1" s="136" t="s">
        <v>27</v>
      </c>
      <c r="C1" s="136" t="s">
        <v>27</v>
      </c>
      <c r="D1" s="136" t="s">
        <v>27</v>
      </c>
      <c r="E1" s="136" t="s">
        <v>27</v>
      </c>
      <c r="F1" s="136" t="s">
        <v>27</v>
      </c>
      <c r="G1" s="136" t="s">
        <v>27</v>
      </c>
      <c r="H1" s="136" t="s">
        <v>27</v>
      </c>
      <c r="I1" s="136" t="s">
        <v>27</v>
      </c>
      <c r="J1" s="136" t="s">
        <v>27</v>
      </c>
      <c r="K1" s="136" t="s">
        <v>27</v>
      </c>
      <c r="L1" s="136" t="s">
        <v>27</v>
      </c>
      <c r="M1" s="136" t="s">
        <v>27</v>
      </c>
      <c r="N1" s="136" t="s">
        <v>27</v>
      </c>
      <c r="O1" s="136" t="s">
        <v>27</v>
      </c>
      <c r="P1" s="136" t="s">
        <v>27</v>
      </c>
      <c r="Q1" s="136" t="s">
        <v>27</v>
      </c>
      <c r="R1" s="136" t="s">
        <v>27</v>
      </c>
      <c r="S1" s="136" t="s">
        <v>27</v>
      </c>
      <c r="T1" s="136" t="s">
        <v>27</v>
      </c>
      <c r="U1" s="136" t="s">
        <v>27</v>
      </c>
      <c r="V1" s="136" t="s">
        <v>27</v>
      </c>
      <c r="W1" s="136" t="s">
        <v>27</v>
      </c>
      <c r="X1" s="136" t="s">
        <v>27</v>
      </c>
      <c r="Y1" s="136" t="s">
        <v>27</v>
      </c>
      <c r="Z1" s="136" t="s">
        <v>27</v>
      </c>
      <c r="AA1" s="136" t="s">
        <v>27</v>
      </c>
      <c r="AB1" s="13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43" customFormat="1" ht="25.05" customHeight="1" x14ac:dyDescent="0.3">
      <c r="A3" s="137">
        <v>1</v>
      </c>
      <c r="B3" s="138" t="s">
        <v>58</v>
      </c>
      <c r="C3" s="137" t="s">
        <v>26</v>
      </c>
      <c r="D3" s="137" t="s">
        <v>466</v>
      </c>
      <c r="E3" s="137" t="s">
        <v>27</v>
      </c>
      <c r="F3" s="137">
        <v>262830</v>
      </c>
      <c r="G3" s="137" t="s">
        <v>504</v>
      </c>
      <c r="H3" s="137">
        <v>1100</v>
      </c>
      <c r="I3" s="139">
        <v>0.51700000000000002</v>
      </c>
      <c r="J3" s="139">
        <v>2.68</v>
      </c>
      <c r="K3" s="137" t="s">
        <v>508</v>
      </c>
      <c r="L3" s="139">
        <v>1524.116</v>
      </c>
      <c r="M3" s="140">
        <v>982.7</v>
      </c>
      <c r="N3" s="141">
        <v>9.0999999999999998E-2</v>
      </c>
      <c r="O3" s="142">
        <v>5.46</v>
      </c>
      <c r="P3" s="137">
        <v>820</v>
      </c>
      <c r="Q3" s="137">
        <v>3</v>
      </c>
      <c r="R3" s="137">
        <v>1600</v>
      </c>
      <c r="S3" s="139">
        <v>1.5509999999999999</v>
      </c>
      <c r="T3" s="137">
        <v>49</v>
      </c>
      <c r="U3" s="141">
        <v>3.0599999999999999E-2</v>
      </c>
      <c r="V3" s="137" t="s">
        <v>28</v>
      </c>
      <c r="W3" s="137" t="s">
        <v>29</v>
      </c>
      <c r="X3" s="137" t="s">
        <v>28</v>
      </c>
      <c r="Y3" s="137" t="s">
        <v>28</v>
      </c>
      <c r="Z3" s="137" t="s">
        <v>28</v>
      </c>
      <c r="AA3" s="137" t="s">
        <v>40</v>
      </c>
      <c r="AB3" s="137" t="s">
        <v>507</v>
      </c>
    </row>
    <row r="4" spans="1:28" s="143" customFormat="1" ht="25.05" customHeight="1" x14ac:dyDescent="0.3">
      <c r="A4" s="137">
        <v>2</v>
      </c>
      <c r="B4" s="138" t="s">
        <v>58</v>
      </c>
      <c r="C4" s="137" t="s">
        <v>26</v>
      </c>
      <c r="D4" s="137" t="s">
        <v>466</v>
      </c>
      <c r="E4" s="137" t="s">
        <v>27</v>
      </c>
      <c r="F4" s="137">
        <v>262832</v>
      </c>
      <c r="G4" s="137" t="s">
        <v>504</v>
      </c>
      <c r="H4" s="137">
        <v>660</v>
      </c>
      <c r="I4" s="139">
        <v>0.91200000000000003</v>
      </c>
      <c r="J4" s="139">
        <v>2.1</v>
      </c>
      <c r="K4" s="137" t="s">
        <v>506</v>
      </c>
      <c r="L4" s="139">
        <v>1264.0319999999999</v>
      </c>
      <c r="M4" s="140">
        <v>1386</v>
      </c>
      <c r="N4" s="141">
        <v>0.38500000000000001</v>
      </c>
      <c r="O4" s="142">
        <v>23.1</v>
      </c>
      <c r="P4" s="137">
        <v>680</v>
      </c>
      <c r="Q4" s="137">
        <v>1</v>
      </c>
      <c r="R4" s="137">
        <v>950</v>
      </c>
      <c r="S4" s="139">
        <v>0.91200000000000003</v>
      </c>
      <c r="T4" s="137">
        <v>38</v>
      </c>
      <c r="U4" s="141">
        <v>0.04</v>
      </c>
      <c r="V4" s="137" t="s">
        <v>28</v>
      </c>
      <c r="W4" s="137" t="s">
        <v>29</v>
      </c>
      <c r="X4" s="137" t="s">
        <v>28</v>
      </c>
      <c r="Y4" s="137" t="s">
        <v>28</v>
      </c>
      <c r="Z4" s="137" t="s">
        <v>28</v>
      </c>
      <c r="AA4" s="137" t="s">
        <v>31</v>
      </c>
      <c r="AB4" s="137" t="s">
        <v>505</v>
      </c>
    </row>
    <row r="5" spans="1:28" s="143" customFormat="1" ht="25.05" customHeight="1" x14ac:dyDescent="0.3">
      <c r="A5" s="137">
        <v>3</v>
      </c>
      <c r="B5" s="138" t="s">
        <v>58</v>
      </c>
      <c r="C5" s="137" t="s">
        <v>59</v>
      </c>
      <c r="D5" s="137" t="s">
        <v>466</v>
      </c>
      <c r="E5" s="137" t="s">
        <v>27</v>
      </c>
      <c r="F5" s="137">
        <v>262831</v>
      </c>
      <c r="G5" s="137" t="s">
        <v>504</v>
      </c>
      <c r="H5" s="137">
        <v>490</v>
      </c>
      <c r="I5" s="139">
        <v>1.0629999999999999</v>
      </c>
      <c r="J5" s="139">
        <v>1.93</v>
      </c>
      <c r="K5" s="137" t="s">
        <v>503</v>
      </c>
      <c r="L5" s="139">
        <v>1005.279</v>
      </c>
      <c r="M5" s="140">
        <v>945.7</v>
      </c>
      <c r="N5" s="141">
        <v>0.26269999999999999</v>
      </c>
      <c r="O5" s="142">
        <v>15.76</v>
      </c>
      <c r="P5" s="137">
        <v>325.7</v>
      </c>
      <c r="Q5" s="137">
        <v>1</v>
      </c>
      <c r="R5" s="137">
        <v>1100</v>
      </c>
      <c r="S5" s="139">
        <v>1.0629999999999999</v>
      </c>
      <c r="T5" s="137">
        <v>37</v>
      </c>
      <c r="U5" s="141">
        <v>3.3599999999999998E-2</v>
      </c>
      <c r="V5" s="137" t="s">
        <v>28</v>
      </c>
      <c r="W5" s="137" t="s">
        <v>28</v>
      </c>
      <c r="X5" s="137" t="s">
        <v>28</v>
      </c>
      <c r="Y5" s="137" t="s">
        <v>27</v>
      </c>
      <c r="Z5" s="137" t="s">
        <v>27</v>
      </c>
      <c r="AA5" s="137" t="s">
        <v>32</v>
      </c>
      <c r="AB5" s="137" t="s">
        <v>502</v>
      </c>
    </row>
    <row r="6" spans="1:28" s="143" customFormat="1" ht="25.05" customHeight="1" x14ac:dyDescent="0.3">
      <c r="A6" s="137">
        <v>4</v>
      </c>
      <c r="B6" s="138" t="s">
        <v>58</v>
      </c>
      <c r="C6" s="137" t="s">
        <v>35</v>
      </c>
      <c r="D6" s="137" t="s">
        <v>466</v>
      </c>
      <c r="E6" s="137" t="s">
        <v>27</v>
      </c>
      <c r="F6" s="137">
        <v>262833</v>
      </c>
      <c r="G6" s="137" t="s">
        <v>501</v>
      </c>
      <c r="H6" s="137">
        <v>550</v>
      </c>
      <c r="I6" s="139">
        <v>0.81100000000000005</v>
      </c>
      <c r="J6" s="139">
        <v>2.29</v>
      </c>
      <c r="K6" s="137" t="s">
        <v>500</v>
      </c>
      <c r="L6" s="139">
        <v>1021.455</v>
      </c>
      <c r="M6" s="140">
        <v>1259.5</v>
      </c>
      <c r="N6" s="141">
        <v>0.34989999999999999</v>
      </c>
      <c r="O6" s="142">
        <v>20.99</v>
      </c>
      <c r="P6" s="137">
        <v>321.8</v>
      </c>
      <c r="Q6" s="137">
        <v>1</v>
      </c>
      <c r="R6" s="137">
        <v>850</v>
      </c>
      <c r="S6" s="139">
        <v>0.81100000000000005</v>
      </c>
      <c r="T6" s="137">
        <v>39</v>
      </c>
      <c r="U6" s="141">
        <v>4.5900000000000003E-2</v>
      </c>
      <c r="V6" s="137" t="s">
        <v>28</v>
      </c>
      <c r="W6" s="137" t="s">
        <v>28</v>
      </c>
      <c r="X6" s="137" t="s">
        <v>28</v>
      </c>
      <c r="Y6" s="137" t="s">
        <v>27</v>
      </c>
      <c r="Z6" s="137" t="s">
        <v>27</v>
      </c>
      <c r="AA6" s="137" t="s">
        <v>32</v>
      </c>
      <c r="AB6" s="137" t="s">
        <v>499</v>
      </c>
    </row>
    <row r="7" spans="1:28" s="143" customFormat="1" ht="25.05" customHeight="1" x14ac:dyDescent="0.3">
      <c r="A7" s="144" t="s">
        <v>27</v>
      </c>
      <c r="B7" s="144" t="s">
        <v>27</v>
      </c>
      <c r="C7" s="144" t="s">
        <v>27</v>
      </c>
      <c r="D7" s="144" t="s">
        <v>27</v>
      </c>
      <c r="E7" s="144" t="s">
        <v>27</v>
      </c>
      <c r="F7" s="144" t="s">
        <v>27</v>
      </c>
      <c r="G7" s="144" t="s">
        <v>27</v>
      </c>
      <c r="H7" s="144">
        <v>2800</v>
      </c>
      <c r="I7" s="144" t="s">
        <v>27</v>
      </c>
      <c r="J7" s="144" t="s">
        <v>27</v>
      </c>
      <c r="K7" s="144" t="s">
        <v>27</v>
      </c>
      <c r="L7" s="144" t="s">
        <v>27</v>
      </c>
      <c r="M7" s="144" t="s">
        <v>27</v>
      </c>
      <c r="N7" s="144" t="s">
        <v>27</v>
      </c>
      <c r="O7" s="144" t="s">
        <v>27</v>
      </c>
      <c r="P7" s="144">
        <v>2147.5</v>
      </c>
      <c r="Q7" s="144" t="s">
        <v>27</v>
      </c>
      <c r="R7" s="144" t="s">
        <v>27</v>
      </c>
      <c r="S7" s="144" t="s">
        <v>27</v>
      </c>
      <c r="T7" s="144" t="s">
        <v>27</v>
      </c>
      <c r="U7" s="144" t="s">
        <v>27</v>
      </c>
      <c r="V7" s="144" t="s">
        <v>27</v>
      </c>
      <c r="W7" s="144" t="s">
        <v>27</v>
      </c>
      <c r="X7" s="144" t="s">
        <v>27</v>
      </c>
      <c r="Y7" s="144" t="s">
        <v>27</v>
      </c>
      <c r="Z7" s="144" t="s">
        <v>27</v>
      </c>
      <c r="AA7" s="144" t="s">
        <v>27</v>
      </c>
      <c r="AB7" s="144" t="s">
        <v>27</v>
      </c>
    </row>
    <row r="8" spans="1:28" s="14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tabSelected="1" workbookViewId="0">
      <selection activeCell="K15" sqref="K15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64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63" customFormat="1" ht="25.05" customHeight="1" x14ac:dyDescent="0.3">
      <c r="A8" s="157">
        <v>6</v>
      </c>
      <c r="B8" s="158" t="s">
        <v>463</v>
      </c>
      <c r="C8" s="157" t="s">
        <v>35</v>
      </c>
      <c r="D8" s="157" t="s">
        <v>404</v>
      </c>
      <c r="E8" s="157" t="s">
        <v>27</v>
      </c>
      <c r="F8" s="157">
        <v>262794</v>
      </c>
      <c r="G8" s="157" t="s">
        <v>462</v>
      </c>
      <c r="H8" s="157">
        <v>5000</v>
      </c>
      <c r="I8" s="159">
        <v>0.46</v>
      </c>
      <c r="J8" s="159">
        <v>0.92</v>
      </c>
      <c r="K8" s="157" t="s">
        <v>33</v>
      </c>
      <c r="L8" s="159">
        <v>2116</v>
      </c>
      <c r="M8" s="160">
        <v>1533.3</v>
      </c>
      <c r="N8" s="161">
        <v>0.14199999999999999</v>
      </c>
      <c r="O8" s="162">
        <v>8.52</v>
      </c>
      <c r="P8" s="157">
        <v>666.5</v>
      </c>
      <c r="Q8" s="157">
        <v>3</v>
      </c>
      <c r="R8" s="157">
        <v>1400</v>
      </c>
      <c r="S8" s="159">
        <v>1.38</v>
      </c>
      <c r="T8" s="157">
        <v>20</v>
      </c>
      <c r="U8" s="161">
        <v>1.43E-2</v>
      </c>
      <c r="V8" s="157" t="s">
        <v>28</v>
      </c>
      <c r="W8" s="157" t="s">
        <v>28</v>
      </c>
      <c r="X8" s="157" t="s">
        <v>28</v>
      </c>
      <c r="Y8" s="157" t="s">
        <v>27</v>
      </c>
      <c r="Z8" s="157" t="s">
        <v>27</v>
      </c>
      <c r="AA8" s="157" t="s">
        <v>31</v>
      </c>
      <c r="AB8" s="157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63" customFormat="1" ht="25.05" customHeight="1" x14ac:dyDescent="0.3">
      <c r="A11" s="157">
        <v>9</v>
      </c>
      <c r="B11" s="158" t="s">
        <v>463</v>
      </c>
      <c r="C11" s="157" t="s">
        <v>35</v>
      </c>
      <c r="D11" s="157" t="s">
        <v>404</v>
      </c>
      <c r="E11" s="157" t="s">
        <v>27</v>
      </c>
      <c r="F11" s="157">
        <v>262795</v>
      </c>
      <c r="G11" s="157" t="s">
        <v>462</v>
      </c>
      <c r="H11" s="157">
        <v>1000</v>
      </c>
      <c r="I11" s="159">
        <v>0.66</v>
      </c>
      <c r="J11" s="159">
        <v>0.82</v>
      </c>
      <c r="K11" s="157" t="s">
        <v>33</v>
      </c>
      <c r="L11" s="159">
        <v>541.20000000000005</v>
      </c>
      <c r="M11" s="160">
        <v>410</v>
      </c>
      <c r="N11" s="161">
        <v>5.6899999999999999E-2</v>
      </c>
      <c r="O11" s="162">
        <v>3.42</v>
      </c>
      <c r="P11" s="157">
        <v>170.5</v>
      </c>
      <c r="Q11" s="157">
        <v>2</v>
      </c>
      <c r="R11" s="157">
        <v>1350</v>
      </c>
      <c r="S11" s="159">
        <v>1.32</v>
      </c>
      <c r="T11" s="157">
        <v>30</v>
      </c>
      <c r="U11" s="161">
        <v>2.2200000000000001E-2</v>
      </c>
      <c r="V11" s="157" t="s">
        <v>28</v>
      </c>
      <c r="W11" s="157" t="s">
        <v>28</v>
      </c>
      <c r="X11" s="157" t="s">
        <v>28</v>
      </c>
      <c r="Y11" s="157" t="s">
        <v>27</v>
      </c>
      <c r="Z11" s="157" t="s">
        <v>27</v>
      </c>
      <c r="AA11" s="157" t="s">
        <v>38</v>
      </c>
      <c r="AB11" s="157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63" customFormat="1" ht="25.05" customHeight="1" x14ac:dyDescent="0.3">
      <c r="A15" s="157">
        <v>13</v>
      </c>
      <c r="B15" s="158" t="s">
        <v>463</v>
      </c>
      <c r="C15" s="157" t="s">
        <v>35</v>
      </c>
      <c r="D15" s="157" t="s">
        <v>404</v>
      </c>
      <c r="E15" s="157" t="s">
        <v>27</v>
      </c>
      <c r="F15" s="157">
        <v>262797</v>
      </c>
      <c r="G15" s="157" t="s">
        <v>462</v>
      </c>
      <c r="H15" s="157">
        <v>500</v>
      </c>
      <c r="I15" s="159">
        <v>0.59</v>
      </c>
      <c r="J15" s="159">
        <v>0.88</v>
      </c>
      <c r="K15" s="157" t="s">
        <v>33</v>
      </c>
      <c r="L15" s="159">
        <v>259.60000000000002</v>
      </c>
      <c r="M15" s="160">
        <v>220</v>
      </c>
      <c r="N15" s="161">
        <v>3.0599999999999999E-2</v>
      </c>
      <c r="O15" s="162">
        <v>1.83</v>
      </c>
      <c r="P15" s="157">
        <v>81.8</v>
      </c>
      <c r="Q15" s="157">
        <v>2</v>
      </c>
      <c r="R15" s="157">
        <v>1200</v>
      </c>
      <c r="S15" s="159">
        <v>1.18</v>
      </c>
      <c r="T15" s="157">
        <v>20</v>
      </c>
      <c r="U15" s="161">
        <v>1.67E-2</v>
      </c>
      <c r="V15" s="157" t="s">
        <v>28</v>
      </c>
      <c r="W15" s="157" t="s">
        <v>28</v>
      </c>
      <c r="X15" s="157" t="s">
        <v>28</v>
      </c>
      <c r="Y15" s="157" t="s">
        <v>27</v>
      </c>
      <c r="Z15" s="157" t="s">
        <v>27</v>
      </c>
      <c r="AA15" s="157" t="s">
        <v>38</v>
      </c>
      <c r="AB15" s="157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63" customFormat="1" ht="25.05" customHeight="1" x14ac:dyDescent="0.3">
      <c r="A17" s="157">
        <v>15</v>
      </c>
      <c r="B17" s="158" t="s">
        <v>463</v>
      </c>
      <c r="C17" s="157" t="s">
        <v>35</v>
      </c>
      <c r="D17" s="157" t="s">
        <v>404</v>
      </c>
      <c r="E17" s="157" t="s">
        <v>27</v>
      </c>
      <c r="F17" s="157">
        <v>262796</v>
      </c>
      <c r="G17" s="157" t="s">
        <v>462</v>
      </c>
      <c r="H17" s="157">
        <v>1000</v>
      </c>
      <c r="I17" s="159">
        <v>0.56000000000000005</v>
      </c>
      <c r="J17" s="159">
        <v>0.62</v>
      </c>
      <c r="K17" s="157" t="s">
        <v>33</v>
      </c>
      <c r="L17" s="159">
        <v>347.2</v>
      </c>
      <c r="M17" s="160">
        <v>310</v>
      </c>
      <c r="N17" s="161">
        <v>4.3099999999999999E-2</v>
      </c>
      <c r="O17" s="162">
        <v>2.58</v>
      </c>
      <c r="P17" s="157">
        <v>109.4</v>
      </c>
      <c r="Q17" s="157">
        <v>2</v>
      </c>
      <c r="R17" s="157">
        <v>1150</v>
      </c>
      <c r="S17" s="159">
        <v>1.1200000000000001</v>
      </c>
      <c r="T17" s="157">
        <v>30</v>
      </c>
      <c r="U17" s="161">
        <v>2.6100000000000002E-2</v>
      </c>
      <c r="V17" s="157" t="s">
        <v>28</v>
      </c>
      <c r="W17" s="157" t="s">
        <v>28</v>
      </c>
      <c r="X17" s="157" t="s">
        <v>28</v>
      </c>
      <c r="Y17" s="157" t="s">
        <v>27</v>
      </c>
      <c r="Z17" s="157" t="s">
        <v>27</v>
      </c>
      <c r="AA17" s="157" t="s">
        <v>38</v>
      </c>
      <c r="AB17" s="157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8"/>
  <sheetViews>
    <sheetView zoomScale="160" zoomScaleNormal="160" workbookViewId="0">
      <selection activeCell="AI9" sqref="AI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9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50" t="s">
        <v>90</v>
      </c>
      <c r="C5" s="145" t="s">
        <v>44</v>
      </c>
      <c r="D5" s="145" t="s">
        <v>483</v>
      </c>
      <c r="E5" s="145" t="s">
        <v>27</v>
      </c>
      <c r="F5" s="145">
        <v>262837</v>
      </c>
      <c r="G5" s="145" t="s">
        <v>512</v>
      </c>
      <c r="H5" s="145">
        <v>140</v>
      </c>
      <c r="I5" s="147">
        <v>1.494</v>
      </c>
      <c r="J5" s="147">
        <v>2.2309999999999999</v>
      </c>
      <c r="K5" s="145" t="s">
        <v>511</v>
      </c>
      <c r="L5" s="147">
        <v>466.63600000000002</v>
      </c>
      <c r="M5" s="149">
        <v>312.3</v>
      </c>
      <c r="N5" s="146">
        <v>8.6800000000000002E-2</v>
      </c>
      <c r="O5" s="148">
        <v>5.21</v>
      </c>
      <c r="P5" s="145">
        <v>265</v>
      </c>
      <c r="Q5" s="145">
        <v>1</v>
      </c>
      <c r="R5" s="145">
        <v>1550</v>
      </c>
      <c r="S5" s="147">
        <v>1.494</v>
      </c>
      <c r="T5" s="145">
        <v>56</v>
      </c>
      <c r="U5" s="146">
        <v>3.61E-2</v>
      </c>
      <c r="V5" s="145" t="s">
        <v>34</v>
      </c>
      <c r="W5" s="145" t="s">
        <v>39</v>
      </c>
      <c r="X5" s="145" t="s">
        <v>34</v>
      </c>
      <c r="Y5" s="145" t="s">
        <v>34</v>
      </c>
      <c r="Z5" s="145" t="s">
        <v>34</v>
      </c>
      <c r="AA5" s="145" t="s">
        <v>38</v>
      </c>
      <c r="AB5" s="145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98" customFormat="1" ht="25.05" customHeight="1" x14ac:dyDescent="0.3">
      <c r="A10" s="45">
        <v>8</v>
      </c>
      <c r="B10" s="150" t="s">
        <v>90</v>
      </c>
      <c r="C10" s="145" t="s">
        <v>35</v>
      </c>
      <c r="D10" s="145" t="s">
        <v>483</v>
      </c>
      <c r="E10" s="145" t="s">
        <v>27</v>
      </c>
      <c r="F10" s="145">
        <v>262839</v>
      </c>
      <c r="G10" s="145" t="s">
        <v>515</v>
      </c>
      <c r="H10" s="145">
        <v>150</v>
      </c>
      <c r="I10" s="147">
        <v>1.3160000000000001</v>
      </c>
      <c r="J10" s="147">
        <v>1.244</v>
      </c>
      <c r="K10" s="145" t="s">
        <v>514</v>
      </c>
      <c r="L10" s="147">
        <v>245.566</v>
      </c>
      <c r="M10" s="149">
        <v>186.6</v>
      </c>
      <c r="N10" s="146">
        <v>5.1799999999999999E-2</v>
      </c>
      <c r="O10" s="148">
        <v>3.11</v>
      </c>
      <c r="P10" s="145">
        <v>77.400000000000006</v>
      </c>
      <c r="Q10" s="145">
        <v>1</v>
      </c>
      <c r="R10" s="145">
        <v>1350</v>
      </c>
      <c r="S10" s="147">
        <v>1.3160000000000001</v>
      </c>
      <c r="T10" s="145">
        <v>34</v>
      </c>
      <c r="U10" s="146">
        <v>2.52E-2</v>
      </c>
      <c r="V10" s="145" t="s">
        <v>28</v>
      </c>
      <c r="W10" s="145" t="s">
        <v>28</v>
      </c>
      <c r="X10" s="145" t="s">
        <v>28</v>
      </c>
      <c r="Y10" s="145" t="s">
        <v>27</v>
      </c>
      <c r="Z10" s="145" t="s">
        <v>27</v>
      </c>
      <c r="AA10" s="145" t="s">
        <v>38</v>
      </c>
      <c r="AB10" s="145" t="s">
        <v>513</v>
      </c>
    </row>
    <row r="11" spans="1:28" s="98" customFormat="1" ht="25.05" customHeight="1" x14ac:dyDescent="0.3">
      <c r="A11" s="45">
        <v>9</v>
      </c>
      <c r="B11" s="150" t="s">
        <v>90</v>
      </c>
      <c r="C11" s="145" t="s">
        <v>35</v>
      </c>
      <c r="D11" s="145" t="s">
        <v>483</v>
      </c>
      <c r="E11" s="145" t="s">
        <v>27</v>
      </c>
      <c r="F11" s="145">
        <v>262835</v>
      </c>
      <c r="G11" s="145" t="s">
        <v>518</v>
      </c>
      <c r="H11" s="145">
        <v>500</v>
      </c>
      <c r="I11" s="147">
        <v>0.6</v>
      </c>
      <c r="J11" s="147">
        <v>2.367</v>
      </c>
      <c r="K11" s="145" t="s">
        <v>517</v>
      </c>
      <c r="L11" s="147">
        <v>710.1</v>
      </c>
      <c r="M11" s="149">
        <v>591.79999999999995</v>
      </c>
      <c r="N11" s="146">
        <v>8.2199999999999995E-2</v>
      </c>
      <c r="O11" s="148">
        <v>4.93</v>
      </c>
      <c r="P11" s="145">
        <v>223.7</v>
      </c>
      <c r="Q11" s="145">
        <v>2</v>
      </c>
      <c r="R11" s="145">
        <v>1250</v>
      </c>
      <c r="S11" s="147">
        <v>1.2</v>
      </c>
      <c r="T11" s="145">
        <v>50</v>
      </c>
      <c r="U11" s="146">
        <v>0.04</v>
      </c>
      <c r="V11" s="145" t="s">
        <v>28</v>
      </c>
      <c r="W11" s="145" t="s">
        <v>28</v>
      </c>
      <c r="X11" s="145" t="s">
        <v>28</v>
      </c>
      <c r="Y11" s="145" t="s">
        <v>27</v>
      </c>
      <c r="Z11" s="145" t="s">
        <v>27</v>
      </c>
      <c r="AA11" s="145" t="s">
        <v>32</v>
      </c>
      <c r="AB11" s="145" t="s">
        <v>516</v>
      </c>
    </row>
    <row r="12" spans="1:28" s="98" customFormat="1" ht="25.05" customHeight="1" x14ac:dyDescent="0.3">
      <c r="A12" s="45">
        <v>10</v>
      </c>
      <c r="B12" s="150" t="s">
        <v>90</v>
      </c>
      <c r="C12" s="145" t="s">
        <v>35</v>
      </c>
      <c r="D12" s="145" t="s">
        <v>483</v>
      </c>
      <c r="E12" s="145" t="s">
        <v>27</v>
      </c>
      <c r="F12" s="145">
        <v>262834</v>
      </c>
      <c r="G12" s="145" t="s">
        <v>521</v>
      </c>
      <c r="H12" s="145">
        <v>200</v>
      </c>
      <c r="I12" s="147">
        <v>1.1100000000000001</v>
      </c>
      <c r="J12" s="147">
        <v>2.3029999999999999</v>
      </c>
      <c r="K12" s="145" t="s">
        <v>520</v>
      </c>
      <c r="L12" s="147">
        <v>511.26600000000002</v>
      </c>
      <c r="M12" s="149">
        <v>460.6</v>
      </c>
      <c r="N12" s="146">
        <v>0.12790000000000001</v>
      </c>
      <c r="O12" s="148">
        <v>7.68</v>
      </c>
      <c r="P12" s="145">
        <v>161</v>
      </c>
      <c r="Q12" s="145">
        <v>1</v>
      </c>
      <c r="R12" s="145">
        <v>1150</v>
      </c>
      <c r="S12" s="147">
        <v>1.1100000000000001</v>
      </c>
      <c r="T12" s="145">
        <v>40</v>
      </c>
      <c r="U12" s="146">
        <v>3.4799999999999998E-2</v>
      </c>
      <c r="V12" s="145" t="s">
        <v>28</v>
      </c>
      <c r="W12" s="145" t="s">
        <v>28</v>
      </c>
      <c r="X12" s="145" t="s">
        <v>28</v>
      </c>
      <c r="Y12" s="145" t="s">
        <v>27</v>
      </c>
      <c r="Z12" s="145" t="s">
        <v>27</v>
      </c>
      <c r="AA12" s="145" t="s">
        <v>38</v>
      </c>
      <c r="AB12" s="145" t="s">
        <v>519</v>
      </c>
    </row>
    <row r="13" spans="1:28" s="98" customFormat="1" ht="25.05" customHeight="1" x14ac:dyDescent="0.3">
      <c r="A13" s="45">
        <v>11</v>
      </c>
      <c r="B13" s="150" t="s">
        <v>90</v>
      </c>
      <c r="C13" s="145" t="s">
        <v>35</v>
      </c>
      <c r="D13" s="145" t="s">
        <v>483</v>
      </c>
      <c r="E13" s="145" t="s">
        <v>27</v>
      </c>
      <c r="F13" s="145">
        <v>262838</v>
      </c>
      <c r="G13" s="145" t="s">
        <v>524</v>
      </c>
      <c r="H13" s="145">
        <v>1200</v>
      </c>
      <c r="I13" s="147">
        <v>0.99299999999999999</v>
      </c>
      <c r="J13" s="147">
        <v>0.627</v>
      </c>
      <c r="K13" s="145" t="s">
        <v>523</v>
      </c>
      <c r="L13" s="147">
        <v>747.13300000000004</v>
      </c>
      <c r="M13" s="149">
        <v>752.4</v>
      </c>
      <c r="N13" s="146">
        <v>0.20899999999999999</v>
      </c>
      <c r="O13" s="148">
        <v>12.54</v>
      </c>
      <c r="P13" s="145">
        <v>235.3</v>
      </c>
      <c r="Q13" s="145">
        <v>1</v>
      </c>
      <c r="R13" s="145">
        <v>1050</v>
      </c>
      <c r="S13" s="147">
        <v>0.99299999999999999</v>
      </c>
      <c r="T13" s="145">
        <v>57</v>
      </c>
      <c r="U13" s="146">
        <v>5.4300000000000001E-2</v>
      </c>
      <c r="V13" s="145" t="s">
        <v>28</v>
      </c>
      <c r="W13" s="145" t="s">
        <v>28</v>
      </c>
      <c r="X13" s="145" t="s">
        <v>28</v>
      </c>
      <c r="Y13" s="145" t="s">
        <v>27</v>
      </c>
      <c r="Z13" s="145" t="s">
        <v>27</v>
      </c>
      <c r="AA13" s="145" t="s">
        <v>38</v>
      </c>
      <c r="AB13" s="145" t="s">
        <v>522</v>
      </c>
    </row>
    <row r="14" spans="1:28" s="98" customFormat="1" ht="25.05" customHeight="1" x14ac:dyDescent="0.3">
      <c r="A14" s="45">
        <v>12</v>
      </c>
      <c r="B14" s="150" t="s">
        <v>90</v>
      </c>
      <c r="C14" s="145" t="s">
        <v>35</v>
      </c>
      <c r="D14" s="145" t="s">
        <v>483</v>
      </c>
      <c r="E14" s="145" t="s">
        <v>27</v>
      </c>
      <c r="F14" s="145">
        <v>262836</v>
      </c>
      <c r="G14" s="145" t="s">
        <v>526</v>
      </c>
      <c r="H14" s="145">
        <v>800</v>
      </c>
      <c r="I14" s="147">
        <v>1</v>
      </c>
      <c r="J14" s="147">
        <v>3.4</v>
      </c>
      <c r="K14" s="145" t="s">
        <v>33</v>
      </c>
      <c r="L14" s="147">
        <v>2720</v>
      </c>
      <c r="M14" s="149">
        <v>2720</v>
      </c>
      <c r="N14" s="146">
        <v>0.75560000000000005</v>
      </c>
      <c r="O14" s="148">
        <v>45.33</v>
      </c>
      <c r="P14" s="145">
        <v>856.8</v>
      </c>
      <c r="Q14" s="145">
        <v>1</v>
      </c>
      <c r="R14" s="145">
        <v>1050</v>
      </c>
      <c r="S14" s="147">
        <v>1</v>
      </c>
      <c r="T14" s="145">
        <v>50</v>
      </c>
      <c r="U14" s="146">
        <v>4.7600000000000003E-2</v>
      </c>
      <c r="V14" s="145" t="s">
        <v>28</v>
      </c>
      <c r="W14" s="145" t="s">
        <v>28</v>
      </c>
      <c r="X14" s="145" t="s">
        <v>28</v>
      </c>
      <c r="Y14" s="145" t="s">
        <v>27</v>
      </c>
      <c r="Z14" s="145" t="s">
        <v>27</v>
      </c>
      <c r="AA14" s="145" t="s">
        <v>32</v>
      </c>
      <c r="AB14" s="145" t="s">
        <v>525</v>
      </c>
    </row>
    <row r="15" spans="1:28" s="51" customFormat="1" ht="25.05" customHeight="1" x14ac:dyDescent="0.3">
      <c r="A15" s="45">
        <v>13</v>
      </c>
      <c r="B15" s="46" t="s">
        <v>90</v>
      </c>
      <c r="C15" s="45" t="s">
        <v>35</v>
      </c>
      <c r="D15" s="45" t="s">
        <v>380</v>
      </c>
      <c r="E15" s="45" t="s">
        <v>27</v>
      </c>
      <c r="F15" s="45">
        <v>262737</v>
      </c>
      <c r="G15" s="45" t="s">
        <v>379</v>
      </c>
      <c r="H15" s="45">
        <v>600</v>
      </c>
      <c r="I15" s="47">
        <v>0.47</v>
      </c>
      <c r="J15" s="47">
        <v>1.7869999999999999</v>
      </c>
      <c r="K15" s="45" t="s">
        <v>384</v>
      </c>
      <c r="L15" s="47">
        <v>503.93400000000003</v>
      </c>
      <c r="M15" s="48">
        <v>536.1</v>
      </c>
      <c r="N15" s="49">
        <v>7.4499999999999997E-2</v>
      </c>
      <c r="O15" s="50">
        <v>4.47</v>
      </c>
      <c r="P15" s="45">
        <v>158.69999999999999</v>
      </c>
      <c r="Q15" s="45">
        <v>2</v>
      </c>
      <c r="R15" s="45">
        <v>1000</v>
      </c>
      <c r="S15" s="47">
        <v>0.94</v>
      </c>
      <c r="T15" s="45">
        <v>60</v>
      </c>
      <c r="U15" s="49">
        <v>0.06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383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262739</v>
      </c>
      <c r="G16" s="45" t="s">
        <v>379</v>
      </c>
      <c r="H16" s="45">
        <v>300</v>
      </c>
      <c r="I16" s="47">
        <v>0.86</v>
      </c>
      <c r="J16" s="47">
        <v>1.8029999999999999</v>
      </c>
      <c r="K16" s="45" t="s">
        <v>382</v>
      </c>
      <c r="L16" s="47">
        <v>465.17399999999998</v>
      </c>
      <c r="M16" s="48">
        <v>540.9</v>
      </c>
      <c r="N16" s="49">
        <v>0.1502</v>
      </c>
      <c r="O16" s="50">
        <v>9.01</v>
      </c>
      <c r="P16" s="45">
        <v>146.5</v>
      </c>
      <c r="Q16" s="45">
        <v>1</v>
      </c>
      <c r="R16" s="45">
        <v>900</v>
      </c>
      <c r="S16" s="47">
        <v>0.86</v>
      </c>
      <c r="T16" s="45">
        <v>40</v>
      </c>
      <c r="U16" s="49">
        <v>4.4400000000000002E-2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381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262738</v>
      </c>
      <c r="G17" s="45" t="s">
        <v>379</v>
      </c>
      <c r="H17" s="45">
        <v>600</v>
      </c>
      <c r="I17" s="47">
        <v>0.39</v>
      </c>
      <c r="J17" s="47">
        <v>1.7829999999999999</v>
      </c>
      <c r="K17" s="45" t="s">
        <v>378</v>
      </c>
      <c r="L17" s="47">
        <v>417.22199999999998</v>
      </c>
      <c r="M17" s="48">
        <v>534.9</v>
      </c>
      <c r="N17" s="49">
        <v>7.4300000000000005E-2</v>
      </c>
      <c r="O17" s="50">
        <v>4.46</v>
      </c>
      <c r="P17" s="45">
        <v>131.4</v>
      </c>
      <c r="Q17" s="45">
        <v>2</v>
      </c>
      <c r="R17" s="45">
        <v>800</v>
      </c>
      <c r="S17" s="47">
        <v>0.78</v>
      </c>
      <c r="T17" s="45">
        <v>20</v>
      </c>
      <c r="U17" s="49">
        <v>2.5000000000000001E-2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377</v>
      </c>
    </row>
    <row r="18" spans="1:28" s="51" customFormat="1" ht="25.05" customHeight="1" x14ac:dyDescent="0.3">
      <c r="A18" s="52" t="s">
        <v>27</v>
      </c>
      <c r="B18" s="52" t="s">
        <v>27</v>
      </c>
      <c r="C18" s="52" t="s">
        <v>27</v>
      </c>
      <c r="D18" s="52" t="s">
        <v>27</v>
      </c>
      <c r="E18" s="52" t="s">
        <v>27</v>
      </c>
      <c r="F18" s="52" t="s">
        <v>27</v>
      </c>
      <c r="G18" s="52" t="s">
        <v>27</v>
      </c>
      <c r="H18" s="52">
        <f>SUM(H3:H17)</f>
        <v>7840</v>
      </c>
      <c r="I18" s="52" t="s">
        <v>27</v>
      </c>
      <c r="J18" s="52" t="s">
        <v>27</v>
      </c>
      <c r="K18" s="52" t="s">
        <v>27</v>
      </c>
      <c r="L18" s="52" t="s">
        <v>27</v>
      </c>
      <c r="M18" s="52" t="s">
        <v>27</v>
      </c>
      <c r="N18" s="52" t="s">
        <v>27</v>
      </c>
      <c r="O18" s="52" t="s">
        <v>27</v>
      </c>
      <c r="P18" s="52">
        <f>SUM(P3:P17)</f>
        <v>3853.9</v>
      </c>
      <c r="Q18" s="52" t="s">
        <v>27</v>
      </c>
      <c r="R18" s="52" t="s">
        <v>27</v>
      </c>
      <c r="S18" s="52" t="s">
        <v>27</v>
      </c>
      <c r="T18" s="52" t="s">
        <v>27</v>
      </c>
      <c r="U18" s="52" t="s">
        <v>27</v>
      </c>
      <c r="V18" s="52" t="s">
        <v>27</v>
      </c>
      <c r="W18" s="52" t="s">
        <v>27</v>
      </c>
      <c r="X18" s="52" t="s">
        <v>27</v>
      </c>
      <c r="Y18" s="52" t="s">
        <v>27</v>
      </c>
      <c r="Z18" s="52" t="s">
        <v>27</v>
      </c>
      <c r="AA18" s="52" t="s">
        <v>27</v>
      </c>
      <c r="AB18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1" t="s">
        <v>278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HARMONY EMBALAGENS 1249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2026-10-02T14:13:29Z</cp:lastPrinted>
  <dcterms:created xsi:type="dcterms:W3CDTF">2026-07-02T17:42:15Z</dcterms:created>
  <dcterms:modified xsi:type="dcterms:W3CDTF">2026-10-02T17:37:02Z</dcterms:modified>
</cp:coreProperties>
</file>