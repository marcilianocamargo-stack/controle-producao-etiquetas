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FB5E3CA0-D205-4DF7-8DE8-3D4C580F224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FAVINCO EMBALAGENS 1344" sheetId="237" r:id="rId1"/>
    <sheet name="RM EMBALAGENS 1343 P" sheetId="236" r:id="rId2"/>
    <sheet name="CARTOMIL EMBALAGENS 1340 P" sheetId="235" r:id="rId3"/>
    <sheet name="PCBOX EMBALAGENS 1339 P" sheetId="234" r:id="rId4"/>
    <sheet name="TOLECAIXAS 1337 P " sheetId="233" r:id="rId5"/>
    <sheet name="RM EMBALAGENS 1334 P" sheetId="232" r:id="rId6"/>
    <sheet name="ABAPEL EMBALAGENS 1333 P" sheetId="231" r:id="rId7"/>
    <sheet name="RENOVAPEL 1332 P" sheetId="230" r:id="rId8"/>
    <sheet name="DR EMBALAGENS 1331 P" sheetId="229" r:id="rId9"/>
    <sheet name="RM EMBALAGENS 1330 P" sheetId="228" r:id="rId10"/>
    <sheet name="FAVINCO EMBALAGENS 1329 P" sheetId="227" r:id="rId11"/>
    <sheet name="DR EMBALAGENS 1326 P" sheetId="226" r:id="rId12"/>
    <sheet name="HARMONY EMBALAGENS 1325 P" sheetId="225" r:id="rId13"/>
    <sheet name="HARMONY EMBALAGENS 1320 P" sheetId="224" r:id="rId14"/>
    <sheet name="FORBOX 1319 P" sheetId="223" r:id="rId15"/>
    <sheet name="PCBOX EMBALAGENS 1316 P" sheetId="222" r:id="rId16"/>
    <sheet name="FAVINCO EMBALAGENS 1314 P" sheetId="220" r:id="rId17"/>
    <sheet name="ABAPEL EMBALAGENS 1308 P" sheetId="215" r:id="rId18"/>
    <sheet name="RENOVAPEL 1306 P" sheetId="213" r:id="rId19"/>
    <sheet name="INTERNACIONAL - SEDAMED 1304 P" sheetId="212" r:id="rId20"/>
    <sheet name="RM EMBALAGENS 1303 P" sheetId="211" r:id="rId21"/>
    <sheet name="HARMONY EMBALAGENS 1301 P" sheetId="209" r:id="rId22"/>
    <sheet name="HARMONY EMBALAGENS 1285 P" sheetId="202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9" i="234" l="1"/>
  <c r="G9" i="234"/>
  <c r="Q13" i="230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<sst xmlns="http://schemas.openxmlformats.org/spreadsheetml/2006/main" count="4264" uniqueCount="429">
  <si>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</si>
  <si>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</si>
  <si>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</si>
  <si>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</si>
  <si>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</si>
  <si>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</si>
  <si>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</si>
  <si>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</si>
  <si>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</si>
  <si>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</si>
  <si>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</si>
  <si>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</si>
  <si>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</si>
  <si>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</si>
  <si>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</si>
  <si>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</si>
  <si>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</si>
  <si>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</si>
  <si>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</si>
  <si>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</si>
  <si>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</si>
  <si>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</si>
  <si>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</si>
  <si>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</si>
  <si>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</si>
  <si>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</si>
  <si>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</si>
  <si>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</si>
  <si>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</si>
  <si>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</si>
  <si>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</si>
  <si>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</si>
  <si>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</si>
  <si>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</si>
  <si>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</si>
  <si>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</si>
  <si>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</si>
  <si>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</si>
  <si>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</si>
  <si>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</si>
  <si>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</si>
  <si>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</si>
  <si>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</si>
  <si>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</si>
  <si>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</si>
  <si>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</si>
  <si>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</si>
  <si>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</si>
  <si>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</si>
  <si>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</si>
  <si>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</si>
  <si>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</si>
  <si>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</si>
  <si>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</si>
  <si>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</si>
  <si>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</si>
  <si>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</si>
  <si>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</si>
  <si>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</si>
  <si>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</si>
  <si>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</si>
  <si>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</si>
  <si>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</si>
  <si>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</si>
  <si>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</si>
  <si>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</si>
  <si>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</si>
  <si>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</si>
  <si>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</si>
  <si>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</si>
  <si>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</si>
  <si>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</si>
  <si>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</si>
  <si>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</si>
  <si>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</si>
  <si>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</si>
  <si>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</si>
  <si>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</si>
  <si>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</si>
  <si>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</si>
  <si>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</si>
  <si>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</si>
  <si>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</si>
  <si>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</si>
  <si>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</si>
  <si>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</si>
  <si>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</si>
  <si>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</si>
  <si>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</si>
  <si>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</si>
  <si>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</si>
  <si>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</si>
  <si>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</si>
  <si>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</si>
  <si>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</si>
  <si>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</si>
  <si>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</si>
  <si>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</si>
  <si>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</si>
  <si>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</si>
  <si>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</si>
  <si>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</si>
  <si>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</si>
  <si>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</si>
  <si>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</si>
  <si>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</si>
  <si>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</si>
  <si>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</si>
  <si>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</si>
  <si>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</si>
  <si>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</si>
  <si>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</si>
  <si>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</si>
  <si>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</si>
  <si>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</si>
  <si>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</si>
  <si>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</si>
  <si>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</si>
  <si>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</si>
  <si>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</si>
  <si>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</si>
  <si>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</si>
  <si>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</si>
  <si>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</si>
  <si>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</si>
  <si>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</si>
  <si>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</si>
  <si>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</si>
  <si>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</si>
  <si>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</si>
  <si>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</si>
  <si>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</si>
  <si>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</si>
  <si>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</si>
  <si>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</si>
  <si>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</si>
  <si>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</si>
  <si>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</si>
  <si>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</si>
  <si>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</si>
  <si>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</si>
  <si>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</si>
  <si>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</si>
  <si>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</si>
  <si>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</si>
  <si>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</si>
  <si>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</si>
  <si>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</si>
  <si>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</si>
  <si>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</si>
  <si>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</si>
  <si>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</si>
  <si>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</si>
  <si>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</si>
  <si>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</si>
  <si>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</si>
  <si>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</si>
  <si>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</si>
  <si>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</si>
  <si>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</si>
  <si>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</si>
  <si>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</si>
  <si>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</si>
  <si>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</si>
  <si>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</si>
  <si>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</si>
  <si>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</si>
  <si>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</si>
  <si>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</si>
  <si>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</si>
  <si>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</si>
  <si>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</si>
  <si>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</si>
  <si>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</si>
  <si>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</si>
  <si>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</si>
  <si>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</si>
  <si>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</si>
  <si>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</si>
  <si>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</si>
  <si>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</si>
  <si>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</si>
  <si>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</si>
  <si>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</si>
  <si>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</si>
  <si>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</si>
  <si>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</si>
  <si>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</si>
  <si>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</si>
  <si>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</si>
  <si>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</si>
  <si>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</si>
  <si>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</si>
  <si>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</si>
  <si>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</si>
  <si>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</si>
  <si>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</si>
  <si>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</si>
  <si>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</si>
  <si>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</si>
  <si>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</si>
  <si>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</si>
  <si>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</si>
  <si>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</si>
  <si>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</si>
  <si>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</si>
  <si>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</si>
  <si>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</si>
  <si>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</si>
  <si>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</si>
  <si>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</si>
  <si>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</si>
  <si>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</si>
  <si>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</si>
  <si>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</si>
  <si>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</si>
  <si>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</si>
  <si>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</si>
  <si>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</si>
  <si>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</si>
  <si>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</si>
  <si>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</si>
  <si>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</si>
  <si>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</si>
  <si>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</si>
  <si>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</si>
  <si>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</si>
  <si>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</si>
  <si>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</si>
  <si>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</si>
  <si>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</si>
  <si>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</si>
  <si>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</si>
  <si>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</si>
  <si>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</si>
  <si>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</si>
  <si>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</si>
  <si>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</si>
  <si>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</si>
  <si>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</si>
  <si>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</si>
  <si>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</si>
  <si>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</si>
  <si>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</si>
  <si>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</si>
  <si>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</si>
  <si>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</si>
  <si>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</si>
  <si>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</si>
  <si>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</si>
  <si>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</si>
  <si>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</si>
  <si>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</si>
  <si>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</si>
  <si>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</si>
  <si>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</si>
  <si>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</si>
  <si>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</si>
  <si>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</si>
  <si>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</si>
  <si>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</si>
  <si>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</si>
  <si>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</si>
  <si>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</si>
  <si>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</si>
  <si>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</si>
  <si>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</si>
  <si>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</si>
  <si>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</si>
  <si>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</si>
  <si>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</si>
  <si>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</si>
  <si>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</si>
  <si>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</si>
  <si>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</si>
  <si>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</si>
  <si>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</si>
  <si>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</si>
  <si>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</si>
  <si>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</si>
  <si>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</si>
  <si>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</si>
  <si>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</si>
  <si>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</si>
  <si>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</si>
  <si>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</si>
  <si>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</si>
  <si>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</si>
  <si>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</si>
  <si>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</si>
  <si>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</si>
  <si>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</si>
  <si>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</si>
  <si>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</si>
  <si>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</si>
  <si>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</si>
  <si>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</si>
  <si>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</si>
  <si>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</si>
  <si>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</si>
  <si>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</si>
  <si>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</si>
  <si>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</si>
  <si>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</si>
  <si>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</si>
  <si>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</si>
  <si>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</si>
  <si>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</si>
  <si>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</si>
  <si>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</si>
  <si>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</si>
  <si>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</si>
  <si>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</si>
  <si>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</si>
  <si>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</si>
  <si>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</si>
  <si>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</si>
  <si>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</si>
  <si>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</si>
  <si>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</si>
  <si>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</si>
  <si>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</si>
  <si>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</si>
  <si>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</si>
  <si>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</si>
  <si>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</si>
  <si>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</si>
  <si>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</si>
  <si>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</si>
  <si>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</si>
  <si>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</si>
  <si>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</si>
  <si>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</si>
  <si>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</si>
  <si>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</si>
  <si>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</si>
  <si>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</si>
  <si>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</si>
  <si>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</si>
  <si>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</si>
  <si>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</si>
  <si>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</si>
  <si>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</si>
  <si>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</si>
  <si>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</si>
  <si>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</si>
  <si>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</si>
  <si>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</si>
  <si>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</si>
  <si>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</si>
  <si>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</si>
  <si>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</si>
  <si>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</si>
  <si>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</si>
  <si>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</si>
  <si>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</si>
  <si>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</si>
  <si>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</si>
  <si>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</si>
  <si>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</si>
  <si>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</si>
  <si>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</si>
  <si>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</si>
  <si>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</si>
  <si>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</si>
  <si>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</si>
  <si>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</si>
  <si>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</si>
  <si>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</si>
  <si>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</si>
  <si>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23</t>
  </si>
  <si>
    <t>187x103x373x103x187</t>
  </si>
  <si>
    <t>973x1902</t>
  </si>
  <si>
    <t>1140x1840</t>
  </si>
  <si>
    <t>281026</t>
  </si>
  <si>
    <t>TOLECAIXAS</t>
  </si>
  <si>
    <t>980x1270</t>
  </si>
  <si>
    <t>940x2180</t>
  </si>
  <si>
    <t>1190x2150</t>
  </si>
  <si>
    <t>PROGRAMAÇÃO ONDULADEIRA - TOLECAIXAS  —  OF: 001337</t>
  </si>
  <si>
    <t>8358</t>
  </si>
  <si>
    <t>191x210x191</t>
  </si>
  <si>
    <t>612x1640</t>
  </si>
  <si>
    <t>169x280x169</t>
  </si>
  <si>
    <t>638x1470</t>
  </si>
  <si>
    <t>181x280x181</t>
  </si>
  <si>
    <t>662x2101</t>
  </si>
  <si>
    <t>1020x3420</t>
  </si>
  <si>
    <t>1870</t>
  </si>
  <si>
    <t>PROGRAMAÇÃO ONDULADEIRA - PCBOX EMBALAGENS  —  OF: 001339</t>
  </si>
  <si>
    <t>953x1798</t>
  </si>
  <si>
    <t>1871</t>
  </si>
  <si>
    <t>1132x1936</t>
  </si>
  <si>
    <t>840x1850</t>
  </si>
  <si>
    <t>CARTOMIL EMBALAGENS</t>
  </si>
  <si>
    <t>870x1925</t>
  </si>
  <si>
    <t>890x2195</t>
  </si>
  <si>
    <t>890x1970</t>
  </si>
  <si>
    <t>870x2180</t>
  </si>
  <si>
    <t>PROGRAMAÇÃO ONDULADEIRA - CARTOMIL EMBALAGENS  —  OF: 001340</t>
  </si>
  <si>
    <t>816x1820</t>
  </si>
  <si>
    <t>1872</t>
  </si>
  <si>
    <t>187x1014x187</t>
  </si>
  <si>
    <t>1408x1523</t>
  </si>
  <si>
    <t>29/10/2026</t>
  </si>
  <si>
    <t>1875</t>
  </si>
  <si>
    <t>96x318x96</t>
  </si>
  <si>
    <t>1040x2166</t>
  </si>
  <si>
    <t>1210x1440</t>
  </si>
  <si>
    <t>75x1040x75</t>
  </si>
  <si>
    <t>24</t>
  </si>
  <si>
    <t>891x1720</t>
  </si>
  <si>
    <t>48x775x48</t>
  </si>
  <si>
    <t>1031x1930</t>
  </si>
  <si>
    <t>103x805x103</t>
  </si>
  <si>
    <t>1270x1502</t>
  </si>
  <si>
    <t>PROGRAMAÇÃO ONDULADEIRA - RM EMBALAGENS  —  OF: 001343</t>
  </si>
  <si>
    <t>1136x2024</t>
  </si>
  <si>
    <t>87x105x87</t>
  </si>
  <si>
    <t>33</t>
  </si>
  <si>
    <t>1132x1720</t>
  </si>
  <si>
    <t>50x128x100</t>
  </si>
  <si>
    <t>38</t>
  </si>
  <si>
    <t>980x1610</t>
  </si>
  <si>
    <t>160x160x160</t>
  </si>
  <si>
    <t>40</t>
  </si>
  <si>
    <t>980x1660</t>
  </si>
  <si>
    <t>37</t>
  </si>
  <si>
    <t>PROGRAMAÇÃO ONDULADEIRA - FAVINCO EMBALAGENS  —  OF: 001344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</si>
</sst>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sz val="11"/>
      <color rgb="FFFF0000"/>
      <name val="Calibri"/>
      <family val="2"/>
    </font>
    <font>
      <b/>
      <sz val="13"/>
      <color rgb="FF0F1E2E"/>
      <name val="Calibri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3" fillId="0" borderId="0"/>
    <xf numFmtId="0" fontId="5" fillId="0" borderId="0"/>
    <xf numFmtId="0" fontId="7" fillId="0" borderId="0"/>
    <xf numFmtId="0" fontId="8" fillId="0" borderId="0"/>
    <xf numFmtId="0" fontId="9" fillId="0" borderId="0"/>
    <xf numFmtId="0" fontId="3" fillId="0" borderId="0"/>
    <xf numFmtId="0" fontId="3" fillId="0" borderId="0"/>
  </cellStyleXfs>
  <cellXfs count="85">
    <xf numFmtId="0" fontId="0" fillId="0" borderId="0" xfId="0" applyFont="1" applyAlignment="1"/>
    <xf numFmtId="0" fontId="3" fillId="0" borderId="0" xfId="1"/>
    <xf numFmtId="0" fontId="3" fillId="0" borderId="0" xfId="1" applyAlignment="1">
      <alignment horizontal="center" vertical="center"/>
    </xf>
    <xf numFmtId="0" fontId="9" fillId="0" borderId="0" xfId="5"/>
    <xf numFmtId="0" fontId="11" fillId="4" borderId="1" xfId="5" applyFont="1" applyFill="1" applyBorder="1" applyAlignment="1">
      <alignment horizontal="center" vertical="center" wrapText="1"/>
    </xf>
    <xf numFmtId="0" fontId="9" fillId="3" borderId="1" xfId="5" applyFill="1" applyBorder="1" applyAlignment="1">
      <alignment horizontal="center" vertical="center"/>
    </xf>
    <xf numFmtId="0" fontId="10" fillId="3" borderId="1" xfId="5" applyFont="1" applyFill="1" applyBorder="1" applyAlignment="1">
      <alignment horizontal="center" vertical="center"/>
    </xf>
    <xf numFmtId="164" fontId="9" fillId="3" borderId="1" xfId="5" applyNumberFormat="1" applyFill="1" applyBorder="1" applyAlignment="1">
      <alignment horizontal="center" vertical="center"/>
    </xf>
    <xf numFmtId="165" fontId="9" fillId="3" borderId="1" xfId="5" applyNumberFormat="1" applyFill="1" applyBorder="1" applyAlignment="1">
      <alignment horizontal="center" vertical="center"/>
    </xf>
    <xf numFmtId="166" fontId="9" fillId="3" borderId="1" xfId="5" applyNumberFormat="1" applyFill="1" applyBorder="1" applyAlignment="1">
      <alignment horizontal="center" vertical="center"/>
    </xf>
    <xf numFmtId="2" fontId="9" fillId="3" borderId="1" xfId="5" applyNumberFormat="1" applyFill="1" applyBorder="1" applyAlignment="1">
      <alignment horizontal="center" vertical="center"/>
    </xf>
    <xf numFmtId="0" fontId="9" fillId="0" borderId="0" xfId="5" applyAlignment="1">
      <alignment horizontal="center" vertical="center"/>
    </xf>
    <xf numFmtId="0" fontId="10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9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1" fillId="4" borderId="3" xfId="5" applyFont="1" applyFill="1" applyBorder="1" applyAlignment="1">
      <alignment horizontal="center" vertical="center" wrapText="1"/>
    </xf>
    <xf numFmtId="0" fontId="9" fillId="3" borderId="2" xfId="5" applyFill="1" applyBorder="1" applyAlignment="1">
      <alignment horizontal="center" vertical="center"/>
    </xf>
    <xf numFmtId="0" fontId="10" fillId="3" borderId="2" xfId="5" applyFont="1" applyFill="1" applyBorder="1" applyAlignment="1">
      <alignment horizontal="center" vertical="center"/>
    </xf>
    <xf numFmtId="164" fontId="9" fillId="3" borderId="2" xfId="5" applyNumberFormat="1" applyFill="1" applyBorder="1" applyAlignment="1">
      <alignment horizontal="center" vertical="center"/>
    </xf>
    <xf numFmtId="165" fontId="9" fillId="3" borderId="2" xfId="5" applyNumberFormat="1" applyFill="1" applyBorder="1" applyAlignment="1">
      <alignment horizontal="center" vertical="center"/>
    </xf>
    <xf numFmtId="166" fontId="9" fillId="3" borderId="2" xfId="5" applyNumberFormat="1" applyFill="1" applyBorder="1" applyAlignment="1">
      <alignment horizontal="center" vertical="center"/>
    </xf>
    <xf numFmtId="2" fontId="9" fillId="3" borderId="2" xfId="5" applyNumberFormat="1" applyFill="1" applyBorder="1" applyAlignment="1">
      <alignment horizontal="center" vertical="center"/>
    </xf>
    <xf numFmtId="0" fontId="10" fillId="2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left"/>
    </xf>
    <xf numFmtId="0" fontId="10" fillId="2" borderId="4" xfId="5" applyFont="1" applyFill="1" applyBorder="1" applyAlignment="1">
      <alignment horizontal="right"/>
    </xf>
    <xf numFmtId="0" fontId="9" fillId="0" borderId="0" xfId="5" applyAlignment="1"/>
    <xf numFmtId="0" fontId="4" fillId="2" borderId="1" xfId="1" applyFont="1" applyFill="1" applyBorder="1" applyAlignment="1">
      <alignment horizontal="center" vertical="center"/>
    </xf>
    <xf numFmtId="0" fontId="3" fillId="3" borderId="1" xfId="1" applyFill="1" applyBorder="1" applyAlignment="1">
      <alignment horizontal="center" vertical="center"/>
    </xf>
    <xf numFmtId="166" fontId="3" fillId="3" borderId="1" xfId="1" applyNumberFormat="1" applyFill="1" applyBorder="1" applyAlignment="1">
      <alignment horizontal="center" vertical="center"/>
    </xf>
    <xf numFmtId="164" fontId="3" fillId="3" borderId="1" xfId="1" applyNumberFormat="1" applyFill="1" applyBorder="1" applyAlignment="1">
      <alignment horizontal="center" vertical="center"/>
    </xf>
    <xf numFmtId="2" fontId="3" fillId="3" borderId="1" xfId="1" applyNumberFormat="1" applyFill="1" applyBorder="1" applyAlignment="1">
      <alignment horizontal="center" vertical="center"/>
    </xf>
    <xf numFmtId="165" fontId="3" fillId="3" borderId="1" xfId="1" applyNumberFormat="1" applyFill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0" borderId="0" xfId="7" applyAlignment="1">
      <alignment horizontal="center" vertical="center"/>
    </xf>
    <xf numFmtId="0" fontId="3" fillId="3" borderId="1" xfId="7" applyFill="1" applyBorder="1" applyAlignment="1">
      <alignment horizontal="center" vertical="center"/>
    </xf>
    <xf numFmtId="166" fontId="3" fillId="3" borderId="1" xfId="7" applyNumberFormat="1" applyFill="1" applyBorder="1" applyAlignment="1">
      <alignment horizontal="center" vertical="center"/>
    </xf>
    <xf numFmtId="164" fontId="3" fillId="3" borderId="1" xfId="7" applyNumberFormat="1" applyFill="1" applyBorder="1" applyAlignment="1">
      <alignment horizontal="center" vertical="center"/>
    </xf>
    <xf numFmtId="2" fontId="3" fillId="3" borderId="1" xfId="7" applyNumberFormat="1" applyFill="1" applyBorder="1" applyAlignment="1">
      <alignment horizontal="center" vertical="center"/>
    </xf>
    <xf numFmtId="165" fontId="3" fillId="3" borderId="1" xfId="7" applyNumberFormat="1" applyFill="1" applyBorder="1" applyAlignment="1">
      <alignment horizontal="center" vertical="center"/>
    </xf>
    <xf numFmtId="0" fontId="4" fillId="3" borderId="1" xfId="7" applyFont="1" applyFill="1" applyBorder="1" applyAlignment="1">
      <alignment horizontal="center" vertical="center"/>
    </xf>
    <xf numFmtId="0" fontId="2" fillId="4" borderId="1" xfId="1" applyFont="1" applyFill="1" applyBorder="1" applyAlignment="1">
      <alignment horizontal="center" vertical="center" wrapText="1"/>
    </xf>
    <xf numFmtId="0" fontId="9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3" fillId="3" borderId="2" xfId="5" applyFont="1" applyFill="1" applyBorder="1" applyAlignment="1">
      <alignment horizontal="center" vertical="center"/>
    </xf>
    <xf numFmtId="0" fontId="10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10" fillId="2" borderId="1" xfId="5" applyFont="1" applyFill="1" applyBorder="1" applyAlignment="1">
      <alignment horizontal="right"/>
    </xf>
    <xf numFmtId="0" fontId="10" fillId="2" borderId="1" xfId="5" applyFont="1" applyFill="1" applyBorder="1" applyAlignment="1">
      <alignment horizontal="left"/>
    </xf>
    <xf numFmtId="0" fontId="9" fillId="3" borderId="1" xfId="5" applyFill="1" applyBorder="1" applyAlignment="1">
      <alignment horizontal="right"/>
    </xf>
    <xf numFmtId="166" fontId="9" fillId="3" borderId="1" xfId="5" applyNumberFormat="1" applyFill="1" applyBorder="1" applyAlignment="1">
      <alignment horizontal="right"/>
    </xf>
    <xf numFmtId="164" fontId="9" fillId="3" borderId="1" xfId="5" applyNumberFormat="1" applyFill="1" applyBorder="1" applyAlignment="1">
      <alignment horizontal="right"/>
    </xf>
    <xf numFmtId="2" fontId="9" fillId="3" borderId="1" xfId="5" applyNumberFormat="1" applyFill="1" applyBorder="1" applyAlignment="1">
      <alignment horizontal="right"/>
    </xf>
    <xf numFmtId="165" fontId="9" fillId="3" borderId="1" xfId="5" applyNumberFormat="1" applyFill="1" applyBorder="1" applyAlignment="1">
      <alignment horizontal="right"/>
    </xf>
    <xf numFmtId="0" fontId="9" fillId="3" borderId="1" xfId="5" applyFill="1" applyBorder="1" applyAlignment="1">
      <alignment horizontal="left"/>
    </xf>
    <xf numFmtId="164" fontId="9" fillId="3" borderId="1" xfId="5" applyNumberFormat="1" applyFill="1" applyBorder="1" applyAlignment="1">
      <alignment horizontal="left"/>
    </xf>
    <xf numFmtId="0" fontId="10" fillId="3" borderId="1" xfId="5" applyFont="1" applyFill="1" applyBorder="1" applyAlignment="1">
      <alignment horizontal="left"/>
    </xf>
    <xf numFmtId="49" fontId="1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2" fontId="1" fillId="0" borderId="2" xfId="0" applyNumberFormat="1" applyFont="1" applyBorder="1" applyAlignment="1">
      <alignment horizontal="center" vertical="center" wrapText="1"/>
    </xf>
    <xf numFmtId="0" fontId="15" fillId="0" borderId="0" xfId="5" applyFont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2" fontId="9" fillId="3" borderId="2" xfId="0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6" fillId="0" borderId="0" xfId="1" applyFont="1"/>
    <xf numFmtId="0" fontId="6" fillId="0" borderId="0" xfId="5" applyFont="1"/>
    <xf numFmtId="0" fontId="6" fillId="0" borderId="0" xfId="5" applyFont="1" applyAlignment="1">
      <alignment horizontal="center" vertical="center"/>
    </xf>
    <xf numFmtId="0" fontId="16" fillId="0" borderId="0" xfId="5" applyFont="1"/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CBFB1-60A7-496C-91FB-6F90A3D32867}">
  <dimension ref="A1:AC7"/>
  <sheetViews>
    <sheetView tabSelected="1" workbookViewId="0">
      <selection activeCell="K25" sqref="K25"/>
    </sheetView>
  </sheetViews>
  <sheetFormatPr defaultRowHeight="14.4"/>
  <cols>
    <col min="1" max="1" width="6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77734375" style="3" customWidth="1"/>
    <col min="6" max="6" width="4.44140625" style="3" customWidth="1"/>
    <col min="7" max="7" width="7.21875" style="3" customWidth="1"/>
    <col min="8" max="8" width="6.5546875" style="3" customWidth="1"/>
    <col min="9" max="10" width="7" style="3" customWidth="1"/>
    <col min="11" max="11" width="13.886718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77734375" style="3" customWidth="1"/>
    <col min="19" max="19" width="7.5546875" style="3" customWidth="1"/>
    <col min="20" max="20" width="8.554687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4" width="8.33203125" style="3" customWidth="1"/>
    <col min="25" max="25" width="8.21875" style="3" customWidth="1"/>
    <col min="26" max="26" width="7.6640625" style="3" customWidth="1"/>
    <col min="27" max="27" width="7.5546875" style="3" customWidth="1"/>
    <col min="28" max="28" width="4.88671875" style="3" customWidth="1"/>
    <col min="29" max="29" width="10" style="3" customWidth="1"/>
    <col min="30" max="16384" width="8.88671875" style="3"/>
  </cols>
  <sheetData>
    <row r="1" spans="1:29" ht="18" customHeight="1">
      <c r="A1" s="84" t="s">
        <v>428</v>
      </c>
      <c r="B1" s="84" t="s">
        <v>26</v>
      </c>
      <c r="C1" s="84" t="s">
        <v>26</v>
      </c>
      <c r="D1" s="84" t="s">
        <v>26</v>
      </c>
      <c r="E1" s="84" t="s">
        <v>26</v>
      </c>
      <c r="F1" s="84" t="s">
        <v>26</v>
      </c>
      <c r="G1" s="84" t="s">
        <v>26</v>
      </c>
      <c r="H1" s="84" t="s">
        <v>26</v>
      </c>
      <c r="I1" s="84" t="s">
        <v>26</v>
      </c>
      <c r="J1" s="84" t="s">
        <v>26</v>
      </c>
      <c r="K1" s="84" t="s">
        <v>26</v>
      </c>
      <c r="L1" s="84" t="s">
        <v>26</v>
      </c>
      <c r="M1" s="84" t="s">
        <v>26</v>
      </c>
      <c r="N1" s="84" t="s">
        <v>26</v>
      </c>
      <c r="O1" s="84" t="s">
        <v>26</v>
      </c>
      <c r="P1" s="84" t="s">
        <v>26</v>
      </c>
      <c r="Q1" s="84" t="s">
        <v>26</v>
      </c>
      <c r="R1" s="84" t="s">
        <v>26</v>
      </c>
      <c r="S1" s="84" t="s">
        <v>26</v>
      </c>
      <c r="T1" s="84" t="s">
        <v>26</v>
      </c>
      <c r="U1" s="84" t="s">
        <v>26</v>
      </c>
      <c r="V1" s="84" t="s">
        <v>26</v>
      </c>
      <c r="W1" s="84" t="s">
        <v>26</v>
      </c>
      <c r="X1" s="84" t="s">
        <v>26</v>
      </c>
      <c r="Y1" s="84" t="s">
        <v>26</v>
      </c>
      <c r="Z1" s="84" t="s">
        <v>26</v>
      </c>
      <c r="AA1" s="84" t="s">
        <v>26</v>
      </c>
      <c r="AB1" s="84" t="s">
        <v>26</v>
      </c>
      <c r="AC1" s="84" t="s">
        <v>26</v>
      </c>
    </row>
    <row r="2" spans="1:29" ht="43.8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>
      <c r="A3" s="64">
        <v>1</v>
      </c>
      <c r="B3" s="66" t="s">
        <v>182</v>
      </c>
      <c r="C3" s="64" t="s">
        <v>46</v>
      </c>
      <c r="D3" s="64" t="s">
        <v>404</v>
      </c>
      <c r="E3" s="64">
        <v>263240</v>
      </c>
      <c r="F3" s="64" t="s">
        <v>427</v>
      </c>
      <c r="G3" s="64">
        <v>1150</v>
      </c>
      <c r="H3" s="65">
        <v>0.32</v>
      </c>
      <c r="I3" s="65">
        <v>0.82</v>
      </c>
      <c r="J3" s="64" t="s">
        <v>26</v>
      </c>
      <c r="K3" s="64" t="s">
        <v>32</v>
      </c>
      <c r="L3" s="64" t="s">
        <v>26</v>
      </c>
      <c r="M3" s="61">
        <v>301.76</v>
      </c>
      <c r="N3" s="63">
        <v>235.8</v>
      </c>
      <c r="O3" s="60">
        <v>1.6400000000000001E-2</v>
      </c>
      <c r="P3" s="62">
        <v>0.98</v>
      </c>
      <c r="Q3" s="59">
        <v>190.7</v>
      </c>
      <c r="R3" s="59">
        <v>4</v>
      </c>
      <c r="S3" s="59">
        <v>1300</v>
      </c>
      <c r="T3" s="61">
        <v>1.28</v>
      </c>
      <c r="U3" s="59">
        <v>20</v>
      </c>
      <c r="V3" s="60">
        <v>1.54E-2</v>
      </c>
      <c r="W3" s="59" t="s">
        <v>28</v>
      </c>
      <c r="X3" s="59" t="s">
        <v>37</v>
      </c>
      <c r="Y3" s="59" t="s">
        <v>27</v>
      </c>
      <c r="Z3" s="59" t="s">
        <v>27</v>
      </c>
      <c r="AA3" s="59" t="s">
        <v>28</v>
      </c>
      <c r="AB3" s="59" t="s">
        <v>36</v>
      </c>
      <c r="AC3" s="59" t="s">
        <v>426</v>
      </c>
    </row>
    <row r="4" spans="1:29">
      <c r="A4" s="64">
        <v>2</v>
      </c>
      <c r="B4" s="66" t="s">
        <v>182</v>
      </c>
      <c r="C4" s="64" t="s">
        <v>34</v>
      </c>
      <c r="D4" s="64" t="s">
        <v>404</v>
      </c>
      <c r="E4" s="64">
        <v>263242</v>
      </c>
      <c r="F4" s="64" t="s">
        <v>425</v>
      </c>
      <c r="G4" s="64">
        <v>2000</v>
      </c>
      <c r="H4" s="65">
        <v>0.48</v>
      </c>
      <c r="I4" s="65">
        <v>1.59</v>
      </c>
      <c r="J4" s="64" t="s">
        <v>26</v>
      </c>
      <c r="K4" s="64" t="s">
        <v>424</v>
      </c>
      <c r="L4" s="64" t="s">
        <v>26</v>
      </c>
      <c r="M4" s="61">
        <v>1526.4</v>
      </c>
      <c r="N4" s="63">
        <v>1060</v>
      </c>
      <c r="O4" s="60">
        <v>9.8100000000000007E-2</v>
      </c>
      <c r="P4" s="62">
        <v>5.89</v>
      </c>
      <c r="Q4" s="59">
        <v>488.4</v>
      </c>
      <c r="R4" s="59">
        <v>3</v>
      </c>
      <c r="S4" s="59">
        <v>1500</v>
      </c>
      <c r="T4" s="61">
        <v>1.44</v>
      </c>
      <c r="U4" s="59">
        <v>60</v>
      </c>
      <c r="V4" s="60">
        <v>0.04</v>
      </c>
      <c r="W4" s="59" t="s">
        <v>27</v>
      </c>
      <c r="X4" s="59" t="s">
        <v>27</v>
      </c>
      <c r="Y4" s="59" t="s">
        <v>27</v>
      </c>
      <c r="Z4" s="59" t="s">
        <v>26</v>
      </c>
      <c r="AA4" s="59" t="s">
        <v>26</v>
      </c>
      <c r="AB4" s="59" t="s">
        <v>29</v>
      </c>
      <c r="AC4" s="59" t="s">
        <v>423</v>
      </c>
    </row>
    <row r="5" spans="1:29">
      <c r="A5" s="64">
        <v>3</v>
      </c>
      <c r="B5" s="66" t="s">
        <v>182</v>
      </c>
      <c r="C5" s="64" t="s">
        <v>34</v>
      </c>
      <c r="D5" s="64" t="s">
        <v>404</v>
      </c>
      <c r="E5" s="64">
        <v>263241</v>
      </c>
      <c r="F5" s="64" t="s">
        <v>422</v>
      </c>
      <c r="G5" s="64">
        <v>3000</v>
      </c>
      <c r="H5" s="65">
        <v>0.27800000000000002</v>
      </c>
      <c r="I5" s="65">
        <v>0.85</v>
      </c>
      <c r="J5" s="64" t="s">
        <v>26</v>
      </c>
      <c r="K5" s="64" t="s">
        <v>421</v>
      </c>
      <c r="L5" s="64" t="s">
        <v>26</v>
      </c>
      <c r="M5" s="61">
        <v>708.9</v>
      </c>
      <c r="N5" s="63">
        <v>637.5</v>
      </c>
      <c r="O5" s="60">
        <v>4.4299999999999999E-2</v>
      </c>
      <c r="P5" s="62">
        <v>2.66</v>
      </c>
      <c r="Q5" s="59">
        <v>226.8</v>
      </c>
      <c r="R5" s="59">
        <v>4</v>
      </c>
      <c r="S5" s="59">
        <v>1150</v>
      </c>
      <c r="T5" s="61">
        <v>1.1120000000000001</v>
      </c>
      <c r="U5" s="59">
        <v>38</v>
      </c>
      <c r="V5" s="60">
        <v>3.3000000000000002E-2</v>
      </c>
      <c r="W5" s="59" t="s">
        <v>27</v>
      </c>
      <c r="X5" s="59" t="s">
        <v>27</v>
      </c>
      <c r="Y5" s="59" t="s">
        <v>27</v>
      </c>
      <c r="Z5" s="59" t="s">
        <v>26</v>
      </c>
      <c r="AA5" s="59" t="s">
        <v>26</v>
      </c>
      <c r="AB5" s="59" t="s">
        <v>36</v>
      </c>
      <c r="AC5" s="59" t="s">
        <v>420</v>
      </c>
    </row>
    <row r="6" spans="1:29">
      <c r="A6" s="64">
        <v>4</v>
      </c>
      <c r="B6" s="66" t="s">
        <v>182</v>
      </c>
      <c r="C6" s="64" t="s">
        <v>34</v>
      </c>
      <c r="D6" s="64" t="s">
        <v>404</v>
      </c>
      <c r="E6" s="64">
        <v>263239</v>
      </c>
      <c r="F6" s="64" t="s">
        <v>419</v>
      </c>
      <c r="G6" s="64">
        <v>2000</v>
      </c>
      <c r="H6" s="65">
        <v>0.27900000000000003</v>
      </c>
      <c r="I6" s="65">
        <v>1.002</v>
      </c>
      <c r="J6" s="64" t="s">
        <v>26</v>
      </c>
      <c r="K6" s="64" t="s">
        <v>418</v>
      </c>
      <c r="L6" s="64" t="s">
        <v>26</v>
      </c>
      <c r="M6" s="61">
        <v>559.11599999999999</v>
      </c>
      <c r="N6" s="63">
        <v>501</v>
      </c>
      <c r="O6" s="60">
        <v>3.4799999999999998E-2</v>
      </c>
      <c r="P6" s="62">
        <v>2.09</v>
      </c>
      <c r="Q6" s="59">
        <v>178.9</v>
      </c>
      <c r="R6" s="59">
        <v>4</v>
      </c>
      <c r="S6" s="59">
        <v>1150</v>
      </c>
      <c r="T6" s="61">
        <v>1.1160000000000001</v>
      </c>
      <c r="U6" s="59">
        <v>34</v>
      </c>
      <c r="V6" s="60">
        <v>2.9600000000000001E-2</v>
      </c>
      <c r="W6" s="59" t="s">
        <v>27</v>
      </c>
      <c r="X6" s="59" t="s">
        <v>27</v>
      </c>
      <c r="Y6" s="59" t="s">
        <v>27</v>
      </c>
      <c r="Z6" s="59" t="s">
        <v>26</v>
      </c>
      <c r="AA6" s="59" t="s">
        <v>26</v>
      </c>
      <c r="AB6" s="59" t="s">
        <v>36</v>
      </c>
      <c r="AC6" s="59" t="s">
        <v>417</v>
      </c>
    </row>
    <row r="7" spans="1:29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8150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1084.9000000000001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D267A-1E18-4931-81D7-1E0A40AA3F37}">
  <sheetPr>
    <pageSetUpPr fitToPage="1"/>
  </sheetPr>
  <dimension ref="A1:AC7"/>
  <sheetViews>
    <sheetView workbookViewId="0">
      <selection activeCell="AR30" sqref="AR30"/>
    </sheetView>
  </sheetViews>
  <sheetFormatPr defaultRowHeight="14.4"/>
  <cols>
    <col min="1" max="1" width="4.88671875" style="1" customWidth="1"/>
    <col min="2" max="2" width="20.77734375" style="1" hidden="1" customWidth="1"/>
    <col min="3" max="3" width="6.21875" style="1" customWidth="1"/>
    <col min="4" max="4" width="11.77734375" style="1" hidden="1" customWidth="1"/>
    <col min="5" max="5" width="7.77734375" style="1" customWidth="1"/>
    <col min="6" max="6" width="4.33203125" style="1" customWidth="1"/>
    <col min="7" max="8" width="6.33203125" style="1" customWidth="1"/>
    <col min="9" max="9" width="7" style="1" customWidth="1"/>
    <col min="10" max="10" width="6.77734375" style="1" customWidth="1"/>
    <col min="11" max="11" width="12.6640625" style="1" customWidth="1"/>
    <col min="12" max="12" width="7.5546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109375" style="1" customWidth="1"/>
    <col min="18" max="18" width="4.5546875" style="1" customWidth="1"/>
    <col min="19" max="19" width="5.44140625" style="1" customWidth="1"/>
    <col min="20" max="20" width="7.5546875" style="1" customWidth="1"/>
    <col min="21" max="21" width="11.77734375" style="1" hidden="1" customWidth="1"/>
    <col min="22" max="22" width="8.77734375" style="1" hidden="1" customWidth="1"/>
    <col min="23" max="23" width="7.44140625" style="1" customWidth="1"/>
    <col min="24" max="24" width="7.21875" style="1" customWidth="1"/>
    <col min="25" max="25" width="8" style="1" customWidth="1"/>
    <col min="26" max="26" width="7.88671875" style="1" customWidth="1"/>
    <col min="27" max="27" width="7.5546875" style="1" customWidth="1"/>
    <col min="28" max="28" width="4.77734375" style="1" customWidth="1"/>
    <col min="29" max="29" width="11.21875" style="1" customWidth="1"/>
    <col min="30" max="16384" width="8.88671875" style="1"/>
  </cols>
  <sheetData>
    <row r="1" spans="1:29" ht="18" customHeight="1">
      <c r="A1" s="80" t="s">
        <v>416</v>
      </c>
      <c r="B1" s="80" t="s">
        <v>26</v>
      </c>
      <c r="C1" s="80" t="s">
        <v>26</v>
      </c>
      <c r="D1" s="80" t="s">
        <v>26</v>
      </c>
      <c r="E1" s="80" t="s">
        <v>26</v>
      </c>
      <c r="F1" s="80" t="s">
        <v>26</v>
      </c>
      <c r="G1" s="80" t="s">
        <v>26</v>
      </c>
      <c r="H1" s="80" t="s">
        <v>26</v>
      </c>
      <c r="I1" s="80" t="s">
        <v>26</v>
      </c>
      <c r="J1" s="80" t="s">
        <v>26</v>
      </c>
      <c r="K1" s="80" t="s">
        <v>26</v>
      </c>
      <c r="L1" s="80" t="s">
        <v>26</v>
      </c>
      <c r="M1" s="80" t="s">
        <v>26</v>
      </c>
      <c r="N1" s="80" t="s">
        <v>26</v>
      </c>
      <c r="O1" s="80" t="s">
        <v>26</v>
      </c>
      <c r="P1" s="80" t="s">
        <v>26</v>
      </c>
      <c r="Q1" s="80" t="s">
        <v>26</v>
      </c>
      <c r="R1" s="80" t="s">
        <v>26</v>
      </c>
      <c r="S1" s="80" t="s">
        <v>26</v>
      </c>
      <c r="T1" s="80" t="s">
        <v>26</v>
      </c>
      <c r="U1" s="80" t="s">
        <v>26</v>
      </c>
      <c r="V1" s="80" t="s">
        <v>26</v>
      </c>
      <c r="W1" s="80" t="s">
        <v>26</v>
      </c>
      <c r="X1" s="80" t="s">
        <v>26</v>
      </c>
      <c r="Y1" s="80" t="s">
        <v>26</v>
      </c>
      <c r="Z1" s="80" t="s">
        <v>26</v>
      </c>
      <c r="AA1" s="80" t="s">
        <v>26</v>
      </c>
      <c r="AB1" s="80" t="s">
        <v>26</v>
      </c>
      <c r="AC1" s="80" t="s">
        <v>26</v>
      </c>
    </row>
    <row r="2" spans="1:29" ht="42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78</v>
      </c>
      <c r="C3" s="38" t="s">
        <v>25</v>
      </c>
      <c r="D3" s="38" t="s">
        <v>404</v>
      </c>
      <c r="E3" s="38">
        <v>263236</v>
      </c>
      <c r="F3" s="38" t="s">
        <v>410</v>
      </c>
      <c r="G3" s="38">
        <v>310</v>
      </c>
      <c r="H3" s="40">
        <v>1.25</v>
      </c>
      <c r="I3" s="40">
        <v>1.482</v>
      </c>
      <c r="J3" s="38" t="s">
        <v>26</v>
      </c>
      <c r="K3" s="38" t="s">
        <v>32</v>
      </c>
      <c r="L3" s="38" t="s">
        <v>26</v>
      </c>
      <c r="M3" s="40">
        <v>574.27499999999998</v>
      </c>
      <c r="N3" s="42">
        <v>459.4</v>
      </c>
      <c r="O3" s="39">
        <v>0.12759999999999999</v>
      </c>
      <c r="P3" s="41">
        <v>7.66</v>
      </c>
      <c r="Q3" s="38">
        <v>309</v>
      </c>
      <c r="R3" s="38">
        <v>1</v>
      </c>
      <c r="S3" s="38">
        <v>1300</v>
      </c>
      <c r="T3" s="40">
        <v>1.25</v>
      </c>
      <c r="U3" s="38">
        <v>50</v>
      </c>
      <c r="V3" s="39">
        <v>3.85E-2</v>
      </c>
      <c r="W3" s="38" t="s">
        <v>27</v>
      </c>
      <c r="X3" s="38" t="s">
        <v>28</v>
      </c>
      <c r="Y3" s="38" t="s">
        <v>27</v>
      </c>
      <c r="Z3" s="38" t="s">
        <v>27</v>
      </c>
      <c r="AA3" s="38" t="s">
        <v>27</v>
      </c>
      <c r="AB3" s="38" t="s">
        <v>31</v>
      </c>
      <c r="AC3" s="38" t="s">
        <v>415</v>
      </c>
    </row>
    <row r="4" spans="1:29" s="2" customFormat="1" ht="25.05" customHeight="1">
      <c r="A4" s="38">
        <v>2</v>
      </c>
      <c r="B4" s="43" t="s">
        <v>78</v>
      </c>
      <c r="C4" s="38" t="s">
        <v>25</v>
      </c>
      <c r="D4" s="38" t="s">
        <v>404</v>
      </c>
      <c r="E4" s="38">
        <v>263235</v>
      </c>
      <c r="F4" s="38" t="s">
        <v>410</v>
      </c>
      <c r="G4" s="38">
        <v>1000</v>
      </c>
      <c r="H4" s="40">
        <v>1.0109999999999999</v>
      </c>
      <c r="I4" s="40">
        <v>1.91</v>
      </c>
      <c r="J4" s="38" t="s">
        <v>26</v>
      </c>
      <c r="K4" s="38" t="s">
        <v>414</v>
      </c>
      <c r="L4" s="38" t="s">
        <v>26</v>
      </c>
      <c r="M4" s="40">
        <v>1931.01</v>
      </c>
      <c r="N4" s="42">
        <v>1910</v>
      </c>
      <c r="O4" s="39">
        <v>0.53059999999999996</v>
      </c>
      <c r="P4" s="41">
        <v>31.83</v>
      </c>
      <c r="Q4" s="38">
        <v>1038.9000000000001</v>
      </c>
      <c r="R4" s="38">
        <v>1</v>
      </c>
      <c r="S4" s="38">
        <v>1050</v>
      </c>
      <c r="T4" s="40">
        <v>1.0109999999999999</v>
      </c>
      <c r="U4" s="38">
        <v>39</v>
      </c>
      <c r="V4" s="39">
        <v>3.7100000000000001E-2</v>
      </c>
      <c r="W4" s="38" t="s">
        <v>27</v>
      </c>
      <c r="X4" s="38" t="s">
        <v>28</v>
      </c>
      <c r="Y4" s="38" t="s">
        <v>27</v>
      </c>
      <c r="Z4" s="38" t="s">
        <v>27</v>
      </c>
      <c r="AA4" s="38" t="s">
        <v>27</v>
      </c>
      <c r="AB4" s="38" t="s">
        <v>245</v>
      </c>
      <c r="AC4" s="38" t="s">
        <v>413</v>
      </c>
    </row>
    <row r="5" spans="1:29" s="2" customFormat="1" ht="25.05" customHeight="1">
      <c r="A5" s="38">
        <v>3</v>
      </c>
      <c r="B5" s="43" t="s">
        <v>78</v>
      </c>
      <c r="C5" s="38" t="s">
        <v>25</v>
      </c>
      <c r="D5" s="38" t="s">
        <v>404</v>
      </c>
      <c r="E5" s="38">
        <v>263237</v>
      </c>
      <c r="F5" s="38" t="s">
        <v>410</v>
      </c>
      <c r="G5" s="38">
        <v>1000</v>
      </c>
      <c r="H5" s="40">
        <v>0.871</v>
      </c>
      <c r="I5" s="40">
        <v>1.7</v>
      </c>
      <c r="J5" s="38" t="s">
        <v>26</v>
      </c>
      <c r="K5" s="38" t="s">
        <v>412</v>
      </c>
      <c r="L5" s="38" t="s">
        <v>26</v>
      </c>
      <c r="M5" s="40">
        <v>1480.7</v>
      </c>
      <c r="N5" s="42">
        <v>1700</v>
      </c>
      <c r="O5" s="39">
        <v>0.47220000000000001</v>
      </c>
      <c r="P5" s="41">
        <v>28.33</v>
      </c>
      <c r="Q5" s="38">
        <v>796.6</v>
      </c>
      <c r="R5" s="38">
        <v>1</v>
      </c>
      <c r="S5" s="38">
        <v>900</v>
      </c>
      <c r="T5" s="40">
        <v>0.871</v>
      </c>
      <c r="U5" s="38">
        <v>29</v>
      </c>
      <c r="V5" s="39">
        <v>3.2199999999999999E-2</v>
      </c>
      <c r="W5" s="38" t="s">
        <v>27</v>
      </c>
      <c r="X5" s="38" t="s">
        <v>28</v>
      </c>
      <c r="Y5" s="38" t="s">
        <v>27</v>
      </c>
      <c r="Z5" s="38" t="s">
        <v>27</v>
      </c>
      <c r="AA5" s="38" t="s">
        <v>27</v>
      </c>
      <c r="AB5" s="38" t="s">
        <v>245</v>
      </c>
      <c r="AC5" s="38" t="s">
        <v>411</v>
      </c>
    </row>
    <row r="6" spans="1:29" s="2" customFormat="1" ht="25.05" customHeight="1">
      <c r="A6" s="38">
        <v>4</v>
      </c>
      <c r="B6" s="43" t="s">
        <v>78</v>
      </c>
      <c r="C6" s="38" t="s">
        <v>34</v>
      </c>
      <c r="D6" s="38" t="s">
        <v>404</v>
      </c>
      <c r="E6" s="38">
        <v>263238</v>
      </c>
      <c r="F6" s="38" t="s">
        <v>410</v>
      </c>
      <c r="G6" s="38">
        <v>600</v>
      </c>
      <c r="H6" s="40">
        <v>1.19</v>
      </c>
      <c r="I6" s="40">
        <v>1.42</v>
      </c>
      <c r="J6" s="38" t="s">
        <v>26</v>
      </c>
      <c r="K6" s="38" t="s">
        <v>409</v>
      </c>
      <c r="L6" s="38" t="s">
        <v>26</v>
      </c>
      <c r="M6" s="40">
        <v>1013.88</v>
      </c>
      <c r="N6" s="42">
        <v>852</v>
      </c>
      <c r="O6" s="39">
        <v>0.23669999999999999</v>
      </c>
      <c r="P6" s="41">
        <v>14.2</v>
      </c>
      <c r="Q6" s="38">
        <v>324.39999999999998</v>
      </c>
      <c r="R6" s="38">
        <v>1</v>
      </c>
      <c r="S6" s="38">
        <v>1250</v>
      </c>
      <c r="T6" s="40">
        <v>1.19</v>
      </c>
      <c r="U6" s="38">
        <v>60</v>
      </c>
      <c r="V6" s="39">
        <v>4.8000000000000001E-2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408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v>2910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v>2468.9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510FDC-9F17-43EE-B879-187E4C374883}">
  <sheetPr>
    <pageSetUpPr fitToPage="1"/>
  </sheetPr>
  <dimension ref="A1:AC8"/>
  <sheetViews>
    <sheetView workbookViewId="0">
      <selection activeCell="G15" sqref="G15"/>
    </sheetView>
  </sheetViews>
  <sheetFormatPr defaultRowHeight="14.4"/>
  <cols>
    <col min="1" max="1" width="5.2187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7.109375" style="1" customWidth="1"/>
    <col min="6" max="6" width="7.77734375" style="1" customWidth="1"/>
    <col min="7" max="8" width="7.109375" style="1" customWidth="1"/>
    <col min="9" max="9" width="6.77734375" style="1" customWidth="1"/>
    <col min="10" max="10" width="7.33203125" style="1" customWidth="1"/>
    <col min="11" max="11" width="8.44140625" style="1" customWidth="1"/>
    <col min="12" max="12" width="7.77734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109375" style="1" customWidth="1"/>
    <col min="18" max="18" width="4.77734375" style="1" customWidth="1"/>
    <col min="19" max="20" width="7" style="1" customWidth="1"/>
    <col min="21" max="21" width="11.77734375" style="1" hidden="1" customWidth="1"/>
    <col min="22" max="22" width="8.77734375" style="1" hidden="1" customWidth="1"/>
    <col min="23" max="25" width="7.5546875" style="1" customWidth="1"/>
    <col min="26" max="26" width="8.88671875" style="1" customWidth="1"/>
    <col min="27" max="27" width="9.109375" style="1" customWidth="1"/>
    <col min="28" max="28" width="5.109375" style="1" customWidth="1"/>
    <col min="29" max="29" width="10.77734375" style="1" customWidth="1"/>
    <col min="30" max="16384" width="8.88671875" style="1"/>
  </cols>
  <sheetData>
    <row r="1" spans="1:29" ht="18" customHeight="1">
      <c r="A1" s="81" t="s">
        <v>399</v>
      </c>
      <c r="B1" s="81" t="s">
        <v>26</v>
      </c>
      <c r="C1" s="81" t="s">
        <v>26</v>
      </c>
      <c r="D1" s="81" t="s">
        <v>26</v>
      </c>
      <c r="E1" s="81" t="s">
        <v>26</v>
      </c>
      <c r="F1" s="81" t="s">
        <v>26</v>
      </c>
      <c r="G1" s="81" t="s">
        <v>26</v>
      </c>
      <c r="H1" s="81" t="s">
        <v>26</v>
      </c>
      <c r="I1" s="81" t="s">
        <v>26</v>
      </c>
      <c r="J1" s="81" t="s">
        <v>26</v>
      </c>
      <c r="K1" s="81" t="s">
        <v>26</v>
      </c>
      <c r="L1" s="81" t="s">
        <v>26</v>
      </c>
      <c r="M1" s="81" t="s">
        <v>26</v>
      </c>
      <c r="N1" s="81" t="s">
        <v>26</v>
      </c>
      <c r="O1" s="81" t="s">
        <v>26</v>
      </c>
      <c r="P1" s="81" t="s">
        <v>26</v>
      </c>
      <c r="Q1" s="81" t="s">
        <v>26</v>
      </c>
      <c r="R1" s="81" t="s">
        <v>26</v>
      </c>
      <c r="S1" s="81" t="s">
        <v>26</v>
      </c>
      <c r="T1" s="81" t="s">
        <v>26</v>
      </c>
      <c r="U1" s="81" t="s">
        <v>26</v>
      </c>
      <c r="V1" s="81" t="s">
        <v>26</v>
      </c>
      <c r="W1" s="81" t="s">
        <v>26</v>
      </c>
      <c r="X1" s="81" t="s">
        <v>26</v>
      </c>
      <c r="Y1" s="81" t="s">
        <v>26</v>
      </c>
      <c r="Z1" s="81" t="s">
        <v>26</v>
      </c>
      <c r="AA1" s="81" t="s">
        <v>26</v>
      </c>
      <c r="AB1" s="81" t="s">
        <v>26</v>
      </c>
      <c r="AC1" s="81" t="s">
        <v>26</v>
      </c>
    </row>
    <row r="2" spans="1:29" ht="41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>
        <v>1</v>
      </c>
      <c r="B3" s="43" t="s">
        <v>394</v>
      </c>
      <c r="C3" s="38" t="s">
        <v>34</v>
      </c>
      <c r="D3" s="38" t="s">
        <v>318</v>
      </c>
      <c r="E3" s="38">
        <v>263227</v>
      </c>
      <c r="F3" s="38" t="s">
        <v>374</v>
      </c>
      <c r="G3" s="38">
        <v>3000</v>
      </c>
      <c r="H3" s="40">
        <v>0.72</v>
      </c>
      <c r="I3" s="40">
        <v>0.85</v>
      </c>
      <c r="J3" s="38" t="s">
        <v>26</v>
      </c>
      <c r="K3" s="38" t="s">
        <v>32</v>
      </c>
      <c r="L3" s="38" t="s">
        <v>26</v>
      </c>
      <c r="M3" s="40">
        <v>1836</v>
      </c>
      <c r="N3" s="42">
        <v>1275</v>
      </c>
      <c r="O3" s="39">
        <v>0.17710000000000001</v>
      </c>
      <c r="P3" s="41">
        <v>10.63</v>
      </c>
      <c r="Q3" s="38">
        <v>587.5</v>
      </c>
      <c r="R3" s="38">
        <v>2</v>
      </c>
      <c r="S3" s="38">
        <v>1500</v>
      </c>
      <c r="T3" s="40">
        <v>1.44</v>
      </c>
      <c r="U3" s="38">
        <v>60</v>
      </c>
      <c r="V3" s="39">
        <v>0.04</v>
      </c>
      <c r="W3" s="38" t="s">
        <v>27</v>
      </c>
      <c r="X3" s="38" t="s">
        <v>27</v>
      </c>
      <c r="Y3" s="38" t="s">
        <v>27</v>
      </c>
      <c r="Z3" s="38" t="s">
        <v>26</v>
      </c>
      <c r="AA3" s="38" t="s">
        <v>26</v>
      </c>
      <c r="AB3" s="38" t="s">
        <v>29</v>
      </c>
      <c r="AC3" s="38" t="s">
        <v>398</v>
      </c>
    </row>
    <row r="4" spans="1:29" s="2" customFormat="1" ht="25.05" customHeight="1">
      <c r="A4" s="38">
        <v>2</v>
      </c>
      <c r="B4" s="43" t="s">
        <v>394</v>
      </c>
      <c r="C4" s="38" t="s">
        <v>34</v>
      </c>
      <c r="D4" s="38" t="s">
        <v>318</v>
      </c>
      <c r="E4" s="38">
        <v>263230</v>
      </c>
      <c r="F4" s="38" t="s">
        <v>374</v>
      </c>
      <c r="G4" s="38">
        <v>3400</v>
      </c>
      <c r="H4" s="40">
        <v>0.435</v>
      </c>
      <c r="I4" s="40">
        <v>0.65</v>
      </c>
      <c r="J4" s="38" t="s">
        <v>26</v>
      </c>
      <c r="K4" s="38" t="s">
        <v>32</v>
      </c>
      <c r="L4" s="38" t="s">
        <v>26</v>
      </c>
      <c r="M4" s="40">
        <v>961.35</v>
      </c>
      <c r="N4" s="42">
        <v>736.7</v>
      </c>
      <c r="O4" s="39">
        <v>6.8199999999999997E-2</v>
      </c>
      <c r="P4" s="41">
        <v>4.09</v>
      </c>
      <c r="Q4" s="38">
        <v>307.60000000000002</v>
      </c>
      <c r="R4" s="38">
        <v>3</v>
      </c>
      <c r="S4" s="38">
        <v>1350</v>
      </c>
      <c r="T4" s="40">
        <v>1.3049999999999999</v>
      </c>
      <c r="U4" s="38">
        <v>45</v>
      </c>
      <c r="V4" s="39">
        <v>3.3300000000000003E-2</v>
      </c>
      <c r="W4" s="38" t="s">
        <v>27</v>
      </c>
      <c r="X4" s="38" t="s">
        <v>27</v>
      </c>
      <c r="Y4" s="38" t="s">
        <v>27</v>
      </c>
      <c r="Z4" s="38" t="s">
        <v>26</v>
      </c>
      <c r="AA4" s="38" t="s">
        <v>26</v>
      </c>
      <c r="AB4" s="38" t="s">
        <v>31</v>
      </c>
      <c r="AC4" s="38" t="s">
        <v>397</v>
      </c>
    </row>
    <row r="5" spans="1:29" s="2" customFormat="1" ht="25.05" customHeight="1">
      <c r="A5" s="38">
        <v>3</v>
      </c>
      <c r="B5" s="43" t="s">
        <v>394</v>
      </c>
      <c r="C5" s="38" t="s">
        <v>34</v>
      </c>
      <c r="D5" s="38" t="s">
        <v>318</v>
      </c>
      <c r="E5" s="38">
        <v>263231</v>
      </c>
      <c r="F5" s="38" t="s">
        <v>374</v>
      </c>
      <c r="G5" s="38">
        <v>3100</v>
      </c>
      <c r="H5" s="40">
        <v>0.435</v>
      </c>
      <c r="I5" s="40">
        <v>0.72499999999999998</v>
      </c>
      <c r="J5" s="38" t="s">
        <v>26</v>
      </c>
      <c r="K5" s="38" t="s">
        <v>32</v>
      </c>
      <c r="L5" s="38" t="s">
        <v>26</v>
      </c>
      <c r="M5" s="40">
        <v>977.66300000000001</v>
      </c>
      <c r="N5" s="42">
        <v>749.2</v>
      </c>
      <c r="O5" s="39">
        <v>6.9400000000000003E-2</v>
      </c>
      <c r="P5" s="41">
        <v>4.16</v>
      </c>
      <c r="Q5" s="38">
        <v>312.89999999999998</v>
      </c>
      <c r="R5" s="38">
        <v>3</v>
      </c>
      <c r="S5" s="38">
        <v>1350</v>
      </c>
      <c r="T5" s="40">
        <v>1.3049999999999999</v>
      </c>
      <c r="U5" s="38">
        <v>45</v>
      </c>
      <c r="V5" s="39">
        <v>3.3300000000000003E-2</v>
      </c>
      <c r="W5" s="38" t="s">
        <v>27</v>
      </c>
      <c r="X5" s="38" t="s">
        <v>27</v>
      </c>
      <c r="Y5" s="38" t="s">
        <v>27</v>
      </c>
      <c r="Z5" s="38" t="s">
        <v>26</v>
      </c>
      <c r="AA5" s="38" t="s">
        <v>26</v>
      </c>
      <c r="AB5" s="38" t="s">
        <v>31</v>
      </c>
      <c r="AC5" s="38" t="s">
        <v>396</v>
      </c>
    </row>
    <row r="6" spans="1:29" s="2" customFormat="1" ht="25.05" customHeight="1">
      <c r="A6" s="38">
        <v>4</v>
      </c>
      <c r="B6" s="43" t="s">
        <v>394</v>
      </c>
      <c r="C6" s="38" t="s">
        <v>34</v>
      </c>
      <c r="D6" s="38" t="s">
        <v>318</v>
      </c>
      <c r="E6" s="38">
        <v>263228</v>
      </c>
      <c r="F6" s="38" t="s">
        <v>374</v>
      </c>
      <c r="G6" s="38">
        <v>1800</v>
      </c>
      <c r="H6" s="40">
        <v>0.63500000000000001</v>
      </c>
      <c r="I6" s="40">
        <v>0.85</v>
      </c>
      <c r="J6" s="38" t="s">
        <v>26</v>
      </c>
      <c r="K6" s="38" t="s">
        <v>32</v>
      </c>
      <c r="L6" s="38" t="s">
        <v>26</v>
      </c>
      <c r="M6" s="40">
        <v>971.55</v>
      </c>
      <c r="N6" s="42">
        <v>765</v>
      </c>
      <c r="O6" s="39">
        <v>0.1062</v>
      </c>
      <c r="P6" s="41">
        <v>6.38</v>
      </c>
      <c r="Q6" s="38">
        <v>310.89999999999998</v>
      </c>
      <c r="R6" s="38">
        <v>2</v>
      </c>
      <c r="S6" s="38">
        <v>1300</v>
      </c>
      <c r="T6" s="40">
        <v>1.27</v>
      </c>
      <c r="U6" s="38">
        <v>30</v>
      </c>
      <c r="V6" s="39">
        <v>2.3099999999999999E-2</v>
      </c>
      <c r="W6" s="38" t="s">
        <v>27</v>
      </c>
      <c r="X6" s="38" t="s">
        <v>27</v>
      </c>
      <c r="Y6" s="38" t="s">
        <v>27</v>
      </c>
      <c r="Z6" s="38" t="s">
        <v>26</v>
      </c>
      <c r="AA6" s="38" t="s">
        <v>26</v>
      </c>
      <c r="AB6" s="38" t="s">
        <v>31</v>
      </c>
      <c r="AC6" s="38" t="s">
        <v>395</v>
      </c>
    </row>
    <row r="7" spans="1:29" s="2" customFormat="1" ht="25.05" customHeight="1">
      <c r="A7" s="38">
        <v>5</v>
      </c>
      <c r="B7" s="43" t="s">
        <v>394</v>
      </c>
      <c r="C7" s="38" t="s">
        <v>34</v>
      </c>
      <c r="D7" s="38" t="s">
        <v>318</v>
      </c>
      <c r="E7" s="38">
        <v>263229</v>
      </c>
      <c r="F7" s="38" t="s">
        <v>374</v>
      </c>
      <c r="G7" s="38">
        <v>4000</v>
      </c>
      <c r="H7" s="40">
        <v>0.41</v>
      </c>
      <c r="I7" s="40">
        <v>0.61</v>
      </c>
      <c r="J7" s="38" t="s">
        <v>26</v>
      </c>
      <c r="K7" s="38" t="s">
        <v>32</v>
      </c>
      <c r="L7" s="38" t="s">
        <v>26</v>
      </c>
      <c r="M7" s="40">
        <v>1000.4</v>
      </c>
      <c r="N7" s="42">
        <v>813.3</v>
      </c>
      <c r="O7" s="39">
        <v>7.5300000000000006E-2</v>
      </c>
      <c r="P7" s="41">
        <v>4.5199999999999996</v>
      </c>
      <c r="Q7" s="38">
        <v>320.10000000000002</v>
      </c>
      <c r="R7" s="38">
        <v>3</v>
      </c>
      <c r="S7" s="38">
        <v>1250</v>
      </c>
      <c r="T7" s="40">
        <v>1.23</v>
      </c>
      <c r="U7" s="38">
        <v>20</v>
      </c>
      <c r="V7" s="39">
        <v>1.6E-2</v>
      </c>
      <c r="W7" s="38" t="s">
        <v>27</v>
      </c>
      <c r="X7" s="38" t="s">
        <v>27</v>
      </c>
      <c r="Y7" s="38" t="s">
        <v>27</v>
      </c>
      <c r="Z7" s="38" t="s">
        <v>26</v>
      </c>
      <c r="AA7" s="38" t="s">
        <v>26</v>
      </c>
      <c r="AB7" s="38" t="s">
        <v>31</v>
      </c>
      <c r="AC7" s="38" t="s">
        <v>393</v>
      </c>
    </row>
    <row r="8" spans="1:29" s="2" customFormat="1" ht="25.05" customHeight="1">
      <c r="A8" s="37" t="s">
        <v>26</v>
      </c>
      <c r="B8" s="37" t="s">
        <v>26</v>
      </c>
      <c r="C8" s="37" t="s">
        <v>26</v>
      </c>
      <c r="D8" s="37" t="s">
        <v>26</v>
      </c>
      <c r="E8" s="37" t="s">
        <v>26</v>
      </c>
      <c r="F8" s="37" t="s">
        <v>26</v>
      </c>
      <c r="G8" s="37">
        <v>15300</v>
      </c>
      <c r="H8" s="37" t="s">
        <v>26</v>
      </c>
      <c r="I8" s="37" t="s">
        <v>26</v>
      </c>
      <c r="J8" s="37" t="s">
        <v>26</v>
      </c>
      <c r="K8" s="37" t="s">
        <v>26</v>
      </c>
      <c r="L8" s="37" t="s">
        <v>26</v>
      </c>
      <c r="M8" s="37" t="s">
        <v>26</v>
      </c>
      <c r="N8" s="37" t="s">
        <v>26</v>
      </c>
      <c r="O8" s="37" t="s">
        <v>26</v>
      </c>
      <c r="P8" s="37" t="s">
        <v>26</v>
      </c>
      <c r="Q8" s="37">
        <v>1839</v>
      </c>
      <c r="R8" s="37" t="s">
        <v>26</v>
      </c>
      <c r="S8" s="37" t="s">
        <v>26</v>
      </c>
      <c r="T8" s="37" t="s">
        <v>26</v>
      </c>
      <c r="U8" s="37" t="s">
        <v>26</v>
      </c>
      <c r="V8" s="37" t="s">
        <v>26</v>
      </c>
      <c r="W8" s="37" t="s">
        <v>26</v>
      </c>
      <c r="X8" s="37" t="s">
        <v>26</v>
      </c>
      <c r="Y8" s="37" t="s">
        <v>26</v>
      </c>
      <c r="Z8" s="37" t="s">
        <v>26</v>
      </c>
      <c r="AA8" s="37" t="s">
        <v>26</v>
      </c>
      <c r="AB8" s="37" t="s">
        <v>26</v>
      </c>
      <c r="AC8" s="37" t="s">
        <v>26</v>
      </c>
    </row>
  </sheetData>
  <mergeCells count="1">
    <mergeCell ref="A1:AC1"/>
  </mergeCells>
  <pageMargins left="0.511811024" right="0.511811024" top="1.9" bottom="0.78740157499999996" header="0.31496062000000002" footer="0.31496062000000002"/>
  <pageSetup paperSize="9" scale="89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E8C6B-9DD0-41B6-895B-7CC4FCCCB8AC}">
  <sheetPr>
    <pageSetUpPr fitToPage="1"/>
  </sheetPr>
  <dimension ref="A1:AC10"/>
  <sheetViews>
    <sheetView workbookViewId="0">
      <selection sqref="A1:AC1"/>
    </sheetView>
  </sheetViews>
  <sheetFormatPr defaultRowHeight="14.4"/>
  <cols>
    <col min="1" max="1" width="3.6640625" style="3" customWidth="1"/>
    <col min="2" max="2" width="20.77734375" style="3" hidden="1" customWidth="1"/>
    <col min="3" max="3" width="5.44140625" style="3" customWidth="1"/>
    <col min="4" max="4" width="11.77734375" style="3" hidden="1" customWidth="1"/>
    <col min="5" max="5" width="7.33203125" style="3" customWidth="1"/>
    <col min="6" max="6" width="6.6640625" style="3" customWidth="1"/>
    <col min="7" max="7" width="6.21875" style="3" customWidth="1"/>
    <col min="8" max="8" width="6" style="3" customWidth="1"/>
    <col min="9" max="9" width="6.5546875" style="3" customWidth="1"/>
    <col min="10" max="10" width="7.44140625" style="3" customWidth="1"/>
    <col min="11" max="11" width="14.10937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hidden="1" customWidth="1"/>
    <col min="18" max="19" width="6.5546875" style="3" hidden="1" customWidth="1"/>
    <col min="20" max="20" width="6.33203125" style="3" hidden="1" customWidth="1"/>
    <col min="21" max="21" width="11.77734375" style="3" hidden="1" customWidth="1"/>
    <col min="22" max="22" width="8.77734375" style="3" hidden="1" customWidth="1"/>
    <col min="23" max="23" width="7.44140625" style="3" customWidth="1"/>
    <col min="24" max="24" width="7.5546875" style="3" customWidth="1"/>
    <col min="25" max="25" width="8.109375" style="3" customWidth="1"/>
    <col min="26" max="26" width="8" style="3" customWidth="1"/>
    <col min="27" max="27" width="10.21875" style="3" customWidth="1"/>
    <col min="28" max="28" width="4.77734375" style="3" customWidth="1"/>
    <col min="29" max="29" width="11.21875" style="3" customWidth="1"/>
    <col min="30" max="16384" width="8.88671875" style="3"/>
  </cols>
  <sheetData>
    <row r="1" spans="1:29" ht="18" customHeight="1">
      <c r="A1" s="82" t="s">
        <v>389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6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3.4" customHeight="1">
      <c r="A3" s="13"/>
      <c r="B3" s="14" t="s">
        <v>107</v>
      </c>
      <c r="C3" s="14" t="s">
        <v>25</v>
      </c>
      <c r="D3" s="14" t="s">
        <v>318</v>
      </c>
      <c r="E3" s="13">
        <v>263233</v>
      </c>
      <c r="F3" s="14" t="s">
        <v>401</v>
      </c>
      <c r="G3" s="13">
        <v>450</v>
      </c>
      <c r="H3" s="15">
        <v>1.3879999999999999</v>
      </c>
      <c r="I3" s="15">
        <v>1.5029999999999999</v>
      </c>
      <c r="J3" s="13"/>
      <c r="K3" s="14" t="s">
        <v>402</v>
      </c>
      <c r="L3" s="13"/>
      <c r="M3" s="15">
        <v>938.774</v>
      </c>
      <c r="N3" s="16">
        <v>676.3</v>
      </c>
      <c r="O3" s="17">
        <v>0.18790000000000001</v>
      </c>
      <c r="P3" s="18">
        <v>11.27</v>
      </c>
      <c r="Q3" s="13">
        <v>505.1</v>
      </c>
      <c r="R3" s="13">
        <v>1</v>
      </c>
      <c r="S3" s="13">
        <v>1450</v>
      </c>
      <c r="T3" s="15">
        <v>1.3879999999999999</v>
      </c>
      <c r="U3" s="13">
        <v>62</v>
      </c>
      <c r="V3" s="17">
        <v>4.2799999999999998E-2</v>
      </c>
      <c r="W3" s="14" t="s">
        <v>27</v>
      </c>
      <c r="X3" s="14" t="s">
        <v>28</v>
      </c>
      <c r="Y3" s="14" t="s">
        <v>27</v>
      </c>
      <c r="Z3" s="14" t="s">
        <v>27</v>
      </c>
      <c r="AA3" s="14" t="s">
        <v>27</v>
      </c>
      <c r="AB3" s="14" t="s">
        <v>29</v>
      </c>
      <c r="AC3" s="14" t="s">
        <v>403</v>
      </c>
    </row>
    <row r="4" spans="1:29" customFormat="1" ht="23.4" customHeight="1">
      <c r="A4" s="13"/>
      <c r="B4" s="14" t="s">
        <v>80</v>
      </c>
      <c r="C4" s="14" t="s">
        <v>34</v>
      </c>
      <c r="D4" s="14" t="s">
        <v>404</v>
      </c>
      <c r="E4" s="13">
        <v>263234</v>
      </c>
      <c r="F4" s="14" t="s">
        <v>405</v>
      </c>
      <c r="G4" s="13">
        <v>3000</v>
      </c>
      <c r="H4" s="15">
        <v>0.51</v>
      </c>
      <c r="I4" s="15">
        <v>1.073</v>
      </c>
      <c r="J4" s="13"/>
      <c r="K4" s="14" t="s">
        <v>406</v>
      </c>
      <c r="L4" s="13"/>
      <c r="M4" s="15">
        <v>1641.69</v>
      </c>
      <c r="N4" s="16">
        <v>1073</v>
      </c>
      <c r="O4" s="17">
        <v>9.9400000000000002E-2</v>
      </c>
      <c r="P4" s="18">
        <v>5.96</v>
      </c>
      <c r="Q4" s="13">
        <v>525.29999999999995</v>
      </c>
      <c r="R4" s="13">
        <v>3</v>
      </c>
      <c r="S4" s="13">
        <v>1550</v>
      </c>
      <c r="T4" s="15">
        <v>1.53</v>
      </c>
      <c r="U4" s="13">
        <v>20</v>
      </c>
      <c r="V4" s="17">
        <v>1.29E-2</v>
      </c>
      <c r="W4" s="14" t="s">
        <v>27</v>
      </c>
      <c r="X4" s="14" t="s">
        <v>27</v>
      </c>
      <c r="Y4" s="14" t="s">
        <v>27</v>
      </c>
      <c r="Z4" s="14"/>
      <c r="AA4" s="14"/>
      <c r="AB4" s="14" t="s">
        <v>31</v>
      </c>
      <c r="AC4" s="14" t="s">
        <v>407</v>
      </c>
    </row>
    <row r="5" spans="1:29" s="11" customFormat="1" ht="25.05" customHeight="1">
      <c r="A5" s="27"/>
      <c r="B5" s="28" t="s">
        <v>80</v>
      </c>
      <c r="C5" s="27" t="s">
        <v>34</v>
      </c>
      <c r="D5" s="27" t="s">
        <v>318</v>
      </c>
      <c r="E5" s="27">
        <v>263223</v>
      </c>
      <c r="F5" s="27" t="s">
        <v>388</v>
      </c>
      <c r="G5" s="27">
        <v>800</v>
      </c>
      <c r="H5" s="29">
        <v>1</v>
      </c>
      <c r="I5" s="29">
        <v>3.4</v>
      </c>
      <c r="J5" s="27" t="s">
        <v>26</v>
      </c>
      <c r="K5" s="27" t="s">
        <v>32</v>
      </c>
      <c r="L5" s="27" t="s">
        <v>26</v>
      </c>
      <c r="M5" s="29">
        <v>2720</v>
      </c>
      <c r="N5" s="30">
        <v>2720</v>
      </c>
      <c r="O5" s="31">
        <v>0.75560000000000005</v>
      </c>
      <c r="P5" s="32">
        <v>45.33</v>
      </c>
      <c r="Q5" s="27">
        <v>870.4</v>
      </c>
      <c r="R5" s="27">
        <v>1</v>
      </c>
      <c r="S5" s="27">
        <v>1050</v>
      </c>
      <c r="T5" s="29">
        <v>1</v>
      </c>
      <c r="U5" s="27">
        <v>50</v>
      </c>
      <c r="V5" s="31">
        <v>4.7600000000000003E-2</v>
      </c>
      <c r="W5" s="27" t="s">
        <v>27</v>
      </c>
      <c r="X5" s="27" t="s">
        <v>27</v>
      </c>
      <c r="Y5" s="27" t="s">
        <v>27</v>
      </c>
      <c r="Z5" s="27" t="s">
        <v>26</v>
      </c>
      <c r="AA5" s="27" t="s">
        <v>26</v>
      </c>
      <c r="AB5" s="27" t="s">
        <v>31</v>
      </c>
      <c r="AC5" s="27" t="s">
        <v>387</v>
      </c>
    </row>
    <row r="6" spans="1:29" s="73" customFormat="1" ht="25.05" customHeight="1">
      <c r="A6" s="13"/>
      <c r="B6" s="28" t="s">
        <v>80</v>
      </c>
      <c r="C6" s="67" t="s">
        <v>34</v>
      </c>
      <c r="D6" s="67" t="s">
        <v>318</v>
      </c>
      <c r="E6" s="68">
        <v>263232</v>
      </c>
      <c r="F6" s="67" t="s">
        <v>391</v>
      </c>
      <c r="G6" s="68">
        <v>300</v>
      </c>
      <c r="H6" s="69">
        <v>0.79600000000000004</v>
      </c>
      <c r="I6" s="69">
        <v>1.8</v>
      </c>
      <c r="J6" s="13"/>
      <c r="K6" s="67" t="s">
        <v>32</v>
      </c>
      <c r="L6" s="13"/>
      <c r="M6" s="69">
        <v>429.84</v>
      </c>
      <c r="N6" s="70">
        <v>540</v>
      </c>
      <c r="O6" s="71">
        <v>0.15</v>
      </c>
      <c r="P6" s="72">
        <v>9</v>
      </c>
      <c r="Q6" s="68">
        <v>137.5</v>
      </c>
      <c r="R6" s="68">
        <v>1</v>
      </c>
      <c r="S6" s="68">
        <v>850</v>
      </c>
      <c r="T6" s="69">
        <v>0.79600000000000004</v>
      </c>
      <c r="U6" s="68">
        <v>54</v>
      </c>
      <c r="V6" s="71">
        <v>6.3500000000000001E-2</v>
      </c>
      <c r="W6" s="67" t="s">
        <v>27</v>
      </c>
      <c r="X6" s="67" t="s">
        <v>27</v>
      </c>
      <c r="Y6" s="67" t="s">
        <v>27</v>
      </c>
      <c r="Z6" s="14"/>
      <c r="AA6" s="14"/>
      <c r="AB6" s="67" t="s">
        <v>36</v>
      </c>
      <c r="AC6" s="67" t="s">
        <v>400</v>
      </c>
    </row>
    <row r="7" spans="1:29" s="11" customFormat="1" ht="25.05" customHeight="1">
      <c r="A7" s="74"/>
      <c r="B7" s="75" t="s">
        <v>107</v>
      </c>
      <c r="C7" s="74" t="s">
        <v>34</v>
      </c>
      <c r="D7" s="74" t="s">
        <v>318</v>
      </c>
      <c r="E7" s="74">
        <v>263225</v>
      </c>
      <c r="F7" s="74" t="s">
        <v>391</v>
      </c>
      <c r="G7" s="74">
        <v>1250</v>
      </c>
      <c r="H7" s="76">
        <v>0.55600000000000005</v>
      </c>
      <c r="I7" s="76">
        <v>0.95799999999999996</v>
      </c>
      <c r="J7" s="74" t="s">
        <v>26</v>
      </c>
      <c r="K7" s="74" t="s">
        <v>32</v>
      </c>
      <c r="L7" s="74" t="s">
        <v>26</v>
      </c>
      <c r="M7" s="76">
        <v>665.81</v>
      </c>
      <c r="N7" s="77">
        <v>598.79999999999995</v>
      </c>
      <c r="O7" s="78">
        <v>8.3199999999999996E-2</v>
      </c>
      <c r="P7" s="79">
        <v>4.99</v>
      </c>
      <c r="Q7" s="74">
        <v>213.1</v>
      </c>
      <c r="R7" s="74">
        <v>2</v>
      </c>
      <c r="S7" s="74">
        <v>1150</v>
      </c>
      <c r="T7" s="76">
        <v>1.1120000000000001</v>
      </c>
      <c r="U7" s="74">
        <v>38</v>
      </c>
      <c r="V7" s="78">
        <v>3.3000000000000002E-2</v>
      </c>
      <c r="W7" s="74" t="s">
        <v>27</v>
      </c>
      <c r="X7" s="74" t="s">
        <v>27</v>
      </c>
      <c r="Y7" s="74" t="s">
        <v>27</v>
      </c>
      <c r="Z7" s="74" t="s">
        <v>26</v>
      </c>
      <c r="AA7" s="74" t="s">
        <v>26</v>
      </c>
      <c r="AB7" s="74" t="s">
        <v>36</v>
      </c>
      <c r="AC7" s="74" t="s">
        <v>392</v>
      </c>
    </row>
    <row r="8" spans="1:29" s="11" customFormat="1" ht="25.05" customHeight="1">
      <c r="A8" s="74"/>
      <c r="B8" s="75" t="s">
        <v>107</v>
      </c>
      <c r="C8" s="74" t="s">
        <v>34</v>
      </c>
      <c r="D8" s="74" t="s">
        <v>318</v>
      </c>
      <c r="E8" s="74">
        <v>263226</v>
      </c>
      <c r="F8" s="74" t="s">
        <v>391</v>
      </c>
      <c r="G8" s="74">
        <v>300</v>
      </c>
      <c r="H8" s="76">
        <v>0.93300000000000005</v>
      </c>
      <c r="I8" s="76">
        <v>1.778</v>
      </c>
      <c r="J8" s="74" t="s">
        <v>26</v>
      </c>
      <c r="K8" s="74" t="s">
        <v>32</v>
      </c>
      <c r="L8" s="74" t="s">
        <v>26</v>
      </c>
      <c r="M8" s="76">
        <v>497.66199999999998</v>
      </c>
      <c r="N8" s="77">
        <v>533.4</v>
      </c>
      <c r="O8" s="78">
        <v>0.1482</v>
      </c>
      <c r="P8" s="79">
        <v>8.89</v>
      </c>
      <c r="Q8" s="74">
        <v>159.30000000000001</v>
      </c>
      <c r="R8" s="74">
        <v>1</v>
      </c>
      <c r="S8" s="74">
        <v>1000</v>
      </c>
      <c r="T8" s="76">
        <v>0.93300000000000005</v>
      </c>
      <c r="U8" s="74">
        <v>67</v>
      </c>
      <c r="V8" s="78">
        <v>6.7000000000000004E-2</v>
      </c>
      <c r="W8" s="74" t="s">
        <v>27</v>
      </c>
      <c r="X8" s="74" t="s">
        <v>27</v>
      </c>
      <c r="Y8" s="74" t="s">
        <v>27</v>
      </c>
      <c r="Z8" s="74" t="s">
        <v>26</v>
      </c>
      <c r="AA8" s="74" t="s">
        <v>26</v>
      </c>
      <c r="AB8" s="74" t="s">
        <v>36</v>
      </c>
      <c r="AC8" s="74" t="s">
        <v>390</v>
      </c>
    </row>
    <row r="9" spans="1:29" s="11" customFormat="1" ht="25.05" customHeight="1">
      <c r="A9" s="55" t="s">
        <v>26</v>
      </c>
      <c r="B9" s="55" t="s">
        <v>26</v>
      </c>
      <c r="C9" s="55" t="s">
        <v>26</v>
      </c>
      <c r="D9" s="55" t="s">
        <v>26</v>
      </c>
      <c r="E9" s="55" t="s">
        <v>26</v>
      </c>
      <c r="F9" s="55" t="s">
        <v>26</v>
      </c>
      <c r="G9" s="55">
        <f>SUM(G5:G8)</f>
        <v>2650</v>
      </c>
      <c r="H9" s="55" t="s">
        <v>26</v>
      </c>
      <c r="I9" s="55" t="s">
        <v>26</v>
      </c>
      <c r="J9" s="55" t="s">
        <v>26</v>
      </c>
      <c r="K9" s="55" t="s">
        <v>26</v>
      </c>
      <c r="L9" s="55" t="s">
        <v>26</v>
      </c>
      <c r="M9" s="55" t="s">
        <v>26</v>
      </c>
      <c r="N9" s="55" t="s">
        <v>26</v>
      </c>
      <c r="O9" s="55" t="s">
        <v>26</v>
      </c>
      <c r="P9" s="55" t="s">
        <v>26</v>
      </c>
      <c r="Q9" s="55">
        <f>SUM(Q5:Q8)</f>
        <v>1380.3</v>
      </c>
      <c r="R9" s="55" t="s">
        <v>26</v>
      </c>
      <c r="S9" s="55" t="s">
        <v>26</v>
      </c>
      <c r="T9" s="55" t="s">
        <v>26</v>
      </c>
      <c r="U9" s="55" t="s">
        <v>26</v>
      </c>
      <c r="V9" s="55" t="s">
        <v>26</v>
      </c>
      <c r="W9" s="55" t="s">
        <v>26</v>
      </c>
      <c r="X9" s="55" t="s">
        <v>26</v>
      </c>
      <c r="Y9" s="55" t="s">
        <v>26</v>
      </c>
      <c r="Z9" s="55" t="s">
        <v>26</v>
      </c>
      <c r="AA9" s="55" t="s">
        <v>26</v>
      </c>
      <c r="AB9" s="55" t="s">
        <v>26</v>
      </c>
      <c r="AC9" s="55" t="s">
        <v>26</v>
      </c>
    </row>
    <row r="10" spans="1:29" s="11" customFormat="1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442BF-0D9E-40BD-9FD4-04AFCF356976}">
  <sheetPr>
    <pageSetUpPr fitToPage="1"/>
  </sheetPr>
  <dimension ref="A1:AC7"/>
  <sheetViews>
    <sheetView workbookViewId="0">
      <selection activeCell="J39" sqref="J39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77734375" style="3" customWidth="1"/>
    <col min="6" max="6" width="6.88671875" style="3" customWidth="1"/>
    <col min="7" max="7" width="6.21875" style="3" customWidth="1"/>
    <col min="8" max="8" width="6.5546875" style="3" customWidth="1"/>
    <col min="9" max="9" width="7.44140625" style="3" customWidth="1"/>
    <col min="10" max="10" width="8.109375" style="3" customWidth="1"/>
    <col min="11" max="11" width="7.44140625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" style="3" customWidth="1"/>
    <col min="18" max="18" width="5.109375" style="3" hidden="1" customWidth="1"/>
    <col min="19" max="19" width="6.21875" style="3" hidden="1" customWidth="1"/>
    <col min="20" max="20" width="6.77734375" style="3" hidden="1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5" width="8.44140625" style="3" customWidth="1"/>
    <col min="26" max="27" width="9.21875" style="3" customWidth="1"/>
    <col min="28" max="28" width="5.109375" style="3" customWidth="1"/>
    <col min="29" max="29" width="11.77734375" style="3" customWidth="1"/>
    <col min="30" max="16384" width="8.88671875" style="3"/>
  </cols>
  <sheetData>
    <row r="1" spans="1:29" ht="18" customHeight="1">
      <c r="A1" s="82" t="s">
        <v>379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ht="25.05" customHeight="1">
      <c r="A3" s="64">
        <v>1</v>
      </c>
      <c r="B3" s="66" t="s">
        <v>375</v>
      </c>
      <c r="C3" s="64" t="s">
        <v>42</v>
      </c>
      <c r="D3" s="64" t="s">
        <v>318</v>
      </c>
      <c r="E3" s="64">
        <v>263218</v>
      </c>
      <c r="F3" s="64" t="s">
        <v>374</v>
      </c>
      <c r="G3" s="64">
        <v>3052</v>
      </c>
      <c r="H3" s="65">
        <v>0.39</v>
      </c>
      <c r="I3" s="65">
        <v>0.71</v>
      </c>
      <c r="J3" s="64" t="s">
        <v>26</v>
      </c>
      <c r="K3" s="64" t="s">
        <v>32</v>
      </c>
      <c r="L3" s="64" t="s">
        <v>26</v>
      </c>
      <c r="M3" s="61">
        <v>845.09900000000005</v>
      </c>
      <c r="N3" s="63">
        <v>541.70000000000005</v>
      </c>
      <c r="O3" s="60">
        <v>3.7600000000000001E-2</v>
      </c>
      <c r="P3" s="62">
        <v>2.2599999999999998</v>
      </c>
      <c r="Q3" s="59">
        <v>300</v>
      </c>
      <c r="R3" s="59">
        <v>4</v>
      </c>
      <c r="S3" s="59">
        <v>1600</v>
      </c>
      <c r="T3" s="61">
        <v>1.56</v>
      </c>
      <c r="U3" s="59">
        <v>40</v>
      </c>
      <c r="V3" s="60">
        <v>2.5000000000000001E-2</v>
      </c>
      <c r="W3" s="59" t="s">
        <v>28</v>
      </c>
      <c r="X3" s="59" t="s">
        <v>27</v>
      </c>
      <c r="Y3" s="59" t="s">
        <v>28</v>
      </c>
      <c r="Z3" s="59" t="s">
        <v>26</v>
      </c>
      <c r="AA3" s="59" t="s">
        <v>26</v>
      </c>
      <c r="AB3" s="59" t="s">
        <v>36</v>
      </c>
      <c r="AC3" s="59" t="s">
        <v>378</v>
      </c>
    </row>
    <row r="4" spans="1:29" ht="25.05" customHeight="1">
      <c r="A4" s="64">
        <v>2</v>
      </c>
      <c r="B4" s="66" t="s">
        <v>375</v>
      </c>
      <c r="C4" s="64" t="s">
        <v>273</v>
      </c>
      <c r="D4" s="64" t="s">
        <v>318</v>
      </c>
      <c r="E4" s="64">
        <v>263216</v>
      </c>
      <c r="F4" s="64" t="s">
        <v>374</v>
      </c>
      <c r="G4" s="64">
        <v>2068</v>
      </c>
      <c r="H4" s="65">
        <v>0.72</v>
      </c>
      <c r="I4" s="65">
        <v>0.92</v>
      </c>
      <c r="J4" s="64" t="s">
        <v>26</v>
      </c>
      <c r="K4" s="64" t="s">
        <v>32</v>
      </c>
      <c r="L4" s="64" t="s">
        <v>26</v>
      </c>
      <c r="M4" s="61">
        <v>1369.8430000000001</v>
      </c>
      <c r="N4" s="63">
        <v>951.3</v>
      </c>
      <c r="O4" s="60">
        <v>0.1321</v>
      </c>
      <c r="P4" s="62">
        <v>7.93</v>
      </c>
      <c r="Q4" s="59">
        <v>500</v>
      </c>
      <c r="R4" s="59">
        <v>2</v>
      </c>
      <c r="S4" s="59">
        <v>1500</v>
      </c>
      <c r="T4" s="61">
        <v>1.44</v>
      </c>
      <c r="U4" s="59">
        <v>60</v>
      </c>
      <c r="V4" s="60">
        <v>0.04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31</v>
      </c>
      <c r="AC4" s="59" t="s">
        <v>377</v>
      </c>
    </row>
    <row r="5" spans="1:29" ht="25.05" customHeight="1">
      <c r="A5" s="64">
        <v>3</v>
      </c>
      <c r="B5" s="66" t="s">
        <v>375</v>
      </c>
      <c r="C5" s="64" t="s">
        <v>273</v>
      </c>
      <c r="D5" s="64" t="s">
        <v>318</v>
      </c>
      <c r="E5" s="64">
        <v>263217</v>
      </c>
      <c r="F5" s="64" t="s">
        <v>374</v>
      </c>
      <c r="G5" s="64">
        <v>2283</v>
      </c>
      <c r="H5" s="65">
        <v>0.48</v>
      </c>
      <c r="I5" s="65">
        <v>1.25</v>
      </c>
      <c r="J5" s="64" t="s">
        <v>26</v>
      </c>
      <c r="K5" s="64" t="s">
        <v>32</v>
      </c>
      <c r="L5" s="64" t="s">
        <v>26</v>
      </c>
      <c r="M5" s="61">
        <v>1369.8</v>
      </c>
      <c r="N5" s="63">
        <v>951.3</v>
      </c>
      <c r="O5" s="60">
        <v>8.8099999999999998E-2</v>
      </c>
      <c r="P5" s="62">
        <v>5.28</v>
      </c>
      <c r="Q5" s="59">
        <v>500</v>
      </c>
      <c r="R5" s="59">
        <v>3</v>
      </c>
      <c r="S5" s="59">
        <v>1500</v>
      </c>
      <c r="T5" s="61">
        <v>1.44</v>
      </c>
      <c r="U5" s="59">
        <v>60</v>
      </c>
      <c r="V5" s="60">
        <v>0.04</v>
      </c>
      <c r="W5" s="59" t="s">
        <v>272</v>
      </c>
      <c r="X5" s="59" t="s">
        <v>28</v>
      </c>
      <c r="Y5" s="59" t="s">
        <v>33</v>
      </c>
      <c r="Z5" s="59" t="s">
        <v>26</v>
      </c>
      <c r="AA5" s="59" t="s">
        <v>26</v>
      </c>
      <c r="AB5" s="59" t="s">
        <v>29</v>
      </c>
      <c r="AC5" s="59" t="s">
        <v>376</v>
      </c>
    </row>
    <row r="6" spans="1:29" ht="25.05" customHeight="1">
      <c r="A6" s="64">
        <v>4</v>
      </c>
      <c r="B6" s="66" t="s">
        <v>375</v>
      </c>
      <c r="C6" s="64" t="s">
        <v>42</v>
      </c>
      <c r="D6" s="64" t="s">
        <v>318</v>
      </c>
      <c r="E6" s="64">
        <v>263219</v>
      </c>
      <c r="F6" s="64" t="s">
        <v>374</v>
      </c>
      <c r="G6" s="64">
        <v>3869</v>
      </c>
      <c r="H6" s="65">
        <v>0.56000000000000005</v>
      </c>
      <c r="I6" s="65">
        <v>0.91</v>
      </c>
      <c r="J6" s="64" t="s">
        <v>26</v>
      </c>
      <c r="K6" s="64" t="s">
        <v>32</v>
      </c>
      <c r="L6" s="64" t="s">
        <v>26</v>
      </c>
      <c r="M6" s="61">
        <v>1971.6420000000001</v>
      </c>
      <c r="N6" s="63">
        <v>1760.4</v>
      </c>
      <c r="O6" s="60">
        <v>0.2445</v>
      </c>
      <c r="P6" s="62">
        <v>14.67</v>
      </c>
      <c r="Q6" s="59">
        <v>699.9</v>
      </c>
      <c r="R6" s="59">
        <v>2</v>
      </c>
      <c r="S6" s="59">
        <v>1150</v>
      </c>
      <c r="T6" s="61">
        <v>1.1200000000000001</v>
      </c>
      <c r="U6" s="59">
        <v>30</v>
      </c>
      <c r="V6" s="60">
        <v>2.6100000000000002E-2</v>
      </c>
      <c r="W6" s="59" t="s">
        <v>28</v>
      </c>
      <c r="X6" s="59" t="s">
        <v>27</v>
      </c>
      <c r="Y6" s="59" t="s">
        <v>28</v>
      </c>
      <c r="Z6" s="59" t="s">
        <v>26</v>
      </c>
      <c r="AA6" s="59" t="s">
        <v>26</v>
      </c>
      <c r="AB6" s="59" t="s">
        <v>29</v>
      </c>
      <c r="AC6" s="59" t="s">
        <v>373</v>
      </c>
    </row>
    <row r="7" spans="1:29" ht="25.05" customHeight="1">
      <c r="A7" s="58" t="s">
        <v>26</v>
      </c>
      <c r="B7" s="58" t="s">
        <v>26</v>
      </c>
      <c r="C7" s="58" t="s">
        <v>26</v>
      </c>
      <c r="D7" s="58" t="s">
        <v>26</v>
      </c>
      <c r="E7" s="58" t="s">
        <v>26</v>
      </c>
      <c r="F7" s="58" t="s">
        <v>26</v>
      </c>
      <c r="G7" s="58">
        <v>11272</v>
      </c>
      <c r="H7" s="58" t="s">
        <v>26</v>
      </c>
      <c r="I7" s="58" t="s">
        <v>26</v>
      </c>
      <c r="J7" s="58" t="s">
        <v>26</v>
      </c>
      <c r="K7" s="58" t="s">
        <v>26</v>
      </c>
      <c r="L7" s="58" t="s">
        <v>26</v>
      </c>
      <c r="M7" s="57" t="s">
        <v>26</v>
      </c>
      <c r="N7" s="57" t="s">
        <v>26</v>
      </c>
      <c r="O7" s="57" t="s">
        <v>26</v>
      </c>
      <c r="P7" s="57" t="s">
        <v>26</v>
      </c>
      <c r="Q7" s="57">
        <v>1999.9</v>
      </c>
      <c r="R7" s="57" t="s">
        <v>26</v>
      </c>
      <c r="S7" s="57" t="s">
        <v>26</v>
      </c>
      <c r="T7" s="57" t="s">
        <v>26</v>
      </c>
      <c r="U7" s="57" t="s">
        <v>26</v>
      </c>
      <c r="V7" s="57" t="s">
        <v>26</v>
      </c>
      <c r="W7" s="57" t="s">
        <v>26</v>
      </c>
      <c r="X7" s="57" t="s">
        <v>26</v>
      </c>
      <c r="Y7" s="57" t="s">
        <v>26</v>
      </c>
      <c r="Z7" s="57" t="s">
        <v>26</v>
      </c>
      <c r="AA7" s="57" t="s">
        <v>26</v>
      </c>
      <c r="AB7" s="57" t="s">
        <v>26</v>
      </c>
      <c r="AC7" s="57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sheetPr>
    <pageSetUpPr fitToPage="1"/>
  </sheetPr>
  <dimension ref="A1:AC14"/>
  <sheetViews>
    <sheetView workbookViewId="0">
      <selection activeCell="W34" sqref="W34"/>
    </sheetView>
  </sheetViews>
  <sheetFormatPr defaultRowHeight="14.4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2" t="s">
        <v>367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5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4"/>
  <sheetViews>
    <sheetView workbookViewId="0">
      <selection activeCell="Y39" sqref="Y39"/>
    </sheetView>
  </sheetViews>
  <sheetFormatPr defaultRowHeight="14.4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>
      <c r="A1" s="82" t="s">
        <v>351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160</v>
      </c>
      <c r="C3" s="27" t="s">
        <v>25</v>
      </c>
      <c r="D3" s="27" t="s">
        <v>313</v>
      </c>
      <c r="E3" s="27">
        <v>263200</v>
      </c>
      <c r="F3" s="27" t="s">
        <v>339</v>
      </c>
      <c r="G3" s="27">
        <v>950</v>
      </c>
      <c r="H3" s="29">
        <v>0.46400000000000002</v>
      </c>
      <c r="I3" s="29">
        <v>1.2090000000000001</v>
      </c>
      <c r="J3" s="27" t="s">
        <v>26</v>
      </c>
      <c r="K3" s="27" t="s">
        <v>350</v>
      </c>
      <c r="L3" s="27" t="s">
        <v>26</v>
      </c>
      <c r="M3" s="29">
        <v>532.92700000000002</v>
      </c>
      <c r="N3" s="30">
        <v>382.9</v>
      </c>
      <c r="O3" s="31">
        <v>3.5400000000000001E-2</v>
      </c>
      <c r="P3" s="32">
        <v>2.13</v>
      </c>
      <c r="Q3" s="27">
        <v>286.7</v>
      </c>
      <c r="R3" s="27">
        <v>3</v>
      </c>
      <c r="S3" s="27">
        <v>1450</v>
      </c>
      <c r="T3" s="29">
        <v>1.3919999999999999</v>
      </c>
      <c r="U3" s="27">
        <v>58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349</v>
      </c>
    </row>
    <row r="4" spans="1:29" s="11" customFormat="1" ht="25.05" customHeight="1">
      <c r="A4" s="13"/>
      <c r="B4" s="67" t="s">
        <v>160</v>
      </c>
      <c r="C4" s="67" t="s">
        <v>25</v>
      </c>
      <c r="D4" s="67" t="s">
        <v>313</v>
      </c>
      <c r="E4" s="68">
        <v>263222</v>
      </c>
      <c r="F4" s="67" t="s">
        <v>380</v>
      </c>
      <c r="G4" s="68">
        <v>850</v>
      </c>
      <c r="H4" s="69">
        <v>0.64200000000000002</v>
      </c>
      <c r="I4" s="69">
        <v>2.081</v>
      </c>
      <c r="J4" s="13"/>
      <c r="K4" s="67" t="s">
        <v>385</v>
      </c>
      <c r="L4" s="13"/>
      <c r="M4" s="69">
        <v>1135.6020000000001</v>
      </c>
      <c r="N4" s="70">
        <v>884.4</v>
      </c>
      <c r="O4" s="71">
        <v>0.12280000000000001</v>
      </c>
      <c r="P4" s="72">
        <v>7.37</v>
      </c>
      <c r="Q4" s="68">
        <v>611</v>
      </c>
      <c r="R4" s="68">
        <v>2</v>
      </c>
      <c r="S4" s="68">
        <v>1350</v>
      </c>
      <c r="T4" s="69">
        <v>1.284</v>
      </c>
      <c r="U4" s="68">
        <v>66</v>
      </c>
      <c r="V4" s="71">
        <v>4.8899999999999999E-2</v>
      </c>
      <c r="W4" s="67" t="s">
        <v>27</v>
      </c>
      <c r="X4" s="67" t="s">
        <v>28</v>
      </c>
      <c r="Y4" s="67" t="s">
        <v>27</v>
      </c>
      <c r="Z4" s="67" t="s">
        <v>27</v>
      </c>
      <c r="AA4" s="67" t="s">
        <v>27</v>
      </c>
      <c r="AB4" s="67" t="s">
        <v>41</v>
      </c>
      <c r="AC4" s="67" t="s">
        <v>386</v>
      </c>
    </row>
    <row r="5" spans="1:29" s="11" customFormat="1" ht="25.05" customHeight="1">
      <c r="A5" s="13"/>
      <c r="B5" s="67" t="s">
        <v>160</v>
      </c>
      <c r="C5" s="67" t="s">
        <v>25</v>
      </c>
      <c r="D5" s="67" t="s">
        <v>313</v>
      </c>
      <c r="E5" s="68">
        <v>263221</v>
      </c>
      <c r="F5" s="67" t="s">
        <v>380</v>
      </c>
      <c r="G5" s="68">
        <v>650</v>
      </c>
      <c r="H5" s="69">
        <v>0.61799999999999999</v>
      </c>
      <c r="I5" s="69">
        <v>1.45</v>
      </c>
      <c r="J5" s="13"/>
      <c r="K5" s="67" t="s">
        <v>383</v>
      </c>
      <c r="L5" s="13"/>
      <c r="M5" s="69">
        <v>582.46500000000003</v>
      </c>
      <c r="N5" s="70">
        <v>471.3</v>
      </c>
      <c r="O5" s="71">
        <v>6.5500000000000003E-2</v>
      </c>
      <c r="P5" s="72">
        <v>3.93</v>
      </c>
      <c r="Q5" s="68">
        <v>313.39999999999998</v>
      </c>
      <c r="R5" s="68">
        <v>2</v>
      </c>
      <c r="S5" s="68">
        <v>1300</v>
      </c>
      <c r="T5" s="69">
        <v>1.236</v>
      </c>
      <c r="U5" s="68">
        <v>64</v>
      </c>
      <c r="V5" s="71">
        <v>4.9200000000000001E-2</v>
      </c>
      <c r="W5" s="67" t="s">
        <v>27</v>
      </c>
      <c r="X5" s="67" t="s">
        <v>28</v>
      </c>
      <c r="Y5" s="67" t="s">
        <v>27</v>
      </c>
      <c r="Z5" s="67" t="s">
        <v>27</v>
      </c>
      <c r="AA5" s="67" t="s">
        <v>27</v>
      </c>
      <c r="AB5" s="67" t="s">
        <v>30</v>
      </c>
      <c r="AC5" s="67" t="s">
        <v>384</v>
      </c>
    </row>
    <row r="6" spans="1:29" s="11" customFormat="1" ht="25.05" customHeight="1">
      <c r="A6" s="27"/>
      <c r="B6" s="28" t="s">
        <v>160</v>
      </c>
      <c r="C6" s="27" t="s">
        <v>25</v>
      </c>
      <c r="D6" s="27" t="s">
        <v>313</v>
      </c>
      <c r="E6" s="27">
        <v>263199</v>
      </c>
      <c r="F6" s="27" t="s">
        <v>339</v>
      </c>
      <c r="G6" s="27">
        <v>620</v>
      </c>
      <c r="H6" s="29">
        <v>0.56799999999999995</v>
      </c>
      <c r="I6" s="29">
        <v>1.5089999999999999</v>
      </c>
      <c r="J6" s="27" t="s">
        <v>26</v>
      </c>
      <c r="K6" s="27" t="s">
        <v>348</v>
      </c>
      <c r="L6" s="27" t="s">
        <v>26</v>
      </c>
      <c r="M6" s="29">
        <v>531.40899999999999</v>
      </c>
      <c r="N6" s="30">
        <v>467.8</v>
      </c>
      <c r="O6" s="31">
        <v>6.5000000000000002E-2</v>
      </c>
      <c r="P6" s="32">
        <v>3.9</v>
      </c>
      <c r="Q6" s="27">
        <v>285.89999999999998</v>
      </c>
      <c r="R6" s="27">
        <v>2</v>
      </c>
      <c r="S6" s="27">
        <v>1200</v>
      </c>
      <c r="T6" s="29">
        <v>1.1359999999999999</v>
      </c>
      <c r="U6" s="27">
        <v>64</v>
      </c>
      <c r="V6" s="31">
        <v>5.33E-2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347</v>
      </c>
    </row>
    <row r="7" spans="1:29" s="11" customFormat="1" ht="25.05" customHeight="1">
      <c r="A7" s="27"/>
      <c r="B7" s="28" t="s">
        <v>160</v>
      </c>
      <c r="C7" s="27" t="s">
        <v>47</v>
      </c>
      <c r="D7" s="27" t="s">
        <v>313</v>
      </c>
      <c r="E7" s="27">
        <v>263197</v>
      </c>
      <c r="F7" s="27" t="s">
        <v>339</v>
      </c>
      <c r="G7" s="27">
        <v>660</v>
      </c>
      <c r="H7" s="29">
        <v>0.78200000000000003</v>
      </c>
      <c r="I7" s="29">
        <v>1.76</v>
      </c>
      <c r="J7" s="27" t="s">
        <v>26</v>
      </c>
      <c r="K7" s="27" t="s">
        <v>346</v>
      </c>
      <c r="L7" s="27" t="s">
        <v>26</v>
      </c>
      <c r="M7" s="29">
        <v>908.37099999999998</v>
      </c>
      <c r="N7" s="30">
        <v>580.79999999999995</v>
      </c>
      <c r="O7" s="31">
        <v>8.0699999999999994E-2</v>
      </c>
      <c r="P7" s="32">
        <v>4.84</v>
      </c>
      <c r="Q7" s="27">
        <v>299.8</v>
      </c>
      <c r="R7" s="27">
        <v>2</v>
      </c>
      <c r="S7" s="27">
        <v>1600</v>
      </c>
      <c r="T7" s="29">
        <v>1.5640000000000001</v>
      </c>
      <c r="U7" s="27">
        <v>36</v>
      </c>
      <c r="V7" s="31">
        <v>2.2499999999999999E-2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345</v>
      </c>
    </row>
    <row r="8" spans="1:29" s="11" customFormat="1" ht="25.05" customHeight="1">
      <c r="A8" s="27"/>
      <c r="B8" s="28" t="s">
        <v>160</v>
      </c>
      <c r="C8" s="27" t="s">
        <v>47</v>
      </c>
      <c r="D8" s="27" t="s">
        <v>313</v>
      </c>
      <c r="E8" s="27">
        <v>263194</v>
      </c>
      <c r="F8" s="27" t="s">
        <v>339</v>
      </c>
      <c r="G8" s="27">
        <v>770</v>
      </c>
      <c r="H8" s="29">
        <v>0.56699999999999995</v>
      </c>
      <c r="I8" s="29">
        <v>2.04</v>
      </c>
      <c r="J8" s="27" t="s">
        <v>26</v>
      </c>
      <c r="K8" s="27" t="s">
        <v>343</v>
      </c>
      <c r="L8" s="27" t="s">
        <v>26</v>
      </c>
      <c r="M8" s="29">
        <v>890.64400000000001</v>
      </c>
      <c r="N8" s="30">
        <v>785.4</v>
      </c>
      <c r="O8" s="31">
        <v>0.1091</v>
      </c>
      <c r="P8" s="32">
        <v>6.54</v>
      </c>
      <c r="Q8" s="27">
        <v>293.89999999999998</v>
      </c>
      <c r="R8" s="27">
        <v>2</v>
      </c>
      <c r="S8" s="27">
        <v>1200</v>
      </c>
      <c r="T8" s="29">
        <v>1.1339999999999999</v>
      </c>
      <c r="U8" s="27">
        <v>66</v>
      </c>
      <c r="V8" s="31">
        <v>5.5E-2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344</v>
      </c>
    </row>
    <row r="9" spans="1:29" s="11" customFormat="1" ht="25.05" customHeight="1">
      <c r="A9" s="27"/>
      <c r="B9" s="28" t="s">
        <v>160</v>
      </c>
      <c r="C9" s="27" t="s">
        <v>47</v>
      </c>
      <c r="D9" s="27" t="s">
        <v>313</v>
      </c>
      <c r="E9" s="27">
        <v>263195</v>
      </c>
      <c r="F9" s="27" t="s">
        <v>339</v>
      </c>
      <c r="G9" s="27">
        <v>660</v>
      </c>
      <c r="H9" s="29">
        <v>0.56699999999999995</v>
      </c>
      <c r="I9" s="29">
        <v>2.37</v>
      </c>
      <c r="J9" s="27" t="s">
        <v>26</v>
      </c>
      <c r="K9" s="27" t="s">
        <v>343</v>
      </c>
      <c r="L9" s="27" t="s">
        <v>26</v>
      </c>
      <c r="M9" s="29">
        <v>886.90099999999995</v>
      </c>
      <c r="N9" s="30">
        <v>782.1</v>
      </c>
      <c r="O9" s="31">
        <v>0.1086</v>
      </c>
      <c r="P9" s="32">
        <v>6.52</v>
      </c>
      <c r="Q9" s="27">
        <v>292.7</v>
      </c>
      <c r="R9" s="27">
        <v>2</v>
      </c>
      <c r="S9" s="27">
        <v>1200</v>
      </c>
      <c r="T9" s="29">
        <v>1.1339999999999999</v>
      </c>
      <c r="U9" s="27">
        <v>66</v>
      </c>
      <c r="V9" s="31">
        <v>5.5E-2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29</v>
      </c>
      <c r="AC9" s="27" t="s">
        <v>342</v>
      </c>
    </row>
    <row r="10" spans="1:29" s="11" customFormat="1" ht="25.05" customHeight="1">
      <c r="A10" s="27"/>
      <c r="B10" s="28" t="s">
        <v>160</v>
      </c>
      <c r="C10" s="27" t="s">
        <v>47</v>
      </c>
      <c r="D10" s="27" t="s">
        <v>313</v>
      </c>
      <c r="E10" s="27">
        <v>263201</v>
      </c>
      <c r="F10" s="27" t="s">
        <v>339</v>
      </c>
      <c r="G10" s="27">
        <v>1200</v>
      </c>
      <c r="H10" s="29">
        <v>0.54200000000000004</v>
      </c>
      <c r="I10" s="29">
        <v>1.54</v>
      </c>
      <c r="J10" s="27" t="s">
        <v>26</v>
      </c>
      <c r="K10" s="27" t="s">
        <v>341</v>
      </c>
      <c r="L10" s="27" t="s">
        <v>26</v>
      </c>
      <c r="M10" s="29">
        <v>1001.616</v>
      </c>
      <c r="N10" s="30">
        <v>924</v>
      </c>
      <c r="O10" s="31">
        <v>0.1283</v>
      </c>
      <c r="P10" s="32">
        <v>7.7</v>
      </c>
      <c r="Q10" s="27">
        <v>330.5</v>
      </c>
      <c r="R10" s="27">
        <v>2</v>
      </c>
      <c r="S10" s="27">
        <v>1150</v>
      </c>
      <c r="T10" s="29">
        <v>1.0840000000000001</v>
      </c>
      <c r="U10" s="27">
        <v>66</v>
      </c>
      <c r="V10" s="31">
        <v>5.74E-2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31</v>
      </c>
      <c r="AC10" s="27" t="s">
        <v>340</v>
      </c>
    </row>
    <row r="11" spans="1:29" s="11" customFormat="1" ht="25.05" customHeight="1">
      <c r="A11" s="27"/>
      <c r="B11" s="28" t="s">
        <v>160</v>
      </c>
      <c r="C11" s="27" t="s">
        <v>47</v>
      </c>
      <c r="D11" s="27" t="s">
        <v>313</v>
      </c>
      <c r="E11" s="27">
        <v>263198</v>
      </c>
      <c r="F11" s="27" t="s">
        <v>339</v>
      </c>
      <c r="G11" s="27">
        <v>825</v>
      </c>
      <c r="H11" s="29">
        <v>1.0980000000000001</v>
      </c>
      <c r="I11" s="29">
        <v>1.1000000000000001</v>
      </c>
      <c r="J11" s="27" t="s">
        <v>26</v>
      </c>
      <c r="K11" s="27" t="s">
        <v>32</v>
      </c>
      <c r="L11" s="27" t="s">
        <v>26</v>
      </c>
      <c r="M11" s="29">
        <v>996.43499999999995</v>
      </c>
      <c r="N11" s="30">
        <v>907.5</v>
      </c>
      <c r="O11" s="31">
        <v>0.25209999999999999</v>
      </c>
      <c r="P11" s="32">
        <v>15.13</v>
      </c>
      <c r="Q11" s="27">
        <v>328.8</v>
      </c>
      <c r="R11" s="27">
        <v>1</v>
      </c>
      <c r="S11" s="27">
        <v>1150</v>
      </c>
      <c r="T11" s="29">
        <v>1.0980000000000001</v>
      </c>
      <c r="U11" s="27">
        <v>52</v>
      </c>
      <c r="V11" s="31">
        <v>4.5199999999999997E-2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128</v>
      </c>
    </row>
    <row r="12" spans="1:29" s="11" customFormat="1" ht="25.05" customHeight="1">
      <c r="A12" s="27"/>
      <c r="B12" s="28" t="s">
        <v>160</v>
      </c>
      <c r="C12" s="27" t="s">
        <v>47</v>
      </c>
      <c r="D12" s="27" t="s">
        <v>313</v>
      </c>
      <c r="E12" s="27">
        <v>263196</v>
      </c>
      <c r="F12" s="27" t="s">
        <v>339</v>
      </c>
      <c r="G12" s="27">
        <v>825</v>
      </c>
      <c r="H12" s="29">
        <v>0.91800000000000004</v>
      </c>
      <c r="I12" s="29">
        <v>1.07</v>
      </c>
      <c r="J12" s="27" t="s">
        <v>26</v>
      </c>
      <c r="K12" s="27" t="s">
        <v>32</v>
      </c>
      <c r="L12" s="27" t="s">
        <v>26</v>
      </c>
      <c r="M12" s="29">
        <v>810.36500000000001</v>
      </c>
      <c r="N12" s="30">
        <v>882.8</v>
      </c>
      <c r="O12" s="31">
        <v>0.2452</v>
      </c>
      <c r="P12" s="32">
        <v>14.71</v>
      </c>
      <c r="Q12" s="27">
        <v>267.39999999999998</v>
      </c>
      <c r="R12" s="27">
        <v>1</v>
      </c>
      <c r="S12" s="27">
        <v>950</v>
      </c>
      <c r="T12" s="29">
        <v>0.91800000000000004</v>
      </c>
      <c r="U12" s="27">
        <v>32</v>
      </c>
      <c r="V12" s="31">
        <v>3.3700000000000001E-2</v>
      </c>
      <c r="W12" s="27" t="s">
        <v>27</v>
      </c>
      <c r="X12" s="27" t="s">
        <v>27</v>
      </c>
      <c r="Y12" s="27" t="s">
        <v>27</v>
      </c>
      <c r="Z12" s="27" t="s">
        <v>26</v>
      </c>
      <c r="AA12" s="27" t="s">
        <v>26</v>
      </c>
      <c r="AB12" s="27" t="s">
        <v>31</v>
      </c>
      <c r="AC12" s="27" t="s">
        <v>338</v>
      </c>
    </row>
    <row r="13" spans="1:29" s="11" customFormat="1" ht="25.05" customHeight="1">
      <c r="A13" s="13"/>
      <c r="B13" s="67" t="s">
        <v>160</v>
      </c>
      <c r="C13" s="67" t="s">
        <v>34</v>
      </c>
      <c r="D13" s="67" t="s">
        <v>313</v>
      </c>
      <c r="E13" s="68">
        <v>263220</v>
      </c>
      <c r="F13" s="67" t="s">
        <v>380</v>
      </c>
      <c r="G13" s="68">
        <v>1750</v>
      </c>
      <c r="H13" s="69">
        <v>0.59199999999999997</v>
      </c>
      <c r="I13" s="69">
        <v>1.62</v>
      </c>
      <c r="J13" s="13"/>
      <c r="K13" s="67" t="s">
        <v>381</v>
      </c>
      <c r="L13" s="13"/>
      <c r="M13" s="69">
        <v>1678.32</v>
      </c>
      <c r="N13" s="70">
        <v>1417.5</v>
      </c>
      <c r="O13" s="71">
        <v>0.19689999999999999</v>
      </c>
      <c r="P13" s="72">
        <v>11.81</v>
      </c>
      <c r="Q13" s="68">
        <v>537.1</v>
      </c>
      <c r="R13" s="68">
        <v>2</v>
      </c>
      <c r="S13" s="68">
        <v>1250</v>
      </c>
      <c r="T13" s="69">
        <v>1.1839999999999999</v>
      </c>
      <c r="U13" s="68">
        <v>66</v>
      </c>
      <c r="V13" s="71">
        <v>5.28E-2</v>
      </c>
      <c r="W13" s="67" t="s">
        <v>27</v>
      </c>
      <c r="X13" s="67" t="s">
        <v>27</v>
      </c>
      <c r="Y13" s="67" t="s">
        <v>27</v>
      </c>
      <c r="Z13" s="14"/>
      <c r="AA13" s="14"/>
      <c r="AB13" s="67" t="s">
        <v>41</v>
      </c>
      <c r="AC13" s="67" t="s">
        <v>382</v>
      </c>
    </row>
    <row r="14" spans="1:29" s="11" customFormat="1" ht="25.05" customHeight="1">
      <c r="A14" s="33" t="s">
        <v>26</v>
      </c>
      <c r="B14" s="33" t="s">
        <v>26</v>
      </c>
      <c r="C14" s="33" t="s">
        <v>26</v>
      </c>
      <c r="D14" s="33" t="s">
        <v>26</v>
      </c>
      <c r="E14" s="33" t="s">
        <v>26</v>
      </c>
      <c r="F14" s="33" t="s">
        <v>26</v>
      </c>
      <c r="G14" s="33">
        <v>6510</v>
      </c>
      <c r="H14" s="33" t="s">
        <v>26</v>
      </c>
      <c r="I14" s="33" t="s">
        <v>26</v>
      </c>
      <c r="J14" s="33" t="s">
        <v>26</v>
      </c>
      <c r="K14" s="33" t="s">
        <v>26</v>
      </c>
      <c r="L14" s="33" t="s">
        <v>26</v>
      </c>
      <c r="M14" s="33" t="s">
        <v>26</v>
      </c>
      <c r="N14" s="33" t="s">
        <v>26</v>
      </c>
      <c r="O14" s="33" t="s">
        <v>26</v>
      </c>
      <c r="P14" s="33" t="s">
        <v>26</v>
      </c>
      <c r="Q14" s="33">
        <v>2385.6999999999998</v>
      </c>
      <c r="R14" s="33" t="s">
        <v>26</v>
      </c>
      <c r="S14" s="33" t="s">
        <v>26</v>
      </c>
      <c r="T14" s="33" t="s">
        <v>26</v>
      </c>
      <c r="U14" s="33" t="s">
        <v>26</v>
      </c>
      <c r="V14" s="33" t="s">
        <v>26</v>
      </c>
      <c r="W14" s="33" t="s">
        <v>26</v>
      </c>
      <c r="X14" s="33" t="s">
        <v>26</v>
      </c>
      <c r="Y14" s="33" t="s">
        <v>26</v>
      </c>
      <c r="Z14" s="33" t="s">
        <v>26</v>
      </c>
      <c r="AA14" s="33" t="s">
        <v>26</v>
      </c>
      <c r="AB14" s="33" t="s">
        <v>26</v>
      </c>
      <c r="AC14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sheetPr>
    <pageSetUpPr fitToPage="1"/>
  </sheetPr>
  <dimension ref="A1:AC13"/>
  <sheetViews>
    <sheetView workbookViewId="0">
      <selection activeCell="G24" sqref="G24"/>
    </sheetView>
  </sheetViews>
  <sheetFormatPr defaultRowHeight="14.4"/>
  <cols>
    <col min="1" max="1" width="4.33203125" style="3" customWidth="1"/>
    <col min="2" max="2" width="20.77734375" style="3" hidden="1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>
      <c r="A1" s="82" t="s">
        <v>337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ht="25.05" customHeight="1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ht="25.05" customHeight="1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ht="25.05" customHeight="1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ht="25.05" customHeight="1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ht="25.05" customHeight="1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ht="25.05" customHeight="1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ht="25.05" customHeight="1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ht="25.05" customHeight="1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ht="25.05" customHeight="1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ht="25.05" customHeight="1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sqref="A1:AC1"/>
    </sheetView>
  </sheetViews>
  <sheetFormatPr defaultRowHeight="14.4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>
      <c r="A1" s="82" t="s">
        <v>314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sheetPr>
    <pageSetUpPr fitToPage="1"/>
  </sheetPr>
  <dimension ref="A1:AC16"/>
  <sheetViews>
    <sheetView workbookViewId="0">
      <selection activeCell="L22" sqref="L22"/>
    </sheetView>
  </sheetViews>
  <sheetFormatPr defaultRowHeight="14.4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>
      <c r="A1" s="82" t="s">
        <v>309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78</v>
      </c>
      <c r="C3" s="27" t="s">
        <v>25</v>
      </c>
      <c r="D3" s="27" t="s">
        <v>290</v>
      </c>
      <c r="E3" s="27">
        <v>263174</v>
      </c>
      <c r="F3" s="27" t="s">
        <v>289</v>
      </c>
      <c r="G3" s="27">
        <v>550</v>
      </c>
      <c r="H3" s="29">
        <v>0.95099999999999996</v>
      </c>
      <c r="I3" s="29">
        <v>2.06</v>
      </c>
      <c r="J3" s="27" t="s">
        <v>26</v>
      </c>
      <c r="K3" s="27" t="s">
        <v>308</v>
      </c>
      <c r="L3" s="27" t="s">
        <v>26</v>
      </c>
      <c r="M3" s="29">
        <v>1077.4829999999999</v>
      </c>
      <c r="N3" s="30">
        <v>1133</v>
      </c>
      <c r="O3" s="31">
        <v>0.31469999999999998</v>
      </c>
      <c r="P3" s="32">
        <v>18.88</v>
      </c>
      <c r="Q3" s="27">
        <v>579.70000000000005</v>
      </c>
      <c r="R3" s="27">
        <v>1</v>
      </c>
      <c r="S3" s="27">
        <v>1000</v>
      </c>
      <c r="T3" s="29">
        <v>0.95099999999999996</v>
      </c>
      <c r="U3" s="27">
        <v>49</v>
      </c>
      <c r="V3" s="31">
        <v>4.9000000000000002E-2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29</v>
      </c>
      <c r="AC3" s="27" t="s">
        <v>307</v>
      </c>
    </row>
    <row r="4" spans="1:29" s="11" customFormat="1" ht="25.05" customHeight="1">
      <c r="A4" s="27"/>
      <c r="B4" s="28" t="s">
        <v>78</v>
      </c>
      <c r="C4" s="27" t="s">
        <v>51</v>
      </c>
      <c r="D4" s="27" t="s">
        <v>290</v>
      </c>
      <c r="E4" s="27">
        <v>263182</v>
      </c>
      <c r="F4" s="27" t="s">
        <v>289</v>
      </c>
      <c r="G4" s="27">
        <v>1600</v>
      </c>
      <c r="H4" s="29">
        <v>0.504</v>
      </c>
      <c r="I4" s="29">
        <v>1.04</v>
      </c>
      <c r="J4" s="27" t="s">
        <v>26</v>
      </c>
      <c r="K4" s="27" t="s">
        <v>306</v>
      </c>
      <c r="L4" s="27" t="s">
        <v>26</v>
      </c>
      <c r="M4" s="29">
        <v>838.65599999999995</v>
      </c>
      <c r="N4" s="30">
        <v>554.70000000000005</v>
      </c>
      <c r="O4" s="31">
        <v>5.1400000000000001E-2</v>
      </c>
      <c r="P4" s="32">
        <v>3.08</v>
      </c>
      <c r="Q4" s="27">
        <v>306.10000000000002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38</v>
      </c>
      <c r="X4" s="27" t="s">
        <v>28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305</v>
      </c>
    </row>
    <row r="5" spans="1:29" s="11" customFormat="1" ht="25.05" customHeight="1">
      <c r="A5" s="13"/>
      <c r="B5" s="14" t="s">
        <v>78</v>
      </c>
      <c r="C5" s="14" t="s">
        <v>34</v>
      </c>
      <c r="D5" s="14" t="s">
        <v>290</v>
      </c>
      <c r="E5" s="13">
        <v>263181</v>
      </c>
      <c r="F5" s="14" t="s">
        <v>289</v>
      </c>
      <c r="G5" s="13">
        <v>3500</v>
      </c>
      <c r="H5" s="15">
        <v>0.374</v>
      </c>
      <c r="I5" s="15">
        <v>0.88</v>
      </c>
      <c r="J5" s="13"/>
      <c r="K5" s="14" t="s">
        <v>304</v>
      </c>
      <c r="L5" s="13"/>
      <c r="M5" s="15">
        <v>1151.92</v>
      </c>
      <c r="N5" s="16">
        <v>770</v>
      </c>
      <c r="O5" s="17">
        <v>5.3499999999999999E-2</v>
      </c>
      <c r="P5" s="18">
        <v>3.21</v>
      </c>
      <c r="Q5" s="13">
        <v>368.6</v>
      </c>
      <c r="R5" s="13">
        <v>4</v>
      </c>
      <c r="S5" s="13">
        <v>1550</v>
      </c>
      <c r="T5" s="15">
        <v>1.496</v>
      </c>
      <c r="U5" s="13">
        <v>54</v>
      </c>
      <c r="V5" s="17">
        <v>3.4799999999999998E-2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31</v>
      </c>
      <c r="AC5" s="14" t="s">
        <v>303</v>
      </c>
    </row>
    <row r="6" spans="1:29" s="11" customFormat="1" ht="25.05" customHeight="1">
      <c r="A6" s="27"/>
      <c r="B6" s="28" t="s">
        <v>78</v>
      </c>
      <c r="C6" s="27" t="s">
        <v>34</v>
      </c>
      <c r="D6" s="27" t="s">
        <v>290</v>
      </c>
      <c r="E6" s="27">
        <v>263177</v>
      </c>
      <c r="F6" s="27" t="s">
        <v>289</v>
      </c>
      <c r="G6" s="27">
        <v>3000</v>
      </c>
      <c r="H6" s="29">
        <v>0.378</v>
      </c>
      <c r="I6" s="29">
        <v>0.84</v>
      </c>
      <c r="J6" s="27" t="s">
        <v>26</v>
      </c>
      <c r="K6" s="27" t="s">
        <v>302</v>
      </c>
      <c r="L6" s="27" t="s">
        <v>26</v>
      </c>
      <c r="M6" s="29">
        <v>952.56</v>
      </c>
      <c r="N6" s="30">
        <v>630</v>
      </c>
      <c r="O6" s="31">
        <v>4.3700000000000003E-2</v>
      </c>
      <c r="P6" s="32">
        <v>2.63</v>
      </c>
      <c r="Q6" s="27">
        <v>304.8</v>
      </c>
      <c r="R6" s="27">
        <v>4</v>
      </c>
      <c r="S6" s="27">
        <v>1550</v>
      </c>
      <c r="T6" s="29">
        <v>1.512</v>
      </c>
      <c r="U6" s="27">
        <v>38</v>
      </c>
      <c r="V6" s="31">
        <v>2.4500000000000001E-2</v>
      </c>
      <c r="W6" s="27" t="s">
        <v>27</v>
      </c>
      <c r="X6" s="27" t="s">
        <v>27</v>
      </c>
      <c r="Y6" s="27" t="s">
        <v>27</v>
      </c>
      <c r="Z6" s="27" t="s">
        <v>26</v>
      </c>
      <c r="AA6" s="27" t="s">
        <v>26</v>
      </c>
      <c r="AB6" s="27" t="s">
        <v>31</v>
      </c>
      <c r="AC6" s="27" t="s">
        <v>301</v>
      </c>
    </row>
    <row r="7" spans="1:29" s="11" customFormat="1" ht="25.05" customHeight="1">
      <c r="A7" s="27"/>
      <c r="B7" s="28" t="s">
        <v>78</v>
      </c>
      <c r="C7" s="27" t="s">
        <v>34</v>
      </c>
      <c r="D7" s="27" t="s">
        <v>290</v>
      </c>
      <c r="E7" s="27">
        <v>263172</v>
      </c>
      <c r="F7" s="27" t="s">
        <v>289</v>
      </c>
      <c r="G7" s="27">
        <v>3000</v>
      </c>
      <c r="H7" s="29">
        <v>0.48</v>
      </c>
      <c r="I7" s="29">
        <v>0.73</v>
      </c>
      <c r="J7" s="27" t="s">
        <v>26</v>
      </c>
      <c r="K7" s="27" t="s">
        <v>32</v>
      </c>
      <c r="L7" s="27" t="s">
        <v>26</v>
      </c>
      <c r="M7" s="29">
        <v>1051.2</v>
      </c>
      <c r="N7" s="30">
        <v>730</v>
      </c>
      <c r="O7" s="31">
        <v>6.7599999999999993E-2</v>
      </c>
      <c r="P7" s="32">
        <v>4.0599999999999996</v>
      </c>
      <c r="Q7" s="27">
        <v>336.4</v>
      </c>
      <c r="R7" s="27">
        <v>3</v>
      </c>
      <c r="S7" s="27">
        <v>1500</v>
      </c>
      <c r="T7" s="29">
        <v>1.44</v>
      </c>
      <c r="U7" s="27">
        <v>60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300</v>
      </c>
    </row>
    <row r="8" spans="1:29" s="11" customFormat="1" ht="25.05" customHeight="1">
      <c r="A8" s="27"/>
      <c r="B8" s="28" t="s">
        <v>78</v>
      </c>
      <c r="C8" s="27" t="s">
        <v>51</v>
      </c>
      <c r="D8" s="27" t="s">
        <v>290</v>
      </c>
      <c r="E8" s="27">
        <v>263175</v>
      </c>
      <c r="F8" s="27" t="s">
        <v>289</v>
      </c>
      <c r="G8" s="27">
        <v>1000</v>
      </c>
      <c r="H8" s="29">
        <v>1.44</v>
      </c>
      <c r="I8" s="29">
        <v>0.76900000000000002</v>
      </c>
      <c r="J8" s="27" t="s">
        <v>26</v>
      </c>
      <c r="K8" s="27" t="s">
        <v>32</v>
      </c>
      <c r="L8" s="27" t="s">
        <v>26</v>
      </c>
      <c r="M8" s="29">
        <v>1107.3599999999999</v>
      </c>
      <c r="N8" s="30">
        <v>769</v>
      </c>
      <c r="O8" s="31">
        <v>0.21360000000000001</v>
      </c>
      <c r="P8" s="32">
        <v>12.82</v>
      </c>
      <c r="Q8" s="27">
        <v>404.2</v>
      </c>
      <c r="R8" s="27">
        <v>1</v>
      </c>
      <c r="S8" s="27">
        <v>1500</v>
      </c>
      <c r="T8" s="29">
        <v>1.44</v>
      </c>
      <c r="U8" s="27">
        <v>60</v>
      </c>
      <c r="V8" s="31">
        <v>0.04</v>
      </c>
      <c r="W8" s="27" t="s">
        <v>38</v>
      </c>
      <c r="X8" s="27" t="s">
        <v>28</v>
      </c>
      <c r="Y8" s="27" t="s">
        <v>27</v>
      </c>
      <c r="Z8" s="27" t="s">
        <v>26</v>
      </c>
      <c r="AA8" s="27" t="s">
        <v>26</v>
      </c>
      <c r="AB8" s="27" t="s">
        <v>29</v>
      </c>
      <c r="AC8" s="27" t="s">
        <v>299</v>
      </c>
    </row>
    <row r="9" spans="1:29" s="11" customFormat="1" ht="25.05" customHeight="1">
      <c r="A9" s="27"/>
      <c r="B9" s="28" t="s">
        <v>78</v>
      </c>
      <c r="C9" s="27" t="s">
        <v>34</v>
      </c>
      <c r="D9" s="27" t="s">
        <v>290</v>
      </c>
      <c r="E9" s="27">
        <v>263178</v>
      </c>
      <c r="F9" s="27" t="s">
        <v>289</v>
      </c>
      <c r="G9" s="27">
        <v>3000</v>
      </c>
      <c r="H9" s="29">
        <v>0.35399999999999998</v>
      </c>
      <c r="I9" s="29">
        <v>1</v>
      </c>
      <c r="J9" s="27" t="s">
        <v>26</v>
      </c>
      <c r="K9" s="27" t="s">
        <v>298</v>
      </c>
      <c r="L9" s="27" t="s">
        <v>26</v>
      </c>
      <c r="M9" s="29">
        <v>1062</v>
      </c>
      <c r="N9" s="30">
        <v>750</v>
      </c>
      <c r="O9" s="31">
        <v>5.21E-2</v>
      </c>
      <c r="P9" s="32">
        <v>3.13</v>
      </c>
      <c r="Q9" s="27">
        <v>339.8</v>
      </c>
      <c r="R9" s="27">
        <v>4</v>
      </c>
      <c r="S9" s="27">
        <v>1450</v>
      </c>
      <c r="T9" s="29">
        <v>1.4159999999999999</v>
      </c>
      <c r="U9" s="27">
        <v>34</v>
      </c>
      <c r="V9" s="31">
        <v>2.3400000000000001E-2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297</v>
      </c>
    </row>
    <row r="10" spans="1:29" s="11" customFormat="1" ht="25.05" customHeight="1">
      <c r="A10" s="13"/>
      <c r="B10" s="14" t="s">
        <v>78</v>
      </c>
      <c r="C10" s="14" t="s">
        <v>34</v>
      </c>
      <c r="D10" s="14" t="s">
        <v>318</v>
      </c>
      <c r="E10" s="13">
        <v>263215</v>
      </c>
      <c r="F10" s="67" t="s">
        <v>370</v>
      </c>
      <c r="G10" s="13">
        <v>600</v>
      </c>
      <c r="H10" s="15">
        <v>1.3080000000000001</v>
      </c>
      <c r="I10" s="15">
        <v>1.337</v>
      </c>
      <c r="J10" s="13"/>
      <c r="K10" s="14" t="s">
        <v>32</v>
      </c>
      <c r="L10" s="13"/>
      <c r="M10" s="15">
        <v>1049.278</v>
      </c>
      <c r="N10" s="16">
        <v>802.2</v>
      </c>
      <c r="O10" s="17">
        <v>0.2228</v>
      </c>
      <c r="P10" s="18">
        <v>13.37</v>
      </c>
      <c r="Q10" s="13">
        <v>335.8</v>
      </c>
      <c r="R10" s="13">
        <v>1</v>
      </c>
      <c r="S10" s="13">
        <v>1350</v>
      </c>
      <c r="T10" s="15">
        <v>1.3080000000000001</v>
      </c>
      <c r="U10" s="13">
        <v>42</v>
      </c>
      <c r="V10" s="17">
        <v>3.1099999999999999E-2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31</v>
      </c>
      <c r="AC10" s="14" t="s">
        <v>355</v>
      </c>
    </row>
    <row r="11" spans="1:29" s="11" customFormat="1" ht="25.05" customHeight="1">
      <c r="A11" s="27"/>
      <c r="B11" s="28" t="s">
        <v>78</v>
      </c>
      <c r="C11" s="27" t="s">
        <v>34</v>
      </c>
      <c r="D11" s="27" t="s">
        <v>290</v>
      </c>
      <c r="E11" s="27">
        <v>263173</v>
      </c>
      <c r="F11" s="27" t="s">
        <v>289</v>
      </c>
      <c r="G11" s="27">
        <v>5000</v>
      </c>
      <c r="H11" s="29">
        <v>0.30399999999999999</v>
      </c>
      <c r="I11" s="29">
        <v>0.98</v>
      </c>
      <c r="J11" s="27" t="s">
        <v>26</v>
      </c>
      <c r="K11" s="27" t="s">
        <v>296</v>
      </c>
      <c r="L11" s="27" t="s">
        <v>26</v>
      </c>
      <c r="M11" s="29">
        <v>1489.6</v>
      </c>
      <c r="N11" s="30">
        <v>1225</v>
      </c>
      <c r="O11" s="31">
        <v>8.5099999999999995E-2</v>
      </c>
      <c r="P11" s="32">
        <v>5.0999999999999996</v>
      </c>
      <c r="Q11" s="27">
        <v>476.7</v>
      </c>
      <c r="R11" s="27">
        <v>4</v>
      </c>
      <c r="S11" s="27">
        <v>1250</v>
      </c>
      <c r="T11" s="29">
        <v>1.216</v>
      </c>
      <c r="U11" s="27">
        <v>34</v>
      </c>
      <c r="V11" s="31">
        <v>2.7199999999999998E-2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29</v>
      </c>
      <c r="AC11" s="27" t="s">
        <v>295</v>
      </c>
    </row>
    <row r="12" spans="1:29" s="11" customFormat="1" ht="25.05" customHeight="1">
      <c r="A12" s="27"/>
      <c r="B12" s="28" t="s">
        <v>78</v>
      </c>
      <c r="C12" s="27" t="s">
        <v>51</v>
      </c>
      <c r="D12" s="27" t="s">
        <v>290</v>
      </c>
      <c r="E12" s="27">
        <v>263176</v>
      </c>
      <c r="F12" s="27" t="s">
        <v>289</v>
      </c>
      <c r="G12" s="27">
        <v>2000</v>
      </c>
      <c r="H12" s="29">
        <v>0.57999999999999996</v>
      </c>
      <c r="I12" s="29">
        <v>1.38</v>
      </c>
      <c r="J12" s="27" t="s">
        <v>26</v>
      </c>
      <c r="K12" s="27" t="s">
        <v>294</v>
      </c>
      <c r="L12" s="27" t="s">
        <v>26</v>
      </c>
      <c r="M12" s="29">
        <v>1600.8</v>
      </c>
      <c r="N12" s="30">
        <v>1380</v>
      </c>
      <c r="O12" s="31">
        <v>0.19170000000000001</v>
      </c>
      <c r="P12" s="32">
        <v>11.5</v>
      </c>
      <c r="Q12" s="27">
        <v>584.29999999999995</v>
      </c>
      <c r="R12" s="27">
        <v>2</v>
      </c>
      <c r="S12" s="27">
        <v>1200</v>
      </c>
      <c r="T12" s="29">
        <v>1.1599999999999999</v>
      </c>
      <c r="U12" s="27">
        <v>40</v>
      </c>
      <c r="V12" s="31">
        <v>3.3300000000000003E-2</v>
      </c>
      <c r="W12" s="27" t="s">
        <v>38</v>
      </c>
      <c r="X12" s="27" t="s">
        <v>28</v>
      </c>
      <c r="Y12" s="27" t="s">
        <v>27</v>
      </c>
      <c r="Z12" s="27" t="s">
        <v>26</v>
      </c>
      <c r="AA12" s="27" t="s">
        <v>26</v>
      </c>
      <c r="AB12" s="27" t="s">
        <v>29</v>
      </c>
      <c r="AC12" s="27" t="s">
        <v>293</v>
      </c>
    </row>
    <row r="13" spans="1:29" s="11" customFormat="1" ht="25.05" customHeight="1">
      <c r="A13" s="27"/>
      <c r="B13" s="28" t="s">
        <v>78</v>
      </c>
      <c r="C13" s="27" t="s">
        <v>34</v>
      </c>
      <c r="D13" s="27" t="s">
        <v>290</v>
      </c>
      <c r="E13" s="27">
        <v>263180</v>
      </c>
      <c r="F13" s="27" t="s">
        <v>289</v>
      </c>
      <c r="G13" s="27">
        <v>6000</v>
      </c>
      <c r="H13" s="29">
        <v>0.27400000000000002</v>
      </c>
      <c r="I13" s="29">
        <v>0.71</v>
      </c>
      <c r="J13" s="27" t="s">
        <v>26</v>
      </c>
      <c r="K13" s="27" t="s">
        <v>292</v>
      </c>
      <c r="L13" s="27" t="s">
        <v>26</v>
      </c>
      <c r="M13" s="29">
        <v>1167.24</v>
      </c>
      <c r="N13" s="30">
        <v>1065</v>
      </c>
      <c r="O13" s="31">
        <v>7.3999999999999996E-2</v>
      </c>
      <c r="P13" s="32">
        <v>4.4400000000000004</v>
      </c>
      <c r="Q13" s="27">
        <v>373.5</v>
      </c>
      <c r="R13" s="27">
        <v>4</v>
      </c>
      <c r="S13" s="27">
        <v>1150</v>
      </c>
      <c r="T13" s="29">
        <v>1.0960000000000001</v>
      </c>
      <c r="U13" s="27">
        <v>54</v>
      </c>
      <c r="V13" s="31">
        <v>4.7E-2</v>
      </c>
      <c r="W13" s="27" t="s">
        <v>27</v>
      </c>
      <c r="X13" s="27" t="s">
        <v>27</v>
      </c>
      <c r="Y13" s="27" t="s">
        <v>27</v>
      </c>
      <c r="Z13" s="27" t="s">
        <v>26</v>
      </c>
      <c r="AA13" s="27" t="s">
        <v>26</v>
      </c>
      <c r="AB13" s="27" t="s">
        <v>31</v>
      </c>
      <c r="AC13" s="27" t="s">
        <v>291</v>
      </c>
    </row>
    <row r="14" spans="1:29" s="11" customFormat="1" ht="25.05" customHeight="1">
      <c r="A14" s="13"/>
      <c r="B14" s="14" t="s">
        <v>78</v>
      </c>
      <c r="C14" s="14" t="s">
        <v>34</v>
      </c>
      <c r="D14" s="14" t="s">
        <v>318</v>
      </c>
      <c r="E14" s="13">
        <v>263214</v>
      </c>
      <c r="F14" s="67" t="s">
        <v>370</v>
      </c>
      <c r="G14" s="13">
        <v>1070</v>
      </c>
      <c r="H14" s="15">
        <v>0.95299999999999996</v>
      </c>
      <c r="I14" s="15">
        <v>0.94099999999999995</v>
      </c>
      <c r="J14" s="13"/>
      <c r="K14" s="14" t="s">
        <v>371</v>
      </c>
      <c r="L14" s="13"/>
      <c r="M14" s="15">
        <v>959.54700000000003</v>
      </c>
      <c r="N14" s="16">
        <v>1006.9</v>
      </c>
      <c r="O14" s="17">
        <v>0.2797</v>
      </c>
      <c r="P14" s="18">
        <v>16.78</v>
      </c>
      <c r="Q14" s="13">
        <v>307.10000000000002</v>
      </c>
      <c r="R14" s="13">
        <v>1</v>
      </c>
      <c r="S14" s="13">
        <v>1000</v>
      </c>
      <c r="T14" s="15">
        <v>0.95299999999999996</v>
      </c>
      <c r="U14" s="13">
        <v>47</v>
      </c>
      <c r="V14" s="17">
        <v>4.7E-2</v>
      </c>
      <c r="W14" s="14" t="s">
        <v>27</v>
      </c>
      <c r="X14" s="14" t="s">
        <v>27</v>
      </c>
      <c r="Y14" s="14" t="s">
        <v>27</v>
      </c>
      <c r="Z14" s="14"/>
      <c r="AA14" s="14"/>
      <c r="AB14" s="14" t="s">
        <v>31</v>
      </c>
      <c r="AC14" s="14" t="s">
        <v>372</v>
      </c>
    </row>
    <row r="15" spans="1:29" s="11" customFormat="1" ht="25.05" customHeight="1">
      <c r="A15" s="27"/>
      <c r="B15" s="28" t="s">
        <v>78</v>
      </c>
      <c r="C15" s="27" t="s">
        <v>34</v>
      </c>
      <c r="D15" s="27" t="s">
        <v>290</v>
      </c>
      <c r="E15" s="27">
        <v>263179</v>
      </c>
      <c r="F15" s="27" t="s">
        <v>289</v>
      </c>
      <c r="G15" s="27">
        <v>611</v>
      </c>
      <c r="H15" s="29">
        <v>1</v>
      </c>
      <c r="I15" s="29">
        <v>1.56</v>
      </c>
      <c r="J15" s="27" t="s">
        <v>26</v>
      </c>
      <c r="K15" s="27" t="s">
        <v>32</v>
      </c>
      <c r="L15" s="27" t="s">
        <v>26</v>
      </c>
      <c r="M15" s="29">
        <v>953.16</v>
      </c>
      <c r="N15" s="30">
        <v>953.2</v>
      </c>
      <c r="O15" s="31">
        <v>0.26479999999999998</v>
      </c>
      <c r="P15" s="32">
        <v>15.89</v>
      </c>
      <c r="Q15" s="27">
        <v>305</v>
      </c>
      <c r="R15" s="27">
        <v>1</v>
      </c>
      <c r="S15" s="27">
        <v>1050</v>
      </c>
      <c r="T15" s="29">
        <v>1</v>
      </c>
      <c r="U15" s="27">
        <v>50</v>
      </c>
      <c r="V15" s="31">
        <v>4.7600000000000003E-2</v>
      </c>
      <c r="W15" s="27" t="s">
        <v>27</v>
      </c>
      <c r="X15" s="27" t="s">
        <v>27</v>
      </c>
      <c r="Y15" s="27" t="s">
        <v>27</v>
      </c>
      <c r="Z15" s="27" t="s">
        <v>26</v>
      </c>
      <c r="AA15" s="27" t="s">
        <v>26</v>
      </c>
      <c r="AB15" s="27" t="s">
        <v>31</v>
      </c>
      <c r="AC15" s="27" t="s">
        <v>288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v>31761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v>4326.5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sheetPr>
    <pageSetUpPr fitToPage="1"/>
  </sheetPr>
  <dimension ref="A1:AC5"/>
  <sheetViews>
    <sheetView workbookViewId="0">
      <selection activeCell="E16" sqref="E16"/>
    </sheetView>
  </sheetViews>
  <sheetFormatPr defaultRowHeight="14.4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>
      <c r="A1" s="82" t="s">
        <v>287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3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ht="25.05" customHeight="1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  <row r="5" spans="1:29" ht="25.05" customHeight="1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9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82" t="s">
        <v>275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82" t="s">
        <v>266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2.6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82" t="s">
        <v>229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81" t="s">
        <v>208</v>
      </c>
      <c r="B1" s="81" t="s">
        <v>26</v>
      </c>
      <c r="C1" s="81" t="s">
        <v>26</v>
      </c>
      <c r="D1" s="81" t="s">
        <v>26</v>
      </c>
      <c r="E1" s="81" t="s">
        <v>26</v>
      </c>
      <c r="F1" s="81" t="s">
        <v>26</v>
      </c>
      <c r="G1" s="81" t="s">
        <v>26</v>
      </c>
      <c r="H1" s="81" t="s">
        <v>26</v>
      </c>
      <c r="I1" s="81" t="s">
        <v>26</v>
      </c>
      <c r="J1" s="81" t="s">
        <v>26</v>
      </c>
      <c r="K1" s="81" t="s">
        <v>26</v>
      </c>
      <c r="L1" s="81" t="s">
        <v>26</v>
      </c>
      <c r="M1" s="81" t="s">
        <v>26</v>
      </c>
      <c r="N1" s="81" t="s">
        <v>26</v>
      </c>
      <c r="O1" s="81" t="s">
        <v>26</v>
      </c>
      <c r="P1" s="81" t="s">
        <v>26</v>
      </c>
      <c r="Q1" s="81" t="s">
        <v>26</v>
      </c>
      <c r="R1" s="81" t="s">
        <v>26</v>
      </c>
      <c r="S1" s="81" t="s">
        <v>26</v>
      </c>
      <c r="T1" s="81" t="s">
        <v>26</v>
      </c>
      <c r="U1" s="81" t="s">
        <v>26</v>
      </c>
      <c r="V1" s="81" t="s">
        <v>26</v>
      </c>
      <c r="W1" s="81" t="s">
        <v>26</v>
      </c>
      <c r="X1" s="81" t="s">
        <v>26</v>
      </c>
      <c r="Y1" s="81" t="s">
        <v>26</v>
      </c>
      <c r="Z1" s="81" t="s">
        <v>26</v>
      </c>
      <c r="AA1" s="81" t="s">
        <v>26</v>
      </c>
      <c r="AB1" s="81" t="s">
        <v>26</v>
      </c>
      <c r="AC1" s="81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82" t="s">
        <v>193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82" t="s">
        <v>186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3" t="s">
        <v>167</v>
      </c>
      <c r="B1" s="83" t="s">
        <v>26</v>
      </c>
      <c r="C1" s="83" t="s">
        <v>26</v>
      </c>
      <c r="D1" s="83" t="s">
        <v>26</v>
      </c>
      <c r="E1" s="83" t="s">
        <v>26</v>
      </c>
      <c r="F1" s="83" t="s">
        <v>26</v>
      </c>
      <c r="G1" s="83" t="s">
        <v>26</v>
      </c>
      <c r="H1" s="83" t="s">
        <v>26</v>
      </c>
      <c r="I1" s="83" t="s">
        <v>26</v>
      </c>
      <c r="J1" s="83" t="s">
        <v>26</v>
      </c>
      <c r="K1" s="83" t="s">
        <v>26</v>
      </c>
      <c r="L1" s="83" t="s">
        <v>26</v>
      </c>
      <c r="M1" s="83" t="s">
        <v>26</v>
      </c>
      <c r="N1" s="83" t="s">
        <v>26</v>
      </c>
      <c r="O1" s="83" t="s">
        <v>26</v>
      </c>
      <c r="P1" s="83" t="s">
        <v>26</v>
      </c>
      <c r="Q1" s="83" t="s">
        <v>26</v>
      </c>
      <c r="R1" s="83" t="s">
        <v>26</v>
      </c>
      <c r="S1" s="83" t="s">
        <v>26</v>
      </c>
      <c r="T1" s="83" t="s">
        <v>26</v>
      </c>
      <c r="U1" s="83" t="s">
        <v>26</v>
      </c>
      <c r="V1" s="83" t="s">
        <v>26</v>
      </c>
      <c r="W1" s="83" t="s">
        <v>26</v>
      </c>
      <c r="X1" s="83" t="s">
        <v>26</v>
      </c>
      <c r="Y1" s="83" t="s">
        <v>26</v>
      </c>
      <c r="Z1" s="83" t="s">
        <v>26</v>
      </c>
      <c r="AA1" s="83" t="s">
        <v>26</v>
      </c>
      <c r="AB1" s="83" t="s">
        <v>26</v>
      </c>
      <c r="AC1" s="83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82" t="s">
        <v>156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82" t="s">
        <v>146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L14" sqref="AL14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82" t="s">
        <v>139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82" t="s">
        <v>119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82" t="s">
        <v>102</v>
      </c>
      <c r="B1" s="82" t="s">
        <v>26</v>
      </c>
      <c r="C1" s="82" t="s">
        <v>26</v>
      </c>
      <c r="D1" s="82" t="s">
        <v>26</v>
      </c>
      <c r="E1" s="82" t="s">
        <v>26</v>
      </c>
      <c r="F1" s="82" t="s">
        <v>26</v>
      </c>
      <c r="G1" s="82" t="s">
        <v>26</v>
      </c>
      <c r="H1" s="82" t="s">
        <v>26</v>
      </c>
      <c r="I1" s="82" t="s">
        <v>26</v>
      </c>
      <c r="J1" s="82" t="s">
        <v>26</v>
      </c>
      <c r="K1" s="82" t="s">
        <v>26</v>
      </c>
      <c r="L1" s="82" t="s">
        <v>26</v>
      </c>
      <c r="M1" s="82" t="s">
        <v>26</v>
      </c>
      <c r="N1" s="82" t="s">
        <v>26</v>
      </c>
      <c r="O1" s="82" t="s">
        <v>26</v>
      </c>
      <c r="P1" s="82" t="s">
        <v>26</v>
      </c>
      <c r="Q1" s="82" t="s">
        <v>26</v>
      </c>
      <c r="R1" s="82" t="s">
        <v>26</v>
      </c>
      <c r="S1" s="82" t="s">
        <v>26</v>
      </c>
      <c r="T1" s="82" t="s">
        <v>26</v>
      </c>
      <c r="U1" s="82" t="s">
        <v>26</v>
      </c>
      <c r="V1" s="82" t="s">
        <v>26</v>
      </c>
      <c r="W1" s="82" t="s">
        <v>26</v>
      </c>
      <c r="X1" s="82" t="s">
        <v>26</v>
      </c>
      <c r="Y1" s="82" t="s">
        <v>26</v>
      </c>
      <c r="Z1" s="82" t="s">
        <v>26</v>
      </c>
      <c r="AA1" s="82" t="s">
        <v>26</v>
      </c>
      <c r="AB1" s="82" t="s">
        <v>26</v>
      </c>
      <c r="AC1" s="82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FAVINCO EMBALAGENS 1344</vt:lpstr>
      <vt:lpstr>RM EMBALAGENS 1343 P</vt:lpstr>
      <vt:lpstr>CARTOMIL EMBALAGENS 1340 P</vt:lpstr>
      <vt:lpstr>PCBOX EMBALAGENS 1339 P</vt:lpstr>
      <vt:lpstr>TOLECAIXAS 1337 P </vt:lpstr>
      <vt:lpstr>RM EMBALAGENS 1334 P</vt:lpstr>
      <vt:lpstr>ABAPEL EMBALAGENS 1333 P</vt:lpstr>
      <vt:lpstr>RENOVAPEL 1332 P</vt:lpstr>
      <vt:lpstr>DR EMBALAGENS 1331 P</vt:lpstr>
      <vt:lpstr>RM EMBALAGENS 1330 P</vt:lpstr>
      <vt:lpstr>FAVINCO EMBALAGENS 1329 P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2026-10-29T19:41:56Z</cp:lastPrinted>
  <dcterms:created xsi:type="dcterms:W3CDTF">2026-07-02T17:42:15Z</dcterms:created>
  <dcterms:modified xsi:type="dcterms:W3CDTF">2026-10-29T22:30:13Z</dcterms:modified>
</cp:coreProperties>
</file>