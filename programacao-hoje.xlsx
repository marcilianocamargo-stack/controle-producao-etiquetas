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46C63CEF-0F50-42CA-B9A6-644F1541C5DC}" xr6:coauthVersionLast="47" xr6:coauthVersionMax="47" xr10:uidLastSave="{00000000-0000-0000-0000-000000000000}"/>
  <bookViews>
    <workbookView xWindow="-38510" yWindow="-10830" windowWidth="38620" windowHeight="21100" xr2:uid="{00000000-000D-0000-FFFF-FFFF00000000}"/>
  </bookViews>
  <sheets>
    <sheet name="HARMONY EMBALAGENS 1285" sheetId="202" r:id="rId1"/>
    <sheet name="DR EMBALAGENS 1282 P" sheetId="201" r:id="rId2"/>
    <sheet name="J FER 1281 P" sheetId="200" r:id="rId3"/>
    <sheet name="VÔ CHICO 1280 P" sheetId="199" r:id="rId4"/>
    <sheet name="PCBOX EMBALAGENS 1278 P" sheetId="198" r:id="rId5"/>
    <sheet name="RM EMBALAGENS 1277" sheetId="197" r:id="rId6"/>
    <sheet name="RM Embalagens 1275 P" sheetId="196" r:id="rId7"/>
    <sheet name="FAVINCO EMBALAGENS 1273 P" sheetId="195" r:id="rId8"/>
    <sheet name="ABAPEL 1272 P" sheetId="194" r:id="rId9"/>
    <sheet name="RM Embalagens 1271 P" sheetId="193" r:id="rId10"/>
    <sheet name="IPE -PC BOX 1270 P" sheetId="192" r:id="rId11"/>
    <sheet name="PCBOX  - IPE 1266 P" sheetId="191" r:id="rId12"/>
    <sheet name="Tolecaixas 1264 P" sheetId="190" r:id="rId13"/>
    <sheet name="RM Embalagens 1263 P" sheetId="189" r:id="rId14"/>
    <sheet name="HARMONY EMBALAGENS 1262 P" sheetId="188" r:id="rId15"/>
    <sheet name="HARMONY EMBALAGENS 1260 P" sheetId="187" r:id="rId16"/>
    <sheet name="CARTOMIL EMBALAGENS LTDA 1258 P" sheetId="185" r:id="rId17"/>
    <sheet name="CARPEL 1257 P" sheetId="184" r:id="rId18"/>
    <sheet name="FAVINCO EMBALAGENS 1256 P" sheetId="183" r:id="rId19"/>
    <sheet name="RR STELLA 1253 P" sheetId="181" r:id="rId20"/>
    <sheet name="FAVINCO EMBALAGENS 1252 P" sheetId="180" r:id="rId21"/>
    <sheet name="DR EMBALAGENS 1250 P" sheetId="179" r:id="rId22"/>
    <sheet name="HARMONY EMBALAGENS 1249 P" sheetId="178" r:id="rId23"/>
    <sheet name="FAVINCO 1248 AMOSTRA" sheetId="177" r:id="rId24"/>
    <sheet name="ABAPEL 1246 P" sheetId="176" r:id="rId25"/>
    <sheet name="FAVINCO 1243 P" sheetId="175" r:id="rId26"/>
    <sheet name="Renovapel 1242 P" sheetId="174" r:id="rId27"/>
    <sheet name="Tole. DR EMB. VO CH S. M 1241 P" sheetId="173" r:id="rId28"/>
    <sheet name="FAVINCO 1239 P" sheetId="172" r:id="rId29"/>
    <sheet name="PCBOX EMBALAGENS 1233 P" sheetId="170" r:id="rId30"/>
    <sheet name="RM Embalagens 1232 P" sheetId="169" r:id="rId31"/>
    <sheet name="HARMONY EMBALAGENS 1231 P" sheetId="168" r:id="rId32"/>
    <sheet name="RM Embalagens P" sheetId="166" r:id="rId33"/>
    <sheet name="PCBOX EMBALAGENS LTDA 1222 P" sheetId="164" r:id="rId34"/>
    <sheet name="FORBOX 1220 P" sheetId="163" r:id="rId35"/>
    <sheet name="HARMONY EMBALAGENS 1217 P" sheetId="162" r:id="rId36"/>
    <sheet name="Z4A EMBALAGENS LTDA 1216" sheetId="161" r:id="rId37"/>
    <sheet name="ABAPEL 1213 P" sheetId="159" r:id="rId38"/>
    <sheet name="IPE - PCBOX 1212 P" sheetId="158" r:id="rId39"/>
    <sheet name="Z4A EMBALAGENS LTDA 1210 P" sheetId="157" r:id="rId40"/>
    <sheet name="RM Embalagens 1209 P" sheetId="156" r:id="rId41"/>
    <sheet name="ABAPEL 1201 P" sheetId="153" r:id="rId42"/>
    <sheet name="HARMONY EMBALAGENS 1200 P" sheetId="152" r:id="rId43"/>
    <sheet name="FAVINCO EMBALAGENS 1197 P" sheetId="150" r:id="rId44"/>
    <sheet name="ABAPEL 1196 P" sheetId="149" r:id="rId45"/>
    <sheet name="RM Embalagens 1184 P" sheetId="141" r:id="rId46"/>
    <sheet name="HARMONY EMBALAGENS 1180 P" sheetId="137" r:id="rId47"/>
    <sheet name="Carpel 1158 P" sheetId="119" r:id="rId48"/>
  </sheets>
  <definedNames>
    <definedName name="_xlnm.Print_Area" localSheetId="7">'FAVINCO EMBALAGENS 1273 P'!$A$1:$AC$8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8" i="195" l="1"/>
  <c r="G8" i="195"/>
  <c r="Q7" i="192" l="1"/>
  <c r="G7" i="192"/>
  <c r="G9" i="190"/>
  <c r="Q9" i="190"/>
  <c r="G17" i="191"/>
  <c r="Q1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<sst xmlns="http://schemas.openxmlformats.org/spreadsheetml/2006/main" count="8921" uniqueCount="805">
  <si>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</si>
  <si>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</si>
  <si>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</si>
  <si>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</si>
  <si>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</si>
  <si>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</si>
  <si>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</si>
  <si>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</si>
  <si>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</si>
  <si>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</si>
  <si>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</si>
  <si>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</si>
  <si>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</si>
  <si>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</si>
  <si>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</si>
  <si>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</si>
  <si>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</si>
  <si>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</si>
  <si>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</si>
  <si>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</si>
  <si>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</si>
  <si>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</si>
  <si>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</si>
  <si>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</si>
  <si>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</si>
  <si>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</si>
  <si>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</si>
  <si>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</si>
  <si>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</si>
  <si>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</si>
  <si>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</si>
  <si>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</si>
  <si>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</si>
  <si>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</si>
  <si>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</si>
  <si>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</si>
  <si>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</si>
  <si>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</si>
  <si>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</si>
  <si>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</si>
  <si>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</si>
  <si>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</si>
  <si>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</si>
  <si>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</si>
  <si>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</si>
  <si>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</si>
  <si>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</si>
  <si>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</si>
  <si>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</si>
  <si>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</si>
  <si>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</si>
  <si>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</si>
  <si>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</si>
  <si>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</si>
  <si>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</si>
  <si>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</si>
  <si>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</si>
  <si>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</si>
  <si>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</si>
  <si>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</si>
  <si>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</si>
  <si>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</si>
  <si>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</si>
  <si>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</si>
  <si>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</si>
  <si>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</si>
  <si>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</si>
  <si>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</si>
  <si>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</si>
  <si>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</si>
  <si>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</si>
  <si>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</si>
  <si>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</si>
  <si>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</si>
  <si>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</si>
  <si>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</si>
  <si>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</si>
  <si>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</si>
  <si>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</si>
  <si>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</si>
  <si>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</si>
  <si>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</si>
  <si>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</si>
  <si>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</si>
  <si>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</si>
  <si>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</si>
  <si>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</si>
  <si>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</si>
  <si>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</si>
  <si>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</si>
  <si>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</si>
  <si>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</si>
  <si>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</si>
  <si>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</si>
  <si>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</si>
  <si>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</si>
  <si>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</si>
  <si>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</si>
  <si>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</si>
  <si>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</si>
  <si>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</si>
  <si>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</si>
  <si>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</si>
  <si>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</si>
  <si>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</si>
  <si>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</si>
  <si>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</si>
  <si>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</si>
  <si>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</si>
  <si>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</si>
  <si>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</si>
  <si>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</si>
  <si>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</si>
  <si>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</si>
  <si>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</si>
  <si>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</si>
  <si>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</si>
  <si>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</si>
  <si>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</si>
  <si>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</si>
  <si>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</si>
  <si>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</si>
  <si>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</si>
  <si>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</si>
  <si>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</si>
  <si>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</si>
  <si>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</si>
  <si>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</si>
  <si>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</si>
  <si>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</si>
  <si>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</si>
  <si>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</si>
  <si>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</si>
  <si>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</si>
  <si>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</si>
  <si>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</si>
  <si>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</si>
  <si>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</si>
  <si>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</si>
  <si>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</si>
  <si>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</si>
  <si>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</si>
  <si>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</si>
  <si>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</si>
  <si>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</si>
  <si>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</si>
  <si>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</si>
  <si>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</si>
  <si>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</si>
  <si>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</si>
  <si>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</si>
  <si>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</si>
  <si>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</si>
  <si>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</si>
  <si>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</si>
  <si>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</si>
  <si>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</si>
  <si>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</si>
  <si>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</si>
  <si>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</si>
  <si>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</si>
  <si>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</si>
  <si>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</si>
  <si>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</si>
  <si>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</si>
  <si>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</si>
  <si>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</si>
  <si>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</si>
  <si>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</si>
  <si>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</si>
  <si>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</si>
  <si>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</si>
  <si>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</si>
  <si>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</si>
  <si>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</si>
  <si>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</si>
  <si>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</si>
  <si>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</si>
  <si>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</si>
  <si>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</si>
  <si>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</si>
  <si>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</si>
  <si>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</si>
  <si>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</si>
  <si>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</si>
  <si>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</si>
  <si>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</si>
  <si>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</si>
  <si>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</si>
  <si>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</si>
  <si>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</si>
  <si>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</si>
  <si>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</si>
  <si>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</si>
  <si>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</si>
  <si>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</si>
  <si>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</si>
  <si>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</si>
  <si>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</si>
  <si>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</si>
  <si>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</si>
  <si>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</si>
  <si>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</si>
  <si>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</si>
  <si>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</si>
  <si>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</si>
  <si>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</si>
  <si>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</si>
  <si>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</si>
  <si>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</si>
  <si>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</si>
  <si>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</si>
  <si>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</si>
  <si>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</si>
  <si>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</si>
  <si>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</si>
  <si>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</si>
  <si>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</si>
  <si>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</si>
  <si>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</si>
  <si>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</si>
  <si>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</si>
  <si>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</si>
  <si>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</si>
  <si>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</si>
  <si>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</si>
  <si>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</si>
  <si>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</si>
  <si>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</si>
  <si>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</si>
  <si>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</si>
  <si>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</si>
  <si>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</si>
  <si>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</si>
  <si>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</si>
  <si>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</si>
  <si>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</si>
  <si>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</si>
  <si>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</si>
  <si>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</si>
  <si>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</si>
  <si>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</si>
  <si>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</si>
  <si>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</si>
  <si>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</si>
  <si>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</si>
  <si>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</si>
  <si>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</si>
  <si>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</si>
  <si>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</si>
  <si>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</si>
  <si>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</si>
  <si>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</si>
  <si>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</si>
  <si>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</si>
  <si>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</si>
  <si>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</si>
  <si>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</si>
  <si>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</si>
  <si>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</si>
  <si>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</si>
  <si>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</si>
  <si>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</si>
  <si>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</si>
  <si>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</si>
  <si>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</si>
  <si>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</si>
  <si>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</si>
  <si>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</si>
  <si>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</si>
  <si>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</si>
  <si>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</si>
  <si>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</si>
  <si>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</si>
  <si>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</si>
  <si>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</si>
  <si>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</si>
  <si>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</si>
  <si>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</si>
  <si>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</si>
  <si>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</si>
  <si>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</si>
  <si>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</si>
  <si>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</si>
  <si>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</si>
  <si>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</si>
  <si>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</si>
  <si>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</si>
  <si>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</si>
  <si>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</si>
  <si>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</si>
  <si>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</si>
  <si>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</si>
  <si>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</si>
  <si>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</si>
  <si>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</si>
  <si>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</si>
  <si>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</si>
  <si>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</si>
  <si>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</si>
  <si>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</si>
  <si>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</si>
  <si>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</si>
  <si>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</si>
  <si>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</si>
  <si>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</si>
  <si>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</si>
  <si>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</si>
  <si>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</si>
  <si>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</si>
  <si>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</si>
  <si>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</si>
  <si>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</si>
  <si>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</si>
  <si>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</si>
  <si>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</si>
  <si>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</si>
  <si>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</si>
  <si>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</si>
  <si>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</si>
  <si>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</si>
  <si>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</si>
  <si>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</si>
  <si>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</si>
  <si>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</si>
  <si>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</si>
  <si>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</si>
  <si>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</si>
  <si>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</si>
  <si>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</si>
  <si>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</si>
  <si>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</si>
  <si>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</si>
  <si>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</si>
  <si>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</si>
  <si>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</si>
  <si>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</si>
  <si>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</si>
  <si>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</si>
  <si>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</si>
  <si>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</si>
  <si>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</si>
  <si>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</si>
  <si>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</si>
  <si>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</si>
  <si>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</si>
  <si>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</si>
  <si>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</si>
  <si>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</si>
  <si>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</si>
  <si>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</si>
  <si>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</si>
  <si>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</si>
  <si>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</si>
  <si>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</si>
  <si>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</si>
  <si>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</si>
  <si>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</si>
  <si>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</si>
  <si>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</si>
  <si>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</si>
  <si>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</si>
  <si>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</si>
  <si>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</si>
  <si>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</si>
  <si>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</si>
  <si>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</si>
  <si>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</si>
  <si>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</si>
  <si>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</si>
  <si>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</si>
  <si>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</si>
  <si>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</si>
  <si>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</si>
  <si>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</si>
  <si>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</si>
  <si>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</si>
  <si>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</si>
  <si>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</si>
  <si>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</si>
  <si>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</si>
  <si>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</si>
  <si>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</si>
  <si>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</si>
  <si>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</si>
  <si>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</si>
  <si>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</si>
  <si>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</si>
  <si>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</si>
  <si>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</si>
  <si>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</si>
  <si>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</si>
  <si>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</si>
  <si>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</si>
  <si>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</si>
  <si>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</si>
  <si>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</si>
  <si>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</si>
  <si>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</si>
  <si>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</si>
  <si>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</si>
  <si>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</si>
  <si>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</si>
  <si>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</si>
  <si>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</si>
  <si>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</si>
  <si>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</si>
  <si>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</si>
  <si>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</si>
  <si>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</si>
  <si>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</si>
  <si>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</si>
  <si>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</si>
  <si>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</si>
  <si>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</si>
  <si>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</si>
  <si>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</si>
  <si>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</si>
  <si>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</si>
  <si>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</si>
  <si>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</si>
  <si>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</si>
  <si>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</si>
  <si>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</si>
  <si>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</si>
  <si>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</si>
  <si>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</si>
  <si>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</si>
  <si>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</si>
  <si>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</si>
  <si>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</si>
  <si>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</si>
  <si>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</si>
  <si>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</si>
  <si>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</si>
  <si>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</si>
  <si>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</si>
  <si>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</si>
  <si>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</si>
  <si>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</si>
  <si>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</si>
  <si>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</si>
  <si>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</si>
  <si>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</si>
  <si>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</si>
  <si>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</si>
  <si>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</si>
  <si>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</si>
  <si>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</si>
  <si>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</si>
  <si>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</si>
  <si>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</si>
  <si>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</si>
  <si>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</si>
  <si>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</si>
  <si>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</si>
  <si>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</si>
  <si>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</si>
  <si>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</si>
  <si>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</si>
  <si>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</si>
  <si>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</si>
  <si>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</si>
  <si>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</si>
  <si>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</si>
  <si>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</si>
  <si>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</si>
  <si>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</si>
  <si>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</si>
  <si>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</si>
  <si>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</si>
  <si>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</si>
  <si>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</si>
  <si>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</si>
  <si>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</si>
  <si>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</si>
  <si>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</si>
  <si>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</si>
  <si>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</si>
  <si>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</si>
  <si>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</si>
  <si>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</si>
  <si>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</si>
  <si>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</si>
  <si>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</si>
  <si>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</si>
  <si>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</si>
  <si>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</si>
  <si>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</si>
  <si>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</si>
  <si>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</si>
  <si>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</si>
  <si>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</si>
  <si>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</si>
  <si>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</si>
  <si>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</si>
  <si>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</si>
  <si>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</si>
  <si>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</si>
  <si>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</si>
  <si>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</si>
  <si>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</si>
  <si>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</si>
  <si>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</si>
  <si>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</si>
  <si>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</si>
  <si>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</si>
  <si>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</si>
  <si>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</si>
  <si>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</si>
  <si>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</si>
  <si>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</si>
  <si>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</si>
  <si>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</si>
  <si>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</si>
  <si>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</si>
  <si>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</si>
  <si>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</si>
  <si>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</si>
  <si>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</si>
  <si>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</si>
  <si>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</si>
  <si>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</si>
  <si>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</si>
  <si>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</si>
  <si>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</si>
  <si>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</si>
  <si>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</si>
  <si>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</si>
  <si>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</si>
  <si>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</si>
  <si>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</si>
  <si>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</si>
  <si>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</si>
  <si>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</si>
  <si>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</si>
  <si>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</si>
  <si>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</si>
  <si>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</si>
  <si>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</si>
  <si>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</si>
  <si>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</si>
  <si>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</si>
  <si>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</si>
  <si>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</si>
  <si>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</si>
  <si>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</si>
  <si>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</si>
  <si>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</si>
  <si>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</si>
  <si>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</si>
  <si>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</si>
  <si>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</si>
  <si>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</si>
  <si>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</si>
  <si>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</si>
  <si>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</si>
  <si>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</si>
  <si>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</si>
  <si>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</si>
  <si>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</si>
  <si>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</si>
  <si>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</si>
  <si>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</si>
  <si>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</si>
  <si>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</si>
  <si>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</si>
  <si>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</si>
  <si>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</si>
  <si>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</si>
  <si>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</si>
  <si>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</si>
  <si>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</si>
  <si>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</si>
  <si>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</si>
  <si>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</si>
  <si>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</si>
  <si>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</si>
  <si>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</si>
  <si>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</si>
  <si>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</si>
  <si>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</si>
  <si>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</si>
  <si>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</si>
  <si>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</si>
  <si>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</si>
  <si>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</si>
  <si>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</si>
  <si>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</si>
  <si>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</si>
  <si>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</si>
  <si>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</si>
  <si>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</si>
  <si>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</si>
  <si>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</si>
  <si>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</si>
  <si>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</si>
  <si>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</si>
  <si>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</si>
  <si>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</si>
  <si>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</si>
  <si>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</si>
  <si>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</si>
  <si>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</si>
  <si>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</si>
  <si>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</si>
  <si>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</si>
  <si>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</si>
  <si>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</si>
  <si>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</si>
  <si>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</si>
  <si>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</si>
  <si>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</si>
  <si>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</si>
  <si>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</si>
  <si>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</si>
  <si>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</si>
  <si>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</si>
  <si>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</si>
  <si>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</si>
  <si>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</si>
  <si>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</si>
  <si>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</si>
  <si>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</si>
  <si>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</si>
  <si>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</si>
  <si>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</si>
  <si>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</si>
  <si>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</si>
  <si>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</si>
  <si>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</si>
  <si>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</si>
  <si>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</si>
  <si>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</si>
  <si>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</si>
  <si>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</si>
  <si>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</si>
  <si>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</si>
  <si>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</si>
  <si>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</si>
  <si>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</si>
  <si>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</si>
  <si>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</si>
  <si>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</si>
  <si>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</si>
  <si>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</si>
  <si>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</si>
  <si>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</si>
  <si>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</si>
  <si>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</si>
  <si>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</si>
  <si>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</si>
  <si>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</si>
  <si>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</si>
  <si>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</si>
  <si>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</si>
  <si>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</si>
  <si>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</si>
  <si>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</si>
  <si>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</si>
  <si>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</si>
  <si>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</si>
  <si>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</si>
  <si>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</si>
  <si>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</si>
  <si>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</si>
  <si>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</si>
  <si>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</si>
  <si>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446x2340</t>
  </si>
  <si>
    <t>80x88x90x88x80</t>
  </si>
  <si>
    <t>1774</t>
  </si>
  <si>
    <t>24/09/2026</t>
  </si>
  <si>
    <t>903x1555</t>
  </si>
  <si>
    <t>1807</t>
  </si>
  <si>
    <t>956x1849</t>
  </si>
  <si>
    <t>1800</t>
  </si>
  <si>
    <t>1160x1832</t>
  </si>
  <si>
    <t>1292x1501</t>
  </si>
  <si>
    <t>349x574x349</t>
  </si>
  <si>
    <t>1762</t>
  </si>
  <si>
    <t>680x2070</t>
  </si>
  <si>
    <t>1781</t>
  </si>
  <si>
    <t>680x1885</t>
  </si>
  <si>
    <t>680x1715</t>
  </si>
  <si>
    <t>680x1405</t>
  </si>
  <si>
    <t>1320x2073</t>
  </si>
  <si>
    <t>1809</t>
  </si>
  <si>
    <t>1324x2146</t>
  </si>
  <si>
    <t>1806</t>
  </si>
  <si>
    <t>1379x2215</t>
  </si>
  <si>
    <t>253x853x253</t>
  </si>
  <si>
    <t>1799</t>
  </si>
  <si>
    <t>1158x1617</t>
  </si>
  <si>
    <t>334x470x334</t>
  </si>
  <si>
    <t>1736</t>
  </si>
  <si>
    <t>15/09/2026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</si>
  <si>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</si>
  <si>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</si>
  <si>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</si>
  <si>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</si>
  <si>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</si>
  <si>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</si>
  <si>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</si>
  <si>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</si>
  <si>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</si>
  <si>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</si>
  <si>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</si>
  <si>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</si>
  <si>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</si>
  <si>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</si>
  <si>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</si>
  <si>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</si>
  <si>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</si>
  <si>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</si>
  <si>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</si>
  <si>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</si>
  <si>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</si>
  <si>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</si>
  <si>
    <t>1150x1340</t>
  </si>
  <si>
    <t>95x140x95</t>
  </si>
  <si>
    <t>088</t>
  </si>
  <si>
    <t>PROGRAMAÇÃO ONDULADEIRA - FAVINCO EMBALAGENS —  OF: 001273</t>
  </si>
  <si>
    <t>1816</t>
  </si>
  <si>
    <t>770x2120</t>
  </si>
  <si>
    <t>1818</t>
  </si>
  <si>
    <t>1132x1260</t>
  </si>
  <si>
    <t>212x154x214x154x212</t>
  </si>
  <si>
    <t>966x2120</t>
  </si>
  <si>
    <t>1082x2020</t>
  </si>
  <si>
    <t>08/09/2026</t>
  </si>
  <si>
    <t>1158x1340</t>
  </si>
  <si>
    <t>137x295x137</t>
  </si>
  <si>
    <t>1308x2340</t>
  </si>
  <si>
    <t>730x1380</t>
  </si>
  <si>
    <t>1008x1260</t>
  </si>
  <si>
    <t>147x200x147</t>
  </si>
  <si>
    <t>1160x1460</t>
  </si>
  <si>
    <t>PROGRAMAÇÃO ONDULADEIRA - RM Embalagens ( Daiane Marques Canossa ME )  —  OF: 001275</t>
  </si>
  <si>
    <t>PROGRAMAÇÃO ONDULADEIRA - IPE -PC BOX  —  OF: 001270</t>
  </si>
  <si>
    <t>13/10/2026</t>
  </si>
  <si>
    <t>089</t>
  </si>
  <si>
    <t>902x1780</t>
  </si>
  <si>
    <t>15</t>
  </si>
  <si>
    <t>RM EMBALAGENS</t>
  </si>
  <si>
    <t>1000x1560</t>
  </si>
  <si>
    <t>1020x2020</t>
  </si>
  <si>
    <t>1029x1860</t>
  </si>
  <si>
    <t>585x2240</t>
  </si>
  <si>
    <t>200x165x200</t>
  </si>
  <si>
    <t>Padrão 1010x1010</t>
  </si>
  <si>
    <t>830x1350</t>
  </si>
  <si>
    <t>130x145x130</t>
  </si>
  <si>
    <t>730x1820</t>
  </si>
  <si>
    <t>980x1500</t>
  </si>
  <si>
    <t>1520x2590</t>
  </si>
  <si>
    <t>1140x1568</t>
  </si>
  <si>
    <t>77x620x77</t>
  </si>
  <si>
    <t>672x2360</t>
  </si>
  <si>
    <t>113x100x226x100x113</t>
  </si>
  <si>
    <t>PROGRAMAÇÃO ONDULADEIRA - RM EMBALAGENS  —  OF: 001277</t>
  </si>
  <si>
    <t>1825</t>
  </si>
  <si>
    <t>14/10/2026</t>
  </si>
  <si>
    <t>PCBOX EMBALAGENS</t>
  </si>
  <si>
    <t>PROGRAMAÇÃO ONDULADEIRA - PCBOX EMBALAGENS  —  OF: 001278</t>
  </si>
  <si>
    <t>090</t>
  </si>
  <si>
    <t>97x165x97</t>
  </si>
  <si>
    <t>1097x1864</t>
  </si>
  <si>
    <t>1115x1679</t>
  </si>
  <si>
    <t>551014</t>
  </si>
  <si>
    <t>950x1850</t>
  </si>
  <si>
    <t>950x1840</t>
  </si>
  <si>
    <t>PROGRAMAÇÃO ONDULADEIRA - VÔ CHICO  —  OF: 001280</t>
  </si>
  <si>
    <t>1380x1460</t>
  </si>
  <si>
    <t>REP.5514</t>
  </si>
  <si>
    <t>J FER</t>
  </si>
  <si>
    <t>1430x1220</t>
  </si>
  <si>
    <t>PROGRAMAÇÃO ONDULADEIRA - J FER  —  OF: 001281</t>
  </si>
  <si>
    <t>1014</t>
  </si>
  <si>
    <t>PROGRAMAÇÃO ONDULADEIRA - DR EMBALAGENS  —  OF: 001282</t>
  </si>
  <si>
    <t>091</t>
  </si>
  <si>
    <t>092</t>
  </si>
  <si>
    <t>150x150x150</t>
  </si>
  <si>
    <t>920x1270</t>
  </si>
  <si>
    <t>15/10/2026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</si>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</sst>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6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4" fillId="0" borderId="0"/>
    <xf numFmtId="0" fontId="6" fillId="0" borderId="0"/>
    <xf numFmtId="0" fontId="16" fillId="0" borderId="0"/>
    <xf numFmtId="0" fontId="27" fillId="0" borderId="0"/>
    <xf numFmtId="0" fontId="28" fillId="0" borderId="0"/>
  </cellStyleXfs>
  <cellXfs count="306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0" fontId="11" fillId="2" borderId="1" xfId="2" applyFont="1" applyFill="1" applyBorder="1" applyAlignment="1">
      <alignment horizontal="right"/>
    </xf>
    <xf numFmtId="0" fontId="11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1" fillId="3" borderId="1" xfId="2" applyFont="1" applyFill="1" applyBorder="1" applyAlignment="1">
      <alignment horizontal="left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5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2" fillId="4" borderId="1" xfId="1" applyFont="1" applyFill="1" applyBorder="1" applyAlignment="1">
      <alignment horizontal="center" vertical="center" wrapText="1"/>
    </xf>
    <xf numFmtId="0" fontId="16" fillId="0" borderId="0" xfId="3"/>
    <xf numFmtId="0" fontId="17" fillId="2" borderId="1" xfId="3" applyFont="1" applyFill="1" applyBorder="1" applyAlignment="1">
      <alignment horizontal="right"/>
    </xf>
    <xf numFmtId="0" fontId="17" fillId="2" borderId="1" xfId="3" applyFont="1" applyFill="1" applyBorder="1" applyAlignment="1">
      <alignment horizontal="left"/>
    </xf>
    <xf numFmtId="0" fontId="16" fillId="3" borderId="1" xfId="3" applyFill="1" applyBorder="1" applyAlignment="1">
      <alignment horizontal="right"/>
    </xf>
    <xf numFmtId="166" fontId="16" fillId="3" borderId="1" xfId="3" applyNumberFormat="1" applyFill="1" applyBorder="1" applyAlignment="1">
      <alignment horizontal="right"/>
    </xf>
    <xf numFmtId="164" fontId="16" fillId="3" borderId="1" xfId="3" applyNumberFormat="1" applyFill="1" applyBorder="1" applyAlignment="1">
      <alignment horizontal="right"/>
    </xf>
    <xf numFmtId="2" fontId="16" fillId="3" borderId="1" xfId="3" applyNumberFormat="1" applyFill="1" applyBorder="1" applyAlignment="1">
      <alignment horizontal="right"/>
    </xf>
    <xf numFmtId="165" fontId="16" fillId="3" borderId="1" xfId="3" applyNumberFormat="1" applyFill="1" applyBorder="1" applyAlignment="1">
      <alignment horizontal="right"/>
    </xf>
    <xf numFmtId="0" fontId="16" fillId="3" borderId="1" xfId="3" applyFill="1" applyBorder="1" applyAlignment="1">
      <alignment horizontal="left"/>
    </xf>
    <xf numFmtId="164" fontId="16" fillId="3" borderId="1" xfId="3" applyNumberFormat="1" applyFill="1" applyBorder="1" applyAlignment="1">
      <alignment horizontal="left"/>
    </xf>
    <xf numFmtId="0" fontId="17" fillId="3" borderId="1" xfId="3" applyFont="1" applyFill="1" applyBorder="1" applyAlignment="1">
      <alignment horizontal="left"/>
    </xf>
    <xf numFmtId="0" fontId="18" fillId="4" borderId="1" xfId="3" applyFont="1" applyFill="1" applyBorder="1" applyAlignment="1">
      <alignment horizontal="center" vertical="center" wrapText="1"/>
    </xf>
    <xf numFmtId="0" fontId="16" fillId="3" borderId="1" xfId="3" applyFill="1" applyBorder="1" applyAlignment="1">
      <alignment horizontal="center" vertical="center"/>
    </xf>
    <xf numFmtId="0" fontId="17" fillId="3" borderId="1" xfId="3" applyFont="1" applyFill="1" applyBorder="1" applyAlignment="1">
      <alignment horizontal="center" vertical="center"/>
    </xf>
    <xf numFmtId="164" fontId="16" fillId="3" borderId="1" xfId="3" applyNumberFormat="1" applyFill="1" applyBorder="1" applyAlignment="1">
      <alignment horizontal="center" vertical="center"/>
    </xf>
    <xf numFmtId="165" fontId="16" fillId="3" borderId="1" xfId="3" applyNumberFormat="1" applyFill="1" applyBorder="1" applyAlignment="1">
      <alignment horizontal="center" vertical="center"/>
    </xf>
    <xf numFmtId="166" fontId="16" fillId="3" borderId="1" xfId="3" applyNumberFormat="1" applyFill="1" applyBorder="1" applyAlignment="1">
      <alignment horizontal="center" vertical="center"/>
    </xf>
    <xf numFmtId="2" fontId="16" fillId="3" borderId="1" xfId="3" applyNumberFormat="1" applyFill="1" applyBorder="1" applyAlignment="1">
      <alignment horizontal="center" vertical="center"/>
    </xf>
    <xf numFmtId="0" fontId="16" fillId="0" borderId="0" xfId="3" applyAlignment="1">
      <alignment horizontal="center" vertical="center"/>
    </xf>
    <xf numFmtId="0" fontId="17" fillId="2" borderId="1" xfId="3" applyFont="1" applyFill="1" applyBorder="1" applyAlignment="1">
      <alignment horizontal="center" vertical="center"/>
    </xf>
    <xf numFmtId="0" fontId="16" fillId="3" borderId="1" xfId="3" applyFill="1" applyBorder="1" applyAlignment="1">
      <alignment horizontal="center"/>
    </xf>
    <xf numFmtId="0" fontId="17" fillId="3" borderId="1" xfId="3" applyFont="1" applyFill="1" applyBorder="1" applyAlignment="1">
      <alignment horizontal="center"/>
    </xf>
    <xf numFmtId="164" fontId="16" fillId="3" borderId="1" xfId="3" applyNumberFormat="1" applyFill="1" applyBorder="1" applyAlignment="1">
      <alignment horizontal="center"/>
    </xf>
    <xf numFmtId="165" fontId="16" fillId="3" borderId="1" xfId="3" applyNumberFormat="1" applyFill="1" applyBorder="1" applyAlignment="1">
      <alignment horizontal="center"/>
    </xf>
    <xf numFmtId="166" fontId="16" fillId="3" borderId="1" xfId="3" applyNumberFormat="1" applyFill="1" applyBorder="1" applyAlignment="1">
      <alignment horizontal="center"/>
    </xf>
    <xf numFmtId="2" fontId="16" fillId="3" borderId="1" xfId="3" applyNumberFormat="1" applyFill="1" applyBorder="1" applyAlignment="1">
      <alignment horizontal="center"/>
    </xf>
    <xf numFmtId="0" fontId="16" fillId="0" borderId="0" xfId="3" applyAlignment="1">
      <alignment horizontal="center"/>
    </xf>
    <xf numFmtId="0" fontId="17" fillId="2" borderId="1" xfId="3" applyFont="1" applyFill="1" applyBorder="1" applyAlignment="1">
      <alignment horizontal="center"/>
    </xf>
    <xf numFmtId="14" fontId="16" fillId="3" borderId="1" xfId="3" applyNumberFormat="1" applyFill="1" applyBorder="1" applyAlignment="1">
      <alignment horizontal="center" vertical="center"/>
    </xf>
    <xf numFmtId="0" fontId="16" fillId="6" borderId="1" xfId="3" applyFill="1" applyBorder="1" applyAlignment="1">
      <alignment horizontal="center"/>
    </xf>
    <xf numFmtId="0" fontId="17" fillId="6" borderId="1" xfId="3" applyFont="1" applyFill="1" applyBorder="1" applyAlignment="1">
      <alignment horizontal="center"/>
    </xf>
    <xf numFmtId="164" fontId="16" fillId="6" borderId="1" xfId="3" applyNumberFormat="1" applyFill="1" applyBorder="1" applyAlignment="1">
      <alignment horizontal="center"/>
    </xf>
    <xf numFmtId="165" fontId="16" fillId="6" borderId="1" xfId="3" applyNumberFormat="1" applyFill="1" applyBorder="1" applyAlignment="1">
      <alignment horizontal="center"/>
    </xf>
    <xf numFmtId="166" fontId="16" fillId="6" borderId="1" xfId="3" applyNumberFormat="1" applyFill="1" applyBorder="1" applyAlignment="1">
      <alignment horizontal="center"/>
    </xf>
    <xf numFmtId="2" fontId="16" fillId="6" borderId="1" xfId="3" applyNumberFormat="1" applyFill="1" applyBorder="1" applyAlignment="1">
      <alignment horizontal="center"/>
    </xf>
    <xf numFmtId="0" fontId="16" fillId="6" borderId="0" xfId="3" applyFill="1" applyAlignment="1">
      <alignment horizontal="center"/>
    </xf>
    <xf numFmtId="14" fontId="16" fillId="3" borderId="1" xfId="3" applyNumberFormat="1" applyFill="1" applyBorder="1" applyAlignment="1">
      <alignment horizontal="center"/>
    </xf>
    <xf numFmtId="0" fontId="16" fillId="5" borderId="0" xfId="3" applyFill="1" applyAlignment="1">
      <alignment horizontal="center"/>
    </xf>
    <xf numFmtId="0" fontId="16" fillId="5" borderId="1" xfId="3" applyFill="1" applyBorder="1" applyAlignment="1">
      <alignment horizontal="center" vertical="center"/>
    </xf>
    <xf numFmtId="0" fontId="17" fillId="5" borderId="1" xfId="3" applyFont="1" applyFill="1" applyBorder="1" applyAlignment="1">
      <alignment horizontal="center" vertical="center"/>
    </xf>
    <xf numFmtId="164" fontId="16" fillId="5" borderId="1" xfId="3" applyNumberFormat="1" applyFill="1" applyBorder="1" applyAlignment="1">
      <alignment horizontal="center" vertical="center"/>
    </xf>
    <xf numFmtId="165" fontId="16" fillId="5" borderId="1" xfId="3" applyNumberFormat="1" applyFill="1" applyBorder="1" applyAlignment="1">
      <alignment horizontal="center" vertical="center"/>
    </xf>
    <xf numFmtId="166" fontId="16" fillId="5" borderId="1" xfId="3" applyNumberFormat="1" applyFill="1" applyBorder="1" applyAlignment="1">
      <alignment horizontal="center" vertical="center"/>
    </xf>
    <xf numFmtId="2" fontId="16" fillId="5" borderId="1" xfId="3" applyNumberFormat="1" applyFill="1" applyBorder="1" applyAlignment="1">
      <alignment horizontal="center" vertical="center"/>
    </xf>
    <xf numFmtId="0" fontId="14" fillId="0" borderId="0" xfId="1" applyFont="1" applyAlignment="1">
      <alignment horizontal="center" vertical="center"/>
    </xf>
    <xf numFmtId="0" fontId="14" fillId="3" borderId="1" xfId="1" applyFont="1" applyFill="1" applyBorder="1" applyAlignment="1">
      <alignment horizontal="center" vertical="center"/>
    </xf>
    <xf numFmtId="166" fontId="14" fillId="3" borderId="1" xfId="1" applyNumberFormat="1" applyFont="1" applyFill="1" applyBorder="1" applyAlignment="1">
      <alignment horizontal="center" vertical="center"/>
    </xf>
    <xf numFmtId="164" fontId="14" fillId="3" borderId="1" xfId="1" applyNumberFormat="1" applyFont="1" applyFill="1" applyBorder="1" applyAlignment="1">
      <alignment horizontal="center" vertical="center"/>
    </xf>
    <xf numFmtId="2" fontId="14" fillId="3" borderId="1" xfId="1" applyNumberFormat="1" applyFont="1" applyFill="1" applyBorder="1" applyAlignment="1">
      <alignment horizontal="center" vertical="center"/>
    </xf>
    <xf numFmtId="165" fontId="14" fillId="3" borderId="1" xfId="1" applyNumberFormat="1" applyFont="1" applyFill="1" applyBorder="1" applyAlignment="1">
      <alignment horizontal="center" vertical="center"/>
    </xf>
    <xf numFmtId="0" fontId="20" fillId="3" borderId="1" xfId="1" applyFont="1" applyFill="1" applyBorder="1" applyAlignment="1">
      <alignment horizontal="center" vertical="center"/>
    </xf>
    <xf numFmtId="14" fontId="16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14" fontId="16" fillId="6" borderId="1" xfId="3" applyNumberFormat="1" applyFill="1" applyBorder="1" applyAlignment="1">
      <alignment horizontal="center"/>
    </xf>
    <xf numFmtId="0" fontId="14" fillId="3" borderId="1" xfId="3" applyFont="1" applyFill="1" applyBorder="1" applyAlignment="1">
      <alignment horizontal="center" vertical="center"/>
    </xf>
    <xf numFmtId="0" fontId="0" fillId="0" borderId="0" xfId="0"/>
    <xf numFmtId="0" fontId="16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164" fontId="16" fillId="3" borderId="1" xfId="0" applyNumberFormat="1" applyFont="1" applyFill="1" applyBorder="1" applyAlignment="1">
      <alignment horizontal="center" vertical="center"/>
    </xf>
    <xf numFmtId="165" fontId="16" fillId="3" borderId="1" xfId="0" applyNumberFormat="1" applyFont="1" applyFill="1" applyBorder="1" applyAlignment="1">
      <alignment horizontal="center" vertical="center"/>
    </xf>
    <xf numFmtId="166" fontId="16" fillId="3" borderId="1" xfId="0" applyNumberFormat="1" applyFont="1" applyFill="1" applyBorder="1" applyAlignment="1">
      <alignment horizontal="center" vertical="center"/>
    </xf>
    <xf numFmtId="2" fontId="16" fillId="3" borderId="1" xfId="0" applyNumberFormat="1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6" fillId="0" borderId="1" xfId="3" applyFill="1" applyBorder="1" applyAlignment="1">
      <alignment horizontal="center" vertical="center"/>
    </xf>
    <xf numFmtId="0" fontId="17" fillId="0" borderId="1" xfId="3" applyFont="1" applyFill="1" applyBorder="1" applyAlignment="1">
      <alignment horizontal="center" vertical="center"/>
    </xf>
    <xf numFmtId="164" fontId="16" fillId="0" borderId="1" xfId="3" applyNumberFormat="1" applyFill="1" applyBorder="1" applyAlignment="1">
      <alignment horizontal="center" vertical="center"/>
    </xf>
    <xf numFmtId="165" fontId="16" fillId="0" borderId="1" xfId="3" applyNumberFormat="1" applyFill="1" applyBorder="1" applyAlignment="1">
      <alignment horizontal="center" vertical="center"/>
    </xf>
    <xf numFmtId="166" fontId="16" fillId="0" borderId="1" xfId="3" applyNumberFormat="1" applyFill="1" applyBorder="1" applyAlignment="1">
      <alignment horizontal="center" vertical="center"/>
    </xf>
    <xf numFmtId="2" fontId="16" fillId="0" borderId="1" xfId="3" applyNumberFormat="1" applyFill="1" applyBorder="1" applyAlignment="1">
      <alignment horizontal="center" vertical="center"/>
    </xf>
    <xf numFmtId="0" fontId="16" fillId="0" borderId="0" xfId="3" applyFill="1"/>
    <xf numFmtId="14" fontId="16" fillId="0" borderId="1" xfId="3" applyNumberFormat="1" applyFill="1" applyBorder="1" applyAlignment="1">
      <alignment horizontal="center" vertical="center"/>
    </xf>
    <xf numFmtId="0" fontId="23" fillId="4" borderId="1" xfId="3" applyFont="1" applyFill="1" applyBorder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14" fontId="24" fillId="0" borderId="0" xfId="0" applyNumberFormat="1" applyFont="1" applyAlignment="1">
      <alignment horizontal="center" vertical="center"/>
    </xf>
    <xf numFmtId="0" fontId="25" fillId="3" borderId="1" xfId="3" applyFont="1" applyFill="1" applyBorder="1" applyAlignment="1">
      <alignment horizontal="center" vertical="center"/>
    </xf>
    <xf numFmtId="0" fontId="26" fillId="3" borderId="1" xfId="3" applyFont="1" applyFill="1" applyBorder="1" applyAlignment="1">
      <alignment horizontal="center" vertical="center"/>
    </xf>
    <xf numFmtId="164" fontId="26" fillId="3" borderId="1" xfId="3" applyNumberFormat="1" applyFont="1" applyFill="1" applyBorder="1" applyAlignment="1">
      <alignment horizontal="center" vertical="center"/>
    </xf>
    <xf numFmtId="165" fontId="26" fillId="3" borderId="1" xfId="3" applyNumberFormat="1" applyFont="1" applyFill="1" applyBorder="1" applyAlignment="1">
      <alignment horizontal="center" vertical="center"/>
    </xf>
    <xf numFmtId="166" fontId="26" fillId="3" borderId="1" xfId="3" applyNumberFormat="1" applyFont="1" applyFill="1" applyBorder="1" applyAlignment="1">
      <alignment horizontal="center" vertical="center"/>
    </xf>
    <xf numFmtId="2" fontId="26" fillId="3" borderId="1" xfId="3" applyNumberFormat="1" applyFont="1" applyFill="1" applyBorder="1" applyAlignment="1">
      <alignment horizontal="center" vertical="center"/>
    </xf>
    <xf numFmtId="14" fontId="26" fillId="3" borderId="1" xfId="3" applyNumberFormat="1" applyFont="1" applyFill="1" applyBorder="1" applyAlignment="1">
      <alignment horizontal="center" vertical="center"/>
    </xf>
    <xf numFmtId="0" fontId="25" fillId="2" borderId="1" xfId="3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4" fillId="0" borderId="0" xfId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20" fillId="3" borderId="1" xfId="3" applyFont="1" applyFill="1" applyBorder="1" applyAlignment="1">
      <alignment horizontal="center" vertical="center"/>
    </xf>
    <xf numFmtId="164" fontId="14" fillId="3" borderId="1" xfId="3" applyNumberFormat="1" applyFont="1" applyFill="1" applyBorder="1" applyAlignment="1">
      <alignment horizontal="center" vertical="center"/>
    </xf>
    <xf numFmtId="165" fontId="14" fillId="3" borderId="1" xfId="3" applyNumberFormat="1" applyFont="1" applyFill="1" applyBorder="1" applyAlignment="1">
      <alignment horizontal="center" vertical="center"/>
    </xf>
    <xf numFmtId="166" fontId="14" fillId="3" borderId="1" xfId="3" applyNumberFormat="1" applyFont="1" applyFill="1" applyBorder="1" applyAlignment="1">
      <alignment horizontal="center" vertical="center"/>
    </xf>
    <xf numFmtId="2" fontId="14" fillId="3" borderId="1" xfId="3" applyNumberFormat="1" applyFont="1" applyFill="1" applyBorder="1" applyAlignment="1">
      <alignment horizontal="center" vertical="center"/>
    </xf>
    <xf numFmtId="0" fontId="14" fillId="0" borderId="0" xfId="3" applyFont="1" applyAlignment="1">
      <alignment horizontal="center" vertical="center"/>
    </xf>
    <xf numFmtId="0" fontId="16" fillId="7" borderId="1" xfId="3" applyFill="1" applyBorder="1" applyAlignment="1">
      <alignment horizontal="center" vertical="center"/>
    </xf>
    <xf numFmtId="0" fontId="17" fillId="7" borderId="1" xfId="3" applyFont="1" applyFill="1" applyBorder="1" applyAlignment="1">
      <alignment horizontal="center" vertical="center"/>
    </xf>
    <xf numFmtId="164" fontId="16" fillId="7" borderId="1" xfId="3" applyNumberFormat="1" applyFill="1" applyBorder="1" applyAlignment="1">
      <alignment horizontal="center" vertical="center"/>
    </xf>
    <xf numFmtId="165" fontId="16" fillId="7" borderId="1" xfId="3" applyNumberFormat="1" applyFill="1" applyBorder="1" applyAlignment="1">
      <alignment horizontal="center" vertical="center"/>
    </xf>
    <xf numFmtId="166" fontId="16" fillId="7" borderId="1" xfId="3" applyNumberFormat="1" applyFill="1" applyBorder="1" applyAlignment="1">
      <alignment horizontal="center" vertical="center"/>
    </xf>
    <xf numFmtId="2" fontId="16" fillId="7" borderId="1" xfId="3" applyNumberFormat="1" applyFill="1" applyBorder="1" applyAlignment="1">
      <alignment horizontal="center" vertical="center"/>
    </xf>
    <xf numFmtId="0" fontId="16" fillId="7" borderId="0" xfId="3" applyFill="1"/>
    <xf numFmtId="164" fontId="24" fillId="0" borderId="0" xfId="0" applyNumberFormat="1" applyFont="1" applyAlignment="1">
      <alignment horizontal="center" vertical="center"/>
    </xf>
    <xf numFmtId="0" fontId="14" fillId="0" borderId="0" xfId="3" applyFont="1"/>
    <xf numFmtId="0" fontId="5" fillId="2" borderId="1" xfId="3" applyFont="1" applyFill="1" applyBorder="1" applyAlignment="1">
      <alignment horizontal="right"/>
    </xf>
    <xf numFmtId="0" fontId="5" fillId="2" borderId="1" xfId="3" applyFont="1" applyFill="1" applyBorder="1" applyAlignment="1">
      <alignment horizontal="left"/>
    </xf>
    <xf numFmtId="0" fontId="4" fillId="3" borderId="1" xfId="3" applyFont="1" applyFill="1" applyBorder="1" applyAlignment="1">
      <alignment horizontal="right"/>
    </xf>
    <xf numFmtId="166" fontId="4" fillId="3" borderId="1" xfId="3" applyNumberFormat="1" applyFont="1" applyFill="1" applyBorder="1" applyAlignment="1">
      <alignment horizontal="right"/>
    </xf>
    <xf numFmtId="164" fontId="4" fillId="3" borderId="1" xfId="3" applyNumberFormat="1" applyFont="1" applyFill="1" applyBorder="1" applyAlignment="1">
      <alignment horizontal="right"/>
    </xf>
    <xf numFmtId="2" fontId="4" fillId="3" borderId="1" xfId="3" applyNumberFormat="1" applyFont="1" applyFill="1" applyBorder="1" applyAlignment="1">
      <alignment horizontal="right"/>
    </xf>
    <xf numFmtId="165" fontId="4" fillId="3" borderId="1" xfId="3" applyNumberFormat="1" applyFont="1" applyFill="1" applyBorder="1" applyAlignment="1">
      <alignment horizontal="right"/>
    </xf>
    <xf numFmtId="0" fontId="4" fillId="3" borderId="1" xfId="3" applyFont="1" applyFill="1" applyBorder="1" applyAlignment="1">
      <alignment horizontal="left"/>
    </xf>
    <xf numFmtId="164" fontId="4" fillId="3" borderId="1" xfId="3" applyNumberFormat="1" applyFont="1" applyFill="1" applyBorder="1" applyAlignment="1">
      <alignment horizontal="left"/>
    </xf>
    <xf numFmtId="0" fontId="5" fillId="3" borderId="1" xfId="3" applyFont="1" applyFill="1" applyBorder="1" applyAlignment="1">
      <alignment horizontal="left"/>
    </xf>
    <xf numFmtId="0" fontId="3" fillId="4" borderId="1" xfId="3" applyFont="1" applyFill="1" applyBorder="1" applyAlignment="1">
      <alignment horizontal="center" vertical="center" wrapText="1"/>
    </xf>
    <xf numFmtId="0" fontId="16" fillId="6" borderId="1" xfId="3" applyFill="1" applyBorder="1" applyAlignment="1">
      <alignment horizontal="center" vertical="center"/>
    </xf>
    <xf numFmtId="0" fontId="17" fillId="6" borderId="1" xfId="3" applyFont="1" applyFill="1" applyBorder="1" applyAlignment="1">
      <alignment horizontal="center" vertical="center"/>
    </xf>
    <xf numFmtId="164" fontId="16" fillId="6" borderId="1" xfId="3" applyNumberFormat="1" applyFill="1" applyBorder="1" applyAlignment="1">
      <alignment horizontal="center" vertical="center"/>
    </xf>
    <xf numFmtId="165" fontId="16" fillId="6" borderId="1" xfId="3" applyNumberFormat="1" applyFill="1" applyBorder="1" applyAlignment="1">
      <alignment horizontal="center" vertical="center"/>
    </xf>
    <xf numFmtId="166" fontId="16" fillId="6" borderId="1" xfId="3" applyNumberFormat="1" applyFill="1" applyBorder="1" applyAlignment="1">
      <alignment horizontal="center" vertical="center"/>
    </xf>
    <xf numFmtId="2" fontId="16" fillId="6" borderId="1" xfId="3" applyNumberFormat="1" applyFill="1" applyBorder="1" applyAlignment="1">
      <alignment horizontal="center" vertical="center"/>
    </xf>
    <xf numFmtId="1" fontId="4" fillId="0" borderId="0" xfId="1" applyNumberFormat="1"/>
    <xf numFmtId="1" fontId="3" fillId="4" borderId="1" xfId="1" applyNumberFormat="1" applyFont="1" applyFill="1" applyBorder="1" applyAlignment="1">
      <alignment horizontal="center" vertical="center" wrapText="1"/>
    </xf>
    <xf numFmtId="0" fontId="16" fillId="6" borderId="0" xfId="3" applyFill="1" applyAlignment="1">
      <alignment horizontal="center" vertical="center"/>
    </xf>
    <xf numFmtId="0" fontId="18" fillId="4" borderId="3" xfId="3" applyFont="1" applyFill="1" applyBorder="1" applyAlignment="1">
      <alignment horizontal="center" vertical="center" wrapText="1"/>
    </xf>
    <xf numFmtId="0" fontId="17" fillId="2" borderId="4" xfId="3" applyFont="1" applyFill="1" applyBorder="1" applyAlignment="1">
      <alignment horizontal="center" vertical="center"/>
    </xf>
    <xf numFmtId="0" fontId="16" fillId="6" borderId="2" xfId="3" applyFill="1" applyBorder="1" applyAlignment="1">
      <alignment horizontal="center" vertical="center"/>
    </xf>
    <xf numFmtId="0" fontId="17" fillId="6" borderId="2" xfId="3" applyFont="1" applyFill="1" applyBorder="1" applyAlignment="1">
      <alignment horizontal="center" vertical="center"/>
    </xf>
    <xf numFmtId="164" fontId="16" fillId="6" borderId="2" xfId="3" applyNumberFormat="1" applyFill="1" applyBorder="1" applyAlignment="1">
      <alignment horizontal="center" vertical="center"/>
    </xf>
    <xf numFmtId="165" fontId="16" fillId="6" borderId="2" xfId="3" applyNumberFormat="1" applyFill="1" applyBorder="1" applyAlignment="1">
      <alignment horizontal="center" vertical="center"/>
    </xf>
    <xf numFmtId="166" fontId="16" fillId="6" borderId="2" xfId="3" applyNumberFormat="1" applyFill="1" applyBorder="1" applyAlignment="1">
      <alignment horizontal="center" vertical="center"/>
    </xf>
    <xf numFmtId="2" fontId="16" fillId="6" borderId="2" xfId="3" applyNumberFormat="1" applyFill="1" applyBorder="1" applyAlignment="1">
      <alignment horizontal="center" vertical="center"/>
    </xf>
    <xf numFmtId="0" fontId="27" fillId="6" borderId="2" xfId="4" applyFill="1" applyBorder="1" applyAlignment="1">
      <alignment horizontal="center" vertical="center"/>
    </xf>
    <xf numFmtId="0" fontId="4" fillId="6" borderId="2" xfId="1" applyFill="1" applyBorder="1" applyAlignment="1">
      <alignment horizontal="center" vertical="center"/>
    </xf>
    <xf numFmtId="0" fontId="5" fillId="6" borderId="2" xfId="1" applyFont="1" applyFill="1" applyBorder="1" applyAlignment="1">
      <alignment horizontal="center" vertical="center"/>
    </xf>
    <xf numFmtId="164" fontId="4" fillId="6" borderId="2" xfId="1" applyNumberFormat="1" applyFill="1" applyBorder="1" applyAlignment="1">
      <alignment horizontal="center" vertical="center"/>
    </xf>
    <xf numFmtId="165" fontId="4" fillId="6" borderId="2" xfId="1" applyNumberFormat="1" applyFill="1" applyBorder="1" applyAlignment="1">
      <alignment horizontal="center" vertical="center"/>
    </xf>
    <xf numFmtId="166" fontId="4" fillId="6" borderId="2" xfId="1" applyNumberFormat="1" applyFill="1" applyBorder="1" applyAlignment="1">
      <alignment horizontal="center" vertical="center"/>
    </xf>
    <xf numFmtId="2" fontId="4" fillId="6" borderId="2" xfId="1" applyNumberForma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164" fontId="16" fillId="5" borderId="1" xfId="0" applyNumberFormat="1" applyFont="1" applyFill="1" applyBorder="1" applyAlignment="1">
      <alignment horizontal="center" vertical="center"/>
    </xf>
    <xf numFmtId="165" fontId="16" fillId="5" borderId="1" xfId="0" applyNumberFormat="1" applyFont="1" applyFill="1" applyBorder="1" applyAlignment="1">
      <alignment horizontal="center" vertical="center"/>
    </xf>
    <xf numFmtId="166" fontId="16" fillId="5" borderId="1" xfId="0" applyNumberFormat="1" applyFont="1" applyFill="1" applyBorder="1" applyAlignment="1">
      <alignment horizontal="center" vertical="center"/>
    </xf>
    <xf numFmtId="2" fontId="16" fillId="5" borderId="1" xfId="0" applyNumberFormat="1" applyFont="1" applyFill="1" applyBorder="1" applyAlignment="1">
      <alignment horizontal="center" vertic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0" fontId="4" fillId="0" borderId="0" xfId="1" applyAlignment="1">
      <alignment wrapText="1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" fontId="4" fillId="6" borderId="1" xfId="1" applyNumberForma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0" fontId="17" fillId="6" borderId="1" xfId="0" applyFont="1" applyFill="1" applyBorder="1" applyAlignment="1">
      <alignment horizontal="center" vertical="center"/>
    </xf>
    <xf numFmtId="164" fontId="16" fillId="6" borderId="1" xfId="0" applyNumberFormat="1" applyFont="1" applyFill="1" applyBorder="1" applyAlignment="1">
      <alignment horizontal="center" vertical="center"/>
    </xf>
    <xf numFmtId="165" fontId="16" fillId="6" borderId="1" xfId="0" applyNumberFormat="1" applyFont="1" applyFill="1" applyBorder="1" applyAlignment="1">
      <alignment horizontal="center" vertical="center"/>
    </xf>
    <xf numFmtId="166" fontId="16" fillId="6" borderId="1" xfId="0" applyNumberFormat="1" applyFont="1" applyFill="1" applyBorder="1" applyAlignment="1">
      <alignment horizontal="center" vertical="center"/>
    </xf>
    <xf numFmtId="2" fontId="16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5" fillId="2" borderId="1" xfId="1" applyNumberFormat="1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/>
    </xf>
    <xf numFmtId="0" fontId="17" fillId="3" borderId="1" xfId="0" applyFont="1" applyFill="1" applyBorder="1" applyAlignment="1">
      <alignment horizontal="center"/>
    </xf>
    <xf numFmtId="164" fontId="16" fillId="3" borderId="1" xfId="0" applyNumberFormat="1" applyFont="1" applyFill="1" applyBorder="1" applyAlignment="1">
      <alignment horizontal="center"/>
    </xf>
    <xf numFmtId="165" fontId="16" fillId="3" borderId="1" xfId="0" applyNumberFormat="1" applyFont="1" applyFill="1" applyBorder="1" applyAlignment="1">
      <alignment horizontal="center"/>
    </xf>
    <xf numFmtId="166" fontId="16" fillId="3" borderId="1" xfId="0" applyNumberFormat="1" applyFont="1" applyFill="1" applyBorder="1" applyAlignment="1">
      <alignment horizontal="center"/>
    </xf>
    <xf numFmtId="2" fontId="16" fillId="3" borderId="1" xfId="0" applyNumberFormat="1" applyFont="1" applyFill="1" applyBorder="1" applyAlignment="1">
      <alignment horizontal="center"/>
    </xf>
    <xf numFmtId="0" fontId="3" fillId="4" borderId="1" xfId="1" applyFont="1" applyFill="1" applyBorder="1" applyAlignment="1">
      <alignment horizontal="center" wrapText="1"/>
    </xf>
    <xf numFmtId="0" fontId="4" fillId="3" borderId="1" xfId="1" applyFill="1" applyBorder="1" applyAlignment="1">
      <alignment horizontal="center"/>
    </xf>
    <xf numFmtId="0" fontId="5" fillId="3" borderId="1" xfId="1" applyFont="1" applyFill="1" applyBorder="1" applyAlignment="1">
      <alignment horizontal="center"/>
    </xf>
    <xf numFmtId="164" fontId="4" fillId="3" borderId="1" xfId="1" applyNumberFormat="1" applyFill="1" applyBorder="1" applyAlignment="1">
      <alignment horizontal="center"/>
    </xf>
    <xf numFmtId="165" fontId="4" fillId="3" borderId="1" xfId="1" applyNumberFormat="1" applyFill="1" applyBorder="1" applyAlignment="1">
      <alignment horizontal="center"/>
    </xf>
    <xf numFmtId="166" fontId="4" fillId="3" borderId="1" xfId="1" applyNumberFormat="1" applyFill="1" applyBorder="1" applyAlignment="1">
      <alignment horizontal="center"/>
    </xf>
    <xf numFmtId="2" fontId="4" fillId="3" borderId="1" xfId="1" applyNumberFormat="1" applyFill="1" applyBorder="1" applyAlignment="1">
      <alignment horizontal="center"/>
    </xf>
    <xf numFmtId="0" fontId="5" fillId="3" borderId="1" xfId="3" applyFont="1" applyFill="1" applyBorder="1" applyAlignment="1">
      <alignment horizontal="center"/>
    </xf>
    <xf numFmtId="0" fontId="4" fillId="3" borderId="1" xfId="3" applyFont="1" applyFill="1" applyBorder="1" applyAlignment="1">
      <alignment horizontal="center"/>
    </xf>
    <xf numFmtId="164" fontId="4" fillId="3" borderId="1" xfId="3" applyNumberFormat="1" applyFont="1" applyFill="1" applyBorder="1" applyAlignment="1">
      <alignment horizontal="center"/>
    </xf>
    <xf numFmtId="165" fontId="4" fillId="3" borderId="1" xfId="3" applyNumberFormat="1" applyFont="1" applyFill="1" applyBorder="1" applyAlignment="1">
      <alignment horizontal="center"/>
    </xf>
    <xf numFmtId="166" fontId="4" fillId="3" borderId="1" xfId="3" applyNumberFormat="1" applyFont="1" applyFill="1" applyBorder="1" applyAlignment="1">
      <alignment horizontal="center"/>
    </xf>
    <xf numFmtId="2" fontId="4" fillId="3" borderId="1" xfId="3" applyNumberFormat="1" applyFont="1" applyFill="1" applyBorder="1" applyAlignment="1">
      <alignment horizontal="center"/>
    </xf>
    <xf numFmtId="0" fontId="5" fillId="2" borderId="1" xfId="1" applyFont="1" applyFill="1" applyBorder="1" applyAlignment="1">
      <alignment horizontal="center"/>
    </xf>
    <xf numFmtId="0" fontId="0" fillId="0" borderId="0" xfId="0" applyFont="1" applyAlignment="1">
      <alignment vertical="center" wrapText="1"/>
    </xf>
    <xf numFmtId="49" fontId="2" fillId="0" borderId="0" xfId="0" applyNumberFormat="1" applyFont="1" applyAlignment="1">
      <alignment vertical="center" wrapText="1"/>
    </xf>
    <xf numFmtId="0" fontId="2" fillId="0" borderId="0" xfId="0" applyFont="1" applyAlignment="1">
      <alignment vertical="center" wrapText="1"/>
    </xf>
    <xf numFmtId="164" fontId="2" fillId="0" borderId="0" xfId="0" applyNumberFormat="1" applyFont="1" applyAlignment="1">
      <alignment vertical="center" wrapText="1"/>
    </xf>
    <xf numFmtId="165" fontId="2" fillId="0" borderId="0" xfId="0" applyNumberFormat="1" applyFont="1" applyAlignment="1">
      <alignment vertical="center" wrapText="1"/>
    </xf>
    <xf numFmtId="166" fontId="2" fillId="0" borderId="0" xfId="0" applyNumberFormat="1" applyFont="1" applyAlignment="1">
      <alignment vertical="center" wrapText="1"/>
    </xf>
    <xf numFmtId="2" fontId="2" fillId="0" borderId="0" xfId="0" applyNumberFormat="1" applyFont="1" applyAlignment="1">
      <alignment vertical="center" wrapText="1"/>
    </xf>
    <xf numFmtId="0" fontId="28" fillId="0" borderId="0" xfId="5"/>
    <xf numFmtId="0" fontId="30" fillId="4" borderId="1" xfId="5" applyFont="1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4" fillId="3" borderId="1" xfId="1" applyFont="1" applyFill="1" applyBorder="1" applyAlignment="1">
      <alignment horizontal="left"/>
    </xf>
    <xf numFmtId="164" fontId="4" fillId="3" borderId="1" xfId="1" applyNumberFormat="1" applyFont="1" applyFill="1" applyBorder="1" applyAlignment="1">
      <alignment horizontal="left"/>
    </xf>
    <xf numFmtId="164" fontId="4" fillId="3" borderId="1" xfId="1" applyNumberFormat="1" applyFont="1" applyFill="1" applyBorder="1" applyAlignment="1">
      <alignment horizontal="right"/>
    </xf>
    <xf numFmtId="165" fontId="4" fillId="3" borderId="1" xfId="1" applyNumberFormat="1" applyFont="1" applyFill="1" applyBorder="1" applyAlignment="1">
      <alignment horizontal="right"/>
    </xf>
    <xf numFmtId="166" fontId="4" fillId="3" borderId="1" xfId="1" applyNumberFormat="1" applyFont="1" applyFill="1" applyBorder="1" applyAlignment="1">
      <alignment horizontal="right"/>
    </xf>
    <xf numFmtId="2" fontId="4" fillId="3" borderId="1" xfId="1" applyNumberFormat="1" applyFont="1" applyFill="1" applyBorder="1" applyAlignment="1">
      <alignment horizontal="right"/>
    </xf>
    <xf numFmtId="0" fontId="4" fillId="3" borderId="1" xfId="1" applyFont="1" applyFill="1" applyBorder="1" applyAlignment="1">
      <alignment horizontal="right"/>
    </xf>
    <xf numFmtId="0" fontId="4" fillId="0" borderId="0" xfId="1" applyFont="1"/>
    <xf numFmtId="0" fontId="28" fillId="3" borderId="1" xfId="5" applyFill="1" applyBorder="1" applyAlignment="1">
      <alignment horizontal="center" vertical="center"/>
    </xf>
    <xf numFmtId="0" fontId="29" fillId="3" borderId="1" xfId="5" applyFont="1" applyFill="1" applyBorder="1" applyAlignment="1">
      <alignment horizontal="center" vertical="center"/>
    </xf>
    <xf numFmtId="164" fontId="28" fillId="3" borderId="1" xfId="5" applyNumberFormat="1" applyFill="1" applyBorder="1" applyAlignment="1">
      <alignment horizontal="center" vertical="center"/>
    </xf>
    <xf numFmtId="165" fontId="28" fillId="3" borderId="1" xfId="5" applyNumberFormat="1" applyFill="1" applyBorder="1" applyAlignment="1">
      <alignment horizontal="center" vertical="center"/>
    </xf>
    <xf numFmtId="166" fontId="28" fillId="3" borderId="1" xfId="5" applyNumberFormat="1" applyFill="1" applyBorder="1" applyAlignment="1">
      <alignment horizontal="center" vertical="center"/>
    </xf>
    <xf numFmtId="2" fontId="28" fillId="3" borderId="1" xfId="5" applyNumberFormat="1" applyFill="1" applyBorder="1" applyAlignment="1">
      <alignment horizontal="center" vertical="center"/>
    </xf>
    <xf numFmtId="0" fontId="28" fillId="0" borderId="0" xfId="5" applyAlignment="1">
      <alignment horizontal="center" vertical="center"/>
    </xf>
    <xf numFmtId="0" fontId="29" fillId="2" borderId="1" xfId="5" applyFont="1" applyFill="1" applyBorder="1" applyAlignment="1">
      <alignment horizontal="center" vertical="center"/>
    </xf>
    <xf numFmtId="0" fontId="31" fillId="0" borderId="0" xfId="5" applyFont="1"/>
    <xf numFmtId="0" fontId="8" fillId="0" borderId="0" xfId="1" applyFont="1"/>
    <xf numFmtId="0" fontId="8" fillId="0" borderId="0" xfId="1" applyFont="1" applyAlignment="1">
      <alignment horizontal="center" vertical="center"/>
    </xf>
    <xf numFmtId="0" fontId="8" fillId="0" borderId="0" xfId="3" applyFont="1"/>
    <xf numFmtId="0" fontId="8" fillId="0" borderId="0" xfId="1" applyFont="1" applyAlignment="1">
      <alignment horizontal="center"/>
    </xf>
    <xf numFmtId="0" fontId="22" fillId="0" borderId="0" xfId="3" applyFont="1"/>
    <xf numFmtId="0" fontId="8" fillId="0" borderId="0" xfId="3" applyFont="1" applyAlignment="1">
      <alignment horizontal="center" vertical="center"/>
    </xf>
    <xf numFmtId="0" fontId="19" fillId="0" borderId="0" xfId="3" applyFont="1"/>
    <xf numFmtId="0" fontId="13" fillId="0" borderId="0" xfId="1" applyFont="1"/>
    <xf numFmtId="0" fontId="8" fillId="0" borderId="0" xfId="2" applyFont="1"/>
    <xf numFmtId="0" fontId="8" fillId="0" borderId="0" xfId="5" applyFont="1"/>
    <xf numFmtId="0" fontId="30" fillId="4" borderId="3" xfId="5" applyFont="1" applyFill="1" applyBorder="1" applyAlignment="1">
      <alignment horizontal="center" vertical="center" wrapText="1"/>
    </xf>
    <xf numFmtId="0" fontId="29" fillId="2" borderId="4" xfId="5" applyFont="1" applyFill="1" applyBorder="1" applyAlignment="1">
      <alignment horizontal="left"/>
    </xf>
    <xf numFmtId="0" fontId="29" fillId="2" borderId="4" xfId="5" applyFont="1" applyFill="1" applyBorder="1" applyAlignment="1">
      <alignment horizontal="right"/>
    </xf>
    <xf numFmtId="0" fontId="28" fillId="3" borderId="2" xfId="5" applyFill="1" applyBorder="1" applyAlignment="1">
      <alignment horizontal="center" vertical="center"/>
    </xf>
    <xf numFmtId="0" fontId="29" fillId="3" borderId="2" xfId="5" applyFont="1" applyFill="1" applyBorder="1" applyAlignment="1">
      <alignment horizontal="center" vertical="center"/>
    </xf>
    <xf numFmtId="164" fontId="28" fillId="3" borderId="2" xfId="5" applyNumberFormat="1" applyFill="1" applyBorder="1" applyAlignment="1">
      <alignment horizontal="center" vertical="center"/>
    </xf>
    <xf numFmtId="165" fontId="28" fillId="3" borderId="2" xfId="5" applyNumberFormat="1" applyFill="1" applyBorder="1" applyAlignment="1">
      <alignment horizontal="center" vertical="center"/>
    </xf>
    <xf numFmtId="166" fontId="28" fillId="3" borderId="2" xfId="5" applyNumberFormat="1" applyFill="1" applyBorder="1" applyAlignment="1">
      <alignment horizontal="center" vertical="center"/>
    </xf>
    <xf numFmtId="2" fontId="28" fillId="3" borderId="2" xfId="5" applyNumberFormat="1" applyFill="1" applyBorder="1" applyAlignment="1">
      <alignment horizontal="center" vertical="center"/>
    </xf>
    <xf numFmtId="0" fontId="28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0" fillId="0" borderId="2" xfId="0" applyFont="1" applyBorder="1" applyAlignment="1">
      <alignment horizontal="center" wrapText="1"/>
    </xf>
    <xf numFmtId="49" fontId="1" fillId="0" borderId="2" xfId="0" applyNumberFormat="1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164" fontId="1" fillId="0" borderId="2" xfId="0" applyNumberFormat="1" applyFont="1" applyBorder="1" applyAlignment="1">
      <alignment horizontal="center" wrapText="1"/>
    </xf>
    <xf numFmtId="165" fontId="1" fillId="0" borderId="2" xfId="0" applyNumberFormat="1" applyFont="1" applyBorder="1" applyAlignment="1">
      <alignment horizontal="center" wrapText="1"/>
    </xf>
    <xf numFmtId="166" fontId="1" fillId="0" borderId="2" xfId="0" applyNumberFormat="1" applyFont="1" applyBorder="1" applyAlignment="1">
      <alignment horizontal="center" wrapText="1"/>
    </xf>
    <xf numFmtId="2" fontId="1" fillId="0" borderId="2" xfId="0" applyNumberFormat="1" applyFont="1" applyBorder="1" applyAlignment="1">
      <alignment horizontal="center" wrapText="1"/>
    </xf>
    <xf numFmtId="49" fontId="0" fillId="0" borderId="2" xfId="0" applyNumberFormat="1" applyFont="1" applyBorder="1" applyAlignment="1">
      <alignment horizontal="center" wrapText="1"/>
    </xf>
    <xf numFmtId="0" fontId="28" fillId="0" borderId="5" xfId="5" applyBorder="1" applyAlignment="1">
      <alignment horizontal="center" vertical="center"/>
    </xf>
    <xf numFmtId="0" fontId="0" fillId="0" borderId="0" xfId="0" applyFont="1" applyAlignment="1">
      <alignment horizontal="center"/>
    </xf>
    <xf numFmtId="0" fontId="8" fillId="0" borderId="2" xfId="5" applyFont="1" applyBorder="1"/>
    <xf numFmtId="0" fontId="30" fillId="4" borderId="2" xfId="5" applyFont="1" applyFill="1" applyBorder="1" applyAlignment="1">
      <alignment horizontal="center" vertical="center" wrapText="1"/>
    </xf>
    <xf numFmtId="0" fontId="29" fillId="2" borderId="2" xfId="5" applyFont="1" applyFill="1" applyBorder="1" applyAlignment="1">
      <alignment horizontal="center" vertical="center"/>
    </xf>
  </cellXfs>
  <cellStyles count="6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dimension ref="A1:AC14"/>
  <sheetViews>
    <sheetView tabSelected="1" workbookViewId="0">
      <selection activeCell="AC16" sqref="AC16"/>
    </sheetView>
  </sheetViews>
  <sheetFormatPr defaultRowHeight="14.4" x14ac:dyDescent="0.3"/>
  <cols>
    <col min="1" max="1" width="5" style="242" customWidth="1"/>
    <col min="2" max="2" width="20.77734375" style="242" hidden="1" customWidth="1"/>
    <col min="3" max="3" width="6.21875" style="242" customWidth="1"/>
    <col min="4" max="4" width="11.77734375" style="242" hidden="1" customWidth="1"/>
    <col min="5" max="5" width="7.77734375" style="242" customWidth="1"/>
    <col min="6" max="6" width="6.5546875" style="242" customWidth="1"/>
    <col min="7" max="7" width="6.33203125" style="242" customWidth="1"/>
    <col min="8" max="8" width="7.109375" style="242" customWidth="1"/>
    <col min="9" max="9" width="7.44140625" style="242" customWidth="1"/>
    <col min="10" max="10" width="8.109375" style="242" customWidth="1"/>
    <col min="11" max="11" width="19.109375" style="242" customWidth="1"/>
    <col min="12" max="12" width="8.1093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8.77734375" style="242" customWidth="1"/>
    <col min="18" max="18" width="4.5546875" style="242" customWidth="1"/>
    <col min="19" max="19" width="6.2187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77734375" style="242" customWidth="1"/>
    <col min="24" max="24" width="7.6640625" style="242" customWidth="1"/>
    <col min="25" max="25" width="7.88671875" style="242" customWidth="1"/>
    <col min="26" max="26" width="7.5546875" style="242" customWidth="1"/>
    <col min="27" max="27" width="7.77734375" style="242" customWidth="1"/>
    <col min="28" max="28" width="4.5546875" style="242" customWidth="1"/>
    <col min="29" max="29" width="10.77734375" style="242" customWidth="1"/>
    <col min="30" max="16384" width="8.88671875" style="242"/>
  </cols>
  <sheetData>
    <row r="1" spans="1:29" ht="18" customHeight="1" x14ac:dyDescent="0.35">
      <c r="A1" s="266" t="s">
        <v>804</v>
      </c>
      <c r="B1" s="266" t="s">
        <v>27</v>
      </c>
      <c r="C1" s="266" t="s">
        <v>27</v>
      </c>
      <c r="D1" s="266" t="s">
        <v>27</v>
      </c>
      <c r="E1" s="266" t="s">
        <v>27</v>
      </c>
      <c r="F1" s="266" t="s">
        <v>27</v>
      </c>
      <c r="G1" s="266" t="s">
        <v>27</v>
      </c>
      <c r="H1" s="266" t="s">
        <v>27</v>
      </c>
      <c r="I1" s="266" t="s">
        <v>27</v>
      </c>
      <c r="J1" s="266" t="s">
        <v>27</v>
      </c>
      <c r="K1" s="266" t="s">
        <v>27</v>
      </c>
      <c r="L1" s="266" t="s">
        <v>27</v>
      </c>
      <c r="M1" s="266" t="s">
        <v>27</v>
      </c>
      <c r="N1" s="266" t="s">
        <v>27</v>
      </c>
      <c r="O1" s="266" t="s">
        <v>27</v>
      </c>
      <c r="P1" s="266" t="s">
        <v>27</v>
      </c>
      <c r="Q1" s="266" t="s">
        <v>27</v>
      </c>
      <c r="R1" s="266" t="s">
        <v>27</v>
      </c>
      <c r="S1" s="266" t="s">
        <v>27</v>
      </c>
      <c r="T1" s="266" t="s">
        <v>27</v>
      </c>
      <c r="U1" s="266" t="s">
        <v>27</v>
      </c>
      <c r="V1" s="266" t="s">
        <v>27</v>
      </c>
      <c r="W1" s="266" t="s">
        <v>27</v>
      </c>
      <c r="X1" s="266" t="s">
        <v>27</v>
      </c>
      <c r="Y1" s="266" t="s">
        <v>27</v>
      </c>
      <c r="Z1" s="266" t="s">
        <v>27</v>
      </c>
      <c r="AA1" s="266" t="s">
        <v>27</v>
      </c>
      <c r="AB1" s="266" t="s">
        <v>27</v>
      </c>
      <c r="AC1" s="266" t="s">
        <v>27</v>
      </c>
    </row>
    <row r="2" spans="1:29" ht="30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60</v>
      </c>
      <c r="C3" s="258" t="s">
        <v>26</v>
      </c>
      <c r="D3" s="258" t="s">
        <v>761</v>
      </c>
      <c r="E3" s="258">
        <v>262992</v>
      </c>
      <c r="F3" s="258" t="s">
        <v>777</v>
      </c>
      <c r="G3" s="258">
        <v>150</v>
      </c>
      <c r="H3" s="260">
        <v>0.67500000000000004</v>
      </c>
      <c r="I3" s="260">
        <v>2.0590000000000002</v>
      </c>
      <c r="J3" s="258" t="s">
        <v>27</v>
      </c>
      <c r="K3" s="258" t="s">
        <v>803</v>
      </c>
      <c r="L3" s="258" t="s">
        <v>27</v>
      </c>
      <c r="M3" s="260">
        <v>208.47399999999999</v>
      </c>
      <c r="N3" s="261">
        <v>154.4</v>
      </c>
      <c r="O3" s="262">
        <v>2.1399999999999999E-2</v>
      </c>
      <c r="P3" s="263">
        <v>1.29</v>
      </c>
      <c r="Q3" s="258">
        <v>112.2</v>
      </c>
      <c r="R3" s="258">
        <v>2</v>
      </c>
      <c r="S3" s="258">
        <v>1400</v>
      </c>
      <c r="T3" s="260">
        <v>1.35</v>
      </c>
      <c r="U3" s="258">
        <v>50</v>
      </c>
      <c r="V3" s="262">
        <v>3.5700000000000003E-2</v>
      </c>
      <c r="W3" s="258" t="s">
        <v>28</v>
      </c>
      <c r="X3" s="258" t="s">
        <v>29</v>
      </c>
      <c r="Y3" s="258" t="s">
        <v>28</v>
      </c>
      <c r="Z3" s="258" t="s">
        <v>28</v>
      </c>
      <c r="AA3" s="258" t="s">
        <v>28</v>
      </c>
      <c r="AB3" s="258" t="s">
        <v>38</v>
      </c>
      <c r="AC3" s="258" t="s">
        <v>802</v>
      </c>
    </row>
    <row r="4" spans="1:29" s="264" customFormat="1" ht="25.05" customHeight="1" x14ac:dyDescent="0.3">
      <c r="A4" s="258"/>
      <c r="B4" s="259" t="s">
        <v>60</v>
      </c>
      <c r="C4" s="258" t="s">
        <v>26</v>
      </c>
      <c r="D4" s="258" t="s">
        <v>761</v>
      </c>
      <c r="E4" s="258">
        <v>262990</v>
      </c>
      <c r="F4" s="258" t="s">
        <v>777</v>
      </c>
      <c r="G4" s="258">
        <v>200</v>
      </c>
      <c r="H4" s="260">
        <v>0.64500000000000002</v>
      </c>
      <c r="I4" s="260">
        <v>1.5389999999999999</v>
      </c>
      <c r="J4" s="258" t="s">
        <v>27</v>
      </c>
      <c r="K4" s="258" t="s">
        <v>801</v>
      </c>
      <c r="L4" s="258" t="s">
        <v>27</v>
      </c>
      <c r="M4" s="260">
        <v>198.53100000000001</v>
      </c>
      <c r="N4" s="261">
        <v>153.9</v>
      </c>
      <c r="O4" s="262">
        <v>2.1399999999999999E-2</v>
      </c>
      <c r="P4" s="263">
        <v>1.28</v>
      </c>
      <c r="Q4" s="258">
        <v>106.8</v>
      </c>
      <c r="R4" s="258">
        <v>2</v>
      </c>
      <c r="S4" s="258">
        <v>1350</v>
      </c>
      <c r="T4" s="260">
        <v>1.29</v>
      </c>
      <c r="U4" s="258">
        <v>60</v>
      </c>
      <c r="V4" s="262">
        <v>4.4400000000000002E-2</v>
      </c>
      <c r="W4" s="258" t="s">
        <v>28</v>
      </c>
      <c r="X4" s="258" t="s">
        <v>29</v>
      </c>
      <c r="Y4" s="258" t="s">
        <v>28</v>
      </c>
      <c r="Z4" s="258" t="s">
        <v>28</v>
      </c>
      <c r="AA4" s="258" t="s">
        <v>28</v>
      </c>
      <c r="AB4" s="258" t="s">
        <v>32</v>
      </c>
      <c r="AC4" s="258" t="s">
        <v>800</v>
      </c>
    </row>
    <row r="5" spans="1:29" s="264" customFormat="1" ht="25.05" customHeight="1" x14ac:dyDescent="0.3">
      <c r="A5" s="258"/>
      <c r="B5" s="259" t="s">
        <v>60</v>
      </c>
      <c r="C5" s="258" t="s">
        <v>57</v>
      </c>
      <c r="D5" s="258" t="s">
        <v>761</v>
      </c>
      <c r="E5" s="258">
        <v>262997</v>
      </c>
      <c r="F5" s="258" t="s">
        <v>799</v>
      </c>
      <c r="G5" s="258">
        <v>500</v>
      </c>
      <c r="H5" s="260">
        <v>1.2050000000000001</v>
      </c>
      <c r="I5" s="260">
        <v>2.5110000000000001</v>
      </c>
      <c r="J5" s="258" t="s">
        <v>27</v>
      </c>
      <c r="K5" s="258" t="s">
        <v>553</v>
      </c>
      <c r="L5" s="258" t="s">
        <v>27</v>
      </c>
      <c r="M5" s="260">
        <v>1512.8779999999999</v>
      </c>
      <c r="N5" s="261">
        <v>1255.5</v>
      </c>
      <c r="O5" s="262">
        <v>0.3488</v>
      </c>
      <c r="P5" s="263">
        <v>20.93</v>
      </c>
      <c r="Q5" s="258">
        <v>956.1</v>
      </c>
      <c r="R5" s="258">
        <v>1</v>
      </c>
      <c r="S5" s="258">
        <v>1250</v>
      </c>
      <c r="T5" s="260">
        <v>1.2050000000000001</v>
      </c>
      <c r="U5" s="258">
        <v>45</v>
      </c>
      <c r="V5" s="262">
        <v>3.5999999999999997E-2</v>
      </c>
      <c r="W5" s="258" t="s">
        <v>29</v>
      </c>
      <c r="X5" s="258" t="s">
        <v>39</v>
      </c>
      <c r="Y5" s="258" t="s">
        <v>28</v>
      </c>
      <c r="Z5" s="258" t="s">
        <v>28</v>
      </c>
      <c r="AA5" s="258" t="s">
        <v>29</v>
      </c>
      <c r="AB5" s="258" t="s">
        <v>30</v>
      </c>
      <c r="AC5" s="258" t="s">
        <v>552</v>
      </c>
    </row>
    <row r="6" spans="1:29" s="264" customFormat="1" ht="25.05" customHeight="1" x14ac:dyDescent="0.3">
      <c r="A6" s="258"/>
      <c r="B6" s="259" t="s">
        <v>60</v>
      </c>
      <c r="C6" s="258" t="s">
        <v>26</v>
      </c>
      <c r="D6" s="258" t="s">
        <v>761</v>
      </c>
      <c r="E6" s="258">
        <v>262991</v>
      </c>
      <c r="F6" s="258" t="s">
        <v>777</v>
      </c>
      <c r="G6" s="258">
        <v>100</v>
      </c>
      <c r="H6" s="260">
        <v>1.085</v>
      </c>
      <c r="I6" s="260">
        <v>2.4990000000000001</v>
      </c>
      <c r="J6" s="258" t="s">
        <v>27</v>
      </c>
      <c r="K6" s="258" t="s">
        <v>798</v>
      </c>
      <c r="L6" s="258" t="s">
        <v>27</v>
      </c>
      <c r="M6" s="260">
        <v>271.142</v>
      </c>
      <c r="N6" s="261">
        <v>249.9</v>
      </c>
      <c r="O6" s="262">
        <v>6.9400000000000003E-2</v>
      </c>
      <c r="P6" s="263">
        <v>4.17</v>
      </c>
      <c r="Q6" s="258">
        <v>145.9</v>
      </c>
      <c r="R6" s="258">
        <v>1</v>
      </c>
      <c r="S6" s="258">
        <v>1150</v>
      </c>
      <c r="T6" s="260">
        <v>1.085</v>
      </c>
      <c r="U6" s="258">
        <v>65</v>
      </c>
      <c r="V6" s="262">
        <v>5.6500000000000002E-2</v>
      </c>
      <c r="W6" s="258" t="s">
        <v>28</v>
      </c>
      <c r="X6" s="258" t="s">
        <v>29</v>
      </c>
      <c r="Y6" s="258" t="s">
        <v>28</v>
      </c>
      <c r="Z6" s="258" t="s">
        <v>28</v>
      </c>
      <c r="AA6" s="258" t="s">
        <v>28</v>
      </c>
      <c r="AB6" s="258" t="s">
        <v>38</v>
      </c>
      <c r="AC6" s="258" t="s">
        <v>797</v>
      </c>
    </row>
    <row r="7" spans="1:29" s="264" customFormat="1" ht="25.05" customHeight="1" x14ac:dyDescent="0.3">
      <c r="A7" s="258"/>
      <c r="B7" s="259" t="s">
        <v>60</v>
      </c>
      <c r="C7" s="258" t="s">
        <v>26</v>
      </c>
      <c r="D7" s="258" t="s">
        <v>761</v>
      </c>
      <c r="E7" s="258">
        <v>262993</v>
      </c>
      <c r="F7" s="258" t="s">
        <v>777</v>
      </c>
      <c r="G7" s="258">
        <v>200</v>
      </c>
      <c r="H7" s="260">
        <v>0.52900000000000003</v>
      </c>
      <c r="I7" s="260">
        <v>1.5089999999999999</v>
      </c>
      <c r="J7" s="258" t="s">
        <v>27</v>
      </c>
      <c r="K7" s="258" t="s">
        <v>796</v>
      </c>
      <c r="L7" s="258" t="s">
        <v>27</v>
      </c>
      <c r="M7" s="260">
        <v>159.65199999999999</v>
      </c>
      <c r="N7" s="261">
        <v>150.9</v>
      </c>
      <c r="O7" s="262">
        <v>2.1000000000000001E-2</v>
      </c>
      <c r="P7" s="263">
        <v>1.26</v>
      </c>
      <c r="Q7" s="258">
        <v>85.9</v>
      </c>
      <c r="R7" s="258">
        <v>2</v>
      </c>
      <c r="S7" s="258">
        <v>1100</v>
      </c>
      <c r="T7" s="260">
        <v>1.0580000000000001</v>
      </c>
      <c r="U7" s="258">
        <v>42</v>
      </c>
      <c r="V7" s="262">
        <v>3.8199999999999998E-2</v>
      </c>
      <c r="W7" s="258" t="s">
        <v>28</v>
      </c>
      <c r="X7" s="258" t="s">
        <v>29</v>
      </c>
      <c r="Y7" s="258" t="s">
        <v>28</v>
      </c>
      <c r="Z7" s="258" t="s">
        <v>28</v>
      </c>
      <c r="AA7" s="258" t="s">
        <v>28</v>
      </c>
      <c r="AB7" s="258" t="s">
        <v>38</v>
      </c>
      <c r="AC7" s="258" t="s">
        <v>795</v>
      </c>
    </row>
    <row r="8" spans="1:29" s="264" customFormat="1" ht="25.05" customHeight="1" x14ac:dyDescent="0.3">
      <c r="A8" s="258"/>
      <c r="B8" s="259" t="s">
        <v>60</v>
      </c>
      <c r="C8" s="258" t="s">
        <v>35</v>
      </c>
      <c r="D8" s="258" t="s">
        <v>761</v>
      </c>
      <c r="E8" s="258">
        <v>262989</v>
      </c>
      <c r="F8" s="258" t="s">
        <v>777</v>
      </c>
      <c r="G8" s="258">
        <v>250</v>
      </c>
      <c r="H8" s="260">
        <v>1.3440000000000001</v>
      </c>
      <c r="I8" s="260">
        <v>1.609</v>
      </c>
      <c r="J8" s="258" t="s">
        <v>27</v>
      </c>
      <c r="K8" s="258" t="s">
        <v>794</v>
      </c>
      <c r="L8" s="258" t="s">
        <v>27</v>
      </c>
      <c r="M8" s="260">
        <v>540.62400000000002</v>
      </c>
      <c r="N8" s="261">
        <v>402.3</v>
      </c>
      <c r="O8" s="262">
        <v>0.11169999999999999</v>
      </c>
      <c r="P8" s="263">
        <v>6.7</v>
      </c>
      <c r="Q8" s="258">
        <v>173</v>
      </c>
      <c r="R8" s="258">
        <v>1</v>
      </c>
      <c r="S8" s="258">
        <v>1400</v>
      </c>
      <c r="T8" s="260">
        <v>1.3440000000000001</v>
      </c>
      <c r="U8" s="258">
        <v>56</v>
      </c>
      <c r="V8" s="262">
        <v>0.04</v>
      </c>
      <c r="W8" s="258" t="s">
        <v>28</v>
      </c>
      <c r="X8" s="258" t="s">
        <v>28</v>
      </c>
      <c r="Y8" s="258" t="s">
        <v>28</v>
      </c>
      <c r="Z8" s="258" t="s">
        <v>27</v>
      </c>
      <c r="AA8" s="258" t="s">
        <v>27</v>
      </c>
      <c r="AB8" s="258" t="s">
        <v>38</v>
      </c>
      <c r="AC8" s="258" t="s">
        <v>793</v>
      </c>
    </row>
    <row r="9" spans="1:29" s="264" customFormat="1" ht="25.05" customHeight="1" x14ac:dyDescent="0.3">
      <c r="A9" s="258"/>
      <c r="B9" s="259" t="s">
        <v>60</v>
      </c>
      <c r="C9" s="258" t="s">
        <v>35</v>
      </c>
      <c r="D9" s="258" t="s">
        <v>761</v>
      </c>
      <c r="E9" s="258">
        <v>262988</v>
      </c>
      <c r="F9" s="258" t="s">
        <v>777</v>
      </c>
      <c r="G9" s="258">
        <v>1000</v>
      </c>
      <c r="H9" s="260">
        <v>0.40200000000000002</v>
      </c>
      <c r="I9" s="260">
        <v>1.133</v>
      </c>
      <c r="J9" s="258" t="s">
        <v>27</v>
      </c>
      <c r="K9" s="258" t="s">
        <v>792</v>
      </c>
      <c r="L9" s="258" t="s">
        <v>27</v>
      </c>
      <c r="M9" s="260">
        <v>455.46600000000001</v>
      </c>
      <c r="N9" s="261">
        <v>377.7</v>
      </c>
      <c r="O9" s="262">
        <v>3.5000000000000003E-2</v>
      </c>
      <c r="P9" s="263">
        <v>2.1</v>
      </c>
      <c r="Q9" s="258">
        <v>145.69999999999999</v>
      </c>
      <c r="R9" s="258">
        <v>3</v>
      </c>
      <c r="S9" s="258">
        <v>1250</v>
      </c>
      <c r="T9" s="260">
        <v>1.206</v>
      </c>
      <c r="U9" s="258">
        <v>44</v>
      </c>
      <c r="V9" s="262">
        <v>3.5200000000000002E-2</v>
      </c>
      <c r="W9" s="258" t="s">
        <v>28</v>
      </c>
      <c r="X9" s="258" t="s">
        <v>28</v>
      </c>
      <c r="Y9" s="258" t="s">
        <v>28</v>
      </c>
      <c r="Z9" s="258" t="s">
        <v>27</v>
      </c>
      <c r="AA9" s="258" t="s">
        <v>27</v>
      </c>
      <c r="AB9" s="258" t="s">
        <v>38</v>
      </c>
      <c r="AC9" s="258" t="s">
        <v>791</v>
      </c>
    </row>
    <row r="10" spans="1:29" s="264" customFormat="1" ht="25.05" customHeight="1" x14ac:dyDescent="0.3">
      <c r="A10" s="258"/>
      <c r="B10" s="259" t="s">
        <v>60</v>
      </c>
      <c r="C10" s="258" t="s">
        <v>35</v>
      </c>
      <c r="D10" s="258" t="s">
        <v>761</v>
      </c>
      <c r="E10" s="258">
        <v>262987</v>
      </c>
      <c r="F10" s="258" t="s">
        <v>777</v>
      </c>
      <c r="G10" s="258">
        <v>1100</v>
      </c>
      <c r="H10" s="260">
        <v>0.57699999999999996</v>
      </c>
      <c r="I10" s="260">
        <v>0.99299999999999999</v>
      </c>
      <c r="J10" s="258" t="s">
        <v>27</v>
      </c>
      <c r="K10" s="258" t="s">
        <v>790</v>
      </c>
      <c r="L10" s="258" t="s">
        <v>27</v>
      </c>
      <c r="M10" s="260">
        <v>630.25699999999995</v>
      </c>
      <c r="N10" s="261">
        <v>546.1</v>
      </c>
      <c r="O10" s="262">
        <v>7.5899999999999995E-2</v>
      </c>
      <c r="P10" s="263">
        <v>4.55</v>
      </c>
      <c r="Q10" s="258">
        <v>201.7</v>
      </c>
      <c r="R10" s="258">
        <v>2</v>
      </c>
      <c r="S10" s="258">
        <v>1200</v>
      </c>
      <c r="T10" s="260">
        <v>1.1539999999999999</v>
      </c>
      <c r="U10" s="258">
        <v>46</v>
      </c>
      <c r="V10" s="262">
        <v>3.8300000000000001E-2</v>
      </c>
      <c r="W10" s="258" t="s">
        <v>28</v>
      </c>
      <c r="X10" s="258" t="s">
        <v>28</v>
      </c>
      <c r="Y10" s="258" t="s">
        <v>28</v>
      </c>
      <c r="Z10" s="258" t="s">
        <v>27</v>
      </c>
      <c r="AA10" s="258" t="s">
        <v>27</v>
      </c>
      <c r="AB10" s="258" t="s">
        <v>38</v>
      </c>
      <c r="AC10" s="258" t="s">
        <v>789</v>
      </c>
    </row>
    <row r="11" spans="1:29" s="264" customFormat="1" ht="25.05" customHeight="1" x14ac:dyDescent="0.3">
      <c r="A11" s="258"/>
      <c r="B11" s="259" t="s">
        <v>60</v>
      </c>
      <c r="C11" s="258" t="s">
        <v>35</v>
      </c>
      <c r="D11" s="258" t="s">
        <v>761</v>
      </c>
      <c r="E11" s="258">
        <v>262994</v>
      </c>
      <c r="F11" s="258" t="s">
        <v>777</v>
      </c>
      <c r="G11" s="258">
        <v>1600</v>
      </c>
      <c r="H11" s="260">
        <v>0.28399999999999997</v>
      </c>
      <c r="I11" s="260">
        <v>0.64900000000000002</v>
      </c>
      <c r="J11" s="258" t="s">
        <v>27</v>
      </c>
      <c r="K11" s="258" t="s">
        <v>788</v>
      </c>
      <c r="L11" s="258" t="s">
        <v>27</v>
      </c>
      <c r="M11" s="260">
        <v>294.90600000000001</v>
      </c>
      <c r="N11" s="261">
        <v>259.60000000000002</v>
      </c>
      <c r="O11" s="262">
        <v>1.7999999999999999E-2</v>
      </c>
      <c r="P11" s="263">
        <v>1.08</v>
      </c>
      <c r="Q11" s="258">
        <v>94.4</v>
      </c>
      <c r="R11" s="258">
        <v>4</v>
      </c>
      <c r="S11" s="258">
        <v>1200</v>
      </c>
      <c r="T11" s="260">
        <v>1.1359999999999999</v>
      </c>
      <c r="U11" s="258">
        <v>64</v>
      </c>
      <c r="V11" s="262">
        <v>5.33E-2</v>
      </c>
      <c r="W11" s="258" t="s">
        <v>28</v>
      </c>
      <c r="X11" s="258" t="s">
        <v>28</v>
      </c>
      <c r="Y11" s="258" t="s">
        <v>28</v>
      </c>
      <c r="Z11" s="258" t="s">
        <v>27</v>
      </c>
      <c r="AA11" s="258" t="s">
        <v>27</v>
      </c>
      <c r="AB11" s="258" t="s">
        <v>38</v>
      </c>
      <c r="AC11" s="258" t="s">
        <v>787</v>
      </c>
    </row>
    <row r="12" spans="1:29" s="264" customFormat="1" ht="25.05" customHeight="1" x14ac:dyDescent="0.3">
      <c r="A12" s="258"/>
      <c r="B12" s="259" t="s">
        <v>60</v>
      </c>
      <c r="C12" s="258" t="s">
        <v>42</v>
      </c>
      <c r="D12" s="258" t="s">
        <v>761</v>
      </c>
      <c r="E12" s="258">
        <v>262996</v>
      </c>
      <c r="F12" s="258" t="s">
        <v>777</v>
      </c>
      <c r="G12" s="258">
        <v>2000</v>
      </c>
      <c r="H12" s="260">
        <v>0.53</v>
      </c>
      <c r="I12" s="260">
        <v>1.129</v>
      </c>
      <c r="J12" s="258" t="s">
        <v>27</v>
      </c>
      <c r="K12" s="258" t="s">
        <v>786</v>
      </c>
      <c r="L12" s="258" t="s">
        <v>27</v>
      </c>
      <c r="M12" s="260">
        <v>1196.74</v>
      </c>
      <c r="N12" s="261">
        <v>1129</v>
      </c>
      <c r="O12" s="262">
        <v>0.15679999999999999</v>
      </c>
      <c r="P12" s="263">
        <v>9.41</v>
      </c>
      <c r="Q12" s="258">
        <v>412.9</v>
      </c>
      <c r="R12" s="258">
        <v>2</v>
      </c>
      <c r="S12" s="258">
        <v>1100</v>
      </c>
      <c r="T12" s="260">
        <v>1.06</v>
      </c>
      <c r="U12" s="258">
        <v>40</v>
      </c>
      <c r="V12" s="262">
        <v>3.6400000000000002E-2</v>
      </c>
      <c r="W12" s="258" t="s">
        <v>29</v>
      </c>
      <c r="X12" s="258" t="s">
        <v>29</v>
      </c>
      <c r="Y12" s="258" t="s">
        <v>28</v>
      </c>
      <c r="Z12" s="258" t="s">
        <v>27</v>
      </c>
      <c r="AA12" s="258" t="s">
        <v>27</v>
      </c>
      <c r="AB12" s="258" t="s">
        <v>32</v>
      </c>
      <c r="AC12" s="258" t="s">
        <v>785</v>
      </c>
    </row>
    <row r="13" spans="1:29" s="264" customFormat="1" ht="25.05" customHeight="1" x14ac:dyDescent="0.3">
      <c r="A13" s="258"/>
      <c r="B13" s="259" t="s">
        <v>60</v>
      </c>
      <c r="C13" s="258" t="s">
        <v>35</v>
      </c>
      <c r="D13" s="258" t="s">
        <v>761</v>
      </c>
      <c r="E13" s="258">
        <v>262995</v>
      </c>
      <c r="F13" s="258" t="s">
        <v>777</v>
      </c>
      <c r="G13" s="258">
        <v>300</v>
      </c>
      <c r="H13" s="260">
        <v>1.02</v>
      </c>
      <c r="I13" s="260">
        <v>0.98099999999999998</v>
      </c>
      <c r="J13" s="258" t="s">
        <v>27</v>
      </c>
      <c r="K13" s="258" t="s">
        <v>33</v>
      </c>
      <c r="L13" s="258" t="s">
        <v>27</v>
      </c>
      <c r="M13" s="260">
        <v>300.18599999999998</v>
      </c>
      <c r="N13" s="261">
        <v>294.3</v>
      </c>
      <c r="O13" s="262">
        <v>8.1799999999999998E-2</v>
      </c>
      <c r="P13" s="263">
        <v>4.91</v>
      </c>
      <c r="Q13" s="258">
        <v>96.1</v>
      </c>
      <c r="R13" s="258">
        <v>1</v>
      </c>
      <c r="S13" s="258">
        <v>1050</v>
      </c>
      <c r="T13" s="260">
        <v>1.02</v>
      </c>
      <c r="U13" s="258">
        <v>30</v>
      </c>
      <c r="V13" s="262">
        <v>2.86E-2</v>
      </c>
      <c r="W13" s="258" t="s">
        <v>28</v>
      </c>
      <c r="X13" s="258" t="s">
        <v>28</v>
      </c>
      <c r="Y13" s="258" t="s">
        <v>28</v>
      </c>
      <c r="Z13" s="258" t="s">
        <v>27</v>
      </c>
      <c r="AA13" s="258" t="s">
        <v>27</v>
      </c>
      <c r="AB13" s="258" t="s">
        <v>38</v>
      </c>
      <c r="AC13" s="258" t="s">
        <v>784</v>
      </c>
    </row>
    <row r="14" spans="1:29" s="264" customFormat="1" ht="25.05" customHeight="1" x14ac:dyDescent="0.3">
      <c r="A14" s="265" t="s">
        <v>27</v>
      </c>
      <c r="B14" s="265" t="s">
        <v>27</v>
      </c>
      <c r="C14" s="265" t="s">
        <v>27</v>
      </c>
      <c r="D14" s="265" t="s">
        <v>27</v>
      </c>
      <c r="E14" s="265" t="s">
        <v>27</v>
      </c>
      <c r="F14" s="265" t="s">
        <v>27</v>
      </c>
      <c r="G14" s="265">
        <v>7400</v>
      </c>
      <c r="H14" s="265" t="s">
        <v>27</v>
      </c>
      <c r="I14" s="265" t="s">
        <v>27</v>
      </c>
      <c r="J14" s="265" t="s">
        <v>27</v>
      </c>
      <c r="K14" s="265" t="s">
        <v>27</v>
      </c>
      <c r="L14" s="265" t="s">
        <v>27</v>
      </c>
      <c r="M14" s="265" t="s">
        <v>27</v>
      </c>
      <c r="N14" s="265" t="s">
        <v>27</v>
      </c>
      <c r="O14" s="265" t="s">
        <v>27</v>
      </c>
      <c r="P14" s="265" t="s">
        <v>27</v>
      </c>
      <c r="Q14" s="265">
        <v>2530.6</v>
      </c>
      <c r="R14" s="265" t="s">
        <v>27</v>
      </c>
      <c r="S14" s="265" t="s">
        <v>27</v>
      </c>
      <c r="T14" s="265" t="s">
        <v>27</v>
      </c>
      <c r="U14" s="265" t="s">
        <v>27</v>
      </c>
      <c r="V14" s="265" t="s">
        <v>27</v>
      </c>
      <c r="W14" s="265" t="s">
        <v>27</v>
      </c>
      <c r="X14" s="265" t="s">
        <v>27</v>
      </c>
      <c r="Y14" s="265" t="s">
        <v>27</v>
      </c>
      <c r="Z14" s="265" t="s">
        <v>27</v>
      </c>
      <c r="AA14" s="265" t="s">
        <v>27</v>
      </c>
      <c r="AB14" s="265" t="s">
        <v>27</v>
      </c>
      <c r="AC14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3ACBA-446C-4E42-92BC-2CCE998DA5C2}">
  <sheetPr>
    <pageSetUpPr fitToPage="1"/>
  </sheetPr>
  <dimension ref="A1:AC7"/>
  <sheetViews>
    <sheetView workbookViewId="0">
      <selection activeCell="R27" sqref="R27"/>
    </sheetView>
  </sheetViews>
  <sheetFormatPr defaultRowHeight="14.4" x14ac:dyDescent="0.3"/>
  <cols>
    <col min="1" max="1" width="3.88671875" style="242" customWidth="1"/>
    <col min="2" max="2" width="20.77734375" style="242" hidden="1" customWidth="1"/>
    <col min="3" max="3" width="7.77734375" style="242" customWidth="1"/>
    <col min="4" max="4" width="11.77734375" style="242" hidden="1" customWidth="1"/>
    <col min="5" max="5" width="7.44140625" style="242" customWidth="1"/>
    <col min="6" max="6" width="5.6640625" style="242" customWidth="1"/>
    <col min="7" max="7" width="6.33203125" style="242" customWidth="1"/>
    <col min="8" max="8" width="6.44140625" style="242" customWidth="1"/>
    <col min="9" max="9" width="6.5546875" style="242" customWidth="1"/>
    <col min="10" max="11" width="6.6640625" style="242" customWidth="1"/>
    <col min="12" max="12" width="7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6640625" style="242" customWidth="1"/>
    <col min="18" max="18" width="4" style="242" customWidth="1"/>
    <col min="19" max="19" width="6.10937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6640625" style="242" customWidth="1"/>
    <col min="24" max="24" width="7.21875" style="242" customWidth="1"/>
    <col min="25" max="25" width="7.6640625" style="242" customWidth="1"/>
    <col min="26" max="26" width="8.109375" style="242" customWidth="1"/>
    <col min="27" max="27" width="9.21875" style="242" customWidth="1"/>
    <col min="28" max="28" width="5.21875" style="242" customWidth="1"/>
    <col min="29" max="29" width="11.21875" style="242" customWidth="1"/>
    <col min="30" max="16384" width="8.88671875" style="242"/>
  </cols>
  <sheetData>
    <row r="1" spans="1:29" ht="18" customHeight="1" x14ac:dyDescent="0.35">
      <c r="A1" s="303" t="s">
        <v>778</v>
      </c>
      <c r="B1" s="303" t="s">
        <v>27</v>
      </c>
      <c r="C1" s="303" t="s">
        <v>27</v>
      </c>
      <c r="D1" s="303" t="s">
        <v>27</v>
      </c>
      <c r="E1" s="303" t="s">
        <v>27</v>
      </c>
      <c r="F1" s="303" t="s">
        <v>27</v>
      </c>
      <c r="G1" s="303" t="s">
        <v>27</v>
      </c>
      <c r="H1" s="303" t="s">
        <v>27</v>
      </c>
      <c r="I1" s="303" t="s">
        <v>27</v>
      </c>
      <c r="J1" s="303" t="s">
        <v>27</v>
      </c>
      <c r="K1" s="303" t="s">
        <v>27</v>
      </c>
      <c r="L1" s="303" t="s">
        <v>27</v>
      </c>
      <c r="M1" s="303" t="s">
        <v>27</v>
      </c>
      <c r="N1" s="303" t="s">
        <v>27</v>
      </c>
      <c r="O1" s="303" t="s">
        <v>27</v>
      </c>
      <c r="P1" s="303" t="s">
        <v>27</v>
      </c>
      <c r="Q1" s="303" t="s">
        <v>27</v>
      </c>
      <c r="R1" s="303" t="s">
        <v>27</v>
      </c>
      <c r="S1" s="303" t="s">
        <v>27</v>
      </c>
      <c r="T1" s="303" t="s">
        <v>27</v>
      </c>
      <c r="U1" s="303" t="s">
        <v>27</v>
      </c>
      <c r="V1" s="303" t="s">
        <v>27</v>
      </c>
      <c r="W1" s="303" t="s">
        <v>27</v>
      </c>
      <c r="X1" s="303" t="s">
        <v>27</v>
      </c>
      <c r="Y1" s="303" t="s">
        <v>27</v>
      </c>
      <c r="Z1" s="303" t="s">
        <v>27</v>
      </c>
      <c r="AA1" s="303" t="s">
        <v>27</v>
      </c>
      <c r="AB1" s="303" t="s">
        <v>27</v>
      </c>
      <c r="AC1" s="303" t="s">
        <v>27</v>
      </c>
    </row>
    <row r="2" spans="1:29" ht="41.4" customHeight="1" x14ac:dyDescent="0.3">
      <c r="A2" s="304" t="s">
        <v>0</v>
      </c>
      <c r="B2" s="304" t="s">
        <v>36</v>
      </c>
      <c r="C2" s="304" t="s">
        <v>1</v>
      </c>
      <c r="D2" s="304" t="s">
        <v>2</v>
      </c>
      <c r="E2" s="304" t="s">
        <v>53</v>
      </c>
      <c r="F2" s="304" t="s">
        <v>4</v>
      </c>
      <c r="G2" s="304" t="s">
        <v>5</v>
      </c>
      <c r="H2" s="304" t="s">
        <v>6</v>
      </c>
      <c r="I2" s="304" t="s">
        <v>7</v>
      </c>
      <c r="J2" s="304" t="s">
        <v>27</v>
      </c>
      <c r="K2" s="304" t="s">
        <v>8</v>
      </c>
      <c r="L2" s="304" t="s">
        <v>27</v>
      </c>
      <c r="M2" s="304" t="s">
        <v>9</v>
      </c>
      <c r="N2" s="304" t="s">
        <v>10</v>
      </c>
      <c r="O2" s="304" t="s">
        <v>11</v>
      </c>
      <c r="P2" s="304" t="s">
        <v>12</v>
      </c>
      <c r="Q2" s="304" t="s">
        <v>13</v>
      </c>
      <c r="R2" s="304" t="s">
        <v>14</v>
      </c>
      <c r="S2" s="304" t="s">
        <v>15</v>
      </c>
      <c r="T2" s="304" t="s">
        <v>16</v>
      </c>
      <c r="U2" s="304" t="s">
        <v>17</v>
      </c>
      <c r="V2" s="304" t="s">
        <v>18</v>
      </c>
      <c r="W2" s="304" t="s">
        <v>19</v>
      </c>
      <c r="X2" s="304" t="s">
        <v>20</v>
      </c>
      <c r="Y2" s="304" t="s">
        <v>21</v>
      </c>
      <c r="Z2" s="304" t="s">
        <v>22</v>
      </c>
      <c r="AA2" s="304" t="s">
        <v>23</v>
      </c>
      <c r="AB2" s="304" t="s">
        <v>24</v>
      </c>
      <c r="AC2" s="304" t="s">
        <v>25</v>
      </c>
    </row>
    <row r="3" spans="1:29" s="302" customFormat="1" ht="25.05" customHeight="1" x14ac:dyDescent="0.3">
      <c r="A3" s="287"/>
      <c r="B3" s="288" t="s">
        <v>569</v>
      </c>
      <c r="C3" s="288" t="s">
        <v>55</v>
      </c>
      <c r="D3" s="288" t="s">
        <v>783</v>
      </c>
      <c r="E3" s="287">
        <v>262986</v>
      </c>
      <c r="F3" s="288" t="s">
        <v>777</v>
      </c>
      <c r="G3" s="287">
        <v>2000</v>
      </c>
      <c r="H3" s="289">
        <v>0.51</v>
      </c>
      <c r="I3" s="289">
        <v>1.02</v>
      </c>
      <c r="J3" s="287"/>
      <c r="K3" s="288" t="s">
        <v>33</v>
      </c>
      <c r="L3" s="287"/>
      <c r="M3" s="289">
        <v>1040.4000000000001</v>
      </c>
      <c r="N3" s="290">
        <v>680</v>
      </c>
      <c r="O3" s="291">
        <v>6.3E-2</v>
      </c>
      <c r="P3" s="292">
        <v>3.78</v>
      </c>
      <c r="Q3" s="287">
        <v>379.7</v>
      </c>
      <c r="R3" s="287">
        <v>3</v>
      </c>
      <c r="S3" s="287">
        <v>1550</v>
      </c>
      <c r="T3" s="289">
        <v>1.53</v>
      </c>
      <c r="U3" s="287">
        <v>20</v>
      </c>
      <c r="V3" s="291">
        <v>1.29E-2</v>
      </c>
      <c r="W3" s="288" t="s">
        <v>37</v>
      </c>
      <c r="X3" s="288" t="s">
        <v>29</v>
      </c>
      <c r="Y3" s="288" t="s">
        <v>34</v>
      </c>
      <c r="Z3" s="288"/>
      <c r="AA3" s="288"/>
      <c r="AB3" s="288" t="s">
        <v>32</v>
      </c>
      <c r="AC3" s="288" t="s">
        <v>571</v>
      </c>
    </row>
    <row r="4" spans="1:29" s="264" customFormat="1" ht="25.05" customHeight="1" x14ac:dyDescent="0.3">
      <c r="A4" s="280"/>
      <c r="B4" s="281" t="s">
        <v>569</v>
      </c>
      <c r="C4" s="280" t="s">
        <v>35</v>
      </c>
      <c r="D4" s="280" t="s">
        <v>761</v>
      </c>
      <c r="E4" s="280">
        <v>262981</v>
      </c>
      <c r="F4" s="280" t="s">
        <v>777</v>
      </c>
      <c r="G4" s="280">
        <v>8000</v>
      </c>
      <c r="H4" s="282">
        <v>0.46</v>
      </c>
      <c r="I4" s="282">
        <v>0.92</v>
      </c>
      <c r="J4" s="280" t="s">
        <v>27</v>
      </c>
      <c r="K4" s="280" t="s">
        <v>33</v>
      </c>
      <c r="L4" s="280" t="s">
        <v>27</v>
      </c>
      <c r="M4" s="282">
        <v>3385.6</v>
      </c>
      <c r="N4" s="283">
        <v>2453.3000000000002</v>
      </c>
      <c r="O4" s="284">
        <v>0.22720000000000001</v>
      </c>
      <c r="P4" s="285">
        <v>13.63</v>
      </c>
      <c r="Q4" s="280">
        <v>1066.5</v>
      </c>
      <c r="R4" s="280">
        <v>3</v>
      </c>
      <c r="S4" s="280">
        <v>1400</v>
      </c>
      <c r="T4" s="282">
        <v>1.38</v>
      </c>
      <c r="U4" s="280">
        <v>20</v>
      </c>
      <c r="V4" s="284">
        <v>1.43E-2</v>
      </c>
      <c r="W4" s="280" t="s">
        <v>28</v>
      </c>
      <c r="X4" s="280" t="s">
        <v>28</v>
      </c>
      <c r="Y4" s="280" t="s">
        <v>28</v>
      </c>
      <c r="Z4" s="280" t="s">
        <v>27</v>
      </c>
      <c r="AA4" s="280" t="s">
        <v>27</v>
      </c>
      <c r="AB4" s="280" t="s">
        <v>48</v>
      </c>
      <c r="AC4" s="280" t="s">
        <v>474</v>
      </c>
    </row>
    <row r="5" spans="1:29" s="264" customFormat="1" ht="25.05" customHeight="1" x14ac:dyDescent="0.3">
      <c r="A5" s="280"/>
      <c r="B5" s="281" t="s">
        <v>569</v>
      </c>
      <c r="C5" s="280" t="s">
        <v>35</v>
      </c>
      <c r="D5" s="280" t="s">
        <v>761</v>
      </c>
      <c r="E5" s="280">
        <v>262982</v>
      </c>
      <c r="F5" s="280" t="s">
        <v>777</v>
      </c>
      <c r="G5" s="280">
        <v>3000</v>
      </c>
      <c r="H5" s="282">
        <v>0.67</v>
      </c>
      <c r="I5" s="282">
        <v>0.95</v>
      </c>
      <c r="J5" s="280" t="s">
        <v>27</v>
      </c>
      <c r="K5" s="280" t="s">
        <v>33</v>
      </c>
      <c r="L5" s="280" t="s">
        <v>27</v>
      </c>
      <c r="M5" s="282">
        <v>1909.5</v>
      </c>
      <c r="N5" s="283">
        <v>1425</v>
      </c>
      <c r="O5" s="284">
        <v>0.19789999999999999</v>
      </c>
      <c r="P5" s="285">
        <v>11.88</v>
      </c>
      <c r="Q5" s="280">
        <v>601.5</v>
      </c>
      <c r="R5" s="280">
        <v>2</v>
      </c>
      <c r="S5" s="280">
        <v>1400</v>
      </c>
      <c r="T5" s="282">
        <v>1.34</v>
      </c>
      <c r="U5" s="280">
        <v>60</v>
      </c>
      <c r="V5" s="284">
        <v>4.2900000000000001E-2</v>
      </c>
      <c r="W5" s="280" t="s">
        <v>28</v>
      </c>
      <c r="X5" s="280" t="s">
        <v>28</v>
      </c>
      <c r="Y5" s="280" t="s">
        <v>28</v>
      </c>
      <c r="Z5" s="280" t="s">
        <v>27</v>
      </c>
      <c r="AA5" s="280" t="s">
        <v>27</v>
      </c>
      <c r="AB5" s="280" t="s">
        <v>30</v>
      </c>
      <c r="AC5" s="280" t="s">
        <v>570</v>
      </c>
    </row>
    <row r="6" spans="1:29" s="264" customFormat="1" ht="25.05" customHeight="1" x14ac:dyDescent="0.3">
      <c r="A6" s="280"/>
      <c r="B6" s="281" t="s">
        <v>569</v>
      </c>
      <c r="C6" s="280" t="s">
        <v>35</v>
      </c>
      <c r="D6" s="280" t="s">
        <v>761</v>
      </c>
      <c r="E6" s="280">
        <v>262983</v>
      </c>
      <c r="F6" s="280" t="s">
        <v>777</v>
      </c>
      <c r="G6" s="280">
        <v>500</v>
      </c>
      <c r="H6" s="282">
        <v>0.56000000000000005</v>
      </c>
      <c r="I6" s="282">
        <v>0.93</v>
      </c>
      <c r="J6" s="280" t="s">
        <v>27</v>
      </c>
      <c r="K6" s="280" t="s">
        <v>33</v>
      </c>
      <c r="L6" s="280" t="s">
        <v>27</v>
      </c>
      <c r="M6" s="282">
        <v>260.39999999999998</v>
      </c>
      <c r="N6" s="283">
        <v>232.5</v>
      </c>
      <c r="O6" s="284">
        <v>3.2300000000000002E-2</v>
      </c>
      <c r="P6" s="285">
        <v>1.94</v>
      </c>
      <c r="Q6" s="280">
        <v>82</v>
      </c>
      <c r="R6" s="280">
        <v>2</v>
      </c>
      <c r="S6" s="280">
        <v>1150</v>
      </c>
      <c r="T6" s="282">
        <v>1.1200000000000001</v>
      </c>
      <c r="U6" s="280">
        <v>30</v>
      </c>
      <c r="V6" s="284">
        <v>2.6100000000000002E-2</v>
      </c>
      <c r="W6" s="280" t="s">
        <v>28</v>
      </c>
      <c r="X6" s="280" t="s">
        <v>28</v>
      </c>
      <c r="Y6" s="280" t="s">
        <v>28</v>
      </c>
      <c r="Z6" s="280" t="s">
        <v>27</v>
      </c>
      <c r="AA6" s="280" t="s">
        <v>27</v>
      </c>
      <c r="AB6" s="280" t="s">
        <v>38</v>
      </c>
      <c r="AC6" s="280" t="s">
        <v>460</v>
      </c>
    </row>
    <row r="7" spans="1:29" s="264" customFormat="1" ht="25.05" customHeight="1" x14ac:dyDescent="0.3">
      <c r="A7" s="305" t="s">
        <v>27</v>
      </c>
      <c r="B7" s="305" t="s">
        <v>27</v>
      </c>
      <c r="C7" s="305" t="s">
        <v>27</v>
      </c>
      <c r="D7" s="305" t="s">
        <v>27</v>
      </c>
      <c r="E7" s="305" t="s">
        <v>27</v>
      </c>
      <c r="F7" s="305" t="s">
        <v>27</v>
      </c>
      <c r="G7" s="305">
        <v>11500</v>
      </c>
      <c r="H7" s="305" t="s">
        <v>27</v>
      </c>
      <c r="I7" s="305" t="s">
        <v>27</v>
      </c>
      <c r="J7" s="305" t="s">
        <v>27</v>
      </c>
      <c r="K7" s="305" t="s">
        <v>27</v>
      </c>
      <c r="L7" s="305" t="s">
        <v>27</v>
      </c>
      <c r="M7" s="305" t="s">
        <v>27</v>
      </c>
      <c r="N7" s="305" t="s">
        <v>27</v>
      </c>
      <c r="O7" s="305" t="s">
        <v>27</v>
      </c>
      <c r="P7" s="305" t="s">
        <v>27</v>
      </c>
      <c r="Q7" s="305">
        <v>1750</v>
      </c>
      <c r="R7" s="305" t="s">
        <v>27</v>
      </c>
      <c r="S7" s="305" t="s">
        <v>27</v>
      </c>
      <c r="T7" s="305" t="s">
        <v>27</v>
      </c>
      <c r="U7" s="305" t="s">
        <v>27</v>
      </c>
      <c r="V7" s="305" t="s">
        <v>27</v>
      </c>
      <c r="W7" s="305" t="s">
        <v>27</v>
      </c>
      <c r="X7" s="305" t="s">
        <v>27</v>
      </c>
      <c r="Y7" s="305" t="s">
        <v>27</v>
      </c>
      <c r="Z7" s="305" t="s">
        <v>27</v>
      </c>
      <c r="AA7" s="305" t="s">
        <v>27</v>
      </c>
      <c r="AB7" s="305" t="s">
        <v>27</v>
      </c>
      <c r="AC7" s="305" t="s">
        <v>27</v>
      </c>
    </row>
  </sheetData>
  <mergeCells count="1">
    <mergeCell ref="A1:AC1"/>
  </mergeCells>
  <pageMargins left="0.511811024" right="0.511811024" top="0.99" bottom="0.78740157499999996" header="0.31496062000000002" footer="0.31496062000000002"/>
  <pageSetup paperSize="9" scale="94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8BB82-9288-4B22-AC86-2B88D2EB8049}">
  <sheetPr>
    <pageSetUpPr fitToPage="1"/>
  </sheetPr>
  <dimension ref="A1:AC5"/>
  <sheetViews>
    <sheetView workbookViewId="0">
      <selection activeCell="F19" sqref="F19"/>
    </sheetView>
  </sheetViews>
  <sheetFormatPr defaultRowHeight="14.4" x14ac:dyDescent="0.3"/>
  <cols>
    <col min="1" max="1" width="3.77734375" style="242" customWidth="1"/>
    <col min="2" max="2" width="20.77734375" style="242" hidden="1" customWidth="1"/>
    <col min="3" max="3" width="7.77734375" style="242" customWidth="1"/>
    <col min="4" max="4" width="11.77734375" style="242" hidden="1" customWidth="1"/>
    <col min="5" max="5" width="7.44140625" style="242" customWidth="1"/>
    <col min="6" max="6" width="9.33203125" style="242" customWidth="1"/>
    <col min="7" max="7" width="5.44140625" style="242" customWidth="1"/>
    <col min="8" max="8" width="6.6640625" style="242" customWidth="1"/>
    <col min="9" max="9" width="7.21875" style="242" customWidth="1"/>
    <col min="10" max="10" width="9.6640625" style="242" customWidth="1"/>
    <col min="11" max="11" width="10.77734375" style="242" customWidth="1"/>
    <col min="12" max="12" width="9.886718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88671875" style="242" customWidth="1"/>
    <col min="19" max="19" width="6.109375" style="242" customWidth="1"/>
    <col min="20" max="20" width="6.5546875" style="242" customWidth="1"/>
    <col min="21" max="21" width="11.77734375" style="242" hidden="1" customWidth="1"/>
    <col min="22" max="22" width="8.77734375" style="242" hidden="1" customWidth="1"/>
    <col min="23" max="23" width="7.5546875" style="242" customWidth="1"/>
    <col min="24" max="24" width="7.44140625" style="242" customWidth="1"/>
    <col min="25" max="25" width="7.5546875" style="242" customWidth="1"/>
    <col min="26" max="26" width="7.33203125" style="242" customWidth="1"/>
    <col min="27" max="27" width="7.8867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29" ht="18" customHeight="1" x14ac:dyDescent="0.35">
      <c r="A1" s="276" t="s">
        <v>776</v>
      </c>
      <c r="B1" s="276" t="s">
        <v>27</v>
      </c>
      <c r="C1" s="276" t="s">
        <v>27</v>
      </c>
      <c r="D1" s="276" t="s">
        <v>27</v>
      </c>
      <c r="E1" s="276" t="s">
        <v>27</v>
      </c>
      <c r="F1" s="276" t="s">
        <v>27</v>
      </c>
      <c r="G1" s="276" t="s">
        <v>27</v>
      </c>
      <c r="H1" s="276" t="s">
        <v>27</v>
      </c>
      <c r="I1" s="276" t="s">
        <v>27</v>
      </c>
      <c r="J1" s="276" t="s">
        <v>27</v>
      </c>
      <c r="K1" s="276" t="s">
        <v>27</v>
      </c>
      <c r="L1" s="276" t="s">
        <v>27</v>
      </c>
      <c r="M1" s="276" t="s">
        <v>27</v>
      </c>
      <c r="N1" s="276" t="s">
        <v>27</v>
      </c>
      <c r="O1" s="276" t="s">
        <v>27</v>
      </c>
      <c r="P1" s="276" t="s">
        <v>27</v>
      </c>
      <c r="Q1" s="276" t="s">
        <v>27</v>
      </c>
      <c r="R1" s="276" t="s">
        <v>27</v>
      </c>
      <c r="S1" s="276" t="s">
        <v>27</v>
      </c>
      <c r="T1" s="276" t="s">
        <v>27</v>
      </c>
      <c r="U1" s="276" t="s">
        <v>27</v>
      </c>
      <c r="V1" s="276" t="s">
        <v>27</v>
      </c>
      <c r="W1" s="276" t="s">
        <v>27</v>
      </c>
      <c r="X1" s="276" t="s">
        <v>27</v>
      </c>
      <c r="Y1" s="276" t="s">
        <v>27</v>
      </c>
      <c r="Z1" s="276" t="s">
        <v>27</v>
      </c>
      <c r="AA1" s="276" t="s">
        <v>27</v>
      </c>
      <c r="AB1" s="276" t="s">
        <v>27</v>
      </c>
      <c r="AC1" s="276" t="s">
        <v>27</v>
      </c>
    </row>
    <row r="2" spans="1:29" ht="48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774</v>
      </c>
      <c r="C3" s="258" t="s">
        <v>35</v>
      </c>
      <c r="D3" s="258" t="s">
        <v>761</v>
      </c>
      <c r="E3" s="258">
        <v>262979</v>
      </c>
      <c r="F3" s="258" t="s">
        <v>768</v>
      </c>
      <c r="G3" s="258">
        <v>800</v>
      </c>
      <c r="H3" s="260">
        <v>1.41</v>
      </c>
      <c r="I3" s="260">
        <v>1.2</v>
      </c>
      <c r="J3" s="258" t="s">
        <v>27</v>
      </c>
      <c r="K3" s="258" t="s">
        <v>33</v>
      </c>
      <c r="L3" s="258" t="s">
        <v>27</v>
      </c>
      <c r="M3" s="260">
        <v>1353.6</v>
      </c>
      <c r="N3" s="261">
        <v>960</v>
      </c>
      <c r="O3" s="262">
        <v>0.26669999999999999</v>
      </c>
      <c r="P3" s="263">
        <v>16</v>
      </c>
      <c r="Q3" s="258">
        <v>426.4</v>
      </c>
      <c r="R3" s="258">
        <v>1</v>
      </c>
      <c r="S3" s="258">
        <v>1450</v>
      </c>
      <c r="T3" s="260">
        <v>1.41</v>
      </c>
      <c r="U3" s="258">
        <v>40</v>
      </c>
      <c r="V3" s="262">
        <v>2.76E-2</v>
      </c>
      <c r="W3" s="258" t="s">
        <v>28</v>
      </c>
      <c r="X3" s="258" t="s">
        <v>28</v>
      </c>
      <c r="Y3" s="258" t="s">
        <v>28</v>
      </c>
      <c r="Z3" s="258" t="s">
        <v>27</v>
      </c>
      <c r="AA3" s="258" t="s">
        <v>27</v>
      </c>
      <c r="AB3" s="258" t="s">
        <v>32</v>
      </c>
      <c r="AC3" s="258" t="s">
        <v>775</v>
      </c>
    </row>
    <row r="4" spans="1:29" s="264" customFormat="1" ht="25.05" customHeight="1" x14ac:dyDescent="0.3">
      <c r="A4" s="258"/>
      <c r="B4" s="259" t="s">
        <v>774</v>
      </c>
      <c r="C4" s="258" t="s">
        <v>35</v>
      </c>
      <c r="D4" s="258" t="s">
        <v>761</v>
      </c>
      <c r="E4" s="258">
        <v>262980</v>
      </c>
      <c r="F4" s="258" t="s">
        <v>773</v>
      </c>
      <c r="G4" s="258">
        <v>410</v>
      </c>
      <c r="H4" s="260">
        <v>1.36</v>
      </c>
      <c r="I4" s="260">
        <v>1.44</v>
      </c>
      <c r="J4" s="258" t="s">
        <v>27</v>
      </c>
      <c r="K4" s="258" t="s">
        <v>33</v>
      </c>
      <c r="L4" s="258" t="s">
        <v>27</v>
      </c>
      <c r="M4" s="260">
        <v>802.94399999999996</v>
      </c>
      <c r="N4" s="261">
        <v>590.4</v>
      </c>
      <c r="O4" s="262">
        <v>0.16400000000000001</v>
      </c>
      <c r="P4" s="263">
        <v>9.84</v>
      </c>
      <c r="Q4" s="258">
        <v>252.9</v>
      </c>
      <c r="R4" s="258">
        <v>1</v>
      </c>
      <c r="S4" s="258">
        <v>1400</v>
      </c>
      <c r="T4" s="260">
        <v>1.36</v>
      </c>
      <c r="U4" s="258">
        <v>40</v>
      </c>
      <c r="V4" s="262">
        <v>2.86E-2</v>
      </c>
      <c r="W4" s="258" t="s">
        <v>28</v>
      </c>
      <c r="X4" s="258" t="s">
        <v>28</v>
      </c>
      <c r="Y4" s="258" t="s">
        <v>28</v>
      </c>
      <c r="Z4" s="258" t="s">
        <v>27</v>
      </c>
      <c r="AA4" s="258" t="s">
        <v>27</v>
      </c>
      <c r="AB4" s="258" t="s">
        <v>32</v>
      </c>
      <c r="AC4" s="258" t="s">
        <v>772</v>
      </c>
    </row>
    <row r="5" spans="1:29" s="264" customFormat="1" ht="25.05" customHeight="1" x14ac:dyDescent="0.3">
      <c r="A5" s="265" t="s">
        <v>27</v>
      </c>
      <c r="B5" s="265" t="s">
        <v>27</v>
      </c>
      <c r="C5" s="265" t="s">
        <v>27</v>
      </c>
      <c r="D5" s="265" t="s">
        <v>27</v>
      </c>
      <c r="E5" s="265" t="s">
        <v>27</v>
      </c>
      <c r="F5" s="265" t="s">
        <v>27</v>
      </c>
      <c r="G5" s="265">
        <v>1210</v>
      </c>
      <c r="H5" s="265" t="s">
        <v>27</v>
      </c>
      <c r="I5" s="265" t="s">
        <v>27</v>
      </c>
      <c r="J5" s="265" t="s">
        <v>27</v>
      </c>
      <c r="K5" s="265" t="s">
        <v>27</v>
      </c>
      <c r="L5" s="265" t="s">
        <v>27</v>
      </c>
      <c r="M5" s="265" t="s">
        <v>27</v>
      </c>
      <c r="N5" s="265" t="s">
        <v>27</v>
      </c>
      <c r="O5" s="265" t="s">
        <v>27</v>
      </c>
      <c r="P5" s="265" t="s">
        <v>27</v>
      </c>
      <c r="Q5" s="265">
        <v>679.3</v>
      </c>
      <c r="R5" s="265" t="s">
        <v>27</v>
      </c>
      <c r="S5" s="265" t="s">
        <v>27</v>
      </c>
      <c r="T5" s="265" t="s">
        <v>27</v>
      </c>
      <c r="U5" s="265" t="s">
        <v>27</v>
      </c>
      <c r="V5" s="265" t="s">
        <v>27</v>
      </c>
      <c r="W5" s="265" t="s">
        <v>27</v>
      </c>
      <c r="X5" s="265" t="s">
        <v>27</v>
      </c>
      <c r="Y5" s="265" t="s">
        <v>27</v>
      </c>
      <c r="Z5" s="265" t="s">
        <v>27</v>
      </c>
      <c r="AA5" s="265" t="s">
        <v>27</v>
      </c>
      <c r="AB5" s="265" t="s">
        <v>27</v>
      </c>
      <c r="AC5" s="265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D3CCD-3F37-471E-81D5-E2828E46FF81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9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8.21875" style="1" customWidth="1"/>
    <col min="6" max="6" width="7.21875" style="1" customWidth="1"/>
    <col min="7" max="7" width="5.44140625" style="1" customWidth="1"/>
    <col min="8" max="9" width="6.6640625" style="1" customWidth="1"/>
    <col min="10" max="10" width="8.88671875" style="1" customWidth="1"/>
    <col min="11" max="11" width="10.55468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6.33203125" style="1" customWidth="1"/>
    <col min="18" max="18" width="3.44140625" style="1" customWidth="1"/>
    <col min="19" max="19" width="6.5546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33203125" style="1" customWidth="1"/>
    <col min="25" max="25" width="7.44140625" style="1" customWidth="1"/>
    <col min="26" max="26" width="8.88671875" style="1" customWidth="1"/>
    <col min="27" max="27" width="8.6640625" style="1" customWidth="1"/>
    <col min="28" max="28" width="3.88671875" style="1" customWidth="1"/>
    <col min="29" max="29" width="10.77734375" style="1" customWidth="1"/>
    <col min="30" max="16384" width="8.88671875" style="1"/>
  </cols>
  <sheetData>
    <row r="1" spans="1:29" ht="18" customHeight="1" x14ac:dyDescent="0.35">
      <c r="A1" s="267" t="s">
        <v>771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  <c r="AC1" s="267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/>
      <c r="B3" s="10" t="s">
        <v>471</v>
      </c>
      <c r="C3" s="5" t="s">
        <v>581</v>
      </c>
      <c r="D3" s="5" t="s">
        <v>761</v>
      </c>
      <c r="E3" s="5">
        <v>262977</v>
      </c>
      <c r="F3" s="5" t="s">
        <v>768</v>
      </c>
      <c r="G3" s="5">
        <v>600</v>
      </c>
      <c r="H3" s="7">
        <v>0.46500000000000002</v>
      </c>
      <c r="I3" s="7">
        <v>0.91</v>
      </c>
      <c r="J3" s="5" t="s">
        <v>27</v>
      </c>
      <c r="K3" s="5" t="s">
        <v>33</v>
      </c>
      <c r="L3" s="5" t="s">
        <v>27</v>
      </c>
      <c r="M3" s="7">
        <v>253.89</v>
      </c>
      <c r="N3" s="9">
        <v>182</v>
      </c>
      <c r="O3" s="6">
        <v>1.6899999999999998E-2</v>
      </c>
      <c r="P3" s="8">
        <v>1.01</v>
      </c>
      <c r="Q3" s="5">
        <v>98.5</v>
      </c>
      <c r="R3" s="5">
        <v>3</v>
      </c>
      <c r="S3" s="5">
        <v>1450</v>
      </c>
      <c r="T3" s="7">
        <v>1.395</v>
      </c>
      <c r="U3" s="5">
        <v>55</v>
      </c>
      <c r="V3" s="6">
        <v>3.7900000000000003E-2</v>
      </c>
      <c r="W3" s="5" t="s">
        <v>37</v>
      </c>
      <c r="X3" s="5" t="s">
        <v>29</v>
      </c>
      <c r="Y3" s="5" t="s">
        <v>29</v>
      </c>
      <c r="Z3" s="5" t="s">
        <v>27</v>
      </c>
      <c r="AA3" s="5" t="s">
        <v>27</v>
      </c>
      <c r="AB3" s="5" t="s">
        <v>38</v>
      </c>
      <c r="AC3" s="5" t="s">
        <v>770</v>
      </c>
    </row>
    <row r="4" spans="1:29" s="12" customFormat="1" ht="25.05" customHeight="1" x14ac:dyDescent="0.3">
      <c r="A4" s="5"/>
      <c r="B4" s="10" t="s">
        <v>471</v>
      </c>
      <c r="C4" s="5" t="s">
        <v>55</v>
      </c>
      <c r="D4" s="5" t="s">
        <v>761</v>
      </c>
      <c r="E4" s="5">
        <v>262975</v>
      </c>
      <c r="F4" s="5" t="s">
        <v>768</v>
      </c>
      <c r="G4" s="5">
        <v>500</v>
      </c>
      <c r="H4" s="7">
        <v>0.44500000000000001</v>
      </c>
      <c r="I4" s="7">
        <v>0.87</v>
      </c>
      <c r="J4" s="5" t="s">
        <v>27</v>
      </c>
      <c r="K4" s="5" t="s">
        <v>33</v>
      </c>
      <c r="L4" s="5" t="s">
        <v>27</v>
      </c>
      <c r="M4" s="7">
        <v>193.57499999999999</v>
      </c>
      <c r="N4" s="9">
        <v>145</v>
      </c>
      <c r="O4" s="6">
        <v>1.34E-2</v>
      </c>
      <c r="P4" s="8">
        <v>0.81</v>
      </c>
      <c r="Q4" s="5">
        <v>70.7</v>
      </c>
      <c r="R4" s="5">
        <v>3</v>
      </c>
      <c r="S4" s="5">
        <v>1400</v>
      </c>
      <c r="T4" s="7">
        <v>1.335</v>
      </c>
      <c r="U4" s="5">
        <v>65</v>
      </c>
      <c r="V4" s="6">
        <v>4.6399999999999997E-2</v>
      </c>
      <c r="W4" s="5" t="s">
        <v>37</v>
      </c>
      <c r="X4" s="5" t="s">
        <v>29</v>
      </c>
      <c r="Y4" s="5" t="s">
        <v>34</v>
      </c>
      <c r="Z4" s="5" t="s">
        <v>27</v>
      </c>
      <c r="AA4" s="5" t="s">
        <v>27</v>
      </c>
      <c r="AB4" s="5" t="s">
        <v>38</v>
      </c>
      <c r="AC4" s="5" t="s">
        <v>473</v>
      </c>
    </row>
    <row r="5" spans="1:29" s="12" customFormat="1" ht="25.05" customHeight="1" x14ac:dyDescent="0.3">
      <c r="A5" s="5"/>
      <c r="B5" s="10" t="s">
        <v>471</v>
      </c>
      <c r="C5" s="5" t="s">
        <v>55</v>
      </c>
      <c r="D5" s="5" t="s">
        <v>761</v>
      </c>
      <c r="E5" s="5">
        <v>262976</v>
      </c>
      <c r="F5" s="5" t="s">
        <v>768</v>
      </c>
      <c r="G5" s="5">
        <v>500</v>
      </c>
      <c r="H5" s="7">
        <v>0.31</v>
      </c>
      <c r="I5" s="7">
        <v>0.61</v>
      </c>
      <c r="J5" s="5" t="s">
        <v>27</v>
      </c>
      <c r="K5" s="5" t="s">
        <v>33</v>
      </c>
      <c r="L5" s="5" t="s">
        <v>27</v>
      </c>
      <c r="M5" s="7">
        <v>94.55</v>
      </c>
      <c r="N5" s="9">
        <v>76.3</v>
      </c>
      <c r="O5" s="6">
        <v>5.3E-3</v>
      </c>
      <c r="P5" s="8">
        <v>0.32</v>
      </c>
      <c r="Q5" s="5">
        <v>34.5</v>
      </c>
      <c r="R5" s="5">
        <v>4</v>
      </c>
      <c r="S5" s="5">
        <v>1300</v>
      </c>
      <c r="T5" s="7">
        <v>1.24</v>
      </c>
      <c r="U5" s="5">
        <v>60</v>
      </c>
      <c r="V5" s="6">
        <v>4.6199999999999998E-2</v>
      </c>
      <c r="W5" s="5" t="s">
        <v>37</v>
      </c>
      <c r="X5" s="5" t="s">
        <v>29</v>
      </c>
      <c r="Y5" s="5" t="s">
        <v>34</v>
      </c>
      <c r="Z5" s="5" t="s">
        <v>27</v>
      </c>
      <c r="AA5" s="5" t="s">
        <v>27</v>
      </c>
      <c r="AB5" s="5" t="s">
        <v>38</v>
      </c>
      <c r="AC5" s="5" t="s">
        <v>769</v>
      </c>
    </row>
    <row r="6" spans="1:29" s="12" customFormat="1" ht="25.05" customHeight="1" x14ac:dyDescent="0.3">
      <c r="A6" s="5"/>
      <c r="B6" s="10" t="s">
        <v>471</v>
      </c>
      <c r="C6" s="5" t="s">
        <v>581</v>
      </c>
      <c r="D6" s="5" t="s">
        <v>761</v>
      </c>
      <c r="E6" s="5">
        <v>262978</v>
      </c>
      <c r="F6" s="5" t="s">
        <v>768</v>
      </c>
      <c r="G6" s="5">
        <v>600</v>
      </c>
      <c r="H6" s="7">
        <v>0.55300000000000005</v>
      </c>
      <c r="I6" s="7">
        <v>1.095</v>
      </c>
      <c r="J6" s="5" t="s">
        <v>27</v>
      </c>
      <c r="K6" s="5" t="s">
        <v>33</v>
      </c>
      <c r="L6" s="5" t="s">
        <v>27</v>
      </c>
      <c r="M6" s="7">
        <v>363.32100000000003</v>
      </c>
      <c r="N6" s="9">
        <v>328.5</v>
      </c>
      <c r="O6" s="6">
        <v>4.5600000000000002E-2</v>
      </c>
      <c r="P6" s="8">
        <v>2.74</v>
      </c>
      <c r="Q6" s="5">
        <v>141</v>
      </c>
      <c r="R6" s="5">
        <v>2</v>
      </c>
      <c r="S6" s="5">
        <v>1150</v>
      </c>
      <c r="T6" s="7">
        <v>1.1060000000000001</v>
      </c>
      <c r="U6" s="5">
        <v>44</v>
      </c>
      <c r="V6" s="6">
        <v>3.8300000000000001E-2</v>
      </c>
      <c r="W6" s="5" t="s">
        <v>37</v>
      </c>
      <c r="X6" s="5" t="s">
        <v>29</v>
      </c>
      <c r="Y6" s="5" t="s">
        <v>29</v>
      </c>
      <c r="Z6" s="5" t="s">
        <v>27</v>
      </c>
      <c r="AA6" s="5" t="s">
        <v>27</v>
      </c>
      <c r="AB6" s="5" t="s">
        <v>38</v>
      </c>
      <c r="AC6" s="5" t="s">
        <v>767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v>2200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v>344.6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ACB4-6A18-4568-80FD-7F4979C867A9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4.5546875" style="1" customWidth="1"/>
    <col min="2" max="2" width="20.77734375" style="1" hidden="1" customWidth="1"/>
    <col min="3" max="3" width="6.88671875" style="1" customWidth="1"/>
    <col min="4" max="4" width="11.77734375" style="1" hidden="1" customWidth="1"/>
    <col min="5" max="5" width="7.44140625" style="1" customWidth="1"/>
    <col min="6" max="6" width="6.44140625" style="1" customWidth="1"/>
    <col min="7" max="7" width="6.5546875" style="1" customWidth="1"/>
    <col min="8" max="8" width="6.6640625" style="1" customWidth="1"/>
    <col min="9" max="9" width="7.33203125" style="1" customWidth="1"/>
    <col min="10" max="10" width="8.44140625" style="1" customWidth="1"/>
    <col min="11" max="11" width="10.88671875" style="1" customWidth="1"/>
    <col min="12" max="12" width="8.8867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8.77734375" style="1" customWidth="1"/>
    <col min="18" max="18" width="3.88671875" style="1" customWidth="1"/>
    <col min="19" max="19" width="6.77734375" style="1" customWidth="1"/>
    <col min="20" max="20" width="6.21875" style="1" customWidth="1"/>
    <col min="21" max="21" width="11.77734375" style="1" hidden="1" customWidth="1"/>
    <col min="22" max="22" width="8.77734375" style="1" hidden="1" customWidth="1"/>
    <col min="23" max="25" width="7.6640625" style="1" customWidth="1"/>
    <col min="26" max="26" width="8.44140625" style="1" customWidth="1"/>
    <col min="27" max="27" width="8.109375" style="1" customWidth="1"/>
    <col min="28" max="28" width="3.5546875" style="1" customWidth="1"/>
    <col min="29" max="29" width="8.77734375" style="1" customWidth="1"/>
    <col min="30" max="16384" width="8.88671875" style="1"/>
  </cols>
  <sheetData>
    <row r="1" spans="1:29" ht="18" customHeight="1" x14ac:dyDescent="0.35">
      <c r="A1" s="267" t="s">
        <v>763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  <c r="AC1" s="267" t="s">
        <v>27</v>
      </c>
    </row>
    <row r="2" spans="1:29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762</v>
      </c>
      <c r="C3" s="126" t="s">
        <v>35</v>
      </c>
      <c r="D3" s="126" t="s">
        <v>761</v>
      </c>
      <c r="E3" s="126">
        <v>262970</v>
      </c>
      <c r="F3" s="126" t="s">
        <v>760</v>
      </c>
      <c r="G3" s="126">
        <v>600</v>
      </c>
      <c r="H3" s="127">
        <v>0.66</v>
      </c>
      <c r="I3" s="127">
        <v>1.385</v>
      </c>
      <c r="J3" s="126" t="s">
        <v>27</v>
      </c>
      <c r="K3" s="126" t="s">
        <v>33</v>
      </c>
      <c r="L3" s="126" t="s">
        <v>27</v>
      </c>
      <c r="M3" s="123">
        <v>548.46</v>
      </c>
      <c r="N3" s="125">
        <v>415.5</v>
      </c>
      <c r="O3" s="122">
        <v>5.7700000000000001E-2</v>
      </c>
      <c r="P3" s="124">
        <v>3.46</v>
      </c>
      <c r="Q3" s="121">
        <v>172.8</v>
      </c>
      <c r="R3" s="121">
        <v>2</v>
      </c>
      <c r="S3" s="121">
        <v>1350</v>
      </c>
      <c r="T3" s="123">
        <v>1.32</v>
      </c>
      <c r="U3" s="121">
        <v>30</v>
      </c>
      <c r="V3" s="122">
        <v>2.2200000000000001E-2</v>
      </c>
      <c r="W3" s="121" t="s">
        <v>28</v>
      </c>
      <c r="X3" s="121" t="s">
        <v>28</v>
      </c>
      <c r="Y3" s="121" t="s">
        <v>28</v>
      </c>
      <c r="Z3" s="121" t="s">
        <v>27</v>
      </c>
      <c r="AA3" s="121" t="s">
        <v>27</v>
      </c>
      <c r="AB3" s="121" t="s">
        <v>30</v>
      </c>
      <c r="AC3" s="121" t="s">
        <v>757</v>
      </c>
    </row>
    <row r="4" spans="1:29" ht="25.05" customHeight="1" x14ac:dyDescent="0.3">
      <c r="A4" s="126">
        <v>2</v>
      </c>
      <c r="B4" s="128" t="s">
        <v>762</v>
      </c>
      <c r="C4" s="126" t="s">
        <v>35</v>
      </c>
      <c r="D4" s="126" t="s">
        <v>761</v>
      </c>
      <c r="E4" s="126">
        <v>262971</v>
      </c>
      <c r="F4" s="126" t="s">
        <v>760</v>
      </c>
      <c r="G4" s="126">
        <v>500</v>
      </c>
      <c r="H4" s="127">
        <v>0.66</v>
      </c>
      <c r="I4" s="127">
        <v>1.6950000000000001</v>
      </c>
      <c r="J4" s="126" t="s">
        <v>27</v>
      </c>
      <c r="K4" s="126" t="s">
        <v>33</v>
      </c>
      <c r="L4" s="126" t="s">
        <v>27</v>
      </c>
      <c r="M4" s="123">
        <v>559.35</v>
      </c>
      <c r="N4" s="125">
        <v>423.8</v>
      </c>
      <c r="O4" s="122">
        <v>5.8900000000000001E-2</v>
      </c>
      <c r="P4" s="124">
        <v>3.53</v>
      </c>
      <c r="Q4" s="121">
        <v>176.2</v>
      </c>
      <c r="R4" s="121">
        <v>2</v>
      </c>
      <c r="S4" s="121">
        <v>1350</v>
      </c>
      <c r="T4" s="123">
        <v>1.32</v>
      </c>
      <c r="U4" s="121">
        <v>30</v>
      </c>
      <c r="V4" s="122">
        <v>2.2200000000000001E-2</v>
      </c>
      <c r="W4" s="121" t="s">
        <v>28</v>
      </c>
      <c r="X4" s="121" t="s">
        <v>28</v>
      </c>
      <c r="Y4" s="121" t="s">
        <v>28</v>
      </c>
      <c r="Z4" s="121" t="s">
        <v>27</v>
      </c>
      <c r="AA4" s="121" t="s">
        <v>27</v>
      </c>
      <c r="AB4" s="121" t="s">
        <v>32</v>
      </c>
      <c r="AC4" s="121" t="s">
        <v>683</v>
      </c>
    </row>
    <row r="5" spans="1:29" ht="25.05" customHeight="1" x14ac:dyDescent="0.3">
      <c r="A5" s="126">
        <v>3</v>
      </c>
      <c r="B5" s="128" t="s">
        <v>762</v>
      </c>
      <c r="C5" s="126" t="s">
        <v>35</v>
      </c>
      <c r="D5" s="126" t="s">
        <v>761</v>
      </c>
      <c r="E5" s="126">
        <v>262972</v>
      </c>
      <c r="F5" s="126" t="s">
        <v>760</v>
      </c>
      <c r="G5" s="126">
        <v>1000</v>
      </c>
      <c r="H5" s="127">
        <v>0.66</v>
      </c>
      <c r="I5" s="127">
        <v>1.865</v>
      </c>
      <c r="J5" s="126" t="s">
        <v>27</v>
      </c>
      <c r="K5" s="126" t="s">
        <v>33</v>
      </c>
      <c r="L5" s="126" t="s">
        <v>27</v>
      </c>
      <c r="M5" s="123">
        <v>1230.9000000000001</v>
      </c>
      <c r="N5" s="125">
        <v>932.5</v>
      </c>
      <c r="O5" s="122">
        <v>0.1295</v>
      </c>
      <c r="P5" s="124">
        <v>7.77</v>
      </c>
      <c r="Q5" s="121">
        <v>387.7</v>
      </c>
      <c r="R5" s="121">
        <v>2</v>
      </c>
      <c r="S5" s="121">
        <v>1350</v>
      </c>
      <c r="T5" s="123">
        <v>1.32</v>
      </c>
      <c r="U5" s="121">
        <v>30</v>
      </c>
      <c r="V5" s="122">
        <v>2.2200000000000001E-2</v>
      </c>
      <c r="W5" s="121" t="s">
        <v>28</v>
      </c>
      <c r="X5" s="121" t="s">
        <v>28</v>
      </c>
      <c r="Y5" s="121" t="s">
        <v>28</v>
      </c>
      <c r="Z5" s="121" t="s">
        <v>27</v>
      </c>
      <c r="AA5" s="121" t="s">
        <v>27</v>
      </c>
      <c r="AB5" s="121" t="s">
        <v>30</v>
      </c>
      <c r="AC5" s="121" t="s">
        <v>682</v>
      </c>
    </row>
    <row r="6" spans="1:29" ht="25.05" customHeight="1" x14ac:dyDescent="0.3">
      <c r="A6" s="126">
        <v>4</v>
      </c>
      <c r="B6" s="128" t="s">
        <v>762</v>
      </c>
      <c r="C6" s="126" t="s">
        <v>35</v>
      </c>
      <c r="D6" s="126" t="s">
        <v>761</v>
      </c>
      <c r="E6" s="126">
        <v>262973</v>
      </c>
      <c r="F6" s="126" t="s">
        <v>760</v>
      </c>
      <c r="G6" s="126">
        <v>800</v>
      </c>
      <c r="H6" s="127">
        <v>0.66</v>
      </c>
      <c r="I6" s="127">
        <v>2.0499999999999998</v>
      </c>
      <c r="J6" s="126" t="s">
        <v>27</v>
      </c>
      <c r="K6" s="126" t="s">
        <v>33</v>
      </c>
      <c r="L6" s="126" t="s">
        <v>27</v>
      </c>
      <c r="M6" s="123">
        <v>1082.4000000000001</v>
      </c>
      <c r="N6" s="125">
        <v>820</v>
      </c>
      <c r="O6" s="122">
        <v>0.1139</v>
      </c>
      <c r="P6" s="124">
        <v>6.83</v>
      </c>
      <c r="Q6" s="121">
        <v>341</v>
      </c>
      <c r="R6" s="121">
        <v>2</v>
      </c>
      <c r="S6" s="121">
        <v>1350</v>
      </c>
      <c r="T6" s="123">
        <v>1.32</v>
      </c>
      <c r="U6" s="121">
        <v>30</v>
      </c>
      <c r="V6" s="122">
        <v>2.2200000000000001E-2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32</v>
      </c>
      <c r="AC6" s="121" t="s">
        <v>680</v>
      </c>
    </row>
    <row r="7" spans="1:29" ht="25.05" customHeight="1" x14ac:dyDescent="0.3">
      <c r="A7" s="120" t="s">
        <v>27</v>
      </c>
      <c r="B7" s="120" t="s">
        <v>27</v>
      </c>
      <c r="C7" s="120" t="s">
        <v>27</v>
      </c>
      <c r="D7" s="120" t="s">
        <v>27</v>
      </c>
      <c r="E7" s="120" t="s">
        <v>27</v>
      </c>
      <c r="F7" s="120" t="s">
        <v>27</v>
      </c>
      <c r="G7" s="120">
        <v>2900</v>
      </c>
      <c r="H7" s="120" t="s">
        <v>27</v>
      </c>
      <c r="I7" s="120" t="s">
        <v>27</v>
      </c>
      <c r="J7" s="120" t="s">
        <v>27</v>
      </c>
      <c r="K7" s="120" t="s">
        <v>27</v>
      </c>
      <c r="L7" s="120" t="s">
        <v>27</v>
      </c>
      <c r="M7" s="119" t="s">
        <v>27</v>
      </c>
      <c r="N7" s="119" t="s">
        <v>27</v>
      </c>
      <c r="O7" s="119" t="s">
        <v>27</v>
      </c>
      <c r="P7" s="119" t="s">
        <v>27</v>
      </c>
      <c r="Q7" s="119">
        <v>1077.5999999999999</v>
      </c>
      <c r="R7" s="119" t="s">
        <v>27</v>
      </c>
      <c r="S7" s="119" t="s">
        <v>27</v>
      </c>
      <c r="T7" s="119" t="s">
        <v>27</v>
      </c>
      <c r="U7" s="119" t="s">
        <v>27</v>
      </c>
      <c r="V7" s="119" t="s">
        <v>27</v>
      </c>
      <c r="W7" s="119" t="s">
        <v>27</v>
      </c>
      <c r="X7" s="119" t="s">
        <v>27</v>
      </c>
      <c r="Y7" s="119" t="s">
        <v>27</v>
      </c>
      <c r="Z7" s="119" t="s">
        <v>27</v>
      </c>
      <c r="AA7" s="119" t="s">
        <v>27</v>
      </c>
      <c r="AB7" s="119" t="s">
        <v>27</v>
      </c>
      <c r="AC7" s="119" t="s">
        <v>27</v>
      </c>
    </row>
  </sheetData>
  <mergeCells count="1">
    <mergeCell ref="A1:AC1"/>
  </mergeCells>
  <pageMargins left="0.511811024" right="0.511811024" top="1.24" bottom="0.78740157499999996" header="0.31496062000000002" footer="0.31496062000000002"/>
  <pageSetup paperSize="9" scale="90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02CDE-B9EA-488A-8AF7-1946DDF41AC7}">
  <dimension ref="A1:AC19"/>
  <sheetViews>
    <sheetView workbookViewId="0">
      <selection activeCell="E23" sqref="E23"/>
    </sheetView>
  </sheetViews>
  <sheetFormatPr defaultRowHeight="14.4" x14ac:dyDescent="0.3"/>
  <cols>
    <col min="1" max="1" width="4.5546875" style="242" customWidth="1"/>
    <col min="2" max="2" width="20.77734375" style="242" hidden="1" customWidth="1"/>
    <col min="3" max="3" width="5.5546875" style="242" customWidth="1"/>
    <col min="4" max="4" width="11.77734375" style="242" hidden="1" customWidth="1"/>
    <col min="5" max="5" width="8.77734375" style="242" customWidth="1"/>
    <col min="6" max="6" width="5.21875" style="242" customWidth="1"/>
    <col min="7" max="7" width="6.88671875" style="242" customWidth="1"/>
    <col min="8" max="8" width="6.21875" style="242" customWidth="1"/>
    <col min="9" max="9" width="6.5546875" style="242" customWidth="1"/>
    <col min="10" max="10" width="8.109375" style="242" customWidth="1"/>
    <col min="11" max="11" width="20" style="242" customWidth="1"/>
    <col min="12" max="12" width="8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77734375" style="242" customWidth="1"/>
    <col min="19" max="19" width="5.5546875" style="242" customWidth="1"/>
    <col min="20" max="20" width="5.88671875" style="242" customWidth="1"/>
    <col min="21" max="21" width="11.77734375" style="242" hidden="1" customWidth="1"/>
    <col min="22" max="22" width="8.77734375" style="242" hidden="1" customWidth="1"/>
    <col min="23" max="23" width="8.21875" style="242" customWidth="1"/>
    <col min="24" max="24" width="7" style="242" customWidth="1"/>
    <col min="25" max="26" width="7.5546875" style="242" customWidth="1"/>
    <col min="27" max="27" width="7.6640625" style="242" customWidth="1"/>
    <col min="28" max="28" width="3.77734375" style="242" customWidth="1"/>
    <col min="29" max="29" width="16.77734375" style="242" customWidth="1"/>
    <col min="30" max="16384" width="8.88671875" style="242"/>
  </cols>
  <sheetData>
    <row r="1" spans="1:29" ht="21.6" customHeight="1" x14ac:dyDescent="0.35">
      <c r="A1" s="266" t="s">
        <v>759</v>
      </c>
      <c r="B1" s="266" t="s">
        <v>27</v>
      </c>
      <c r="C1" s="266" t="s">
        <v>27</v>
      </c>
      <c r="D1" s="266" t="s">
        <v>27</v>
      </c>
      <c r="E1" s="266" t="s">
        <v>27</v>
      </c>
      <c r="F1" s="266" t="s">
        <v>27</v>
      </c>
      <c r="G1" s="266" t="s">
        <v>27</v>
      </c>
      <c r="H1" s="266" t="s">
        <v>27</v>
      </c>
      <c r="I1" s="266" t="s">
        <v>27</v>
      </c>
      <c r="J1" s="266" t="s">
        <v>27</v>
      </c>
      <c r="K1" s="266" t="s">
        <v>27</v>
      </c>
      <c r="L1" s="266" t="s">
        <v>27</v>
      </c>
      <c r="M1" s="266" t="s">
        <v>27</v>
      </c>
      <c r="N1" s="266" t="s">
        <v>27</v>
      </c>
      <c r="O1" s="266" t="s">
        <v>27</v>
      </c>
      <c r="P1" s="266" t="s">
        <v>27</v>
      </c>
      <c r="Q1" s="266" t="s">
        <v>27</v>
      </c>
      <c r="R1" s="266" t="s">
        <v>27</v>
      </c>
      <c r="S1" s="266" t="s">
        <v>27</v>
      </c>
      <c r="T1" s="266" t="s">
        <v>27</v>
      </c>
      <c r="U1" s="266" t="s">
        <v>27</v>
      </c>
      <c r="V1" s="266" t="s">
        <v>27</v>
      </c>
      <c r="W1" s="266" t="s">
        <v>27</v>
      </c>
      <c r="X1" s="266" t="s">
        <v>27</v>
      </c>
      <c r="Y1" s="266" t="s">
        <v>27</v>
      </c>
      <c r="Z1" s="266" t="s">
        <v>27</v>
      </c>
      <c r="AA1" s="266" t="s">
        <v>27</v>
      </c>
      <c r="AB1" s="266" t="s">
        <v>27</v>
      </c>
      <c r="AC1" s="266" t="s">
        <v>27</v>
      </c>
    </row>
    <row r="2" spans="1:29" ht="45.6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743</v>
      </c>
      <c r="C3" s="258" t="s">
        <v>26</v>
      </c>
      <c r="D3" s="258" t="s">
        <v>708</v>
      </c>
      <c r="E3" s="258">
        <v>262968</v>
      </c>
      <c r="F3" s="258" t="s">
        <v>742</v>
      </c>
      <c r="G3" s="258">
        <v>400</v>
      </c>
      <c r="H3" s="260">
        <v>0.78100000000000003</v>
      </c>
      <c r="I3" s="260">
        <v>1.83</v>
      </c>
      <c r="J3" s="258" t="s">
        <v>27</v>
      </c>
      <c r="K3" s="258" t="s">
        <v>320</v>
      </c>
      <c r="L3" s="258" t="s">
        <v>27</v>
      </c>
      <c r="M3" s="260">
        <v>571.69200000000001</v>
      </c>
      <c r="N3" s="261">
        <v>366</v>
      </c>
      <c r="O3" s="262">
        <v>5.0799999999999998E-2</v>
      </c>
      <c r="P3" s="263">
        <v>3.05</v>
      </c>
      <c r="Q3" s="258">
        <v>307.60000000000002</v>
      </c>
      <c r="R3" s="258">
        <v>2</v>
      </c>
      <c r="S3" s="258">
        <v>1600</v>
      </c>
      <c r="T3" s="260">
        <v>1.5620000000000001</v>
      </c>
      <c r="U3" s="258">
        <v>38</v>
      </c>
      <c r="V3" s="262">
        <v>2.3800000000000002E-2</v>
      </c>
      <c r="W3" s="258" t="s">
        <v>28</v>
      </c>
      <c r="X3" s="258" t="s">
        <v>29</v>
      </c>
      <c r="Y3" s="258" t="s">
        <v>28</v>
      </c>
      <c r="Z3" s="258" t="s">
        <v>28</v>
      </c>
      <c r="AA3" s="258" t="s">
        <v>28</v>
      </c>
      <c r="AB3" s="258" t="s">
        <v>30</v>
      </c>
      <c r="AC3" s="258" t="s">
        <v>319</v>
      </c>
    </row>
    <row r="4" spans="1:29" s="264" customFormat="1" ht="25.05" customHeight="1" x14ac:dyDescent="0.3">
      <c r="A4" s="258"/>
      <c r="B4" s="259" t="s">
        <v>743</v>
      </c>
      <c r="C4" s="258" t="s">
        <v>26</v>
      </c>
      <c r="D4" s="258" t="s">
        <v>708</v>
      </c>
      <c r="E4" s="258">
        <v>262969</v>
      </c>
      <c r="F4" s="258" t="s">
        <v>742</v>
      </c>
      <c r="G4" s="258">
        <v>500</v>
      </c>
      <c r="H4" s="260">
        <v>0.65200000000000002</v>
      </c>
      <c r="I4" s="260">
        <v>2.34</v>
      </c>
      <c r="J4" s="258" t="s">
        <v>27</v>
      </c>
      <c r="K4" s="258" t="s">
        <v>758</v>
      </c>
      <c r="L4" s="258" t="s">
        <v>27</v>
      </c>
      <c r="M4" s="260">
        <v>762.84</v>
      </c>
      <c r="N4" s="261">
        <v>585</v>
      </c>
      <c r="O4" s="262">
        <v>8.1299999999999997E-2</v>
      </c>
      <c r="P4" s="263">
        <v>4.88</v>
      </c>
      <c r="Q4" s="258">
        <v>410.4</v>
      </c>
      <c r="R4" s="258">
        <v>2</v>
      </c>
      <c r="S4" s="258">
        <v>1350</v>
      </c>
      <c r="T4" s="260">
        <v>1.304</v>
      </c>
      <c r="U4" s="258">
        <v>46</v>
      </c>
      <c r="V4" s="262">
        <v>3.4099999999999998E-2</v>
      </c>
      <c r="W4" s="258" t="s">
        <v>28</v>
      </c>
      <c r="X4" s="258" t="s">
        <v>29</v>
      </c>
      <c r="Y4" s="258" t="s">
        <v>28</v>
      </c>
      <c r="Z4" s="258" t="s">
        <v>28</v>
      </c>
      <c r="AA4" s="258" t="s">
        <v>28</v>
      </c>
      <c r="AB4" s="258" t="s">
        <v>30</v>
      </c>
      <c r="AC4" s="258" t="s">
        <v>757</v>
      </c>
    </row>
    <row r="5" spans="1:29" s="264" customFormat="1" ht="25.05" customHeight="1" x14ac:dyDescent="0.3">
      <c r="A5" s="258"/>
      <c r="B5" s="259" t="s">
        <v>743</v>
      </c>
      <c r="C5" s="258" t="s">
        <v>35</v>
      </c>
      <c r="D5" s="258" t="s">
        <v>708</v>
      </c>
      <c r="E5" s="258">
        <v>262966</v>
      </c>
      <c r="F5" s="258" t="s">
        <v>742</v>
      </c>
      <c r="G5" s="258">
        <v>1100</v>
      </c>
      <c r="H5" s="260">
        <v>0.77400000000000002</v>
      </c>
      <c r="I5" s="260">
        <v>1.1200000000000001</v>
      </c>
      <c r="J5" s="258" t="s">
        <v>27</v>
      </c>
      <c r="K5" s="258" t="s">
        <v>756</v>
      </c>
      <c r="L5" s="258" t="s">
        <v>27</v>
      </c>
      <c r="M5" s="260">
        <v>953.56799999999998</v>
      </c>
      <c r="N5" s="261">
        <v>616</v>
      </c>
      <c r="O5" s="262">
        <v>8.5599999999999996E-2</v>
      </c>
      <c r="P5" s="263">
        <v>5.13</v>
      </c>
      <c r="Q5" s="258">
        <v>300.39999999999998</v>
      </c>
      <c r="R5" s="258">
        <v>2</v>
      </c>
      <c r="S5" s="258">
        <v>1600</v>
      </c>
      <c r="T5" s="260">
        <v>1.548</v>
      </c>
      <c r="U5" s="258">
        <v>52</v>
      </c>
      <c r="V5" s="262">
        <v>3.2500000000000001E-2</v>
      </c>
      <c r="W5" s="258" t="s">
        <v>28</v>
      </c>
      <c r="X5" s="258" t="s">
        <v>28</v>
      </c>
      <c r="Y5" s="258" t="s">
        <v>28</v>
      </c>
      <c r="Z5" s="258" t="s">
        <v>27</v>
      </c>
      <c r="AA5" s="258" t="s">
        <v>27</v>
      </c>
      <c r="AB5" s="258" t="s">
        <v>32</v>
      </c>
      <c r="AC5" s="258" t="s">
        <v>755</v>
      </c>
    </row>
    <row r="6" spans="1:29" s="264" customFormat="1" ht="25.05" customHeight="1" x14ac:dyDescent="0.3">
      <c r="A6" s="258"/>
      <c r="B6" s="259" t="s">
        <v>743</v>
      </c>
      <c r="C6" s="258" t="s">
        <v>35</v>
      </c>
      <c r="D6" s="258" t="s">
        <v>708</v>
      </c>
      <c r="E6" s="258">
        <v>262956</v>
      </c>
      <c r="F6" s="258" t="s">
        <v>742</v>
      </c>
      <c r="G6" s="258">
        <v>250</v>
      </c>
      <c r="H6" s="260">
        <v>1.5</v>
      </c>
      <c r="I6" s="260">
        <v>2.57</v>
      </c>
      <c r="J6" s="258" t="s">
        <v>27</v>
      </c>
      <c r="K6" s="258" t="s">
        <v>33</v>
      </c>
      <c r="L6" s="258" t="s">
        <v>27</v>
      </c>
      <c r="M6" s="260">
        <v>963.75</v>
      </c>
      <c r="N6" s="261">
        <v>642.5</v>
      </c>
      <c r="O6" s="262">
        <v>0.17849999999999999</v>
      </c>
      <c r="P6" s="263">
        <v>10.71</v>
      </c>
      <c r="Q6" s="258">
        <v>303.60000000000002</v>
      </c>
      <c r="R6" s="258">
        <v>1</v>
      </c>
      <c r="S6" s="258">
        <v>1550</v>
      </c>
      <c r="T6" s="260">
        <v>1.5</v>
      </c>
      <c r="U6" s="258">
        <v>50</v>
      </c>
      <c r="V6" s="262">
        <v>3.2300000000000002E-2</v>
      </c>
      <c r="W6" s="258" t="s">
        <v>28</v>
      </c>
      <c r="X6" s="258" t="s">
        <v>28</v>
      </c>
      <c r="Y6" s="258" t="s">
        <v>28</v>
      </c>
      <c r="Z6" s="258" t="s">
        <v>27</v>
      </c>
      <c r="AA6" s="258" t="s">
        <v>27</v>
      </c>
      <c r="AB6" s="258" t="s">
        <v>38</v>
      </c>
      <c r="AC6" s="258" t="s">
        <v>754</v>
      </c>
    </row>
    <row r="7" spans="1:29" s="264" customFormat="1" ht="25.05" customHeight="1" x14ac:dyDescent="0.3">
      <c r="A7" s="258"/>
      <c r="B7" s="259" t="s">
        <v>743</v>
      </c>
      <c r="C7" s="258" t="s">
        <v>35</v>
      </c>
      <c r="D7" s="258" t="s">
        <v>708</v>
      </c>
      <c r="E7" s="258">
        <v>262954</v>
      </c>
      <c r="F7" s="258" t="s">
        <v>742</v>
      </c>
      <c r="G7" s="258">
        <v>3000</v>
      </c>
      <c r="H7" s="260">
        <v>0.48</v>
      </c>
      <c r="I7" s="260">
        <v>0.74</v>
      </c>
      <c r="J7" s="258" t="s">
        <v>27</v>
      </c>
      <c r="K7" s="258" t="s">
        <v>33</v>
      </c>
      <c r="L7" s="258" t="s">
        <v>27</v>
      </c>
      <c r="M7" s="260">
        <v>1065.5999999999999</v>
      </c>
      <c r="N7" s="261">
        <v>740</v>
      </c>
      <c r="O7" s="262">
        <v>6.8500000000000005E-2</v>
      </c>
      <c r="P7" s="263">
        <v>4.1100000000000003</v>
      </c>
      <c r="Q7" s="258">
        <v>335.7</v>
      </c>
      <c r="R7" s="258">
        <v>3</v>
      </c>
      <c r="S7" s="258">
        <v>1500</v>
      </c>
      <c r="T7" s="260">
        <v>1.44</v>
      </c>
      <c r="U7" s="258">
        <v>60</v>
      </c>
      <c r="V7" s="262">
        <v>0.04</v>
      </c>
      <c r="W7" s="258" t="s">
        <v>28</v>
      </c>
      <c r="X7" s="258" t="s">
        <v>28</v>
      </c>
      <c r="Y7" s="258" t="s">
        <v>28</v>
      </c>
      <c r="Z7" s="258" t="s">
        <v>27</v>
      </c>
      <c r="AA7" s="258" t="s">
        <v>27</v>
      </c>
      <c r="AB7" s="258" t="s">
        <v>32</v>
      </c>
      <c r="AC7" s="258" t="s">
        <v>753</v>
      </c>
    </row>
    <row r="8" spans="1:29" s="264" customFormat="1" ht="25.05" customHeight="1" x14ac:dyDescent="0.3">
      <c r="A8" s="258"/>
      <c r="B8" s="259" t="s">
        <v>743</v>
      </c>
      <c r="C8" s="258" t="s">
        <v>81</v>
      </c>
      <c r="D8" s="258" t="s">
        <v>708</v>
      </c>
      <c r="E8" s="258">
        <v>262955</v>
      </c>
      <c r="F8" s="258" t="s">
        <v>742</v>
      </c>
      <c r="G8" s="258">
        <v>2500</v>
      </c>
      <c r="H8" s="260">
        <v>0.71</v>
      </c>
      <c r="I8" s="260">
        <v>0.6</v>
      </c>
      <c r="J8" s="258" t="s">
        <v>27</v>
      </c>
      <c r="K8" s="258" t="s">
        <v>33</v>
      </c>
      <c r="L8" s="258" t="s">
        <v>27</v>
      </c>
      <c r="M8" s="260">
        <v>1065</v>
      </c>
      <c r="N8" s="261">
        <v>750</v>
      </c>
      <c r="O8" s="262">
        <v>0.1042</v>
      </c>
      <c r="P8" s="263">
        <v>6.25</v>
      </c>
      <c r="Q8" s="258">
        <v>388.7</v>
      </c>
      <c r="R8" s="258">
        <v>2</v>
      </c>
      <c r="S8" s="258">
        <v>1450</v>
      </c>
      <c r="T8" s="260">
        <v>1.42</v>
      </c>
      <c r="U8" s="258">
        <v>30</v>
      </c>
      <c r="V8" s="262">
        <v>2.07E-2</v>
      </c>
      <c r="W8" s="258" t="s">
        <v>41</v>
      </c>
      <c r="X8" s="258" t="s">
        <v>29</v>
      </c>
      <c r="Y8" s="258" t="s">
        <v>28</v>
      </c>
      <c r="Z8" s="258" t="s">
        <v>27</v>
      </c>
      <c r="AA8" s="258" t="s">
        <v>27</v>
      </c>
      <c r="AB8" s="258" t="s">
        <v>30</v>
      </c>
      <c r="AC8" s="258" t="s">
        <v>752</v>
      </c>
    </row>
    <row r="9" spans="1:29" s="264" customFormat="1" ht="25.05" customHeight="1" x14ac:dyDescent="0.3">
      <c r="A9" s="258"/>
      <c r="B9" s="259" t="s">
        <v>743</v>
      </c>
      <c r="C9" s="258" t="s">
        <v>35</v>
      </c>
      <c r="D9" s="258" t="s">
        <v>708</v>
      </c>
      <c r="E9" s="258">
        <v>262967</v>
      </c>
      <c r="F9" s="258" t="s">
        <v>742</v>
      </c>
      <c r="G9" s="258">
        <v>3000</v>
      </c>
      <c r="H9" s="260">
        <v>0.63400000000000001</v>
      </c>
      <c r="I9" s="260">
        <v>1.6</v>
      </c>
      <c r="J9" s="258" t="s">
        <v>27</v>
      </c>
      <c r="K9" s="258" t="s">
        <v>310</v>
      </c>
      <c r="L9" s="258" t="s">
        <v>27</v>
      </c>
      <c r="M9" s="260">
        <v>3043.2</v>
      </c>
      <c r="N9" s="261">
        <v>2400</v>
      </c>
      <c r="O9" s="262">
        <v>0.33329999999999999</v>
      </c>
      <c r="P9" s="263">
        <v>20</v>
      </c>
      <c r="Q9" s="258">
        <v>958.6</v>
      </c>
      <c r="R9" s="258">
        <v>2</v>
      </c>
      <c r="S9" s="258">
        <v>1300</v>
      </c>
      <c r="T9" s="260">
        <v>1.268</v>
      </c>
      <c r="U9" s="258">
        <v>32</v>
      </c>
      <c r="V9" s="262">
        <v>2.46E-2</v>
      </c>
      <c r="W9" s="258" t="s">
        <v>28</v>
      </c>
      <c r="X9" s="258" t="s">
        <v>28</v>
      </c>
      <c r="Y9" s="258" t="s">
        <v>28</v>
      </c>
      <c r="Z9" s="258" t="s">
        <v>27</v>
      </c>
      <c r="AA9" s="258" t="s">
        <v>27</v>
      </c>
      <c r="AB9" s="258" t="s">
        <v>52</v>
      </c>
      <c r="AC9" s="258" t="s">
        <v>309</v>
      </c>
    </row>
    <row r="10" spans="1:29" s="264" customFormat="1" ht="25.05" customHeight="1" x14ac:dyDescent="0.3">
      <c r="A10" s="258"/>
      <c r="B10" s="259" t="s">
        <v>743</v>
      </c>
      <c r="C10" s="258" t="s">
        <v>35</v>
      </c>
      <c r="D10" s="258" t="s">
        <v>708</v>
      </c>
      <c r="E10" s="258">
        <v>262959</v>
      </c>
      <c r="F10" s="258" t="s">
        <v>742</v>
      </c>
      <c r="G10" s="258">
        <v>5000</v>
      </c>
      <c r="H10" s="260">
        <v>0.30399999999999999</v>
      </c>
      <c r="I10" s="260">
        <v>0.98</v>
      </c>
      <c r="J10" s="258" t="s">
        <v>27</v>
      </c>
      <c r="K10" s="258" t="s">
        <v>83</v>
      </c>
      <c r="L10" s="258" t="s">
        <v>27</v>
      </c>
      <c r="M10" s="260">
        <v>1489.6</v>
      </c>
      <c r="N10" s="261">
        <v>1225</v>
      </c>
      <c r="O10" s="262">
        <v>8.5099999999999995E-2</v>
      </c>
      <c r="P10" s="263">
        <v>5.0999999999999996</v>
      </c>
      <c r="Q10" s="258">
        <v>469.2</v>
      </c>
      <c r="R10" s="258">
        <v>4</v>
      </c>
      <c r="S10" s="258">
        <v>1250</v>
      </c>
      <c r="T10" s="260">
        <v>1.216</v>
      </c>
      <c r="U10" s="258">
        <v>34</v>
      </c>
      <c r="V10" s="262">
        <v>2.7199999999999998E-2</v>
      </c>
      <c r="W10" s="258" t="s">
        <v>28</v>
      </c>
      <c r="X10" s="258" t="s">
        <v>28</v>
      </c>
      <c r="Y10" s="258" t="s">
        <v>28</v>
      </c>
      <c r="Z10" s="258" t="s">
        <v>27</v>
      </c>
      <c r="AA10" s="258" t="s">
        <v>27</v>
      </c>
      <c r="AB10" s="258" t="s">
        <v>30</v>
      </c>
      <c r="AC10" s="258" t="s">
        <v>82</v>
      </c>
    </row>
    <row r="11" spans="1:29" s="264" customFormat="1" ht="25.05" customHeight="1" x14ac:dyDescent="0.3">
      <c r="A11" s="258"/>
      <c r="B11" s="259" t="s">
        <v>743</v>
      </c>
      <c r="C11" s="258" t="s">
        <v>35</v>
      </c>
      <c r="D11" s="258" t="s">
        <v>708</v>
      </c>
      <c r="E11" s="258">
        <v>262960</v>
      </c>
      <c r="F11" s="258" t="s">
        <v>742</v>
      </c>
      <c r="G11" s="258">
        <v>2000</v>
      </c>
      <c r="H11" s="260">
        <v>0.40500000000000003</v>
      </c>
      <c r="I11" s="260">
        <v>1.33</v>
      </c>
      <c r="J11" s="258" t="s">
        <v>27</v>
      </c>
      <c r="K11" s="258" t="s">
        <v>751</v>
      </c>
      <c r="L11" s="258" t="s">
        <v>27</v>
      </c>
      <c r="M11" s="260">
        <v>1077.3</v>
      </c>
      <c r="N11" s="261">
        <v>886.7</v>
      </c>
      <c r="O11" s="262">
        <v>8.2100000000000006E-2</v>
      </c>
      <c r="P11" s="263">
        <v>4.93</v>
      </c>
      <c r="Q11" s="258">
        <v>339.3</v>
      </c>
      <c r="R11" s="258">
        <v>3</v>
      </c>
      <c r="S11" s="258">
        <v>1250</v>
      </c>
      <c r="T11" s="260">
        <v>1.2150000000000001</v>
      </c>
      <c r="U11" s="258">
        <v>35</v>
      </c>
      <c r="V11" s="262">
        <v>2.8000000000000001E-2</v>
      </c>
      <c r="W11" s="258" t="s">
        <v>28</v>
      </c>
      <c r="X11" s="258" t="s">
        <v>28</v>
      </c>
      <c r="Y11" s="258" t="s">
        <v>28</v>
      </c>
      <c r="Z11" s="258" t="s">
        <v>27</v>
      </c>
      <c r="AA11" s="258" t="s">
        <v>27</v>
      </c>
      <c r="AB11" s="258" t="s">
        <v>30</v>
      </c>
      <c r="AC11" s="258" t="s">
        <v>750</v>
      </c>
    </row>
    <row r="12" spans="1:29" s="264" customFormat="1" ht="25.05" customHeight="1" x14ac:dyDescent="0.3">
      <c r="A12" s="258"/>
      <c r="B12" s="259" t="s">
        <v>743</v>
      </c>
      <c r="C12" s="258" t="s">
        <v>35</v>
      </c>
      <c r="D12" s="258" t="s">
        <v>708</v>
      </c>
      <c r="E12" s="258">
        <v>262962</v>
      </c>
      <c r="F12" s="258" t="s">
        <v>742</v>
      </c>
      <c r="G12" s="258">
        <v>3600</v>
      </c>
      <c r="H12" s="260">
        <v>0.3</v>
      </c>
      <c r="I12" s="260">
        <v>0.9</v>
      </c>
      <c r="J12" s="258" t="s">
        <v>27</v>
      </c>
      <c r="K12" s="258" t="s">
        <v>33</v>
      </c>
      <c r="L12" s="258" t="s">
        <v>27</v>
      </c>
      <c r="M12" s="260">
        <v>972</v>
      </c>
      <c r="N12" s="261">
        <v>810</v>
      </c>
      <c r="O12" s="262">
        <v>5.6300000000000003E-2</v>
      </c>
      <c r="P12" s="263">
        <v>3.38</v>
      </c>
      <c r="Q12" s="258">
        <v>306.2</v>
      </c>
      <c r="R12" s="258">
        <v>4</v>
      </c>
      <c r="S12" s="258">
        <v>1250</v>
      </c>
      <c r="T12" s="260">
        <v>1.2</v>
      </c>
      <c r="U12" s="258">
        <v>50</v>
      </c>
      <c r="V12" s="262">
        <v>0.04</v>
      </c>
      <c r="W12" s="258" t="s">
        <v>28</v>
      </c>
      <c r="X12" s="258" t="s">
        <v>28</v>
      </c>
      <c r="Y12" s="258" t="s">
        <v>28</v>
      </c>
      <c r="Z12" s="258" t="s">
        <v>27</v>
      </c>
      <c r="AA12" s="258" t="s">
        <v>27</v>
      </c>
      <c r="AB12" s="258" t="s">
        <v>32</v>
      </c>
      <c r="AC12" s="258" t="s">
        <v>113</v>
      </c>
    </row>
    <row r="13" spans="1:29" s="264" customFormat="1" ht="25.05" customHeight="1" x14ac:dyDescent="0.3">
      <c r="A13" s="258"/>
      <c r="B13" s="259" t="s">
        <v>743</v>
      </c>
      <c r="C13" s="258" t="s">
        <v>35</v>
      </c>
      <c r="D13" s="258" t="s">
        <v>708</v>
      </c>
      <c r="E13" s="258">
        <v>262964</v>
      </c>
      <c r="F13" s="258" t="s">
        <v>742</v>
      </c>
      <c r="G13" s="258">
        <v>700</v>
      </c>
      <c r="H13" s="260">
        <v>1.1599999999999999</v>
      </c>
      <c r="I13" s="260">
        <v>1.19</v>
      </c>
      <c r="J13" s="258" t="s">
        <v>27</v>
      </c>
      <c r="K13" s="258" t="s">
        <v>33</v>
      </c>
      <c r="L13" s="258" t="s">
        <v>27</v>
      </c>
      <c r="M13" s="260">
        <v>966.28</v>
      </c>
      <c r="N13" s="261">
        <v>833</v>
      </c>
      <c r="O13" s="262">
        <v>0.23139999999999999</v>
      </c>
      <c r="P13" s="263">
        <v>13.88</v>
      </c>
      <c r="Q13" s="258">
        <v>304.39999999999998</v>
      </c>
      <c r="R13" s="258">
        <v>1</v>
      </c>
      <c r="S13" s="258">
        <v>1200</v>
      </c>
      <c r="T13" s="260">
        <v>1.1599999999999999</v>
      </c>
      <c r="U13" s="258">
        <v>40</v>
      </c>
      <c r="V13" s="262">
        <v>3.3300000000000003E-2</v>
      </c>
      <c r="W13" s="258" t="s">
        <v>28</v>
      </c>
      <c r="X13" s="258" t="s">
        <v>28</v>
      </c>
      <c r="Y13" s="258" t="s">
        <v>28</v>
      </c>
      <c r="Z13" s="258" t="s">
        <v>27</v>
      </c>
      <c r="AA13" s="258" t="s">
        <v>27</v>
      </c>
      <c r="AB13" s="258" t="s">
        <v>32</v>
      </c>
      <c r="AC13" s="258" t="s">
        <v>749</v>
      </c>
    </row>
    <row r="14" spans="1:29" s="264" customFormat="1" ht="25.05" customHeight="1" x14ac:dyDescent="0.3">
      <c r="A14" s="258"/>
      <c r="B14" s="259" t="s">
        <v>743</v>
      </c>
      <c r="C14" s="258" t="s">
        <v>35</v>
      </c>
      <c r="D14" s="258" t="s">
        <v>708</v>
      </c>
      <c r="E14" s="258">
        <v>262958</v>
      </c>
      <c r="F14" s="258" t="s">
        <v>742</v>
      </c>
      <c r="G14" s="258">
        <v>1000</v>
      </c>
      <c r="H14" s="260">
        <v>0.56499999999999995</v>
      </c>
      <c r="I14" s="260">
        <v>2.2200000000000002</v>
      </c>
      <c r="J14" s="258" t="s">
        <v>27</v>
      </c>
      <c r="K14" s="258" t="s">
        <v>748</v>
      </c>
      <c r="L14" s="258" t="s">
        <v>27</v>
      </c>
      <c r="M14" s="260">
        <v>1254.3</v>
      </c>
      <c r="N14" s="261">
        <v>1110</v>
      </c>
      <c r="O14" s="262">
        <v>0.1542</v>
      </c>
      <c r="P14" s="263">
        <v>9.25</v>
      </c>
      <c r="Q14" s="258">
        <v>395.1</v>
      </c>
      <c r="R14" s="258">
        <v>2</v>
      </c>
      <c r="S14" s="258">
        <v>1150</v>
      </c>
      <c r="T14" s="260">
        <v>1.1299999999999999</v>
      </c>
      <c r="U14" s="258">
        <v>20</v>
      </c>
      <c r="V14" s="262">
        <v>1.7399999999999999E-2</v>
      </c>
      <c r="W14" s="258" t="s">
        <v>28</v>
      </c>
      <c r="X14" s="258" t="s">
        <v>28</v>
      </c>
      <c r="Y14" s="258" t="s">
        <v>28</v>
      </c>
      <c r="Z14" s="258" t="s">
        <v>27</v>
      </c>
      <c r="AA14" s="258" t="s">
        <v>27</v>
      </c>
      <c r="AB14" s="258" t="s">
        <v>30</v>
      </c>
      <c r="AC14" s="258" t="s">
        <v>747</v>
      </c>
    </row>
    <row r="15" spans="1:29" s="264" customFormat="1" ht="25.05" customHeight="1" x14ac:dyDescent="0.3">
      <c r="A15" s="258"/>
      <c r="B15" s="259" t="s">
        <v>743</v>
      </c>
      <c r="C15" s="258" t="s">
        <v>35</v>
      </c>
      <c r="D15" s="258" t="s">
        <v>708</v>
      </c>
      <c r="E15" s="258">
        <v>262957</v>
      </c>
      <c r="F15" s="258" t="s">
        <v>742</v>
      </c>
      <c r="G15" s="258">
        <v>1050</v>
      </c>
      <c r="H15" s="260">
        <v>1.0089999999999999</v>
      </c>
      <c r="I15" s="260">
        <v>0.92</v>
      </c>
      <c r="J15" s="258" t="s">
        <v>27</v>
      </c>
      <c r="K15" s="258" t="s">
        <v>33</v>
      </c>
      <c r="L15" s="258" t="s">
        <v>27</v>
      </c>
      <c r="M15" s="260">
        <v>974.69399999999996</v>
      </c>
      <c r="N15" s="261">
        <v>966</v>
      </c>
      <c r="O15" s="262">
        <v>0.26829999999999998</v>
      </c>
      <c r="P15" s="263">
        <v>16.100000000000001</v>
      </c>
      <c r="Q15" s="258">
        <v>307</v>
      </c>
      <c r="R15" s="258">
        <v>1</v>
      </c>
      <c r="S15" s="258">
        <v>1050</v>
      </c>
      <c r="T15" s="260">
        <v>1.0089999999999999</v>
      </c>
      <c r="U15" s="258">
        <v>41</v>
      </c>
      <c r="V15" s="262">
        <v>3.9E-2</v>
      </c>
      <c r="W15" s="258" t="s">
        <v>28</v>
      </c>
      <c r="X15" s="258" t="s">
        <v>28</v>
      </c>
      <c r="Y15" s="258" t="s">
        <v>28</v>
      </c>
      <c r="Z15" s="258" t="s">
        <v>27</v>
      </c>
      <c r="AA15" s="258" t="s">
        <v>27</v>
      </c>
      <c r="AB15" s="258" t="s">
        <v>32</v>
      </c>
      <c r="AC15" s="258" t="s">
        <v>746</v>
      </c>
    </row>
    <row r="16" spans="1:29" s="264" customFormat="1" ht="25.05" customHeight="1" x14ac:dyDescent="0.3">
      <c r="A16" s="258"/>
      <c r="B16" s="259" t="s">
        <v>743</v>
      </c>
      <c r="C16" s="258" t="s">
        <v>35</v>
      </c>
      <c r="D16" s="258" t="s">
        <v>708</v>
      </c>
      <c r="E16" s="258">
        <v>262961</v>
      </c>
      <c r="F16" s="258" t="s">
        <v>742</v>
      </c>
      <c r="G16" s="258">
        <v>1000</v>
      </c>
      <c r="H16" s="260">
        <v>1</v>
      </c>
      <c r="I16" s="260">
        <v>1</v>
      </c>
      <c r="J16" s="258" t="s">
        <v>27</v>
      </c>
      <c r="K16" s="258" t="s">
        <v>33</v>
      </c>
      <c r="L16" s="258" t="s">
        <v>27</v>
      </c>
      <c r="M16" s="260">
        <v>1000</v>
      </c>
      <c r="N16" s="261">
        <v>1000</v>
      </c>
      <c r="O16" s="262">
        <v>0.27779999999999999</v>
      </c>
      <c r="P16" s="263">
        <v>16.670000000000002</v>
      </c>
      <c r="Q16" s="258">
        <v>315</v>
      </c>
      <c r="R16" s="258">
        <v>1</v>
      </c>
      <c r="S16" s="258">
        <v>1050</v>
      </c>
      <c r="T16" s="260">
        <v>1</v>
      </c>
      <c r="U16" s="258">
        <v>50</v>
      </c>
      <c r="V16" s="262">
        <v>4.7600000000000003E-2</v>
      </c>
      <c r="W16" s="258" t="s">
        <v>28</v>
      </c>
      <c r="X16" s="258" t="s">
        <v>28</v>
      </c>
      <c r="Y16" s="258" t="s">
        <v>28</v>
      </c>
      <c r="Z16" s="258" t="s">
        <v>27</v>
      </c>
      <c r="AA16" s="258" t="s">
        <v>27</v>
      </c>
      <c r="AB16" s="258" t="s">
        <v>32</v>
      </c>
      <c r="AC16" s="258" t="s">
        <v>745</v>
      </c>
    </row>
    <row r="17" spans="1:29" s="264" customFormat="1" ht="25.05" customHeight="1" x14ac:dyDescent="0.3">
      <c r="A17" s="258"/>
      <c r="B17" s="259" t="s">
        <v>743</v>
      </c>
      <c r="C17" s="258" t="s">
        <v>35</v>
      </c>
      <c r="D17" s="258" t="s">
        <v>708</v>
      </c>
      <c r="E17" s="258">
        <v>262963</v>
      </c>
      <c r="F17" s="258" t="s">
        <v>742</v>
      </c>
      <c r="G17" s="258">
        <v>1500</v>
      </c>
      <c r="H17" s="260">
        <v>0.98</v>
      </c>
      <c r="I17" s="260">
        <v>0.77</v>
      </c>
      <c r="J17" s="258" t="s">
        <v>27</v>
      </c>
      <c r="K17" s="258" t="s">
        <v>33</v>
      </c>
      <c r="L17" s="258" t="s">
        <v>27</v>
      </c>
      <c r="M17" s="260">
        <v>1131.9000000000001</v>
      </c>
      <c r="N17" s="261">
        <v>1155</v>
      </c>
      <c r="O17" s="262">
        <v>0.32079999999999997</v>
      </c>
      <c r="P17" s="263">
        <v>19.25</v>
      </c>
      <c r="Q17" s="258">
        <v>356.5</v>
      </c>
      <c r="R17" s="258">
        <v>1</v>
      </c>
      <c r="S17" s="258">
        <v>1000</v>
      </c>
      <c r="T17" s="260">
        <v>0.98</v>
      </c>
      <c r="U17" s="258">
        <v>20</v>
      </c>
      <c r="V17" s="262">
        <v>0.02</v>
      </c>
      <c r="W17" s="258" t="s">
        <v>28</v>
      </c>
      <c r="X17" s="258" t="s">
        <v>28</v>
      </c>
      <c r="Y17" s="258" t="s">
        <v>28</v>
      </c>
      <c r="Z17" s="258" t="s">
        <v>27</v>
      </c>
      <c r="AA17" s="258" t="s">
        <v>27</v>
      </c>
      <c r="AB17" s="258" t="s">
        <v>32</v>
      </c>
      <c r="AC17" s="258" t="s">
        <v>744</v>
      </c>
    </row>
    <row r="18" spans="1:29" s="264" customFormat="1" ht="25.05" customHeight="1" x14ac:dyDescent="0.3">
      <c r="A18" s="258"/>
      <c r="B18" s="259" t="s">
        <v>743</v>
      </c>
      <c r="C18" s="258" t="s">
        <v>35</v>
      </c>
      <c r="D18" s="258" t="s">
        <v>708</v>
      </c>
      <c r="E18" s="258">
        <v>262965</v>
      </c>
      <c r="F18" s="258" t="s">
        <v>742</v>
      </c>
      <c r="G18" s="258">
        <v>640</v>
      </c>
      <c r="H18" s="260">
        <v>0.88200000000000001</v>
      </c>
      <c r="I18" s="260">
        <v>1.76</v>
      </c>
      <c r="J18" s="258" t="s">
        <v>27</v>
      </c>
      <c r="K18" s="258" t="s">
        <v>33</v>
      </c>
      <c r="L18" s="258" t="s">
        <v>27</v>
      </c>
      <c r="M18" s="260">
        <v>993.48500000000001</v>
      </c>
      <c r="N18" s="261">
        <v>1126.4000000000001</v>
      </c>
      <c r="O18" s="262">
        <v>0.31290000000000001</v>
      </c>
      <c r="P18" s="263">
        <v>18.77</v>
      </c>
      <c r="Q18" s="258">
        <v>312.89999999999998</v>
      </c>
      <c r="R18" s="258">
        <v>1</v>
      </c>
      <c r="S18" s="258">
        <v>950</v>
      </c>
      <c r="T18" s="260">
        <v>0.88200000000000001</v>
      </c>
      <c r="U18" s="258">
        <v>68</v>
      </c>
      <c r="V18" s="262">
        <v>7.1599999999999997E-2</v>
      </c>
      <c r="W18" s="258" t="s">
        <v>28</v>
      </c>
      <c r="X18" s="258" t="s">
        <v>28</v>
      </c>
      <c r="Y18" s="258" t="s">
        <v>28</v>
      </c>
      <c r="Z18" s="258" t="s">
        <v>27</v>
      </c>
      <c r="AA18" s="258" t="s">
        <v>27</v>
      </c>
      <c r="AB18" s="258" t="s">
        <v>32</v>
      </c>
      <c r="AC18" s="258" t="s">
        <v>741</v>
      </c>
    </row>
    <row r="19" spans="1:29" s="264" customFormat="1" ht="25.05" customHeight="1" x14ac:dyDescent="0.3">
      <c r="A19" s="265" t="s">
        <v>27</v>
      </c>
      <c r="B19" s="265" t="s">
        <v>27</v>
      </c>
      <c r="C19" s="265" t="s">
        <v>27</v>
      </c>
      <c r="D19" s="265" t="s">
        <v>27</v>
      </c>
      <c r="E19" s="265" t="s">
        <v>27</v>
      </c>
      <c r="F19" s="265" t="s">
        <v>27</v>
      </c>
      <c r="G19" s="265">
        <v>27240</v>
      </c>
      <c r="H19" s="265" t="s">
        <v>27</v>
      </c>
      <c r="I19" s="265" t="s">
        <v>27</v>
      </c>
      <c r="J19" s="265" t="s">
        <v>27</v>
      </c>
      <c r="K19" s="265" t="s">
        <v>27</v>
      </c>
      <c r="L19" s="265" t="s">
        <v>27</v>
      </c>
      <c r="M19" s="265" t="s">
        <v>27</v>
      </c>
      <c r="N19" s="265" t="s">
        <v>27</v>
      </c>
      <c r="O19" s="265" t="s">
        <v>27</v>
      </c>
      <c r="P19" s="265" t="s">
        <v>27</v>
      </c>
      <c r="Q19" s="265">
        <v>6110.7</v>
      </c>
      <c r="R19" s="265" t="s">
        <v>27</v>
      </c>
      <c r="S19" s="265" t="s">
        <v>27</v>
      </c>
      <c r="T19" s="265" t="s">
        <v>27</v>
      </c>
      <c r="U19" s="265" t="s">
        <v>27</v>
      </c>
      <c r="V19" s="265" t="s">
        <v>27</v>
      </c>
      <c r="W19" s="265" t="s">
        <v>27</v>
      </c>
      <c r="X19" s="265" t="s">
        <v>27</v>
      </c>
      <c r="Y19" s="265" t="s">
        <v>27</v>
      </c>
      <c r="Z19" s="265" t="s">
        <v>27</v>
      </c>
      <c r="AA19" s="265" t="s">
        <v>27</v>
      </c>
      <c r="AB19" s="265" t="s">
        <v>27</v>
      </c>
      <c r="AC19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5EE4D-B02B-4C62-A2EC-AAFEBC4E0B64}">
  <sheetPr>
    <pageSetUpPr fitToPage="1"/>
  </sheetPr>
  <dimension ref="A1:AC10"/>
  <sheetViews>
    <sheetView workbookViewId="0">
      <selection activeCell="W24" sqref="W24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7.6640625" style="1" customWidth="1"/>
    <col min="6" max="6" width="3.5546875" style="1" customWidth="1"/>
    <col min="7" max="7" width="6.33203125" style="1" customWidth="1"/>
    <col min="8" max="8" width="6" style="1" customWidth="1"/>
    <col min="9" max="9" width="6.21875" style="1" customWidth="1"/>
    <col min="10" max="10" width="8.77734375" style="1" customWidth="1"/>
    <col min="11" max="11" width="12.77734375" style="1" customWidth="1"/>
    <col min="12" max="12" width="7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" style="1" customWidth="1"/>
    <col min="18" max="18" width="4.5546875" style="1" customWidth="1"/>
    <col min="19" max="19" width="6.664062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77734375" style="1" customWidth="1"/>
    <col min="24" max="24" width="7.44140625" style="1" customWidth="1"/>
    <col min="25" max="25" width="7.5546875" style="1" customWidth="1"/>
    <col min="26" max="26" width="8.109375" style="1" customWidth="1"/>
    <col min="27" max="27" width="7.88671875" style="1" customWidth="1"/>
    <col min="28" max="28" width="4" style="1" customWidth="1"/>
    <col min="29" max="29" width="10.33203125" style="1" customWidth="1"/>
    <col min="30" max="16384" width="8.88671875" style="1"/>
  </cols>
  <sheetData>
    <row r="1" spans="1:29" ht="18" customHeight="1" x14ac:dyDescent="0.35">
      <c r="A1" s="267" t="s">
        <v>737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  <c r="AC1" s="267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366</v>
      </c>
      <c r="C3" s="126" t="s">
        <v>26</v>
      </c>
      <c r="D3" s="126" t="s">
        <v>729</v>
      </c>
      <c r="E3" s="126">
        <v>262946</v>
      </c>
      <c r="F3" s="126" t="s">
        <v>63</v>
      </c>
      <c r="G3" s="126">
        <v>700</v>
      </c>
      <c r="H3" s="127">
        <v>0.56999999999999995</v>
      </c>
      <c r="I3" s="127">
        <v>1.44</v>
      </c>
      <c r="J3" s="126" t="s">
        <v>27</v>
      </c>
      <c r="K3" s="126" t="s">
        <v>33</v>
      </c>
      <c r="L3" s="126" t="s">
        <v>27</v>
      </c>
      <c r="M3" s="123">
        <v>574.55999999999995</v>
      </c>
      <c r="N3" s="125">
        <v>504</v>
      </c>
      <c r="O3" s="122">
        <v>7.0000000000000007E-2</v>
      </c>
      <c r="P3" s="124">
        <v>4.2</v>
      </c>
      <c r="Q3" s="121">
        <v>309.10000000000002</v>
      </c>
      <c r="R3" s="121">
        <v>2</v>
      </c>
      <c r="S3" s="121">
        <v>1200</v>
      </c>
      <c r="T3" s="123">
        <v>1.1399999999999999</v>
      </c>
      <c r="U3" s="121">
        <v>60</v>
      </c>
      <c r="V3" s="122">
        <v>0.05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32</v>
      </c>
      <c r="AC3" s="121" t="s">
        <v>736</v>
      </c>
    </row>
    <row r="4" spans="1:29" x14ac:dyDescent="0.3">
      <c r="A4" s="126">
        <v>2</v>
      </c>
      <c r="B4" s="128" t="s">
        <v>366</v>
      </c>
      <c r="C4" s="126" t="s">
        <v>81</v>
      </c>
      <c r="D4" s="126" t="s">
        <v>729</v>
      </c>
      <c r="E4" s="126">
        <v>262949</v>
      </c>
      <c r="F4" s="126" t="s">
        <v>63</v>
      </c>
      <c r="G4" s="126">
        <v>2200</v>
      </c>
      <c r="H4" s="127">
        <v>0.49399999999999999</v>
      </c>
      <c r="I4" s="127">
        <v>1.24</v>
      </c>
      <c r="J4" s="126" t="s">
        <v>27</v>
      </c>
      <c r="K4" s="126" t="s">
        <v>735</v>
      </c>
      <c r="L4" s="126" t="s">
        <v>27</v>
      </c>
      <c r="M4" s="123">
        <v>1347.6320000000001</v>
      </c>
      <c r="N4" s="125">
        <v>909.3</v>
      </c>
      <c r="O4" s="122">
        <v>8.4199999999999997E-2</v>
      </c>
      <c r="P4" s="124">
        <v>5.05</v>
      </c>
      <c r="Q4" s="121">
        <v>491.9</v>
      </c>
      <c r="R4" s="121">
        <v>3</v>
      </c>
      <c r="S4" s="121">
        <v>1550</v>
      </c>
      <c r="T4" s="123">
        <v>1.482</v>
      </c>
      <c r="U4" s="121">
        <v>68</v>
      </c>
      <c r="V4" s="122">
        <v>4.3900000000000002E-2</v>
      </c>
      <c r="W4" s="121" t="s">
        <v>41</v>
      </c>
      <c r="X4" s="121" t="s">
        <v>29</v>
      </c>
      <c r="Y4" s="121" t="s">
        <v>28</v>
      </c>
      <c r="Z4" s="121" t="s">
        <v>27</v>
      </c>
      <c r="AA4" s="121" t="s">
        <v>27</v>
      </c>
      <c r="AB4" s="121" t="s">
        <v>30</v>
      </c>
      <c r="AC4" s="121" t="s">
        <v>734</v>
      </c>
    </row>
    <row r="5" spans="1:29" s="257" customFormat="1" x14ac:dyDescent="0.3">
      <c r="A5" s="250">
        <v>3</v>
      </c>
      <c r="B5" s="128" t="s">
        <v>366</v>
      </c>
      <c r="C5" s="250" t="s">
        <v>35</v>
      </c>
      <c r="D5" s="250" t="s">
        <v>729</v>
      </c>
      <c r="E5" s="250">
        <v>262947</v>
      </c>
      <c r="F5" s="250" t="s">
        <v>63</v>
      </c>
      <c r="G5" s="250">
        <v>6000</v>
      </c>
      <c r="H5" s="251">
        <v>0.374</v>
      </c>
      <c r="I5" s="251">
        <v>0.88</v>
      </c>
      <c r="J5" s="250" t="s">
        <v>27</v>
      </c>
      <c r="K5" s="250" t="s">
        <v>110</v>
      </c>
      <c r="L5" s="250" t="s">
        <v>27</v>
      </c>
      <c r="M5" s="252">
        <v>987.36</v>
      </c>
      <c r="N5" s="253">
        <v>660</v>
      </c>
      <c r="O5" s="254">
        <v>4.58E-2</v>
      </c>
      <c r="P5" s="255">
        <v>2.75</v>
      </c>
      <c r="Q5" s="256">
        <v>311</v>
      </c>
      <c r="R5" s="256">
        <v>4</v>
      </c>
      <c r="S5" s="256">
        <v>1550</v>
      </c>
      <c r="T5" s="252">
        <v>1.496</v>
      </c>
      <c r="U5" s="256">
        <v>54</v>
      </c>
      <c r="V5" s="254">
        <v>3.4799999999999998E-2</v>
      </c>
      <c r="W5" s="256" t="s">
        <v>28</v>
      </c>
      <c r="X5" s="256" t="s">
        <v>28</v>
      </c>
      <c r="Y5" s="256" t="s">
        <v>28</v>
      </c>
      <c r="Z5" s="256" t="s">
        <v>27</v>
      </c>
      <c r="AA5" s="256" t="s">
        <v>27</v>
      </c>
      <c r="AB5" s="256" t="s">
        <v>32</v>
      </c>
      <c r="AC5" s="256" t="s">
        <v>109</v>
      </c>
    </row>
    <row r="6" spans="1:29" x14ac:dyDescent="0.3">
      <c r="A6" s="126">
        <v>4</v>
      </c>
      <c r="B6" s="128" t="s">
        <v>366</v>
      </c>
      <c r="C6" s="126" t="s">
        <v>35</v>
      </c>
      <c r="D6" s="126" t="s">
        <v>729</v>
      </c>
      <c r="E6" s="126">
        <v>262948</v>
      </c>
      <c r="F6" s="126" t="s">
        <v>63</v>
      </c>
      <c r="G6" s="126">
        <v>1100</v>
      </c>
      <c r="H6" s="127">
        <v>0.71</v>
      </c>
      <c r="I6" s="127">
        <v>1.36</v>
      </c>
      <c r="J6" s="126" t="s">
        <v>27</v>
      </c>
      <c r="K6" s="126" t="s">
        <v>201</v>
      </c>
      <c r="L6" s="126" t="s">
        <v>27</v>
      </c>
      <c r="M6" s="123">
        <v>1062.1600000000001</v>
      </c>
      <c r="N6" s="125">
        <v>748</v>
      </c>
      <c r="O6" s="122">
        <v>0.10390000000000001</v>
      </c>
      <c r="P6" s="124">
        <v>6.23</v>
      </c>
      <c r="Q6" s="121">
        <v>334.6</v>
      </c>
      <c r="R6" s="121">
        <v>2</v>
      </c>
      <c r="S6" s="121">
        <v>1450</v>
      </c>
      <c r="T6" s="123">
        <v>1.42</v>
      </c>
      <c r="U6" s="121">
        <v>30</v>
      </c>
      <c r="V6" s="122">
        <v>2.07E-2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30</v>
      </c>
      <c r="AC6" s="121" t="s">
        <v>733</v>
      </c>
    </row>
    <row r="7" spans="1:29" x14ac:dyDescent="0.3">
      <c r="A7" s="126">
        <v>5</v>
      </c>
      <c r="B7" s="128" t="s">
        <v>366</v>
      </c>
      <c r="C7" s="126" t="s">
        <v>35</v>
      </c>
      <c r="D7" s="126" t="s">
        <v>729</v>
      </c>
      <c r="E7" s="126">
        <v>262950</v>
      </c>
      <c r="F7" s="126" t="s">
        <v>63</v>
      </c>
      <c r="G7" s="126">
        <v>330</v>
      </c>
      <c r="H7" s="127">
        <v>1.288</v>
      </c>
      <c r="I7" s="127">
        <v>2.3199999999999998</v>
      </c>
      <c r="J7" s="126" t="s">
        <v>27</v>
      </c>
      <c r="K7" s="126" t="s">
        <v>33</v>
      </c>
      <c r="L7" s="126" t="s">
        <v>27</v>
      </c>
      <c r="M7" s="123">
        <v>986.09299999999996</v>
      </c>
      <c r="N7" s="125">
        <v>765.6</v>
      </c>
      <c r="O7" s="122">
        <v>0.2127</v>
      </c>
      <c r="P7" s="124">
        <v>12.76</v>
      </c>
      <c r="Q7" s="121">
        <v>310.60000000000002</v>
      </c>
      <c r="R7" s="121">
        <v>1</v>
      </c>
      <c r="S7" s="121">
        <v>1350</v>
      </c>
      <c r="T7" s="123">
        <v>1.288</v>
      </c>
      <c r="U7" s="121">
        <v>62</v>
      </c>
      <c r="V7" s="122">
        <v>4.5900000000000003E-2</v>
      </c>
      <c r="W7" s="121" t="s">
        <v>28</v>
      </c>
      <c r="X7" s="121" t="s">
        <v>28</v>
      </c>
      <c r="Y7" s="121" t="s">
        <v>28</v>
      </c>
      <c r="Z7" s="121" t="s">
        <v>27</v>
      </c>
      <c r="AA7" s="121" t="s">
        <v>27</v>
      </c>
      <c r="AB7" s="121" t="s">
        <v>38</v>
      </c>
      <c r="AC7" s="121" t="s">
        <v>732</v>
      </c>
    </row>
    <row r="8" spans="1:29" x14ac:dyDescent="0.3">
      <c r="A8" s="126">
        <v>6</v>
      </c>
      <c r="B8" s="128" t="s">
        <v>366</v>
      </c>
      <c r="C8" s="126" t="s">
        <v>35</v>
      </c>
      <c r="D8" s="126" t="s">
        <v>729</v>
      </c>
      <c r="E8" s="126">
        <v>262951</v>
      </c>
      <c r="F8" s="126" t="s">
        <v>63</v>
      </c>
      <c r="G8" s="126">
        <v>5000</v>
      </c>
      <c r="H8" s="127">
        <v>0.56899999999999995</v>
      </c>
      <c r="I8" s="127">
        <v>1.32</v>
      </c>
      <c r="J8" s="126" t="s">
        <v>27</v>
      </c>
      <c r="K8" s="126" t="s">
        <v>731</v>
      </c>
      <c r="L8" s="126" t="s">
        <v>27</v>
      </c>
      <c r="M8" s="123">
        <v>3755.4</v>
      </c>
      <c r="N8" s="125">
        <v>3300</v>
      </c>
      <c r="O8" s="122">
        <v>0.45829999999999999</v>
      </c>
      <c r="P8" s="124">
        <v>27.5</v>
      </c>
      <c r="Q8" s="121">
        <v>1183</v>
      </c>
      <c r="R8" s="121">
        <v>2</v>
      </c>
      <c r="S8" s="121">
        <v>1200</v>
      </c>
      <c r="T8" s="123">
        <v>1.1379999999999999</v>
      </c>
      <c r="U8" s="121">
        <v>62</v>
      </c>
      <c r="V8" s="122">
        <v>5.1700000000000003E-2</v>
      </c>
      <c r="W8" s="121" t="s">
        <v>28</v>
      </c>
      <c r="X8" s="121" t="s">
        <v>28</v>
      </c>
      <c r="Y8" s="121" t="s">
        <v>28</v>
      </c>
      <c r="Z8" s="121" t="s">
        <v>27</v>
      </c>
      <c r="AA8" s="121" t="s">
        <v>27</v>
      </c>
      <c r="AB8" s="121" t="s">
        <v>54</v>
      </c>
      <c r="AC8" s="121" t="s">
        <v>730</v>
      </c>
    </row>
    <row r="9" spans="1:29" x14ac:dyDescent="0.3">
      <c r="A9" s="126">
        <v>7</v>
      </c>
      <c r="B9" s="128" t="s">
        <v>366</v>
      </c>
      <c r="C9" s="126" t="s">
        <v>35</v>
      </c>
      <c r="D9" s="126" t="s">
        <v>729</v>
      </c>
      <c r="E9" s="126">
        <v>262952</v>
      </c>
      <c r="F9" s="126" t="s">
        <v>63</v>
      </c>
      <c r="G9" s="126">
        <v>900</v>
      </c>
      <c r="H9" s="127">
        <v>1.0620000000000001</v>
      </c>
      <c r="I9" s="127">
        <v>1</v>
      </c>
      <c r="J9" s="126" t="s">
        <v>27</v>
      </c>
      <c r="K9" s="126" t="s">
        <v>33</v>
      </c>
      <c r="L9" s="126" t="s">
        <v>27</v>
      </c>
      <c r="M9" s="123">
        <v>955.8</v>
      </c>
      <c r="N9" s="125">
        <v>900</v>
      </c>
      <c r="O9" s="122">
        <v>0.25</v>
      </c>
      <c r="P9" s="124">
        <v>15</v>
      </c>
      <c r="Q9" s="121">
        <v>301.10000000000002</v>
      </c>
      <c r="R9" s="121">
        <v>1</v>
      </c>
      <c r="S9" s="121">
        <v>1100</v>
      </c>
      <c r="T9" s="123">
        <v>1.0620000000000001</v>
      </c>
      <c r="U9" s="121">
        <v>38</v>
      </c>
      <c r="V9" s="122">
        <v>3.4500000000000003E-2</v>
      </c>
      <c r="W9" s="121" t="s">
        <v>28</v>
      </c>
      <c r="X9" s="121" t="s">
        <v>28</v>
      </c>
      <c r="Y9" s="121" t="s">
        <v>28</v>
      </c>
      <c r="Z9" s="121" t="s">
        <v>27</v>
      </c>
      <c r="AA9" s="121" t="s">
        <v>27</v>
      </c>
      <c r="AB9" s="121" t="s">
        <v>32</v>
      </c>
      <c r="AC9" s="121" t="s">
        <v>728</v>
      </c>
    </row>
    <row r="10" spans="1:29" x14ac:dyDescent="0.3">
      <c r="A10" s="120" t="s">
        <v>27</v>
      </c>
      <c r="B10" s="120" t="s">
        <v>27</v>
      </c>
      <c r="C10" s="120" t="s">
        <v>27</v>
      </c>
      <c r="D10" s="120" t="s">
        <v>27</v>
      </c>
      <c r="E10" s="120" t="s">
        <v>27</v>
      </c>
      <c r="F10" s="120" t="s">
        <v>27</v>
      </c>
      <c r="G10" s="120">
        <v>16230</v>
      </c>
      <c r="H10" s="120" t="s">
        <v>27</v>
      </c>
      <c r="I10" s="120" t="s">
        <v>27</v>
      </c>
      <c r="J10" s="120" t="s">
        <v>27</v>
      </c>
      <c r="K10" s="120" t="s">
        <v>27</v>
      </c>
      <c r="L10" s="120" t="s">
        <v>27</v>
      </c>
      <c r="M10" s="119" t="s">
        <v>27</v>
      </c>
      <c r="N10" s="119" t="s">
        <v>27</v>
      </c>
      <c r="O10" s="119" t="s">
        <v>27</v>
      </c>
      <c r="P10" s="119" t="s">
        <v>27</v>
      </c>
      <c r="Q10" s="119">
        <v>3241.2</v>
      </c>
      <c r="R10" s="119" t="s">
        <v>27</v>
      </c>
      <c r="S10" s="119" t="s">
        <v>27</v>
      </c>
      <c r="T10" s="119" t="s">
        <v>27</v>
      </c>
      <c r="U10" s="119" t="s">
        <v>27</v>
      </c>
      <c r="V10" s="119" t="s">
        <v>27</v>
      </c>
      <c r="W10" s="119" t="s">
        <v>27</v>
      </c>
      <c r="X10" s="119" t="s">
        <v>27</v>
      </c>
      <c r="Y10" s="119" t="s">
        <v>27</v>
      </c>
      <c r="Z10" s="119" t="s">
        <v>27</v>
      </c>
      <c r="AA10" s="119" t="s">
        <v>27</v>
      </c>
      <c r="AB10" s="119" t="s">
        <v>27</v>
      </c>
      <c r="AC10" s="119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92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9C09-8994-4E5A-822E-8DCB75890AFE}">
  <sheetPr>
    <pageSetUpPr fitToPage="1"/>
  </sheetPr>
  <dimension ref="A1:AD8"/>
  <sheetViews>
    <sheetView workbookViewId="0">
      <selection activeCell="AE31" sqref="AE31"/>
    </sheetView>
  </sheetViews>
  <sheetFormatPr defaultRowHeight="14.4" x14ac:dyDescent="0.3"/>
  <cols>
    <col min="1" max="1" width="8.44140625" style="242" customWidth="1"/>
    <col min="2" max="2" width="20.77734375" style="242" hidden="1" customWidth="1"/>
    <col min="3" max="3" width="7" style="242" customWidth="1"/>
    <col min="4" max="4" width="11.77734375" style="242" hidden="1" customWidth="1"/>
    <col min="5" max="5" width="8" style="242" customWidth="1"/>
    <col min="6" max="6" width="5.5546875" style="242" customWidth="1"/>
    <col min="7" max="7" width="6.77734375" style="242" customWidth="1"/>
    <col min="8" max="8" width="7.44140625" style="242" customWidth="1"/>
    <col min="9" max="9" width="8.44140625" style="242" customWidth="1"/>
    <col min="10" max="10" width="9.77734375" style="242" customWidth="1"/>
    <col min="11" max="11" width="12.33203125" style="242" customWidth="1"/>
    <col min="12" max="12" width="10.332031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6.77734375" style="242" customWidth="1"/>
    <col min="18" max="18" width="4.109375" style="242" customWidth="1"/>
    <col min="19" max="19" width="6.5546875" style="242" customWidth="1"/>
    <col min="20" max="20" width="8.6640625" style="242" customWidth="1"/>
    <col min="21" max="21" width="11.77734375" style="242" hidden="1" customWidth="1"/>
    <col min="22" max="22" width="8.77734375" style="242" hidden="1" customWidth="1"/>
    <col min="23" max="23" width="9" style="242" customWidth="1"/>
    <col min="24" max="24" width="9.33203125" style="242" customWidth="1"/>
    <col min="25" max="25" width="8.6640625" style="242" customWidth="1"/>
    <col min="26" max="26" width="7.6640625" style="242" customWidth="1"/>
    <col min="27" max="27" width="8.2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30" ht="18" customHeight="1" x14ac:dyDescent="0.35">
      <c r="A1" s="276" t="s">
        <v>721</v>
      </c>
      <c r="B1" s="276" t="s">
        <v>27</v>
      </c>
      <c r="C1" s="276" t="s">
        <v>27</v>
      </c>
      <c r="D1" s="276" t="s">
        <v>27</v>
      </c>
      <c r="E1" s="276" t="s">
        <v>27</v>
      </c>
      <c r="F1" s="276" t="s">
        <v>27</v>
      </c>
      <c r="G1" s="276" t="s">
        <v>27</v>
      </c>
      <c r="H1" s="276" t="s">
        <v>27</v>
      </c>
      <c r="I1" s="276" t="s">
        <v>27</v>
      </c>
      <c r="J1" s="276" t="s">
        <v>27</v>
      </c>
      <c r="K1" s="276" t="s">
        <v>27</v>
      </c>
      <c r="L1" s="276" t="s">
        <v>27</v>
      </c>
      <c r="M1" s="276" t="s">
        <v>27</v>
      </c>
      <c r="N1" s="276" t="s">
        <v>27</v>
      </c>
      <c r="O1" s="276" t="s">
        <v>27</v>
      </c>
      <c r="P1" s="276" t="s">
        <v>27</v>
      </c>
      <c r="Q1" s="276" t="s">
        <v>27</v>
      </c>
      <c r="R1" s="276" t="s">
        <v>27</v>
      </c>
      <c r="S1" s="276" t="s">
        <v>27</v>
      </c>
      <c r="T1" s="276" t="s">
        <v>27</v>
      </c>
      <c r="U1" s="276" t="s">
        <v>27</v>
      </c>
      <c r="V1" s="276" t="s">
        <v>27</v>
      </c>
      <c r="W1" s="276" t="s">
        <v>27</v>
      </c>
      <c r="X1" s="276" t="s">
        <v>27</v>
      </c>
      <c r="Y1" s="276" t="s">
        <v>27</v>
      </c>
      <c r="Z1" s="276" t="s">
        <v>27</v>
      </c>
      <c r="AA1" s="276" t="s">
        <v>27</v>
      </c>
      <c r="AB1" s="276" t="s">
        <v>27</v>
      </c>
      <c r="AC1" s="276" t="s">
        <v>27</v>
      </c>
    </row>
    <row r="2" spans="1:30" ht="48" customHeight="1" x14ac:dyDescent="0.3">
      <c r="A2" s="277" t="s">
        <v>0</v>
      </c>
      <c r="B2" s="277" t="s">
        <v>36</v>
      </c>
      <c r="C2" s="277" t="s">
        <v>1</v>
      </c>
      <c r="D2" s="277" t="s">
        <v>2</v>
      </c>
      <c r="E2" s="277" t="s">
        <v>53</v>
      </c>
      <c r="F2" s="277" t="s">
        <v>4</v>
      </c>
      <c r="G2" s="277" t="s">
        <v>5</v>
      </c>
      <c r="H2" s="277" t="s">
        <v>6</v>
      </c>
      <c r="I2" s="277" t="s">
        <v>7</v>
      </c>
      <c r="J2" s="277" t="s">
        <v>27</v>
      </c>
      <c r="K2" s="277" t="s">
        <v>8</v>
      </c>
      <c r="L2" s="277" t="s">
        <v>27</v>
      </c>
      <c r="M2" s="277" t="s">
        <v>9</v>
      </c>
      <c r="N2" s="277" t="s">
        <v>10</v>
      </c>
      <c r="O2" s="277" t="s">
        <v>11</v>
      </c>
      <c r="P2" s="277" t="s">
        <v>12</v>
      </c>
      <c r="Q2" s="277" t="s">
        <v>13</v>
      </c>
      <c r="R2" s="277" t="s">
        <v>14</v>
      </c>
      <c r="S2" s="277" t="s">
        <v>15</v>
      </c>
      <c r="T2" s="277" t="s">
        <v>16</v>
      </c>
      <c r="U2" s="277" t="s">
        <v>17</v>
      </c>
      <c r="V2" s="277" t="s">
        <v>18</v>
      </c>
      <c r="W2" s="277" t="s">
        <v>19</v>
      </c>
      <c r="X2" s="277" t="s">
        <v>20</v>
      </c>
      <c r="Y2" s="277" t="s">
        <v>21</v>
      </c>
      <c r="Z2" s="277" t="s">
        <v>22</v>
      </c>
      <c r="AA2" s="277" t="s">
        <v>23</v>
      </c>
      <c r="AB2" s="277" t="s">
        <v>24</v>
      </c>
      <c r="AC2" s="277" t="s">
        <v>25</v>
      </c>
    </row>
    <row r="3" spans="1:30" customFormat="1" ht="25.05" customHeight="1" x14ac:dyDescent="0.3">
      <c r="A3" s="287"/>
      <c r="B3" s="288" t="s">
        <v>93</v>
      </c>
      <c r="C3" s="288" t="s">
        <v>35</v>
      </c>
      <c r="D3" s="288" t="s">
        <v>761</v>
      </c>
      <c r="E3" s="287">
        <v>262984</v>
      </c>
      <c r="F3" s="288" t="s">
        <v>779</v>
      </c>
      <c r="G3" s="287">
        <v>2000</v>
      </c>
      <c r="H3" s="289">
        <v>0.51400000000000001</v>
      </c>
      <c r="I3" s="289">
        <v>1.3420000000000001</v>
      </c>
      <c r="J3" s="287"/>
      <c r="K3" s="288" t="s">
        <v>184</v>
      </c>
      <c r="L3" s="287"/>
      <c r="M3" s="289">
        <v>1379.576</v>
      </c>
      <c r="N3" s="290">
        <v>894.7</v>
      </c>
      <c r="O3" s="291">
        <v>8.2799999999999999E-2</v>
      </c>
      <c r="P3" s="292">
        <v>4.97</v>
      </c>
      <c r="Q3" s="287">
        <v>434.6</v>
      </c>
      <c r="R3" s="287">
        <v>3</v>
      </c>
      <c r="S3" s="287">
        <v>1600</v>
      </c>
      <c r="T3" s="289">
        <v>1.542</v>
      </c>
      <c r="U3" s="287">
        <v>58</v>
      </c>
      <c r="V3" s="291">
        <v>3.6200000000000003E-2</v>
      </c>
      <c r="W3" s="288" t="s">
        <v>28</v>
      </c>
      <c r="X3" s="288" t="s">
        <v>28</v>
      </c>
      <c r="Y3" s="288" t="s">
        <v>28</v>
      </c>
      <c r="Z3" s="288"/>
      <c r="AA3" s="288"/>
      <c r="AB3" s="288" t="s">
        <v>30</v>
      </c>
      <c r="AC3" s="288" t="s">
        <v>185</v>
      </c>
    </row>
    <row r="4" spans="1:30" customFormat="1" ht="25.05" customHeight="1" x14ac:dyDescent="0.3">
      <c r="A4" s="287"/>
      <c r="B4" s="288" t="s">
        <v>93</v>
      </c>
      <c r="C4" s="288" t="s">
        <v>44</v>
      </c>
      <c r="D4" s="288" t="s">
        <v>761</v>
      </c>
      <c r="E4" s="287">
        <v>262985</v>
      </c>
      <c r="F4" s="288" t="s">
        <v>780</v>
      </c>
      <c r="G4" s="287">
        <v>2000</v>
      </c>
      <c r="H4" s="289">
        <v>0.45</v>
      </c>
      <c r="I4" s="289">
        <v>1.25</v>
      </c>
      <c r="J4" s="287"/>
      <c r="K4" s="288" t="s">
        <v>781</v>
      </c>
      <c r="L4" s="287"/>
      <c r="M4" s="289">
        <v>1125</v>
      </c>
      <c r="N4" s="290">
        <v>833.3</v>
      </c>
      <c r="O4" s="291">
        <v>7.7200000000000005E-2</v>
      </c>
      <c r="P4" s="292">
        <v>4.63</v>
      </c>
      <c r="Q4" s="287">
        <v>639</v>
      </c>
      <c r="R4" s="287">
        <v>3</v>
      </c>
      <c r="S4" s="287">
        <v>1400</v>
      </c>
      <c r="T4" s="289">
        <v>1.35</v>
      </c>
      <c r="U4" s="287">
        <v>50</v>
      </c>
      <c r="V4" s="291">
        <v>3.5700000000000003E-2</v>
      </c>
      <c r="W4" s="288" t="s">
        <v>34</v>
      </c>
      <c r="X4" s="288" t="s">
        <v>39</v>
      </c>
      <c r="Y4" s="288" t="s">
        <v>34</v>
      </c>
      <c r="Z4" s="288" t="s">
        <v>34</v>
      </c>
      <c r="AA4" s="288" t="s">
        <v>34</v>
      </c>
      <c r="AB4" s="288" t="s">
        <v>40</v>
      </c>
      <c r="AC4" s="288" t="s">
        <v>782</v>
      </c>
    </row>
    <row r="5" spans="1:30" s="286" customFormat="1" ht="25.05" customHeight="1" x14ac:dyDescent="0.3">
      <c r="A5" s="280"/>
      <c r="B5" s="281" t="s">
        <v>93</v>
      </c>
      <c r="C5" s="280" t="s">
        <v>44</v>
      </c>
      <c r="D5" s="280" t="s">
        <v>708</v>
      </c>
      <c r="E5" s="280">
        <v>262942</v>
      </c>
      <c r="F5" s="280" t="s">
        <v>720</v>
      </c>
      <c r="G5" s="280">
        <v>2200</v>
      </c>
      <c r="H5" s="282">
        <v>0.33</v>
      </c>
      <c r="I5" s="282">
        <v>1.1299999999999999</v>
      </c>
      <c r="J5" s="280" t="s">
        <v>27</v>
      </c>
      <c r="K5" s="280" t="s">
        <v>719</v>
      </c>
      <c r="L5" s="280" t="s">
        <v>27</v>
      </c>
      <c r="M5" s="282">
        <v>820.38</v>
      </c>
      <c r="N5" s="283">
        <v>621.5</v>
      </c>
      <c r="O5" s="284">
        <v>4.3200000000000002E-2</v>
      </c>
      <c r="P5" s="285">
        <v>2.59</v>
      </c>
      <c r="Q5" s="280">
        <v>466</v>
      </c>
      <c r="R5" s="280">
        <v>4</v>
      </c>
      <c r="S5" s="280">
        <v>1350</v>
      </c>
      <c r="T5" s="282">
        <v>1.32</v>
      </c>
      <c r="U5" s="280">
        <v>30</v>
      </c>
      <c r="V5" s="284">
        <v>2.2200000000000001E-2</v>
      </c>
      <c r="W5" s="280" t="s">
        <v>34</v>
      </c>
      <c r="X5" s="280" t="s">
        <v>39</v>
      </c>
      <c r="Y5" s="280" t="s">
        <v>34</v>
      </c>
      <c r="Z5" s="280" t="s">
        <v>34</v>
      </c>
      <c r="AA5" s="280" t="s">
        <v>34</v>
      </c>
      <c r="AB5" s="280" t="s">
        <v>30</v>
      </c>
      <c r="AC5" s="280" t="s">
        <v>718</v>
      </c>
      <c r="AD5" s="301"/>
    </row>
    <row r="6" spans="1:30" s="286" customFormat="1" ht="25.05" customHeight="1" x14ac:dyDescent="0.3">
      <c r="A6" s="287"/>
      <c r="B6" s="288" t="s">
        <v>93</v>
      </c>
      <c r="C6" s="288" t="s">
        <v>35</v>
      </c>
      <c r="D6" s="288" t="s">
        <v>739</v>
      </c>
      <c r="E6" s="287">
        <v>262953</v>
      </c>
      <c r="F6" s="288" t="s">
        <v>740</v>
      </c>
      <c r="G6" s="287">
        <v>11500</v>
      </c>
      <c r="H6" s="289">
        <v>0.27900000000000003</v>
      </c>
      <c r="I6" s="289">
        <v>1.002</v>
      </c>
      <c r="J6" s="287"/>
      <c r="K6" s="288" t="s">
        <v>188</v>
      </c>
      <c r="L6" s="287"/>
      <c r="M6" s="289">
        <v>3214.9169999999999</v>
      </c>
      <c r="N6" s="290">
        <v>2880.8</v>
      </c>
      <c r="O6" s="291">
        <v>0.2001</v>
      </c>
      <c r="P6" s="292">
        <v>12</v>
      </c>
      <c r="Q6" s="287">
        <v>1012.7</v>
      </c>
      <c r="R6" s="287">
        <v>4</v>
      </c>
      <c r="S6" s="287">
        <v>1150</v>
      </c>
      <c r="T6" s="289">
        <v>1.1160000000000001</v>
      </c>
      <c r="U6" s="287">
        <v>34</v>
      </c>
      <c r="V6" s="291">
        <v>2.9600000000000001E-2</v>
      </c>
      <c r="W6" s="288" t="s">
        <v>28</v>
      </c>
      <c r="X6" s="288" t="s">
        <v>28</v>
      </c>
      <c r="Y6" s="288" t="s">
        <v>28</v>
      </c>
      <c r="Z6" s="288"/>
      <c r="AA6" s="288"/>
      <c r="AB6" s="288" t="s">
        <v>31</v>
      </c>
      <c r="AC6" s="288" t="s">
        <v>189</v>
      </c>
      <c r="AD6" s="301"/>
    </row>
    <row r="7" spans="1:30" s="286" customFormat="1" ht="25.05" customHeight="1" x14ac:dyDescent="0.3">
      <c r="A7" s="293"/>
      <c r="B7" s="294" t="s">
        <v>93</v>
      </c>
      <c r="C7" s="294" t="s">
        <v>35</v>
      </c>
      <c r="D7" s="294" t="s">
        <v>761</v>
      </c>
      <c r="E7" s="295">
        <v>262974</v>
      </c>
      <c r="F7" s="294" t="s">
        <v>764</v>
      </c>
      <c r="G7" s="295">
        <v>4000</v>
      </c>
      <c r="H7" s="296">
        <v>0.35899999999999999</v>
      </c>
      <c r="I7" s="296">
        <v>0.92200000000000004</v>
      </c>
      <c r="J7" s="293"/>
      <c r="K7" s="294" t="s">
        <v>765</v>
      </c>
      <c r="L7" s="293"/>
      <c r="M7" s="296">
        <v>1323.992</v>
      </c>
      <c r="N7" s="297">
        <v>922</v>
      </c>
      <c r="O7" s="298">
        <v>6.4000000000000001E-2</v>
      </c>
      <c r="P7" s="299">
        <v>3.84</v>
      </c>
      <c r="Q7" s="295">
        <v>417.1</v>
      </c>
      <c r="R7" s="295">
        <v>4</v>
      </c>
      <c r="S7" s="295">
        <v>1500</v>
      </c>
      <c r="T7" s="296">
        <v>1.4359999999999999</v>
      </c>
      <c r="U7" s="295">
        <v>64</v>
      </c>
      <c r="V7" s="298">
        <v>4.2700000000000002E-2</v>
      </c>
      <c r="W7" s="294" t="s">
        <v>28</v>
      </c>
      <c r="X7" s="294" t="s">
        <v>28</v>
      </c>
      <c r="Y7" s="294" t="s">
        <v>28</v>
      </c>
      <c r="Z7" s="300"/>
      <c r="AA7" s="300"/>
      <c r="AB7" s="294" t="s">
        <v>32</v>
      </c>
      <c r="AC7" s="294" t="s">
        <v>766</v>
      </c>
      <c r="AD7" s="301"/>
    </row>
    <row r="8" spans="1:30" ht="25.05" customHeight="1" x14ac:dyDescent="0.3">
      <c r="A8" s="278" t="s">
        <v>27</v>
      </c>
      <c r="B8" s="278" t="s">
        <v>27</v>
      </c>
      <c r="C8" s="278" t="s">
        <v>27</v>
      </c>
      <c r="D8" s="278" t="s">
        <v>27</v>
      </c>
      <c r="E8" s="278" t="s">
        <v>27</v>
      </c>
      <c r="F8" s="278" t="s">
        <v>27</v>
      </c>
      <c r="G8" s="278">
        <f>SUM(G3:G7)</f>
        <v>21700</v>
      </c>
      <c r="H8" s="278" t="s">
        <v>27</v>
      </c>
      <c r="I8" s="278" t="s">
        <v>27</v>
      </c>
      <c r="J8" s="278" t="s">
        <v>27</v>
      </c>
      <c r="K8" s="278" t="s">
        <v>27</v>
      </c>
      <c r="L8" s="278" t="s">
        <v>27</v>
      </c>
      <c r="M8" s="279" t="s">
        <v>27</v>
      </c>
      <c r="N8" s="279" t="s">
        <v>27</v>
      </c>
      <c r="O8" s="279" t="s">
        <v>27</v>
      </c>
      <c r="P8" s="279" t="s">
        <v>27</v>
      </c>
      <c r="Q8" s="279">
        <f>SUM(Q3:Q7)</f>
        <v>2969.4</v>
      </c>
      <c r="R8" s="279" t="s">
        <v>27</v>
      </c>
      <c r="S8" s="279" t="s">
        <v>27</v>
      </c>
      <c r="T8" s="279" t="s">
        <v>27</v>
      </c>
      <c r="U8" s="279" t="s">
        <v>27</v>
      </c>
      <c r="V8" s="279" t="s">
        <v>27</v>
      </c>
      <c r="W8" s="279" t="s">
        <v>27</v>
      </c>
      <c r="X8" s="279" t="s">
        <v>27</v>
      </c>
      <c r="Y8" s="279" t="s">
        <v>27</v>
      </c>
      <c r="Z8" s="279" t="s">
        <v>27</v>
      </c>
      <c r="AA8" s="279" t="s">
        <v>27</v>
      </c>
      <c r="AB8" s="279" t="s">
        <v>27</v>
      </c>
      <c r="AC8" s="279" t="s">
        <v>27</v>
      </c>
    </row>
  </sheetData>
  <mergeCells count="1">
    <mergeCell ref="A1:AC1"/>
  </mergeCells>
  <pageMargins left="0.511811024" right="0.511811024" top="1.04" bottom="0.78740157499999996" header="0.31496062000000002" footer="0.31496062000000002"/>
  <pageSetup paperSize="9" scale="81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sheetPr>
    <pageSetUpPr fitToPage="1"/>
  </sheetPr>
  <dimension ref="A1:AC9"/>
  <sheetViews>
    <sheetView workbookViewId="0">
      <selection activeCell="K8" sqref="K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 x14ac:dyDescent="0.35">
      <c r="A1" s="267" t="s">
        <v>717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  <c r="AC1" s="267" t="s">
        <v>27</v>
      </c>
    </row>
    <row r="2" spans="1:29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58</v>
      </c>
      <c r="C3" s="126" t="s">
        <v>26</v>
      </c>
      <c r="D3" s="126" t="s">
        <v>698</v>
      </c>
      <c r="E3" s="126">
        <v>262941</v>
      </c>
      <c r="F3" s="126" t="s">
        <v>712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716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715</v>
      </c>
    </row>
    <row r="4" spans="1:29" ht="25.05" customHeight="1" x14ac:dyDescent="0.3">
      <c r="A4" s="126">
        <v>2</v>
      </c>
      <c r="B4" s="128" t="s">
        <v>58</v>
      </c>
      <c r="C4" s="126" t="s">
        <v>26</v>
      </c>
      <c r="D4" s="126" t="s">
        <v>698</v>
      </c>
      <c r="E4" s="126">
        <v>262939</v>
      </c>
      <c r="F4" s="126" t="s">
        <v>712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714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713</v>
      </c>
    </row>
    <row r="5" spans="1:29" ht="25.05" customHeight="1" x14ac:dyDescent="0.3">
      <c r="A5" s="126">
        <v>3</v>
      </c>
      <c r="B5" s="128" t="s">
        <v>58</v>
      </c>
      <c r="C5" s="126" t="s">
        <v>26</v>
      </c>
      <c r="D5" s="126" t="s">
        <v>698</v>
      </c>
      <c r="E5" s="126">
        <v>262940</v>
      </c>
      <c r="F5" s="126" t="s">
        <v>712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711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710</v>
      </c>
    </row>
    <row r="6" spans="1:29" ht="25.05" customHeight="1" x14ac:dyDescent="0.3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  <row r="9" spans="1:29" ht="13.8" customHeight="1" x14ac:dyDescent="0.3">
      <c r="A9" s="235"/>
      <c r="B9" s="236"/>
      <c r="C9" s="236"/>
      <c r="D9" s="236"/>
      <c r="E9" s="237"/>
      <c r="F9" s="236"/>
      <c r="G9" s="237"/>
      <c r="H9" s="238"/>
      <c r="I9" s="238"/>
      <c r="J9" s="235"/>
      <c r="K9" s="236"/>
      <c r="L9" s="235"/>
      <c r="M9" s="238"/>
      <c r="N9" s="239"/>
      <c r="O9" s="240"/>
      <c r="P9" s="241"/>
      <c r="Q9" s="237"/>
      <c r="R9" s="237"/>
      <c r="S9" s="237"/>
      <c r="T9" s="238"/>
      <c r="U9" s="237"/>
      <c r="V9" s="240"/>
      <c r="W9" s="236"/>
      <c r="X9" s="236"/>
      <c r="Y9" s="236"/>
      <c r="Z9" s="236"/>
      <c r="AA9" s="236"/>
      <c r="AB9" s="236"/>
      <c r="AC9" s="236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activeCell="W45" sqref="W4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 x14ac:dyDescent="0.3">
      <c r="A1" s="268" t="s">
        <v>709</v>
      </c>
      <c r="B1" s="268" t="s">
        <v>27</v>
      </c>
      <c r="C1" s="268" t="s">
        <v>27</v>
      </c>
      <c r="D1" s="268" t="s">
        <v>27</v>
      </c>
      <c r="E1" s="268" t="s">
        <v>27</v>
      </c>
      <c r="F1" s="268" t="s">
        <v>27</v>
      </c>
      <c r="G1" s="268" t="s">
        <v>27</v>
      </c>
      <c r="H1" s="268" t="s">
        <v>27</v>
      </c>
      <c r="I1" s="268" t="s">
        <v>27</v>
      </c>
      <c r="J1" s="268" t="s">
        <v>27</v>
      </c>
      <c r="K1" s="268" t="s">
        <v>27</v>
      </c>
      <c r="L1" s="268" t="s">
        <v>27</v>
      </c>
      <c r="M1" s="268" t="s">
        <v>27</v>
      </c>
      <c r="N1" s="268" t="s">
        <v>27</v>
      </c>
      <c r="O1" s="268" t="s">
        <v>27</v>
      </c>
      <c r="P1" s="268" t="s">
        <v>27</v>
      </c>
      <c r="Q1" s="268" t="s">
        <v>27</v>
      </c>
      <c r="R1" s="268" t="s">
        <v>27</v>
      </c>
      <c r="S1" s="268" t="s">
        <v>27</v>
      </c>
      <c r="T1" s="268" t="s">
        <v>27</v>
      </c>
      <c r="U1" s="268" t="s">
        <v>27</v>
      </c>
      <c r="V1" s="268" t="s">
        <v>27</v>
      </c>
      <c r="W1" s="268" t="s">
        <v>27</v>
      </c>
      <c r="X1" s="268" t="s">
        <v>27</v>
      </c>
      <c r="Y1" s="268" t="s">
        <v>27</v>
      </c>
      <c r="Z1" s="268" t="s">
        <v>27</v>
      </c>
      <c r="AA1" s="268" t="s">
        <v>27</v>
      </c>
      <c r="AB1" s="268" t="s">
        <v>27</v>
      </c>
      <c r="AC1" s="268" t="s">
        <v>27</v>
      </c>
    </row>
    <row r="2" spans="1:29" ht="39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5">
        <v>1</v>
      </c>
      <c r="B3" s="10" t="s">
        <v>236</v>
      </c>
      <c r="C3" s="5" t="s">
        <v>26</v>
      </c>
      <c r="D3" s="5" t="s">
        <v>708</v>
      </c>
      <c r="E3" s="5">
        <v>262938</v>
      </c>
      <c r="F3" s="5" t="s">
        <v>707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 x14ac:dyDescent="0.3">
      <c r="A4" s="5">
        <v>2</v>
      </c>
      <c r="B4" s="10" t="s">
        <v>236</v>
      </c>
      <c r="C4" s="5" t="s">
        <v>35</v>
      </c>
      <c r="D4" s="5" t="s">
        <v>708</v>
      </c>
      <c r="E4" s="5">
        <v>262937</v>
      </c>
      <c r="F4" s="5" t="s">
        <v>707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 x14ac:dyDescent="0.3">
      <c r="A5" s="5">
        <v>3</v>
      </c>
      <c r="B5" s="10" t="s">
        <v>236</v>
      </c>
      <c r="C5" s="5" t="s">
        <v>35</v>
      </c>
      <c r="D5" s="5" t="s">
        <v>708</v>
      </c>
      <c r="E5" s="5">
        <v>262935</v>
      </c>
      <c r="F5" s="5" t="s">
        <v>707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 x14ac:dyDescent="0.3">
      <c r="A6" s="5">
        <v>4</v>
      </c>
      <c r="B6" s="10" t="s">
        <v>236</v>
      </c>
      <c r="C6" s="5" t="s">
        <v>35</v>
      </c>
      <c r="D6" s="5" t="s">
        <v>708</v>
      </c>
      <c r="E6" s="5">
        <v>262936</v>
      </c>
      <c r="F6" s="5" t="s">
        <v>707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 x14ac:dyDescent="0.3">
      <c r="A7" s="5">
        <v>5</v>
      </c>
      <c r="B7" s="10" t="s">
        <v>236</v>
      </c>
      <c r="C7" s="5" t="s">
        <v>81</v>
      </c>
      <c r="D7" s="5" t="s">
        <v>708</v>
      </c>
      <c r="E7" s="5">
        <v>262934</v>
      </c>
      <c r="F7" s="5" t="s">
        <v>707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sheetPr>
    <pageSetUpPr fitToPage="1"/>
  </sheetPr>
  <dimension ref="A1:AC7"/>
  <sheetViews>
    <sheetView workbookViewId="0">
      <selection activeCell="X25" sqref="X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21.33203125" style="1" customWidth="1"/>
    <col min="12" max="12" width="9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 x14ac:dyDescent="0.35">
      <c r="A1" s="267" t="s">
        <v>738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  <c r="AC1" s="267" t="s">
        <v>27</v>
      </c>
    </row>
    <row r="2" spans="1:29" ht="63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>
        <v>1</v>
      </c>
      <c r="B3" s="10" t="s">
        <v>92</v>
      </c>
      <c r="C3" s="5" t="s">
        <v>44</v>
      </c>
      <c r="D3" s="5" t="s">
        <v>698</v>
      </c>
      <c r="E3" s="5">
        <v>262933</v>
      </c>
      <c r="F3" s="5" t="s">
        <v>706</v>
      </c>
      <c r="G3" s="5">
        <v>100</v>
      </c>
      <c r="H3" s="7">
        <v>1.08</v>
      </c>
      <c r="I3" s="7">
        <v>2.5830000000000002</v>
      </c>
      <c r="J3" s="5" t="s">
        <v>27</v>
      </c>
      <c r="K3" s="5" t="s">
        <v>33</v>
      </c>
      <c r="L3" s="5" t="s">
        <v>27</v>
      </c>
      <c r="M3" s="7">
        <v>278.964</v>
      </c>
      <c r="N3" s="9">
        <v>258.3</v>
      </c>
      <c r="O3" s="6">
        <v>7.1800000000000003E-2</v>
      </c>
      <c r="P3" s="8">
        <v>4.3099999999999996</v>
      </c>
      <c r="Q3" s="5">
        <v>158.5</v>
      </c>
      <c r="R3" s="5">
        <v>1</v>
      </c>
      <c r="S3" s="5">
        <v>1100</v>
      </c>
      <c r="T3" s="7">
        <v>1.08</v>
      </c>
      <c r="U3" s="5">
        <v>20</v>
      </c>
      <c r="V3" s="6">
        <v>1.8200000000000001E-2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38</v>
      </c>
      <c r="AC3" s="5" t="s">
        <v>705</v>
      </c>
    </row>
    <row r="4" spans="1:29" s="12" customFormat="1" ht="25.05" customHeight="1" x14ac:dyDescent="0.3">
      <c r="A4" s="5">
        <v>2</v>
      </c>
      <c r="B4" s="244" t="s">
        <v>90</v>
      </c>
      <c r="C4" s="244" t="s">
        <v>35</v>
      </c>
      <c r="D4" s="244" t="s">
        <v>698</v>
      </c>
      <c r="E4" s="245">
        <v>262944</v>
      </c>
      <c r="F4" s="244" t="s">
        <v>722</v>
      </c>
      <c r="G4" s="245">
        <v>1000</v>
      </c>
      <c r="H4" s="246">
        <v>0.75</v>
      </c>
      <c r="I4" s="246">
        <v>2.1</v>
      </c>
      <c r="J4" s="245"/>
      <c r="K4" s="244" t="s">
        <v>33</v>
      </c>
      <c r="L4" s="245"/>
      <c r="M4" s="246">
        <v>1575</v>
      </c>
      <c r="N4" s="247">
        <v>1050</v>
      </c>
      <c r="O4" s="248">
        <v>0.14580000000000001</v>
      </c>
      <c r="P4" s="249">
        <v>8.75</v>
      </c>
      <c r="Q4" s="245">
        <v>496.1</v>
      </c>
      <c r="R4" s="245">
        <v>2</v>
      </c>
      <c r="S4" s="245">
        <v>1550</v>
      </c>
      <c r="T4" s="246">
        <v>1.5</v>
      </c>
      <c r="U4" s="245">
        <v>50</v>
      </c>
      <c r="V4" s="248">
        <v>3.2300000000000002E-2</v>
      </c>
      <c r="W4" s="244" t="s">
        <v>28</v>
      </c>
      <c r="X4" s="244" t="s">
        <v>28</v>
      </c>
      <c r="Y4" s="244" t="s">
        <v>28</v>
      </c>
      <c r="Z4" s="244"/>
      <c r="AA4" s="244"/>
      <c r="AB4" s="244" t="s">
        <v>30</v>
      </c>
      <c r="AC4" s="244" t="s">
        <v>723</v>
      </c>
    </row>
    <row r="5" spans="1:29" s="12" customFormat="1" ht="25.05" customHeight="1" x14ac:dyDescent="0.3">
      <c r="A5" s="5">
        <v>3</v>
      </c>
      <c r="B5" s="244" t="s">
        <v>90</v>
      </c>
      <c r="C5" s="244" t="s">
        <v>35</v>
      </c>
      <c r="D5" s="244" t="s">
        <v>708</v>
      </c>
      <c r="E5" s="245">
        <v>262945</v>
      </c>
      <c r="F5" s="244" t="s">
        <v>724</v>
      </c>
      <c r="G5" s="245">
        <v>1000</v>
      </c>
      <c r="H5" s="246">
        <v>1.1120000000000001</v>
      </c>
      <c r="I5" s="246">
        <v>1.24</v>
      </c>
      <c r="J5" s="245"/>
      <c r="K5" s="244" t="s">
        <v>33</v>
      </c>
      <c r="L5" s="245"/>
      <c r="M5" s="246">
        <v>1378.88</v>
      </c>
      <c r="N5" s="247">
        <v>1240</v>
      </c>
      <c r="O5" s="248">
        <v>0.34439999999999998</v>
      </c>
      <c r="P5" s="249">
        <v>20.67</v>
      </c>
      <c r="Q5" s="245">
        <v>434.3</v>
      </c>
      <c r="R5" s="245">
        <v>1</v>
      </c>
      <c r="S5" s="245">
        <v>1150</v>
      </c>
      <c r="T5" s="246">
        <v>1.1120000000000001</v>
      </c>
      <c r="U5" s="245">
        <v>38</v>
      </c>
      <c r="V5" s="248">
        <v>3.3000000000000002E-2</v>
      </c>
      <c r="W5" s="244" t="s">
        <v>28</v>
      </c>
      <c r="X5" s="244" t="s">
        <v>28</v>
      </c>
      <c r="Y5" s="244" t="s">
        <v>28</v>
      </c>
      <c r="Z5" s="244"/>
      <c r="AA5" s="244"/>
      <c r="AB5" s="244" t="s">
        <v>30</v>
      </c>
      <c r="AC5" s="244" t="s">
        <v>725</v>
      </c>
    </row>
    <row r="6" spans="1:29" s="12" customFormat="1" ht="25.05" customHeight="1" x14ac:dyDescent="0.3">
      <c r="A6" s="5">
        <v>4</v>
      </c>
      <c r="B6" s="244" t="s">
        <v>90</v>
      </c>
      <c r="C6" s="244" t="s">
        <v>35</v>
      </c>
      <c r="D6" s="244" t="s">
        <v>698</v>
      </c>
      <c r="E6" s="245">
        <v>262943</v>
      </c>
      <c r="F6" s="244" t="s">
        <v>722</v>
      </c>
      <c r="G6" s="245">
        <v>2000</v>
      </c>
      <c r="H6" s="246">
        <v>0.94599999999999995</v>
      </c>
      <c r="I6" s="246">
        <v>2.1</v>
      </c>
      <c r="J6" s="245"/>
      <c r="K6" s="244" t="s">
        <v>726</v>
      </c>
      <c r="L6" s="245"/>
      <c r="M6" s="246">
        <v>3973.2</v>
      </c>
      <c r="N6" s="247">
        <v>4200</v>
      </c>
      <c r="O6" s="248">
        <v>1.1667000000000001</v>
      </c>
      <c r="P6" s="249">
        <v>70</v>
      </c>
      <c r="Q6" s="245">
        <v>1251.5999999999999</v>
      </c>
      <c r="R6" s="245">
        <v>1</v>
      </c>
      <c r="S6" s="245">
        <v>1000</v>
      </c>
      <c r="T6" s="246">
        <v>0.94599999999999995</v>
      </c>
      <c r="U6" s="245">
        <v>54</v>
      </c>
      <c r="V6" s="248">
        <v>5.3999999999999999E-2</v>
      </c>
      <c r="W6" s="244" t="s">
        <v>28</v>
      </c>
      <c r="X6" s="244" t="s">
        <v>28</v>
      </c>
      <c r="Y6" s="244" t="s">
        <v>28</v>
      </c>
      <c r="Z6" s="244"/>
      <c r="AA6" s="244"/>
      <c r="AB6" s="244" t="s">
        <v>48</v>
      </c>
      <c r="AC6" s="244" t="s">
        <v>727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f>SUM(G3:G6)</f>
        <v>4100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f>SUM(Q3:Q6)</f>
        <v>2340.5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86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17"/>
  <sheetViews>
    <sheetView workbookViewId="0">
      <selection activeCell="AN23" sqref="AN23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269" t="s">
        <v>696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  <c r="AC1" s="269" t="s">
        <v>27</v>
      </c>
    </row>
    <row r="2" spans="1:29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70" customFormat="1" ht="25.05" customHeight="1" x14ac:dyDescent="0.3">
      <c r="A3" s="173">
        <v>1</v>
      </c>
      <c r="B3" s="174" t="s">
        <v>90</v>
      </c>
      <c r="C3" s="173" t="s">
        <v>44</v>
      </c>
      <c r="D3" s="173" t="s">
        <v>695</v>
      </c>
      <c r="E3" s="173">
        <v>262920</v>
      </c>
      <c r="F3" s="173" t="s">
        <v>694</v>
      </c>
      <c r="G3" s="173">
        <v>160</v>
      </c>
      <c r="H3" s="175">
        <v>1.1379999999999999</v>
      </c>
      <c r="I3" s="175">
        <v>1.597</v>
      </c>
      <c r="J3" s="173" t="s">
        <v>27</v>
      </c>
      <c r="K3" s="173" t="s">
        <v>693</v>
      </c>
      <c r="L3" s="173"/>
      <c r="M3" s="175">
        <v>290.78199999999998</v>
      </c>
      <c r="N3" s="176">
        <v>255.5</v>
      </c>
      <c r="O3" s="177">
        <v>7.0999999999999994E-2</v>
      </c>
      <c r="P3" s="178">
        <v>4.26</v>
      </c>
      <c r="Q3" s="173">
        <v>165.2</v>
      </c>
      <c r="R3" s="173">
        <v>1</v>
      </c>
      <c r="S3" s="173">
        <v>1200</v>
      </c>
      <c r="T3" s="175">
        <v>1.1379999999999999</v>
      </c>
      <c r="U3" s="173">
        <v>62</v>
      </c>
      <c r="V3" s="177">
        <v>5.1700000000000003E-2</v>
      </c>
      <c r="W3" s="173" t="s">
        <v>34</v>
      </c>
      <c r="X3" s="173" t="s">
        <v>39</v>
      </c>
      <c r="Y3" s="173" t="s">
        <v>34</v>
      </c>
      <c r="Z3" s="173" t="s">
        <v>34</v>
      </c>
      <c r="AA3" s="173" t="s">
        <v>34</v>
      </c>
      <c r="AB3" s="173" t="s">
        <v>38</v>
      </c>
      <c r="AC3" s="173" t="s">
        <v>692</v>
      </c>
    </row>
    <row r="4" spans="1:29" s="170" customFormat="1" ht="25.05" customHeight="1" x14ac:dyDescent="0.3">
      <c r="A4" s="179">
        <v>6</v>
      </c>
      <c r="B4" s="174" t="s">
        <v>92</v>
      </c>
      <c r="C4" s="173" t="s">
        <v>44</v>
      </c>
      <c r="D4" s="173" t="s">
        <v>222</v>
      </c>
      <c r="E4" s="173">
        <v>252635</v>
      </c>
      <c r="F4" s="173" t="s">
        <v>223</v>
      </c>
      <c r="G4" s="173">
        <v>5000</v>
      </c>
      <c r="H4" s="175">
        <v>0.55900000000000005</v>
      </c>
      <c r="I4" s="175">
        <v>1.389</v>
      </c>
      <c r="J4" s="175"/>
      <c r="K4" s="179" t="s">
        <v>33</v>
      </c>
      <c r="L4" s="175"/>
      <c r="M4" s="176">
        <v>3472.5</v>
      </c>
      <c r="N4" s="177">
        <v>0.48230000000000001</v>
      </c>
      <c r="O4" s="178">
        <v>28.94</v>
      </c>
      <c r="P4" s="178"/>
      <c r="Q4" s="173">
        <v>2205.1</v>
      </c>
      <c r="R4" s="173">
        <v>2</v>
      </c>
      <c r="S4" s="173">
        <v>1150</v>
      </c>
      <c r="T4" s="175">
        <v>1.1180000000000001</v>
      </c>
      <c r="U4" s="173">
        <v>32</v>
      </c>
      <c r="V4" s="177">
        <v>2.7799999999999998E-2</v>
      </c>
      <c r="W4" s="173" t="s">
        <v>34</v>
      </c>
      <c r="X4" s="173" t="s">
        <v>39</v>
      </c>
      <c r="Y4" s="173" t="s">
        <v>34</v>
      </c>
      <c r="Z4" s="173" t="s">
        <v>34</v>
      </c>
      <c r="AA4" s="173" t="s">
        <v>34</v>
      </c>
      <c r="AB4" s="173" t="s">
        <v>66</v>
      </c>
      <c r="AC4" s="173" t="s">
        <v>91</v>
      </c>
    </row>
    <row r="5" spans="1:29" s="170" customFormat="1" ht="25.05" customHeight="1" x14ac:dyDescent="0.3">
      <c r="A5" s="173">
        <v>2</v>
      </c>
      <c r="B5" s="174" t="s">
        <v>92</v>
      </c>
      <c r="C5" s="173" t="s">
        <v>35</v>
      </c>
      <c r="D5" s="173" t="s">
        <v>576</v>
      </c>
      <c r="E5" s="173">
        <v>262928</v>
      </c>
      <c r="F5" s="173" t="s">
        <v>691</v>
      </c>
      <c r="G5" s="173">
        <v>1000</v>
      </c>
      <c r="H5" s="175">
        <v>1.359</v>
      </c>
      <c r="I5" s="175">
        <v>2.1949999999999998</v>
      </c>
      <c r="J5" s="173" t="s">
        <v>27</v>
      </c>
      <c r="K5" s="173" t="s">
        <v>690</v>
      </c>
      <c r="L5" s="173"/>
      <c r="M5" s="175">
        <v>2983.0050000000001</v>
      </c>
      <c r="N5" s="176">
        <v>2195</v>
      </c>
      <c r="O5" s="177">
        <v>0.60970000000000002</v>
      </c>
      <c r="P5" s="178">
        <v>36.58</v>
      </c>
      <c r="Q5" s="173">
        <v>939.6</v>
      </c>
      <c r="R5" s="173">
        <v>1</v>
      </c>
      <c r="S5" s="173">
        <v>1400</v>
      </c>
      <c r="T5" s="175">
        <v>1.359</v>
      </c>
      <c r="U5" s="173">
        <v>41</v>
      </c>
      <c r="V5" s="177">
        <v>2.93E-2</v>
      </c>
      <c r="W5" s="173" t="s">
        <v>28</v>
      </c>
      <c r="X5" s="173" t="s">
        <v>28</v>
      </c>
      <c r="Y5" s="173" t="s">
        <v>28</v>
      </c>
      <c r="Z5" s="173" t="s">
        <v>27</v>
      </c>
      <c r="AA5" s="173" t="s">
        <v>27</v>
      </c>
      <c r="AB5" s="173" t="s">
        <v>30</v>
      </c>
      <c r="AC5" s="173" t="s">
        <v>689</v>
      </c>
    </row>
    <row r="6" spans="1:29" s="170" customFormat="1" ht="25.05" customHeight="1" x14ac:dyDescent="0.3">
      <c r="A6" s="173">
        <v>1</v>
      </c>
      <c r="B6" s="174" t="s">
        <v>92</v>
      </c>
      <c r="C6" s="173" t="s">
        <v>35</v>
      </c>
      <c r="D6" s="173" t="s">
        <v>599</v>
      </c>
      <c r="E6" s="173">
        <v>262884</v>
      </c>
      <c r="F6" s="173" t="s">
        <v>688</v>
      </c>
      <c r="G6" s="173">
        <v>200</v>
      </c>
      <c r="H6" s="175">
        <v>1.304</v>
      </c>
      <c r="I6" s="175">
        <v>2.1259999999999999</v>
      </c>
      <c r="J6" s="175"/>
      <c r="K6" s="173" t="s">
        <v>33</v>
      </c>
      <c r="L6" s="175"/>
      <c r="M6" s="176">
        <v>425.2</v>
      </c>
      <c r="N6" s="177">
        <v>0.1181</v>
      </c>
      <c r="O6" s="178">
        <v>7.09</v>
      </c>
      <c r="P6" s="178"/>
      <c r="Q6" s="173">
        <v>174.7</v>
      </c>
      <c r="R6" s="173">
        <v>1</v>
      </c>
      <c r="S6" s="173">
        <v>1350</v>
      </c>
      <c r="T6" s="175">
        <v>1.304</v>
      </c>
      <c r="U6" s="173">
        <v>46</v>
      </c>
      <c r="V6" s="177">
        <v>3.4099999999999998E-2</v>
      </c>
      <c r="W6" s="173" t="s">
        <v>28</v>
      </c>
      <c r="X6" s="173" t="s">
        <v>28</v>
      </c>
      <c r="Y6" s="173" t="s">
        <v>28</v>
      </c>
      <c r="Z6" s="173" t="s">
        <v>27</v>
      </c>
      <c r="AA6" s="173" t="s">
        <v>27</v>
      </c>
      <c r="AB6" s="173" t="s">
        <v>38</v>
      </c>
      <c r="AC6" s="173" t="s">
        <v>687</v>
      </c>
    </row>
    <row r="7" spans="1:29" s="170" customFormat="1" ht="25.05" customHeight="1" x14ac:dyDescent="0.3">
      <c r="A7" s="173">
        <v>3</v>
      </c>
      <c r="B7" s="174" t="s">
        <v>92</v>
      </c>
      <c r="C7" s="173" t="s">
        <v>35</v>
      </c>
      <c r="D7" s="173" t="s">
        <v>576</v>
      </c>
      <c r="E7" s="173">
        <v>262929</v>
      </c>
      <c r="F7" s="173" t="s">
        <v>686</v>
      </c>
      <c r="G7" s="173">
        <v>170</v>
      </c>
      <c r="H7" s="175">
        <v>1.32</v>
      </c>
      <c r="I7" s="175">
        <v>2.0529999999999999</v>
      </c>
      <c r="J7" s="173" t="s">
        <v>27</v>
      </c>
      <c r="K7" s="173" t="s">
        <v>33</v>
      </c>
      <c r="L7" s="173"/>
      <c r="M7" s="175">
        <v>453.71300000000002</v>
      </c>
      <c r="N7" s="176">
        <v>349</v>
      </c>
      <c r="O7" s="177">
        <v>9.69E-2</v>
      </c>
      <c r="P7" s="178">
        <v>5.82</v>
      </c>
      <c r="Q7" s="173">
        <v>142.9</v>
      </c>
      <c r="R7" s="173">
        <v>1</v>
      </c>
      <c r="S7" s="173">
        <v>1350</v>
      </c>
      <c r="T7" s="175">
        <v>1.32</v>
      </c>
      <c r="U7" s="173">
        <v>50</v>
      </c>
      <c r="V7" s="177">
        <v>3.6999999999999998E-2</v>
      </c>
      <c r="W7" s="173" t="s">
        <v>28</v>
      </c>
      <c r="X7" s="173" t="s">
        <v>28</v>
      </c>
      <c r="Y7" s="173" t="s">
        <v>28</v>
      </c>
      <c r="Z7" s="173" t="s">
        <v>27</v>
      </c>
      <c r="AA7" s="173" t="s">
        <v>27</v>
      </c>
      <c r="AB7" s="173" t="s">
        <v>38</v>
      </c>
      <c r="AC7" s="173" t="s">
        <v>685</v>
      </c>
    </row>
    <row r="8" spans="1:29" s="170" customFormat="1" ht="25.05" customHeight="1" x14ac:dyDescent="0.3">
      <c r="A8" s="173">
        <v>4</v>
      </c>
      <c r="B8" s="174" t="s">
        <v>90</v>
      </c>
      <c r="C8" s="173" t="s">
        <v>35</v>
      </c>
      <c r="D8" s="173" t="s">
        <v>443</v>
      </c>
      <c r="E8" s="173">
        <v>262924</v>
      </c>
      <c r="F8" s="173" t="s">
        <v>681</v>
      </c>
      <c r="G8" s="173">
        <v>600</v>
      </c>
      <c r="H8" s="175">
        <v>0.66</v>
      </c>
      <c r="I8" s="175">
        <v>1.385</v>
      </c>
      <c r="J8" s="173" t="s">
        <v>27</v>
      </c>
      <c r="K8" s="173" t="s">
        <v>33</v>
      </c>
      <c r="L8" s="173"/>
      <c r="M8" s="175">
        <v>548.46</v>
      </c>
      <c r="N8" s="176">
        <v>415.5</v>
      </c>
      <c r="O8" s="177">
        <v>5.7700000000000001E-2</v>
      </c>
      <c r="P8" s="178">
        <v>3.46</v>
      </c>
      <c r="Q8" s="173">
        <v>172.8</v>
      </c>
      <c r="R8" s="173">
        <v>2</v>
      </c>
      <c r="S8" s="173">
        <v>1350</v>
      </c>
      <c r="T8" s="175">
        <v>1.32</v>
      </c>
      <c r="U8" s="173">
        <v>30</v>
      </c>
      <c r="V8" s="177">
        <v>2.2200000000000001E-2</v>
      </c>
      <c r="W8" s="173" t="s">
        <v>28</v>
      </c>
      <c r="X8" s="173" t="s">
        <v>28</v>
      </c>
      <c r="Y8" s="173" t="s">
        <v>28</v>
      </c>
      <c r="Z8" s="173" t="s">
        <v>27</v>
      </c>
      <c r="AA8" s="173" t="s">
        <v>27</v>
      </c>
      <c r="AB8" s="173" t="s">
        <v>32</v>
      </c>
      <c r="AC8" s="173" t="s">
        <v>684</v>
      </c>
    </row>
    <row r="9" spans="1:29" s="170" customFormat="1" ht="25.05" customHeight="1" x14ac:dyDescent="0.3">
      <c r="A9" s="173">
        <v>5</v>
      </c>
      <c r="B9" s="174" t="s">
        <v>90</v>
      </c>
      <c r="C9" s="173" t="s">
        <v>35</v>
      </c>
      <c r="D9" s="173" t="s">
        <v>443</v>
      </c>
      <c r="E9" s="173">
        <v>262925</v>
      </c>
      <c r="F9" s="173" t="s">
        <v>681</v>
      </c>
      <c r="G9" s="173">
        <v>500</v>
      </c>
      <c r="H9" s="175">
        <v>0.66</v>
      </c>
      <c r="I9" s="175">
        <v>1.6950000000000001</v>
      </c>
      <c r="J9" s="173" t="s">
        <v>27</v>
      </c>
      <c r="K9" s="173" t="s">
        <v>33</v>
      </c>
      <c r="L9" s="173"/>
      <c r="M9" s="175">
        <v>559.35</v>
      </c>
      <c r="N9" s="176">
        <v>423.8</v>
      </c>
      <c r="O9" s="177">
        <v>5.8900000000000001E-2</v>
      </c>
      <c r="P9" s="178">
        <v>3.53</v>
      </c>
      <c r="Q9" s="173">
        <v>176.2</v>
      </c>
      <c r="R9" s="173">
        <v>2</v>
      </c>
      <c r="S9" s="173">
        <v>1350</v>
      </c>
      <c r="T9" s="175">
        <v>1.32</v>
      </c>
      <c r="U9" s="173">
        <v>30</v>
      </c>
      <c r="V9" s="177">
        <v>2.2200000000000001E-2</v>
      </c>
      <c r="W9" s="173" t="s">
        <v>28</v>
      </c>
      <c r="X9" s="173" t="s">
        <v>28</v>
      </c>
      <c r="Y9" s="173" t="s">
        <v>28</v>
      </c>
      <c r="Z9" s="173" t="s">
        <v>27</v>
      </c>
      <c r="AA9" s="173" t="s">
        <v>27</v>
      </c>
      <c r="AB9" s="173" t="s">
        <v>30</v>
      </c>
      <c r="AC9" s="173" t="s">
        <v>683</v>
      </c>
    </row>
    <row r="10" spans="1:29" s="170" customFormat="1" ht="25.05" customHeight="1" x14ac:dyDescent="0.3">
      <c r="A10" s="173">
        <v>6</v>
      </c>
      <c r="B10" s="174" t="s">
        <v>90</v>
      </c>
      <c r="C10" s="173" t="s">
        <v>35</v>
      </c>
      <c r="D10" s="173" t="s">
        <v>443</v>
      </c>
      <c r="E10" s="173">
        <v>262926</v>
      </c>
      <c r="F10" s="173" t="s">
        <v>681</v>
      </c>
      <c r="G10" s="173">
        <v>1000</v>
      </c>
      <c r="H10" s="175">
        <v>0.66</v>
      </c>
      <c r="I10" s="175">
        <v>1.865</v>
      </c>
      <c r="J10" s="173" t="s">
        <v>27</v>
      </c>
      <c r="K10" s="173" t="s">
        <v>33</v>
      </c>
      <c r="L10" s="173"/>
      <c r="M10" s="175">
        <v>1230.9000000000001</v>
      </c>
      <c r="N10" s="176">
        <v>932.5</v>
      </c>
      <c r="O10" s="177">
        <v>0.1295</v>
      </c>
      <c r="P10" s="178">
        <v>7.77</v>
      </c>
      <c r="Q10" s="173">
        <v>387.7</v>
      </c>
      <c r="R10" s="173">
        <v>2</v>
      </c>
      <c r="S10" s="173">
        <v>1350</v>
      </c>
      <c r="T10" s="175">
        <v>1.32</v>
      </c>
      <c r="U10" s="173">
        <v>30</v>
      </c>
      <c r="V10" s="177">
        <v>2.2200000000000001E-2</v>
      </c>
      <c r="W10" s="173" t="s">
        <v>28</v>
      </c>
      <c r="X10" s="173" t="s">
        <v>28</v>
      </c>
      <c r="Y10" s="173" t="s">
        <v>28</v>
      </c>
      <c r="Z10" s="173" t="s">
        <v>27</v>
      </c>
      <c r="AA10" s="173" t="s">
        <v>27</v>
      </c>
      <c r="AB10" s="173" t="s">
        <v>32</v>
      </c>
      <c r="AC10" s="173" t="s">
        <v>682</v>
      </c>
    </row>
    <row r="11" spans="1:29" s="170" customFormat="1" ht="25.05" customHeight="1" x14ac:dyDescent="0.3">
      <c r="A11" s="173">
        <v>7</v>
      </c>
      <c r="B11" s="174" t="s">
        <v>90</v>
      </c>
      <c r="C11" s="173" t="s">
        <v>35</v>
      </c>
      <c r="D11" s="173" t="s">
        <v>443</v>
      </c>
      <c r="E11" s="173">
        <v>262927</v>
      </c>
      <c r="F11" s="173" t="s">
        <v>681</v>
      </c>
      <c r="G11" s="173">
        <v>800</v>
      </c>
      <c r="H11" s="175">
        <v>0.66</v>
      </c>
      <c r="I11" s="175">
        <v>2.0499999999999998</v>
      </c>
      <c r="J11" s="173" t="s">
        <v>27</v>
      </c>
      <c r="K11" s="173" t="s">
        <v>33</v>
      </c>
      <c r="L11" s="173"/>
      <c r="M11" s="175">
        <v>1082.4000000000001</v>
      </c>
      <c r="N11" s="176">
        <v>820</v>
      </c>
      <c r="O11" s="177">
        <v>0.1139</v>
      </c>
      <c r="P11" s="178">
        <v>6.83</v>
      </c>
      <c r="Q11" s="173">
        <v>341</v>
      </c>
      <c r="R11" s="173">
        <v>2</v>
      </c>
      <c r="S11" s="173">
        <v>1350</v>
      </c>
      <c r="T11" s="175">
        <v>1.32</v>
      </c>
      <c r="U11" s="173">
        <v>30</v>
      </c>
      <c r="V11" s="177">
        <v>2.2200000000000001E-2</v>
      </c>
      <c r="W11" s="173" t="s">
        <v>28</v>
      </c>
      <c r="X11" s="173" t="s">
        <v>28</v>
      </c>
      <c r="Y11" s="173" t="s">
        <v>28</v>
      </c>
      <c r="Z11" s="173" t="s">
        <v>27</v>
      </c>
      <c r="AA11" s="173" t="s">
        <v>27</v>
      </c>
      <c r="AB11" s="173" t="s">
        <v>32</v>
      </c>
      <c r="AC11" s="173" t="s">
        <v>680</v>
      </c>
    </row>
    <row r="12" spans="1:29" s="170" customFormat="1" ht="25.05" customHeight="1" x14ac:dyDescent="0.3">
      <c r="A12" s="173">
        <v>8</v>
      </c>
      <c r="B12" s="174" t="s">
        <v>90</v>
      </c>
      <c r="C12" s="173" t="s">
        <v>35</v>
      </c>
      <c r="D12" s="173" t="s">
        <v>440</v>
      </c>
      <c r="E12" s="173">
        <v>262921</v>
      </c>
      <c r="F12" s="173" t="s">
        <v>679</v>
      </c>
      <c r="G12" s="173">
        <v>300</v>
      </c>
      <c r="H12" s="175">
        <v>1.272</v>
      </c>
      <c r="I12" s="175">
        <v>1.4810000000000001</v>
      </c>
      <c r="J12" s="173" t="s">
        <v>27</v>
      </c>
      <c r="K12" s="173" t="s">
        <v>678</v>
      </c>
      <c r="L12" s="173"/>
      <c r="M12" s="175">
        <v>565.15</v>
      </c>
      <c r="N12" s="176">
        <v>444.3</v>
      </c>
      <c r="O12" s="177">
        <v>0.1234</v>
      </c>
      <c r="P12" s="178">
        <v>7.41</v>
      </c>
      <c r="Q12" s="173">
        <v>178</v>
      </c>
      <c r="R12" s="173">
        <v>1</v>
      </c>
      <c r="S12" s="173">
        <v>1300</v>
      </c>
      <c r="T12" s="175">
        <v>1.272</v>
      </c>
      <c r="U12" s="173">
        <v>28</v>
      </c>
      <c r="V12" s="177">
        <v>2.1499999999999998E-2</v>
      </c>
      <c r="W12" s="173" t="s">
        <v>28</v>
      </c>
      <c r="X12" s="173" t="s">
        <v>28</v>
      </c>
      <c r="Y12" s="173" t="s">
        <v>28</v>
      </c>
      <c r="Z12" s="173" t="s">
        <v>27</v>
      </c>
      <c r="AA12" s="173" t="s">
        <v>27</v>
      </c>
      <c r="AB12" s="173" t="s">
        <v>38</v>
      </c>
      <c r="AC12" s="173" t="s">
        <v>677</v>
      </c>
    </row>
    <row r="13" spans="1:29" s="170" customFormat="1" ht="25.05" customHeight="1" x14ac:dyDescent="0.3">
      <c r="A13" s="173">
        <v>9</v>
      </c>
      <c r="B13" s="174" t="s">
        <v>90</v>
      </c>
      <c r="C13" s="173" t="s">
        <v>35</v>
      </c>
      <c r="D13" s="173" t="s">
        <v>671</v>
      </c>
      <c r="E13" s="173">
        <v>262923</v>
      </c>
      <c r="F13" s="173" t="s">
        <v>670</v>
      </c>
      <c r="G13" s="173">
        <v>250</v>
      </c>
      <c r="H13" s="175">
        <v>0.56999999999999995</v>
      </c>
      <c r="I13" s="175">
        <v>0.45300000000000001</v>
      </c>
      <c r="J13" s="173" t="s">
        <v>27</v>
      </c>
      <c r="K13" s="173" t="s">
        <v>33</v>
      </c>
      <c r="L13" s="173"/>
      <c r="M13" s="175">
        <v>64.552000000000007</v>
      </c>
      <c r="N13" s="176">
        <v>56.6</v>
      </c>
      <c r="O13" s="177">
        <v>7.9000000000000008E-3</v>
      </c>
      <c r="P13" s="178">
        <v>0.47</v>
      </c>
      <c r="Q13" s="173">
        <v>20.3</v>
      </c>
      <c r="R13" s="173">
        <v>2</v>
      </c>
      <c r="S13" s="173">
        <v>1200</v>
      </c>
      <c r="T13" s="175">
        <v>1.1399999999999999</v>
      </c>
      <c r="U13" s="173">
        <v>60</v>
      </c>
      <c r="V13" s="177">
        <v>0.05</v>
      </c>
      <c r="W13" s="173" t="s">
        <v>28</v>
      </c>
      <c r="X13" s="173" t="s">
        <v>28</v>
      </c>
      <c r="Y13" s="173" t="s">
        <v>28</v>
      </c>
      <c r="Z13" s="173" t="s">
        <v>27</v>
      </c>
      <c r="AA13" s="173" t="s">
        <v>27</v>
      </c>
      <c r="AB13" s="173" t="s">
        <v>38</v>
      </c>
      <c r="AC13" s="173" t="s">
        <v>676</v>
      </c>
    </row>
    <row r="14" spans="1:29" s="170" customFormat="1" ht="25.05" customHeight="1" x14ac:dyDescent="0.3">
      <c r="A14" s="180">
        <v>1</v>
      </c>
      <c r="B14" s="181" t="s">
        <v>92</v>
      </c>
      <c r="C14" s="180" t="s">
        <v>35</v>
      </c>
      <c r="D14" s="180" t="s">
        <v>586</v>
      </c>
      <c r="E14" s="180">
        <v>262870</v>
      </c>
      <c r="F14" s="180" t="s">
        <v>675</v>
      </c>
      <c r="G14" s="180">
        <v>200</v>
      </c>
      <c r="H14" s="182">
        <v>0.93600000000000005</v>
      </c>
      <c r="I14" s="182">
        <v>1.829</v>
      </c>
      <c r="J14" s="182"/>
      <c r="K14" s="180" t="s">
        <v>33</v>
      </c>
      <c r="L14" s="182"/>
      <c r="M14" s="183">
        <v>365.8</v>
      </c>
      <c r="N14" s="184">
        <v>0.1016</v>
      </c>
      <c r="O14" s="185">
        <v>6.1</v>
      </c>
      <c r="P14" s="185"/>
      <c r="Q14" s="180">
        <v>107.9</v>
      </c>
      <c r="R14" s="180">
        <v>1</v>
      </c>
      <c r="S14" s="180">
        <v>1000</v>
      </c>
      <c r="T14" s="182">
        <v>0.93600000000000005</v>
      </c>
      <c r="U14" s="180">
        <v>64</v>
      </c>
      <c r="V14" s="184">
        <v>6.4000000000000001E-2</v>
      </c>
      <c r="W14" s="180" t="s">
        <v>28</v>
      </c>
      <c r="X14" s="180" t="s">
        <v>28</v>
      </c>
      <c r="Y14" s="180" t="s">
        <v>28</v>
      </c>
      <c r="Z14" s="180" t="s">
        <v>27</v>
      </c>
      <c r="AA14" s="180" t="s">
        <v>27</v>
      </c>
      <c r="AB14" s="180" t="s">
        <v>38</v>
      </c>
      <c r="AC14" s="180" t="s">
        <v>674</v>
      </c>
    </row>
    <row r="15" spans="1:29" s="170" customFormat="1" ht="25.05" customHeight="1" x14ac:dyDescent="0.3">
      <c r="A15" s="173">
        <v>2</v>
      </c>
      <c r="B15" s="174" t="s">
        <v>92</v>
      </c>
      <c r="C15" s="173" t="s">
        <v>42</v>
      </c>
      <c r="D15" s="173" t="s">
        <v>599</v>
      </c>
      <c r="E15" s="173">
        <v>262885</v>
      </c>
      <c r="F15" s="173" t="s">
        <v>673</v>
      </c>
      <c r="G15" s="173">
        <v>200</v>
      </c>
      <c r="H15" s="175">
        <v>0.88300000000000001</v>
      </c>
      <c r="I15" s="175">
        <v>1.5349999999999999</v>
      </c>
      <c r="J15" s="175"/>
      <c r="K15" s="173" t="s">
        <v>33</v>
      </c>
      <c r="L15" s="175"/>
      <c r="M15" s="176">
        <v>307</v>
      </c>
      <c r="N15" s="177">
        <v>8.5300000000000001E-2</v>
      </c>
      <c r="O15" s="178">
        <v>5.12</v>
      </c>
      <c r="P15" s="178"/>
      <c r="Q15" s="173">
        <v>93.5</v>
      </c>
      <c r="R15" s="173">
        <v>1</v>
      </c>
      <c r="S15" s="173">
        <v>950</v>
      </c>
      <c r="T15" s="175">
        <v>0.88300000000000001</v>
      </c>
      <c r="U15" s="173">
        <v>67</v>
      </c>
      <c r="V15" s="177">
        <v>7.0499999999999993E-2</v>
      </c>
      <c r="W15" s="173" t="s">
        <v>29</v>
      </c>
      <c r="X15" s="173" t="s">
        <v>29</v>
      </c>
      <c r="Y15" s="173" t="s">
        <v>28</v>
      </c>
      <c r="Z15" s="173" t="s">
        <v>27</v>
      </c>
      <c r="AA15" s="173" t="s">
        <v>27</v>
      </c>
      <c r="AB15" s="173" t="s">
        <v>38</v>
      </c>
      <c r="AC15" s="173" t="s">
        <v>672</v>
      </c>
    </row>
    <row r="16" spans="1:29" s="170" customFormat="1" ht="25.05" customHeight="1" x14ac:dyDescent="0.3">
      <c r="A16" s="173">
        <v>10</v>
      </c>
      <c r="B16" s="174" t="s">
        <v>90</v>
      </c>
      <c r="C16" s="173" t="s">
        <v>35</v>
      </c>
      <c r="D16" s="173" t="s">
        <v>671</v>
      </c>
      <c r="E16" s="173">
        <v>262922</v>
      </c>
      <c r="F16" s="173" t="s">
        <v>670</v>
      </c>
      <c r="G16" s="173">
        <v>500</v>
      </c>
      <c r="H16" s="175">
        <v>0.42599999999999999</v>
      </c>
      <c r="I16" s="175">
        <v>2.3199999999999998</v>
      </c>
      <c r="J16" s="173" t="s">
        <v>27</v>
      </c>
      <c r="K16" s="173" t="s">
        <v>669</v>
      </c>
      <c r="L16" s="173"/>
      <c r="M16" s="175">
        <v>494.16</v>
      </c>
      <c r="N16" s="176">
        <v>580</v>
      </c>
      <c r="O16" s="177">
        <v>8.0600000000000005E-2</v>
      </c>
      <c r="P16" s="178">
        <v>4.83</v>
      </c>
      <c r="Q16" s="173">
        <v>155.69999999999999</v>
      </c>
      <c r="R16" s="173">
        <v>2</v>
      </c>
      <c r="S16" s="173">
        <v>900</v>
      </c>
      <c r="T16" s="175">
        <v>0.85199999999999998</v>
      </c>
      <c r="U16" s="173">
        <v>48</v>
      </c>
      <c r="V16" s="177">
        <v>5.33E-2</v>
      </c>
      <c r="W16" s="173" t="s">
        <v>28</v>
      </c>
      <c r="X16" s="173" t="s">
        <v>28</v>
      </c>
      <c r="Y16" s="173" t="s">
        <v>28</v>
      </c>
      <c r="Z16" s="173" t="s">
        <v>27</v>
      </c>
      <c r="AA16" s="173" t="s">
        <v>27</v>
      </c>
      <c r="AB16" s="173" t="s">
        <v>32</v>
      </c>
      <c r="AC16" s="173" t="s">
        <v>668</v>
      </c>
    </row>
    <row r="17" spans="1:29" s="51" customFormat="1" ht="25.05" customHeight="1" x14ac:dyDescent="0.3">
      <c r="A17" s="172" t="s">
        <v>27</v>
      </c>
      <c r="B17" s="172" t="s">
        <v>27</v>
      </c>
      <c r="C17" s="172" t="s">
        <v>27</v>
      </c>
      <c r="D17" s="172" t="s">
        <v>27</v>
      </c>
      <c r="E17" s="172" t="s">
        <v>27</v>
      </c>
      <c r="F17" s="172" t="s">
        <v>27</v>
      </c>
      <c r="G17" s="172">
        <f>SUM(G3:G16)</f>
        <v>10880</v>
      </c>
      <c r="H17" s="172" t="s">
        <v>27</v>
      </c>
      <c r="I17" s="172" t="s">
        <v>27</v>
      </c>
      <c r="J17" s="172" t="s">
        <v>27</v>
      </c>
      <c r="K17" s="172" t="s">
        <v>27</v>
      </c>
      <c r="L17" s="172" t="s">
        <v>27</v>
      </c>
      <c r="M17" s="172" t="s">
        <v>27</v>
      </c>
      <c r="N17" s="172" t="s">
        <v>27</v>
      </c>
      <c r="O17" s="172" t="s">
        <v>27</v>
      </c>
      <c r="P17" s="172" t="s">
        <v>27</v>
      </c>
      <c r="Q17" s="172">
        <f>SUM(Q3:Q16)</f>
        <v>5260.5999999999995</v>
      </c>
      <c r="R17" s="172" t="s">
        <v>27</v>
      </c>
      <c r="S17" s="172" t="s">
        <v>27</v>
      </c>
      <c r="T17" s="172" t="s">
        <v>27</v>
      </c>
      <c r="U17" s="172" t="s">
        <v>27</v>
      </c>
      <c r="V17" s="172" t="s">
        <v>27</v>
      </c>
      <c r="W17" s="172" t="s">
        <v>27</v>
      </c>
      <c r="X17" s="172" t="s">
        <v>27</v>
      </c>
      <c r="Y17" s="172" t="s">
        <v>27</v>
      </c>
      <c r="Z17" s="172" t="s">
        <v>27</v>
      </c>
      <c r="AA17" s="172" t="s">
        <v>27</v>
      </c>
      <c r="AB17" s="172" t="s">
        <v>27</v>
      </c>
      <c r="AC17" s="17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sheetPr>
    <pageSetUpPr fitToPage="1"/>
  </sheetPr>
  <dimension ref="A1:AC21"/>
  <sheetViews>
    <sheetView workbookViewId="0">
      <selection activeCell="AC47" sqref="AC4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267" t="s">
        <v>664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  <c r="AC1" s="267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206" customFormat="1" x14ac:dyDescent="0.3">
      <c r="A3" s="199">
        <v>1</v>
      </c>
      <c r="B3" s="200" t="s">
        <v>107</v>
      </c>
      <c r="C3" s="199" t="s">
        <v>49</v>
      </c>
      <c r="D3" s="199" t="s">
        <v>661</v>
      </c>
      <c r="E3" s="199">
        <v>262917</v>
      </c>
      <c r="F3" s="201">
        <v>71026</v>
      </c>
      <c r="G3" s="199">
        <v>5086</v>
      </c>
      <c r="H3" s="202">
        <v>0.39</v>
      </c>
      <c r="I3" s="202">
        <v>0.71</v>
      </c>
      <c r="J3" s="199" t="s">
        <v>27</v>
      </c>
      <c r="K3" s="199" t="s">
        <v>33</v>
      </c>
      <c r="L3" s="199" t="s">
        <v>27</v>
      </c>
      <c r="M3" s="202">
        <v>1408.3130000000001</v>
      </c>
      <c r="N3" s="203">
        <v>902.8</v>
      </c>
      <c r="O3" s="204">
        <v>6.2700000000000006E-2</v>
      </c>
      <c r="P3" s="205">
        <v>3.76</v>
      </c>
      <c r="Q3" s="199">
        <v>500</v>
      </c>
      <c r="R3" s="199">
        <v>4</v>
      </c>
      <c r="S3" s="199">
        <v>1600</v>
      </c>
      <c r="T3" s="202">
        <v>1.56</v>
      </c>
      <c r="U3" s="199">
        <v>40</v>
      </c>
      <c r="V3" s="204">
        <v>2.5000000000000001E-2</v>
      </c>
      <c r="W3" s="199" t="s">
        <v>29</v>
      </c>
      <c r="X3" s="199" t="s">
        <v>28</v>
      </c>
      <c r="Y3" s="199" t="s">
        <v>29</v>
      </c>
      <c r="Z3" s="199" t="s">
        <v>27</v>
      </c>
      <c r="AA3" s="199" t="s">
        <v>27</v>
      </c>
      <c r="AB3" s="199" t="s">
        <v>32</v>
      </c>
      <c r="AC3" s="199" t="s">
        <v>108</v>
      </c>
    </row>
    <row r="4" spans="1:29" s="213" customFormat="1" x14ac:dyDescent="0.3">
      <c r="A4" s="207">
        <v>1</v>
      </c>
      <c r="B4" s="208" t="s">
        <v>700</v>
      </c>
      <c r="C4" s="207" t="s">
        <v>55</v>
      </c>
      <c r="D4" s="207" t="s">
        <v>698</v>
      </c>
      <c r="E4" s="207">
        <v>262931</v>
      </c>
      <c r="F4" s="201">
        <v>71026</v>
      </c>
      <c r="G4" s="207">
        <v>2283</v>
      </c>
      <c r="H4" s="209">
        <v>0.48</v>
      </c>
      <c r="I4" s="209">
        <v>1.25</v>
      </c>
      <c r="J4" s="207" t="s">
        <v>27</v>
      </c>
      <c r="K4" s="207" t="s">
        <v>33</v>
      </c>
      <c r="L4" s="207" t="s">
        <v>27</v>
      </c>
      <c r="M4" s="209">
        <v>1369.8</v>
      </c>
      <c r="N4" s="210">
        <v>951.3</v>
      </c>
      <c r="O4" s="211">
        <v>8.8099999999999998E-2</v>
      </c>
      <c r="P4" s="212">
        <v>5.28</v>
      </c>
      <c r="Q4" s="207">
        <v>500</v>
      </c>
      <c r="R4" s="207">
        <v>3</v>
      </c>
      <c r="S4" s="207">
        <v>1500</v>
      </c>
      <c r="T4" s="209">
        <v>1.44</v>
      </c>
      <c r="U4" s="207">
        <v>60</v>
      </c>
      <c r="V4" s="211">
        <v>0.04</v>
      </c>
      <c r="W4" s="207" t="s">
        <v>37</v>
      </c>
      <c r="X4" s="207" t="s">
        <v>29</v>
      </c>
      <c r="Y4" s="207" t="s">
        <v>34</v>
      </c>
      <c r="Z4" s="207" t="s">
        <v>27</v>
      </c>
      <c r="AA4" s="207" t="s">
        <v>27</v>
      </c>
      <c r="AB4" s="207" t="s">
        <v>30</v>
      </c>
      <c r="AC4" s="207" t="s">
        <v>239</v>
      </c>
    </row>
    <row r="5" spans="1:29" s="206" customFormat="1" x14ac:dyDescent="0.3">
      <c r="A5" s="199">
        <v>3</v>
      </c>
      <c r="B5" s="200" t="s">
        <v>107</v>
      </c>
      <c r="C5" s="199" t="s">
        <v>55</v>
      </c>
      <c r="D5" s="199" t="s">
        <v>661</v>
      </c>
      <c r="E5" s="199">
        <v>262914</v>
      </c>
      <c r="F5" s="201">
        <v>71026</v>
      </c>
      <c r="G5" s="199">
        <v>1378</v>
      </c>
      <c r="H5" s="202">
        <v>0.67</v>
      </c>
      <c r="I5" s="202">
        <v>0.89</v>
      </c>
      <c r="J5" s="199" t="s">
        <v>27</v>
      </c>
      <c r="K5" s="199" t="s">
        <v>33</v>
      </c>
      <c r="L5" s="199" t="s">
        <v>27</v>
      </c>
      <c r="M5" s="202">
        <v>821.70100000000002</v>
      </c>
      <c r="N5" s="203">
        <v>613.20000000000005</v>
      </c>
      <c r="O5" s="204">
        <v>8.5199999999999998E-2</v>
      </c>
      <c r="P5" s="205">
        <v>5.1100000000000003</v>
      </c>
      <c r="Q5" s="199">
        <v>299.89999999999998</v>
      </c>
      <c r="R5" s="199">
        <v>2</v>
      </c>
      <c r="S5" s="199">
        <v>1400</v>
      </c>
      <c r="T5" s="202">
        <v>1.34</v>
      </c>
      <c r="U5" s="199">
        <v>60</v>
      </c>
      <c r="V5" s="204">
        <v>4.2900000000000001E-2</v>
      </c>
      <c r="W5" s="199" t="s">
        <v>37</v>
      </c>
      <c r="X5" s="199" t="s">
        <v>29</v>
      </c>
      <c r="Y5" s="199" t="s">
        <v>34</v>
      </c>
      <c r="Z5" s="199" t="s">
        <v>27</v>
      </c>
      <c r="AA5" s="199" t="s">
        <v>27</v>
      </c>
      <c r="AB5" s="199" t="s">
        <v>32</v>
      </c>
      <c r="AC5" s="199" t="s">
        <v>663</v>
      </c>
    </row>
    <row r="6" spans="1:29" s="206" customFormat="1" x14ac:dyDescent="0.3">
      <c r="A6" s="199">
        <v>4</v>
      </c>
      <c r="B6" s="200" t="s">
        <v>107</v>
      </c>
      <c r="C6" s="199" t="s">
        <v>55</v>
      </c>
      <c r="D6" s="199" t="s">
        <v>661</v>
      </c>
      <c r="E6" s="199">
        <v>262913</v>
      </c>
      <c r="F6" s="201">
        <v>71026</v>
      </c>
      <c r="G6" s="199">
        <v>1662</v>
      </c>
      <c r="H6" s="202">
        <v>0.43</v>
      </c>
      <c r="I6" s="202">
        <v>1.1499999999999999</v>
      </c>
      <c r="J6" s="199" t="s">
        <v>27</v>
      </c>
      <c r="K6" s="199" t="s">
        <v>33</v>
      </c>
      <c r="L6" s="199" t="s">
        <v>27</v>
      </c>
      <c r="M6" s="202">
        <v>821.85900000000004</v>
      </c>
      <c r="N6" s="203">
        <v>637.1</v>
      </c>
      <c r="O6" s="204">
        <v>5.8999999999999997E-2</v>
      </c>
      <c r="P6" s="205">
        <v>3.54</v>
      </c>
      <c r="Q6" s="199">
        <v>300</v>
      </c>
      <c r="R6" s="199">
        <v>3</v>
      </c>
      <c r="S6" s="199">
        <v>1350</v>
      </c>
      <c r="T6" s="202">
        <v>1.29</v>
      </c>
      <c r="U6" s="199">
        <v>60</v>
      </c>
      <c r="V6" s="204">
        <v>4.4400000000000002E-2</v>
      </c>
      <c r="W6" s="199" t="s">
        <v>37</v>
      </c>
      <c r="X6" s="199" t="s">
        <v>29</v>
      </c>
      <c r="Y6" s="199" t="s">
        <v>34</v>
      </c>
      <c r="Z6" s="199" t="s">
        <v>27</v>
      </c>
      <c r="AA6" s="199" t="s">
        <v>27</v>
      </c>
      <c r="AB6" s="199" t="s">
        <v>32</v>
      </c>
      <c r="AC6" s="199" t="s">
        <v>238</v>
      </c>
    </row>
    <row r="7" spans="1:29" s="206" customFormat="1" x14ac:dyDescent="0.3">
      <c r="A7" s="199">
        <v>5</v>
      </c>
      <c r="B7" s="200" t="s">
        <v>107</v>
      </c>
      <c r="C7" s="199" t="s">
        <v>55</v>
      </c>
      <c r="D7" s="199" t="s">
        <v>661</v>
      </c>
      <c r="E7" s="199">
        <v>262915</v>
      </c>
      <c r="F7" s="201">
        <v>71026</v>
      </c>
      <c r="G7" s="199">
        <v>1287</v>
      </c>
      <c r="H7" s="202">
        <v>0.56999999999999995</v>
      </c>
      <c r="I7" s="202">
        <v>1.1200000000000001</v>
      </c>
      <c r="J7" s="199" t="s">
        <v>27</v>
      </c>
      <c r="K7" s="199" t="s">
        <v>33</v>
      </c>
      <c r="L7" s="199" t="s">
        <v>27</v>
      </c>
      <c r="M7" s="202">
        <v>821.62099999999998</v>
      </c>
      <c r="N7" s="203">
        <v>720.7</v>
      </c>
      <c r="O7" s="204">
        <v>0.10009999999999999</v>
      </c>
      <c r="P7" s="205">
        <v>6.01</v>
      </c>
      <c r="Q7" s="199">
        <v>299.89999999999998</v>
      </c>
      <c r="R7" s="199">
        <v>2</v>
      </c>
      <c r="S7" s="199">
        <v>1200</v>
      </c>
      <c r="T7" s="202">
        <v>1.1399999999999999</v>
      </c>
      <c r="U7" s="199">
        <v>60</v>
      </c>
      <c r="V7" s="204">
        <v>0.05</v>
      </c>
      <c r="W7" s="199" t="s">
        <v>37</v>
      </c>
      <c r="X7" s="199" t="s">
        <v>29</v>
      </c>
      <c r="Y7" s="199" t="s">
        <v>34</v>
      </c>
      <c r="Z7" s="199" t="s">
        <v>27</v>
      </c>
      <c r="AA7" s="199" t="s">
        <v>27</v>
      </c>
      <c r="AB7" s="199" t="s">
        <v>32</v>
      </c>
      <c r="AC7" s="199" t="s">
        <v>662</v>
      </c>
    </row>
    <row r="8" spans="1:29" s="206" customFormat="1" x14ac:dyDescent="0.3">
      <c r="A8" s="199">
        <v>6</v>
      </c>
      <c r="B8" s="200" t="s">
        <v>107</v>
      </c>
      <c r="C8" s="199" t="s">
        <v>49</v>
      </c>
      <c r="D8" s="199" t="s">
        <v>661</v>
      </c>
      <c r="E8" s="199">
        <v>262918</v>
      </c>
      <c r="F8" s="201">
        <v>71026</v>
      </c>
      <c r="G8" s="199">
        <v>2764</v>
      </c>
      <c r="H8" s="202">
        <v>0.56000000000000005</v>
      </c>
      <c r="I8" s="202">
        <v>0.91</v>
      </c>
      <c r="J8" s="199" t="s">
        <v>27</v>
      </c>
      <c r="K8" s="199" t="s">
        <v>33</v>
      </c>
      <c r="L8" s="199" t="s">
        <v>27</v>
      </c>
      <c r="M8" s="202">
        <v>1408.5340000000001</v>
      </c>
      <c r="N8" s="203">
        <v>1257.5999999999999</v>
      </c>
      <c r="O8" s="204">
        <v>0.17469999999999999</v>
      </c>
      <c r="P8" s="205">
        <v>10.48</v>
      </c>
      <c r="Q8" s="199">
        <v>500</v>
      </c>
      <c r="R8" s="199">
        <v>2</v>
      </c>
      <c r="S8" s="199">
        <v>1150</v>
      </c>
      <c r="T8" s="202">
        <v>1.1200000000000001</v>
      </c>
      <c r="U8" s="199">
        <v>30</v>
      </c>
      <c r="V8" s="204">
        <v>2.6100000000000002E-2</v>
      </c>
      <c r="W8" s="199" t="s">
        <v>29</v>
      </c>
      <c r="X8" s="199" t="s">
        <v>28</v>
      </c>
      <c r="Y8" s="199" t="s">
        <v>29</v>
      </c>
      <c r="Z8" s="199" t="s">
        <v>27</v>
      </c>
      <c r="AA8" s="199" t="s">
        <v>27</v>
      </c>
      <c r="AB8" s="199" t="s">
        <v>32</v>
      </c>
      <c r="AC8" s="199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14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98"/>
    </row>
  </sheetData>
  <mergeCells count="1">
    <mergeCell ref="A1:AC1"/>
  </mergeCells>
  <pageMargins left="0.511811024" right="0.511811024" top="1.38" bottom="0.78740157499999996" header="0.31496062000000002" footer="0.31496062000000002"/>
  <pageSetup paperSize="9" scale="87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269" t="s">
        <v>660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/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  <c r="AC1" s="269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topLeftCell="A22"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269" t="s">
        <v>645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/>
      <c r="L1" s="269" t="s">
        <v>27</v>
      </c>
      <c r="M1" s="269" t="s">
        <v>27</v>
      </c>
      <c r="N1" s="269" t="s">
        <v>27</v>
      </c>
      <c r="O1" s="269" t="s">
        <v>27</v>
      </c>
      <c r="P1" s="269"/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  <c r="AC1" s="269" t="s">
        <v>27</v>
      </c>
      <c r="AD1" s="269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sheetPr>
    <pageSetUpPr fitToPage="1"/>
  </sheetPr>
  <dimension ref="A1:AD6"/>
  <sheetViews>
    <sheetView zoomScale="192" zoomScaleNormal="192" workbookViewId="0">
      <selection activeCell="A3" sqref="A3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hidden="1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1" width="6.6640625" style="33" customWidth="1"/>
    <col min="12" max="12" width="12.664062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9.109375" style="33" customWidth="1"/>
    <col min="18" max="18" width="7.88671875" style="33" customWidth="1"/>
    <col min="19" max="19" width="4.33203125" style="33" customWidth="1"/>
    <col min="20" max="20" width="5.33203125" style="33" customWidth="1"/>
    <col min="21" max="21" width="7.21875" style="33" customWidth="1"/>
    <col min="22" max="22" width="11.77734375" style="33" hidden="1" customWidth="1"/>
    <col min="23" max="23" width="8.77734375" style="33" hidden="1" customWidth="1"/>
    <col min="24" max="25" width="8.6640625" style="33" customWidth="1"/>
    <col min="26" max="26" width="8.33203125" style="33" customWidth="1"/>
    <col min="27" max="27" width="8.109375" style="33" customWidth="1"/>
    <col min="28" max="28" width="7.21875" style="33" customWidth="1"/>
    <col min="29" max="29" width="4.33203125" style="33" customWidth="1"/>
    <col min="30" max="30" width="10.109375" style="33" customWidth="1"/>
    <col min="31" max="16384" width="8.88671875" style="33"/>
  </cols>
  <sheetData>
    <row r="1" spans="1:30" ht="18" customHeight="1" x14ac:dyDescent="0.35">
      <c r="A1" s="269" t="s">
        <v>622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/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/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  <c r="AC1" s="269" t="s">
        <v>27</v>
      </c>
      <c r="AD1" s="269" t="s">
        <v>27</v>
      </c>
    </row>
    <row r="2" spans="1:30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 t="s">
        <v>12</v>
      </c>
      <c r="Q2" s="44"/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7"/>
      <c r="L3" s="45" t="s">
        <v>621</v>
      </c>
      <c r="M3" s="47">
        <v>359.38200000000001</v>
      </c>
      <c r="N3" s="48">
        <v>230.8</v>
      </c>
      <c r="O3" s="49">
        <v>2.1399999999999999E-2</v>
      </c>
      <c r="P3" s="50">
        <v>1.28</v>
      </c>
      <c r="Q3" s="50"/>
      <c r="R3" s="45">
        <v>193.3</v>
      </c>
      <c r="S3" s="45">
        <v>3</v>
      </c>
      <c r="T3" s="45">
        <v>1600</v>
      </c>
      <c r="U3" s="47">
        <v>1.5569999999999999</v>
      </c>
      <c r="V3" s="45">
        <v>43</v>
      </c>
      <c r="W3" s="49">
        <v>2.69E-2</v>
      </c>
      <c r="X3" s="45" t="s">
        <v>28</v>
      </c>
      <c r="Y3" s="45" t="s">
        <v>29</v>
      </c>
      <c r="Z3" s="45" t="s">
        <v>28</v>
      </c>
      <c r="AA3" s="45" t="s">
        <v>28</v>
      </c>
      <c r="AB3" s="45" t="s">
        <v>28</v>
      </c>
      <c r="AC3" s="45" t="s">
        <v>32</v>
      </c>
      <c r="AD3" s="45" t="s">
        <v>620</v>
      </c>
    </row>
    <row r="4" spans="1:30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7"/>
      <c r="L4" s="45" t="s">
        <v>619</v>
      </c>
      <c r="M4" s="47">
        <v>1626.415</v>
      </c>
      <c r="N4" s="48">
        <v>1249.2</v>
      </c>
      <c r="O4" s="49">
        <v>0.1157</v>
      </c>
      <c r="P4" s="50">
        <v>6.94</v>
      </c>
      <c r="Q4" s="50"/>
      <c r="R4" s="45">
        <v>875</v>
      </c>
      <c r="S4" s="45">
        <v>3</v>
      </c>
      <c r="T4" s="45">
        <v>1350</v>
      </c>
      <c r="U4" s="47">
        <v>1.302</v>
      </c>
      <c r="V4" s="45">
        <v>48</v>
      </c>
      <c r="W4" s="49">
        <v>3.56E-2</v>
      </c>
      <c r="X4" s="45" t="s">
        <v>28</v>
      </c>
      <c r="Y4" s="45" t="s">
        <v>29</v>
      </c>
      <c r="Z4" s="45" t="s">
        <v>28</v>
      </c>
      <c r="AA4" s="45" t="s">
        <v>28</v>
      </c>
      <c r="AB4" s="45" t="s">
        <v>28</v>
      </c>
      <c r="AC4" s="45" t="s">
        <v>54</v>
      </c>
      <c r="AD4" s="45" t="s">
        <v>618</v>
      </c>
    </row>
    <row r="5" spans="1:30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7"/>
      <c r="L5" s="45" t="s">
        <v>616</v>
      </c>
      <c r="M5" s="47">
        <v>805.62300000000005</v>
      </c>
      <c r="N5" s="48">
        <v>953.4</v>
      </c>
      <c r="O5" s="49">
        <v>0.26479999999999998</v>
      </c>
      <c r="P5" s="50">
        <v>15.89</v>
      </c>
      <c r="Q5" s="50"/>
      <c r="R5" s="45">
        <v>277.89999999999998</v>
      </c>
      <c r="S5" s="45">
        <v>1</v>
      </c>
      <c r="T5" s="45">
        <v>900</v>
      </c>
      <c r="U5" s="47">
        <v>0.84499999999999997</v>
      </c>
      <c r="V5" s="45">
        <v>55</v>
      </c>
      <c r="W5" s="49">
        <v>6.1100000000000002E-2</v>
      </c>
      <c r="X5" s="45" t="s">
        <v>29</v>
      </c>
      <c r="Y5" s="45" t="s">
        <v>29</v>
      </c>
      <c r="Z5" s="45" t="s">
        <v>28</v>
      </c>
      <c r="AA5" s="45" t="s">
        <v>27</v>
      </c>
      <c r="AB5" s="45" t="s">
        <v>27</v>
      </c>
      <c r="AC5" s="45" t="s">
        <v>32</v>
      </c>
      <c r="AD5" s="45" t="s">
        <v>615</v>
      </c>
    </row>
    <row r="6" spans="1:30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/>
      <c r="L6" s="52" t="s">
        <v>27</v>
      </c>
      <c r="M6" s="52" t="s">
        <v>27</v>
      </c>
      <c r="N6" s="52" t="s">
        <v>27</v>
      </c>
      <c r="O6" s="52" t="s">
        <v>27</v>
      </c>
      <c r="P6" s="52" t="s">
        <v>27</v>
      </c>
      <c r="Q6" s="52"/>
      <c r="R6" s="52">
        <v>1856.7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  <c r="AC6" s="52" t="s">
        <v>27</v>
      </c>
      <c r="AD6" s="52" t="s">
        <v>27</v>
      </c>
    </row>
  </sheetData>
  <mergeCells count="1">
    <mergeCell ref="A1:AD1"/>
  </mergeCells>
  <pageMargins left="0.511811024" right="0.511811024" top="1.93" bottom="0.78740157499999996" header="0.31496062000000002" footer="0.31496062000000002"/>
  <pageSetup paperSize="9" scale="86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69" t="s">
        <v>614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67" t="s">
        <v>606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269" t="s">
        <v>595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sheetPr>
    <pageSetUpPr fitToPage="1"/>
  </sheetPr>
  <dimension ref="A1:AB5"/>
  <sheetViews>
    <sheetView workbookViewId="0">
      <selection sqref="A1:AB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67" t="s">
        <v>585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270" t="s">
        <v>578</v>
      </c>
      <c r="B1" s="270" t="s">
        <v>27</v>
      </c>
      <c r="C1" s="270" t="s">
        <v>27</v>
      </c>
      <c r="D1" s="270" t="s">
        <v>27</v>
      </c>
      <c r="E1" s="270" t="s">
        <v>27</v>
      </c>
      <c r="F1" s="270" t="s">
        <v>27</v>
      </c>
      <c r="G1" s="270" t="s">
        <v>27</v>
      </c>
      <c r="H1" s="270" t="s">
        <v>27</v>
      </c>
      <c r="I1" s="270" t="s">
        <v>27</v>
      </c>
      <c r="J1" s="270"/>
      <c r="K1" s="270" t="s">
        <v>27</v>
      </c>
      <c r="L1" s="270" t="s">
        <v>27</v>
      </c>
      <c r="M1" s="270" t="s">
        <v>27</v>
      </c>
      <c r="N1" s="270" t="s">
        <v>27</v>
      </c>
      <c r="O1" s="270" t="s">
        <v>27</v>
      </c>
      <c r="P1" s="270"/>
      <c r="Q1" s="270" t="s">
        <v>27</v>
      </c>
      <c r="R1" s="270" t="s">
        <v>27</v>
      </c>
      <c r="S1" s="270" t="s">
        <v>27</v>
      </c>
      <c r="T1" s="270" t="s">
        <v>27</v>
      </c>
      <c r="U1" s="270" t="s">
        <v>27</v>
      </c>
      <c r="V1" s="270" t="s">
        <v>27</v>
      </c>
      <c r="W1" s="270" t="s">
        <v>27</v>
      </c>
      <c r="X1" s="270" t="s">
        <v>27</v>
      </c>
      <c r="Y1" s="270" t="s">
        <v>27</v>
      </c>
      <c r="Z1" s="270" t="s">
        <v>27</v>
      </c>
      <c r="AA1" s="270" t="s">
        <v>27</v>
      </c>
      <c r="AB1" s="270" t="s">
        <v>27</v>
      </c>
      <c r="AC1" s="270" t="s">
        <v>27</v>
      </c>
    </row>
    <row r="2" spans="1:29" ht="42" customHeight="1" x14ac:dyDescent="0.3">
      <c r="A2" s="221" t="s">
        <v>0</v>
      </c>
      <c r="B2" s="221" t="s">
        <v>36</v>
      </c>
      <c r="C2" s="221" t="s">
        <v>1</v>
      </c>
      <c r="D2" s="221" t="s">
        <v>2</v>
      </c>
      <c r="E2" s="221" t="s">
        <v>53</v>
      </c>
      <c r="F2" s="221" t="s">
        <v>4</v>
      </c>
      <c r="G2" s="221" t="s">
        <v>5</v>
      </c>
      <c r="H2" s="221" t="s">
        <v>6</v>
      </c>
      <c r="I2" s="221" t="s">
        <v>7</v>
      </c>
      <c r="J2" s="221"/>
      <c r="K2" s="221" t="s">
        <v>8</v>
      </c>
      <c r="L2" s="221" t="s">
        <v>9</v>
      </c>
      <c r="M2" s="221" t="s">
        <v>10</v>
      </c>
      <c r="N2" s="221" t="s">
        <v>11</v>
      </c>
      <c r="O2" s="221" t="s">
        <v>12</v>
      </c>
      <c r="P2" s="221"/>
      <c r="Q2" s="221" t="s">
        <v>13</v>
      </c>
      <c r="R2" s="221" t="s">
        <v>14</v>
      </c>
      <c r="S2" s="221" t="s">
        <v>15</v>
      </c>
      <c r="T2" s="221" t="s">
        <v>16</v>
      </c>
      <c r="U2" s="221" t="s">
        <v>17</v>
      </c>
      <c r="V2" s="221" t="s">
        <v>18</v>
      </c>
      <c r="W2" s="221" t="s">
        <v>19</v>
      </c>
      <c r="X2" s="221" t="s">
        <v>20</v>
      </c>
      <c r="Y2" s="221" t="s">
        <v>21</v>
      </c>
      <c r="Z2" s="221" t="s">
        <v>22</v>
      </c>
      <c r="AA2" s="221" t="s">
        <v>23</v>
      </c>
      <c r="AB2" s="221" t="s">
        <v>24</v>
      </c>
      <c r="AC2" s="221" t="s">
        <v>25</v>
      </c>
    </row>
    <row r="3" spans="1:29" s="12" customFormat="1" ht="25.05" customHeight="1" x14ac:dyDescent="0.3">
      <c r="A3" s="222">
        <v>1</v>
      </c>
      <c r="B3" s="223" t="s">
        <v>93</v>
      </c>
      <c r="C3" s="222" t="s">
        <v>35</v>
      </c>
      <c r="D3" s="222" t="s">
        <v>576</v>
      </c>
      <c r="E3" s="222">
        <v>262865</v>
      </c>
      <c r="F3" s="222" t="s">
        <v>575</v>
      </c>
      <c r="G3" s="222">
        <v>1400</v>
      </c>
      <c r="H3" s="224">
        <v>0.44500000000000001</v>
      </c>
      <c r="I3" s="224">
        <v>0.83</v>
      </c>
      <c r="J3" s="224"/>
      <c r="K3" s="222" t="s">
        <v>577</v>
      </c>
      <c r="L3" s="224">
        <v>517.09</v>
      </c>
      <c r="M3" s="225">
        <v>387.3</v>
      </c>
      <c r="N3" s="226">
        <v>3.5900000000000001E-2</v>
      </c>
      <c r="O3" s="227">
        <v>2.15</v>
      </c>
      <c r="P3" s="227"/>
      <c r="Q3" s="222">
        <v>162.9</v>
      </c>
      <c r="R3" s="222">
        <v>3</v>
      </c>
      <c r="S3" s="222">
        <v>1400</v>
      </c>
      <c r="T3" s="224">
        <v>1.335</v>
      </c>
      <c r="U3" s="222">
        <v>65</v>
      </c>
      <c r="V3" s="226">
        <v>4.6399999999999997E-2</v>
      </c>
      <c r="W3" s="222" t="s">
        <v>28</v>
      </c>
      <c r="X3" s="222" t="s">
        <v>28</v>
      </c>
      <c r="Y3" s="222" t="s">
        <v>28</v>
      </c>
      <c r="Z3" s="222" t="s">
        <v>27</v>
      </c>
      <c r="AA3" s="222" t="s">
        <v>27</v>
      </c>
      <c r="AB3" s="222" t="s">
        <v>38</v>
      </c>
      <c r="AC3" s="222" t="s">
        <v>574</v>
      </c>
    </row>
    <row r="4" spans="1:29" s="98" customFormat="1" ht="25.05" customHeight="1" x14ac:dyDescent="0.3">
      <c r="A4" s="215">
        <v>1</v>
      </c>
      <c r="B4" s="216" t="s">
        <v>126</v>
      </c>
      <c r="C4" s="215" t="s">
        <v>35</v>
      </c>
      <c r="D4" s="215" t="s">
        <v>698</v>
      </c>
      <c r="E4" s="215">
        <v>262930</v>
      </c>
      <c r="F4" s="215" t="s">
        <v>699</v>
      </c>
      <c r="G4" s="215">
        <v>500</v>
      </c>
      <c r="H4" s="217">
        <v>0.62</v>
      </c>
      <c r="I4" s="217">
        <v>0.96</v>
      </c>
      <c r="J4" s="215" t="s">
        <v>27</v>
      </c>
      <c r="K4" s="215" t="s">
        <v>33</v>
      </c>
      <c r="L4" s="215" t="s">
        <v>27</v>
      </c>
      <c r="M4" s="217">
        <v>297.60000000000002</v>
      </c>
      <c r="N4" s="218">
        <v>240</v>
      </c>
      <c r="O4" s="219">
        <v>3.3300000000000003E-2</v>
      </c>
      <c r="P4" s="220"/>
      <c r="Q4" s="215">
        <v>93.7</v>
      </c>
      <c r="R4" s="215">
        <v>2</v>
      </c>
      <c r="S4" s="215">
        <v>1300</v>
      </c>
      <c r="T4" s="217">
        <v>1.24</v>
      </c>
      <c r="U4" s="215">
        <v>60</v>
      </c>
      <c r="V4" s="219">
        <v>4.6199999999999998E-2</v>
      </c>
      <c r="W4" s="215" t="s">
        <v>28</v>
      </c>
      <c r="X4" s="215" t="s">
        <v>28</v>
      </c>
      <c r="Y4" s="215" t="s">
        <v>28</v>
      </c>
      <c r="Z4" s="215" t="s">
        <v>27</v>
      </c>
      <c r="AA4" s="215" t="s">
        <v>27</v>
      </c>
      <c r="AB4" s="215" t="s">
        <v>38</v>
      </c>
      <c r="AC4" s="215" t="s">
        <v>697</v>
      </c>
    </row>
    <row r="5" spans="1:29" s="12" customFormat="1" ht="25.05" customHeight="1" x14ac:dyDescent="0.3">
      <c r="A5" s="222">
        <v>2</v>
      </c>
      <c r="B5" s="223" t="s">
        <v>93</v>
      </c>
      <c r="C5" s="222" t="s">
        <v>35</v>
      </c>
      <c r="D5" s="222" t="s">
        <v>576</v>
      </c>
      <c r="E5" s="222">
        <v>262866</v>
      </c>
      <c r="F5" s="222">
        <v>83</v>
      </c>
      <c r="G5" s="222">
        <v>1000</v>
      </c>
      <c r="H5" s="224">
        <v>0.63</v>
      </c>
      <c r="I5" s="224">
        <v>1</v>
      </c>
      <c r="J5" s="224"/>
      <c r="K5" s="222" t="s">
        <v>33</v>
      </c>
      <c r="L5" s="224">
        <v>630</v>
      </c>
      <c r="M5" s="225">
        <v>500</v>
      </c>
      <c r="N5" s="226">
        <v>6.9400000000000003E-2</v>
      </c>
      <c r="O5" s="227">
        <v>4.17</v>
      </c>
      <c r="P5" s="227"/>
      <c r="Q5" s="222">
        <v>198.4</v>
      </c>
      <c r="R5" s="222">
        <v>2</v>
      </c>
      <c r="S5" s="222">
        <v>1300</v>
      </c>
      <c r="T5" s="224">
        <v>1.26</v>
      </c>
      <c r="U5" s="222">
        <v>40</v>
      </c>
      <c r="V5" s="226">
        <v>3.0800000000000001E-2</v>
      </c>
      <c r="W5" s="222" t="s">
        <v>28</v>
      </c>
      <c r="X5" s="222" t="s">
        <v>28</v>
      </c>
      <c r="Y5" s="222" t="s">
        <v>28</v>
      </c>
      <c r="Z5" s="222" t="s">
        <v>27</v>
      </c>
      <c r="AA5" s="222" t="s">
        <v>27</v>
      </c>
      <c r="AB5" s="222" t="s">
        <v>38</v>
      </c>
      <c r="AC5" s="222" t="s">
        <v>574</v>
      </c>
    </row>
    <row r="6" spans="1:29" s="90" customFormat="1" ht="25.05" customHeight="1" x14ac:dyDescent="0.3">
      <c r="A6" s="215">
        <v>1</v>
      </c>
      <c r="B6" s="216" t="s">
        <v>704</v>
      </c>
      <c r="C6" s="215" t="s">
        <v>45</v>
      </c>
      <c r="D6" s="215" t="s">
        <v>661</v>
      </c>
      <c r="E6" s="215">
        <v>262932</v>
      </c>
      <c r="F6" s="215" t="s">
        <v>703</v>
      </c>
      <c r="G6" s="215">
        <v>450</v>
      </c>
      <c r="H6" s="217">
        <v>0.56699999999999995</v>
      </c>
      <c r="I6" s="217">
        <v>1.6619999999999999</v>
      </c>
      <c r="J6" s="215" t="s">
        <v>27</v>
      </c>
      <c r="K6" s="215" t="s">
        <v>702</v>
      </c>
      <c r="L6" s="215" t="s">
        <v>27</v>
      </c>
      <c r="M6" s="217">
        <v>424.05900000000003</v>
      </c>
      <c r="N6" s="218">
        <v>373.9</v>
      </c>
      <c r="O6" s="219">
        <v>5.1900000000000002E-2</v>
      </c>
      <c r="P6" s="220"/>
      <c r="Q6" s="215">
        <v>186.6</v>
      </c>
      <c r="R6" s="215">
        <v>2</v>
      </c>
      <c r="S6" s="215">
        <v>1200</v>
      </c>
      <c r="T6" s="217">
        <v>1.1339999999999999</v>
      </c>
      <c r="U6" s="215">
        <v>66</v>
      </c>
      <c r="V6" s="219">
        <v>5.5E-2</v>
      </c>
      <c r="W6" s="215" t="s">
        <v>41</v>
      </c>
      <c r="X6" s="215" t="s">
        <v>41</v>
      </c>
      <c r="Y6" s="215" t="s">
        <v>41</v>
      </c>
      <c r="Z6" s="215" t="s">
        <v>27</v>
      </c>
      <c r="AA6" s="215" t="s">
        <v>27</v>
      </c>
      <c r="AB6" s="215" t="s">
        <v>38</v>
      </c>
      <c r="AC6" s="215" t="s">
        <v>701</v>
      </c>
    </row>
    <row r="7" spans="1:29" s="51" customFormat="1" ht="25.05" customHeight="1" x14ac:dyDescent="0.3">
      <c r="A7" s="222">
        <v>3</v>
      </c>
      <c r="B7" s="228" t="s">
        <v>126</v>
      </c>
      <c r="C7" s="229" t="s">
        <v>35</v>
      </c>
      <c r="D7" s="229"/>
      <c r="E7" s="229">
        <v>262919</v>
      </c>
      <c r="F7" s="229" t="s">
        <v>665</v>
      </c>
      <c r="G7" s="229">
        <v>4500</v>
      </c>
      <c r="H7" s="230">
        <v>0.58099999999999996</v>
      </c>
      <c r="I7" s="230">
        <v>1.9059999999999999</v>
      </c>
      <c r="J7" s="230"/>
      <c r="K7" s="229" t="s">
        <v>666</v>
      </c>
      <c r="L7" s="230"/>
      <c r="M7" s="231"/>
      <c r="N7" s="232"/>
      <c r="O7" s="233"/>
      <c r="P7" s="233"/>
      <c r="Q7" s="229">
        <v>1569.7</v>
      </c>
      <c r="R7" s="229">
        <v>2</v>
      </c>
      <c r="S7" s="229">
        <v>1200</v>
      </c>
      <c r="T7" s="230">
        <v>1.1619999999999999</v>
      </c>
      <c r="U7" s="229">
        <v>38</v>
      </c>
      <c r="V7" s="232">
        <v>3.1699999999999999E-2</v>
      </c>
      <c r="W7" s="229" t="s">
        <v>28</v>
      </c>
      <c r="X7" s="229" t="s">
        <v>28</v>
      </c>
      <c r="Y7" s="229" t="s">
        <v>28</v>
      </c>
      <c r="Z7" s="229" t="s">
        <v>27</v>
      </c>
      <c r="AA7" s="229" t="s">
        <v>27</v>
      </c>
      <c r="AB7" s="229" t="s">
        <v>40</v>
      </c>
      <c r="AC7" s="229" t="s">
        <v>667</v>
      </c>
    </row>
    <row r="8" spans="1:29" s="98" customFormat="1" ht="25.05" customHeight="1" x14ac:dyDescent="0.3">
      <c r="A8" s="222">
        <v>4</v>
      </c>
      <c r="B8" s="216" t="s">
        <v>126</v>
      </c>
      <c r="C8" s="215" t="s">
        <v>49</v>
      </c>
      <c r="D8" s="215" t="s">
        <v>599</v>
      </c>
      <c r="E8" s="215">
        <v>262890</v>
      </c>
      <c r="F8" s="215" t="s">
        <v>625</v>
      </c>
      <c r="G8" s="215">
        <v>1000</v>
      </c>
      <c r="H8" s="217">
        <v>0.55000000000000004</v>
      </c>
      <c r="I8" s="217">
        <v>1.45</v>
      </c>
      <c r="J8" s="217"/>
      <c r="K8" s="215" t="s">
        <v>623</v>
      </c>
      <c r="L8" s="217">
        <v>797.5</v>
      </c>
      <c r="M8" s="218">
        <v>725</v>
      </c>
      <c r="N8" s="219">
        <v>0.1007</v>
      </c>
      <c r="O8" s="220">
        <v>6.04</v>
      </c>
      <c r="P8" s="220"/>
      <c r="Q8" s="215">
        <v>283.10000000000002</v>
      </c>
      <c r="R8" s="215">
        <v>2</v>
      </c>
      <c r="S8" s="215">
        <v>1150</v>
      </c>
      <c r="T8" s="217">
        <v>1.1000000000000001</v>
      </c>
      <c r="U8" s="215">
        <v>50</v>
      </c>
      <c r="V8" s="219">
        <v>4.3499999999999997E-2</v>
      </c>
      <c r="W8" s="215" t="s">
        <v>29</v>
      </c>
      <c r="X8" s="215" t="s">
        <v>28</v>
      </c>
      <c r="Y8" s="215" t="s">
        <v>29</v>
      </c>
      <c r="Z8" s="215" t="s">
        <v>27</v>
      </c>
      <c r="AA8" s="215" t="s">
        <v>27</v>
      </c>
      <c r="AB8" s="215" t="s">
        <v>32</v>
      </c>
      <c r="AC8" s="215" t="s">
        <v>624</v>
      </c>
    </row>
    <row r="9" spans="1:29" s="129" customFormat="1" x14ac:dyDescent="0.3">
      <c r="A9" s="234" t="s">
        <v>27</v>
      </c>
      <c r="B9" s="234" t="s">
        <v>27</v>
      </c>
      <c r="C9" s="234" t="s">
        <v>27</v>
      </c>
      <c r="D9" s="234" t="s">
        <v>27</v>
      </c>
      <c r="E9" s="234" t="s">
        <v>27</v>
      </c>
      <c r="F9" s="234" t="s">
        <v>27</v>
      </c>
      <c r="G9" s="234">
        <f>SUM(G3:G8)</f>
        <v>8850</v>
      </c>
      <c r="H9" s="234" t="s">
        <v>27</v>
      </c>
      <c r="I9" s="234" t="s">
        <v>27</v>
      </c>
      <c r="J9" s="234"/>
      <c r="K9" s="234" t="s">
        <v>27</v>
      </c>
      <c r="L9" s="234" t="s">
        <v>27</v>
      </c>
      <c r="M9" s="234" t="s">
        <v>27</v>
      </c>
      <c r="N9" s="234" t="s">
        <v>27</v>
      </c>
      <c r="O9" s="234" t="s">
        <v>27</v>
      </c>
      <c r="P9" s="234"/>
      <c r="Q9" s="234">
        <f>SUM(Q3:Q8)</f>
        <v>2494.4</v>
      </c>
      <c r="R9" s="234" t="s">
        <v>27</v>
      </c>
      <c r="S9" s="234" t="s">
        <v>27</v>
      </c>
      <c r="T9" s="234" t="s">
        <v>27</v>
      </c>
      <c r="U9" s="234" t="s">
        <v>27</v>
      </c>
      <c r="V9" s="234" t="s">
        <v>27</v>
      </c>
      <c r="W9" s="234" t="s">
        <v>27</v>
      </c>
      <c r="X9" s="234" t="s">
        <v>27</v>
      </c>
      <c r="Y9" s="234" t="s">
        <v>27</v>
      </c>
      <c r="Z9" s="234" t="s">
        <v>27</v>
      </c>
      <c r="AA9" s="234" t="s">
        <v>27</v>
      </c>
      <c r="AB9" s="234" t="s">
        <v>27</v>
      </c>
      <c r="AC9" s="234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67" t="s">
        <v>573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269" t="s">
        <v>566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267" t="s">
        <v>528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267" t="s">
        <v>508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92">
        <v>1</v>
      </c>
      <c r="B3" s="193" t="s">
        <v>58</v>
      </c>
      <c r="C3" s="192" t="s">
        <v>26</v>
      </c>
      <c r="D3" s="192" t="s">
        <v>465</v>
      </c>
      <c r="E3" s="192" t="s">
        <v>27</v>
      </c>
      <c r="F3" s="192">
        <v>262830</v>
      </c>
      <c r="G3" s="192" t="s">
        <v>503</v>
      </c>
      <c r="H3" s="192">
        <v>1100</v>
      </c>
      <c r="I3" s="194">
        <v>0.51700000000000002</v>
      </c>
      <c r="J3" s="194">
        <v>2.68</v>
      </c>
      <c r="K3" s="192" t="s">
        <v>507</v>
      </c>
      <c r="L3" s="194">
        <v>1524.116</v>
      </c>
      <c r="M3" s="195">
        <v>982.7</v>
      </c>
      <c r="N3" s="196">
        <v>9.0999999999999998E-2</v>
      </c>
      <c r="O3" s="197">
        <v>5.46</v>
      </c>
      <c r="P3" s="192">
        <v>820</v>
      </c>
      <c r="Q3" s="192">
        <v>3</v>
      </c>
      <c r="R3" s="192">
        <v>1600</v>
      </c>
      <c r="S3" s="194">
        <v>1.5509999999999999</v>
      </c>
      <c r="T3" s="192">
        <v>49</v>
      </c>
      <c r="U3" s="196">
        <v>3.0599999999999999E-2</v>
      </c>
      <c r="V3" s="192" t="s">
        <v>28</v>
      </c>
      <c r="W3" s="192" t="s">
        <v>29</v>
      </c>
      <c r="X3" s="192" t="s">
        <v>28</v>
      </c>
      <c r="Y3" s="192" t="s">
        <v>28</v>
      </c>
      <c r="Z3" s="192" t="s">
        <v>28</v>
      </c>
      <c r="AA3" s="192" t="s">
        <v>40</v>
      </c>
      <c r="AB3" s="192" t="s">
        <v>506</v>
      </c>
    </row>
    <row r="4" spans="1:28" s="12" customFormat="1" ht="25.05" customHeight="1" x14ac:dyDescent="0.3">
      <c r="A4" s="192">
        <v>2</v>
      </c>
      <c r="B4" s="193" t="s">
        <v>58</v>
      </c>
      <c r="C4" s="192" t="s">
        <v>26</v>
      </c>
      <c r="D4" s="192" t="s">
        <v>465</v>
      </c>
      <c r="E4" s="192" t="s">
        <v>27</v>
      </c>
      <c r="F4" s="192">
        <v>262832</v>
      </c>
      <c r="G4" s="192" t="s">
        <v>503</v>
      </c>
      <c r="H4" s="192">
        <v>660</v>
      </c>
      <c r="I4" s="194">
        <v>0.91200000000000003</v>
      </c>
      <c r="J4" s="194">
        <v>2.1</v>
      </c>
      <c r="K4" s="192" t="s">
        <v>505</v>
      </c>
      <c r="L4" s="194">
        <v>1264.0319999999999</v>
      </c>
      <c r="M4" s="195">
        <v>1386</v>
      </c>
      <c r="N4" s="196">
        <v>0.38500000000000001</v>
      </c>
      <c r="O4" s="197">
        <v>23.1</v>
      </c>
      <c r="P4" s="192">
        <v>680</v>
      </c>
      <c r="Q4" s="192">
        <v>1</v>
      </c>
      <c r="R4" s="192">
        <v>950</v>
      </c>
      <c r="S4" s="194">
        <v>0.91200000000000003</v>
      </c>
      <c r="T4" s="192">
        <v>38</v>
      </c>
      <c r="U4" s="196">
        <v>0.04</v>
      </c>
      <c r="V4" s="192" t="s">
        <v>28</v>
      </c>
      <c r="W4" s="192" t="s">
        <v>29</v>
      </c>
      <c r="X4" s="192" t="s">
        <v>28</v>
      </c>
      <c r="Y4" s="192" t="s">
        <v>28</v>
      </c>
      <c r="Z4" s="192" t="s">
        <v>28</v>
      </c>
      <c r="AA4" s="192" t="s">
        <v>31</v>
      </c>
      <c r="AB4" s="192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86">
        <v>2</v>
      </c>
      <c r="B6" s="187" t="s">
        <v>58</v>
      </c>
      <c r="C6" s="186" t="s">
        <v>26</v>
      </c>
      <c r="D6" s="186" t="s">
        <v>576</v>
      </c>
      <c r="E6" s="186" t="s">
        <v>27</v>
      </c>
      <c r="F6" s="186">
        <v>262872</v>
      </c>
      <c r="G6" s="186" t="s">
        <v>589</v>
      </c>
      <c r="H6" s="186">
        <v>600</v>
      </c>
      <c r="I6" s="188">
        <v>0.86799999999999999</v>
      </c>
      <c r="J6" s="188">
        <v>1.32</v>
      </c>
      <c r="K6" s="186" t="s">
        <v>591</v>
      </c>
      <c r="L6" s="188">
        <v>687.45600000000002</v>
      </c>
      <c r="M6" s="189">
        <v>792</v>
      </c>
      <c r="N6" s="190">
        <v>0.22</v>
      </c>
      <c r="O6" s="191">
        <v>13.2</v>
      </c>
      <c r="P6" s="186">
        <v>369.9</v>
      </c>
      <c r="Q6" s="186">
        <v>1</v>
      </c>
      <c r="R6" s="186">
        <v>900</v>
      </c>
      <c r="S6" s="188">
        <v>0.86799999999999999</v>
      </c>
      <c r="T6" s="186">
        <v>32</v>
      </c>
      <c r="U6" s="190">
        <v>3.56E-2</v>
      </c>
      <c r="V6" s="186" t="s">
        <v>28</v>
      </c>
      <c r="W6" s="186" t="s">
        <v>29</v>
      </c>
      <c r="X6" s="186" t="s">
        <v>28</v>
      </c>
      <c r="Y6" s="186" t="s">
        <v>28</v>
      </c>
      <c r="Z6" s="186" t="s">
        <v>28</v>
      </c>
      <c r="AA6" s="186" t="s">
        <v>31</v>
      </c>
      <c r="AB6" s="186" t="s">
        <v>590</v>
      </c>
    </row>
    <row r="7" spans="1:28" s="12" customFormat="1" ht="25.05" customHeight="1" x14ac:dyDescent="0.3">
      <c r="A7" s="192">
        <v>3</v>
      </c>
      <c r="B7" s="193" t="s">
        <v>58</v>
      </c>
      <c r="C7" s="192" t="s">
        <v>59</v>
      </c>
      <c r="D7" s="192" t="s">
        <v>465</v>
      </c>
      <c r="E7" s="192" t="s">
        <v>27</v>
      </c>
      <c r="F7" s="192">
        <v>262831</v>
      </c>
      <c r="G7" s="192" t="s">
        <v>503</v>
      </c>
      <c r="H7" s="192">
        <v>490</v>
      </c>
      <c r="I7" s="194">
        <v>1.0629999999999999</v>
      </c>
      <c r="J7" s="194">
        <v>1.93</v>
      </c>
      <c r="K7" s="192" t="s">
        <v>502</v>
      </c>
      <c r="L7" s="194">
        <v>1005.279</v>
      </c>
      <c r="M7" s="195">
        <v>945.7</v>
      </c>
      <c r="N7" s="196">
        <v>0.26269999999999999</v>
      </c>
      <c r="O7" s="197">
        <v>15.76</v>
      </c>
      <c r="P7" s="192">
        <v>325.7</v>
      </c>
      <c r="Q7" s="192">
        <v>1</v>
      </c>
      <c r="R7" s="192">
        <v>1100</v>
      </c>
      <c r="S7" s="194">
        <v>1.0629999999999999</v>
      </c>
      <c r="T7" s="192">
        <v>37</v>
      </c>
      <c r="U7" s="196">
        <v>3.3599999999999998E-2</v>
      </c>
      <c r="V7" s="192" t="s">
        <v>28</v>
      </c>
      <c r="W7" s="192" t="s">
        <v>28</v>
      </c>
      <c r="X7" s="192" t="s">
        <v>28</v>
      </c>
      <c r="Y7" s="192" t="s">
        <v>27</v>
      </c>
      <c r="Z7" s="192" t="s">
        <v>27</v>
      </c>
      <c r="AA7" s="192" t="s">
        <v>32</v>
      </c>
      <c r="AB7" s="192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271" t="s">
        <v>489</v>
      </c>
      <c r="B1" s="271" t="s">
        <v>27</v>
      </c>
      <c r="C1" s="271" t="s">
        <v>27</v>
      </c>
      <c r="D1" s="271" t="s">
        <v>27</v>
      </c>
      <c r="E1" s="271" t="s">
        <v>27</v>
      </c>
      <c r="F1" s="271" t="s">
        <v>27</v>
      </c>
      <c r="G1" s="271" t="s">
        <v>27</v>
      </c>
      <c r="H1" s="271" t="s">
        <v>27</v>
      </c>
      <c r="I1" s="271" t="s">
        <v>27</v>
      </c>
      <c r="J1" s="271" t="s">
        <v>27</v>
      </c>
      <c r="K1" s="271" t="s">
        <v>27</v>
      </c>
      <c r="L1" s="271" t="s">
        <v>27</v>
      </c>
      <c r="M1" s="271" t="s">
        <v>27</v>
      </c>
      <c r="N1" s="271" t="s">
        <v>27</v>
      </c>
      <c r="O1" s="271" t="s">
        <v>27</v>
      </c>
      <c r="P1" s="271" t="s">
        <v>27</v>
      </c>
      <c r="Q1" s="271" t="s">
        <v>27</v>
      </c>
      <c r="R1" s="271" t="s">
        <v>27</v>
      </c>
      <c r="S1" s="271" t="s">
        <v>27</v>
      </c>
      <c r="T1" s="271" t="s">
        <v>27</v>
      </c>
      <c r="U1" s="271" t="s">
        <v>27</v>
      </c>
      <c r="V1" s="271" t="s">
        <v>27</v>
      </c>
      <c r="W1" s="271" t="s">
        <v>27</v>
      </c>
      <c r="X1" s="271" t="s">
        <v>27</v>
      </c>
      <c r="Y1" s="271" t="s">
        <v>27</v>
      </c>
      <c r="Z1" s="271" t="s">
        <v>27</v>
      </c>
      <c r="AA1" s="271" t="s">
        <v>27</v>
      </c>
      <c r="AB1" s="271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267" t="s">
        <v>478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272" t="s">
        <v>477</v>
      </c>
      <c r="B1" s="272" t="s">
        <v>27</v>
      </c>
      <c r="C1" s="272" t="s">
        <v>27</v>
      </c>
      <c r="D1" s="272" t="s">
        <v>27</v>
      </c>
      <c r="E1" s="272" t="s">
        <v>27</v>
      </c>
      <c r="F1" s="272" t="s">
        <v>27</v>
      </c>
      <c r="G1" s="272" t="s">
        <v>27</v>
      </c>
      <c r="H1" s="272" t="s">
        <v>27</v>
      </c>
      <c r="I1" s="272" t="s">
        <v>27</v>
      </c>
      <c r="J1" s="272" t="s">
        <v>27</v>
      </c>
      <c r="K1" s="272" t="s">
        <v>27</v>
      </c>
      <c r="L1" s="272" t="s">
        <v>27</v>
      </c>
      <c r="M1" s="272" t="s">
        <v>27</v>
      </c>
      <c r="N1" s="272" t="s">
        <v>27</v>
      </c>
      <c r="O1" s="272" t="s">
        <v>27</v>
      </c>
      <c r="P1" s="272" t="s">
        <v>27</v>
      </c>
      <c r="Q1" s="272" t="s">
        <v>27</v>
      </c>
      <c r="R1" s="272" t="s">
        <v>27</v>
      </c>
      <c r="S1" s="272" t="s">
        <v>27</v>
      </c>
      <c r="T1" s="272" t="s">
        <v>27</v>
      </c>
      <c r="U1" s="272" t="s">
        <v>27</v>
      </c>
      <c r="V1" s="272" t="s">
        <v>27</v>
      </c>
      <c r="W1" s="272" t="s">
        <v>27</v>
      </c>
      <c r="X1" s="272" t="s">
        <v>27</v>
      </c>
      <c r="Y1" s="272" t="s">
        <v>27</v>
      </c>
      <c r="Z1" s="272" t="s">
        <v>27</v>
      </c>
      <c r="AA1" s="272" t="s">
        <v>27</v>
      </c>
      <c r="AB1" s="272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269" t="s">
        <v>458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269" t="s">
        <v>395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269" t="s">
        <v>593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272" t="s">
        <v>364</v>
      </c>
      <c r="B1" s="272" t="s">
        <v>27</v>
      </c>
      <c r="C1" s="272" t="s">
        <v>27</v>
      </c>
      <c r="D1" s="272" t="s">
        <v>27</v>
      </c>
      <c r="E1" s="272" t="s">
        <v>27</v>
      </c>
      <c r="F1" s="272" t="s">
        <v>27</v>
      </c>
      <c r="G1" s="272" t="s">
        <v>27</v>
      </c>
      <c r="H1" s="272" t="s">
        <v>27</v>
      </c>
      <c r="I1" s="272" t="s">
        <v>27</v>
      </c>
      <c r="J1" s="272" t="s">
        <v>27</v>
      </c>
      <c r="K1" s="272" t="s">
        <v>27</v>
      </c>
      <c r="L1" s="272" t="s">
        <v>27</v>
      </c>
      <c r="M1" s="272" t="s">
        <v>27</v>
      </c>
      <c r="N1" s="272" t="s">
        <v>27</v>
      </c>
      <c r="O1" s="272" t="s">
        <v>27</v>
      </c>
      <c r="P1" s="272" t="s">
        <v>27</v>
      </c>
      <c r="Q1" s="272" t="s">
        <v>27</v>
      </c>
      <c r="R1" s="272" t="s">
        <v>27</v>
      </c>
      <c r="S1" s="272" t="s">
        <v>27</v>
      </c>
      <c r="T1" s="272" t="s">
        <v>27</v>
      </c>
      <c r="U1" s="272" t="s">
        <v>27</v>
      </c>
      <c r="V1" s="272" t="s">
        <v>27</v>
      </c>
      <c r="W1" s="272" t="s">
        <v>27</v>
      </c>
      <c r="X1" s="272" t="s">
        <v>27</v>
      </c>
      <c r="Y1" s="272" t="s">
        <v>27</v>
      </c>
      <c r="Z1" s="272" t="s">
        <v>27</v>
      </c>
      <c r="AA1" s="272" t="s">
        <v>27</v>
      </c>
      <c r="AB1" s="272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69" t="s">
        <v>321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269" t="s">
        <v>296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P10" sqref="P10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269" t="s">
        <v>278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269" t="s">
        <v>264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273" t="s">
        <v>247</v>
      </c>
      <c r="B1" s="273" t="s">
        <v>27</v>
      </c>
      <c r="C1" s="273" t="s">
        <v>27</v>
      </c>
      <c r="D1" s="273" t="s">
        <v>27</v>
      </c>
      <c r="E1" s="273" t="s">
        <v>27</v>
      </c>
      <c r="F1" s="273" t="s">
        <v>27</v>
      </c>
      <c r="G1" s="273" t="s">
        <v>27</v>
      </c>
      <c r="H1" s="273" t="s">
        <v>27</v>
      </c>
      <c r="I1" s="273" t="s">
        <v>27</v>
      </c>
      <c r="J1" s="273" t="s">
        <v>27</v>
      </c>
      <c r="K1" s="273" t="s">
        <v>27</v>
      </c>
      <c r="L1" s="273" t="s">
        <v>27</v>
      </c>
      <c r="M1" s="273" t="s">
        <v>27</v>
      </c>
      <c r="N1" s="273" t="s">
        <v>27</v>
      </c>
      <c r="O1" s="273" t="s">
        <v>27</v>
      </c>
      <c r="P1" s="273" t="s">
        <v>27</v>
      </c>
      <c r="Q1" s="273" t="s">
        <v>27</v>
      </c>
      <c r="R1" s="273" t="s">
        <v>27</v>
      </c>
      <c r="S1" s="273" t="s">
        <v>27</v>
      </c>
      <c r="T1" s="273" t="s">
        <v>27</v>
      </c>
      <c r="U1" s="273" t="s">
        <v>27</v>
      </c>
      <c r="V1" s="273" t="s">
        <v>27</v>
      </c>
      <c r="W1" s="273" t="s">
        <v>27</v>
      </c>
      <c r="X1" s="273" t="s">
        <v>27</v>
      </c>
      <c r="Y1" s="273" t="s">
        <v>27</v>
      </c>
      <c r="Z1" s="273" t="s">
        <v>27</v>
      </c>
      <c r="AA1" s="273" t="s">
        <v>27</v>
      </c>
      <c r="AB1" s="273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69" t="s">
        <v>234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86">
        <v>6</v>
      </c>
      <c r="B8" s="187" t="s">
        <v>58</v>
      </c>
      <c r="C8" s="186" t="s">
        <v>26</v>
      </c>
      <c r="D8" s="186" t="s">
        <v>251</v>
      </c>
      <c r="E8" s="186" t="s">
        <v>27</v>
      </c>
      <c r="F8" s="186">
        <v>262770</v>
      </c>
      <c r="G8" s="186" t="s">
        <v>280</v>
      </c>
      <c r="H8" s="186">
        <v>400</v>
      </c>
      <c r="I8" s="188">
        <v>1.3720000000000001</v>
      </c>
      <c r="J8" s="188">
        <v>2.38</v>
      </c>
      <c r="K8" s="186" t="s">
        <v>284</v>
      </c>
      <c r="L8" s="188">
        <v>1306.144</v>
      </c>
      <c r="M8" s="189">
        <v>952</v>
      </c>
      <c r="N8" s="190">
        <v>0.26440000000000002</v>
      </c>
      <c r="O8" s="191">
        <v>15.87</v>
      </c>
      <c r="P8" s="186">
        <v>702.7</v>
      </c>
      <c r="Q8" s="186">
        <v>1</v>
      </c>
      <c r="R8" s="186">
        <v>1400</v>
      </c>
      <c r="S8" s="188">
        <v>1.3720000000000001</v>
      </c>
      <c r="T8" s="186">
        <v>28</v>
      </c>
      <c r="U8" s="190">
        <v>0.02</v>
      </c>
      <c r="V8" s="186" t="s">
        <v>28</v>
      </c>
      <c r="W8" s="186" t="s">
        <v>29</v>
      </c>
      <c r="X8" s="186" t="s">
        <v>28</v>
      </c>
      <c r="Y8" s="186" t="s">
        <v>28</v>
      </c>
      <c r="Z8" s="186" t="s">
        <v>28</v>
      </c>
      <c r="AA8" s="186" t="s">
        <v>30</v>
      </c>
      <c r="AB8" s="186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86">
        <v>11</v>
      </c>
      <c r="B13" s="187" t="s">
        <v>58</v>
      </c>
      <c r="C13" s="186" t="s">
        <v>59</v>
      </c>
      <c r="D13" s="186" t="s">
        <v>440</v>
      </c>
      <c r="E13" s="186" t="s">
        <v>27</v>
      </c>
      <c r="F13" s="186">
        <v>262773</v>
      </c>
      <c r="G13" s="186" t="s">
        <v>439</v>
      </c>
      <c r="H13" s="186">
        <v>930</v>
      </c>
      <c r="I13" s="188">
        <v>0.59199999999999997</v>
      </c>
      <c r="J13" s="188">
        <v>1.62</v>
      </c>
      <c r="K13" s="186" t="s">
        <v>324</v>
      </c>
      <c r="L13" s="188">
        <v>891.90700000000004</v>
      </c>
      <c r="M13" s="189">
        <v>753.3</v>
      </c>
      <c r="N13" s="190">
        <v>0.1046</v>
      </c>
      <c r="O13" s="191">
        <v>6.28</v>
      </c>
      <c r="P13" s="186">
        <v>289</v>
      </c>
      <c r="Q13" s="186">
        <v>2</v>
      </c>
      <c r="R13" s="186">
        <v>1250</v>
      </c>
      <c r="S13" s="188">
        <v>1.1839999999999999</v>
      </c>
      <c r="T13" s="186">
        <v>66</v>
      </c>
      <c r="U13" s="190">
        <v>5.28E-2</v>
      </c>
      <c r="V13" s="186" t="s">
        <v>28</v>
      </c>
      <c r="W13" s="186" t="s">
        <v>28</v>
      </c>
      <c r="X13" s="186" t="s">
        <v>28</v>
      </c>
      <c r="Y13" s="186" t="s">
        <v>27</v>
      </c>
      <c r="Z13" s="186" t="s">
        <v>27</v>
      </c>
      <c r="AA13" s="186" t="s">
        <v>30</v>
      </c>
      <c r="AB13" s="186" t="s">
        <v>325</v>
      </c>
    </row>
    <row r="14" spans="1:28" s="90" customFormat="1" ht="25.05" customHeight="1" x14ac:dyDescent="0.3">
      <c r="A14" s="186">
        <v>12</v>
      </c>
      <c r="B14" s="187" t="s">
        <v>58</v>
      </c>
      <c r="C14" s="186" t="s">
        <v>59</v>
      </c>
      <c r="D14" s="186" t="s">
        <v>222</v>
      </c>
      <c r="E14" s="186" t="s">
        <v>27</v>
      </c>
      <c r="F14" s="186">
        <v>262765</v>
      </c>
      <c r="G14" s="186" t="s">
        <v>231</v>
      </c>
      <c r="H14" s="186">
        <v>1150</v>
      </c>
      <c r="I14" s="188">
        <v>0.54700000000000004</v>
      </c>
      <c r="J14" s="188">
        <v>1.44</v>
      </c>
      <c r="K14" s="186" t="s">
        <v>233</v>
      </c>
      <c r="L14" s="188">
        <v>905.83199999999999</v>
      </c>
      <c r="M14" s="189">
        <v>828</v>
      </c>
      <c r="N14" s="190">
        <v>0.115</v>
      </c>
      <c r="O14" s="191">
        <v>6.9</v>
      </c>
      <c r="P14" s="186">
        <v>293.5</v>
      </c>
      <c r="Q14" s="186">
        <v>2</v>
      </c>
      <c r="R14" s="186">
        <v>1150</v>
      </c>
      <c r="S14" s="188">
        <v>1.0940000000000001</v>
      </c>
      <c r="T14" s="186">
        <v>56</v>
      </c>
      <c r="U14" s="190">
        <v>4.87E-2</v>
      </c>
      <c r="V14" s="186" t="s">
        <v>28</v>
      </c>
      <c r="W14" s="186" t="s">
        <v>28</v>
      </c>
      <c r="X14" s="186" t="s">
        <v>28</v>
      </c>
      <c r="Y14" s="186" t="s">
        <v>27</v>
      </c>
      <c r="Z14" s="186" t="s">
        <v>27</v>
      </c>
      <c r="AA14" s="186" t="s">
        <v>32</v>
      </c>
      <c r="AB14" s="186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86">
        <v>14</v>
      </c>
      <c r="B16" s="187" t="s">
        <v>58</v>
      </c>
      <c r="C16" s="186" t="s">
        <v>35</v>
      </c>
      <c r="D16" s="186" t="s">
        <v>272</v>
      </c>
      <c r="E16" s="186" t="s">
        <v>27</v>
      </c>
      <c r="F16" s="186">
        <v>262771</v>
      </c>
      <c r="G16" s="186" t="s">
        <v>286</v>
      </c>
      <c r="H16" s="186">
        <v>1350</v>
      </c>
      <c r="I16" s="188">
        <v>0.59199999999999997</v>
      </c>
      <c r="J16" s="188">
        <v>1.619</v>
      </c>
      <c r="K16" s="186" t="s">
        <v>287</v>
      </c>
      <c r="L16" s="188">
        <v>1293.905</v>
      </c>
      <c r="M16" s="189">
        <v>1092.8</v>
      </c>
      <c r="N16" s="190">
        <v>0.15179999999999999</v>
      </c>
      <c r="O16" s="191">
        <v>9.11</v>
      </c>
      <c r="P16" s="186">
        <v>407.6</v>
      </c>
      <c r="Q16" s="186">
        <v>2</v>
      </c>
      <c r="R16" s="186">
        <v>1250</v>
      </c>
      <c r="S16" s="188">
        <v>1.1839999999999999</v>
      </c>
      <c r="T16" s="186">
        <v>66</v>
      </c>
      <c r="U16" s="190">
        <v>5.28E-2</v>
      </c>
      <c r="V16" s="186" t="s">
        <v>28</v>
      </c>
      <c r="W16" s="186" t="s">
        <v>28</v>
      </c>
      <c r="X16" s="186" t="s">
        <v>28</v>
      </c>
      <c r="Y16" s="186" t="s">
        <v>27</v>
      </c>
      <c r="Z16" s="186" t="s">
        <v>27</v>
      </c>
      <c r="AA16" s="186" t="s">
        <v>31</v>
      </c>
      <c r="AB16" s="186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69" t="s">
        <v>228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21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269" t="s">
        <v>218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269" t="s">
        <v>235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67" t="s">
        <v>181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67" t="s">
        <v>173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269" t="s">
        <v>143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69" t="s">
        <v>139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272" t="s">
        <v>123</v>
      </c>
      <c r="B1" s="272" t="s">
        <v>27</v>
      </c>
      <c r="C1" s="272" t="s">
        <v>27</v>
      </c>
      <c r="D1" s="272" t="s">
        <v>27</v>
      </c>
      <c r="E1" s="272" t="s">
        <v>27</v>
      </c>
      <c r="F1" s="272" t="s">
        <v>27</v>
      </c>
      <c r="G1" s="272" t="s">
        <v>27</v>
      </c>
      <c r="H1" s="272" t="s">
        <v>27</v>
      </c>
      <c r="I1" s="272" t="s">
        <v>27</v>
      </c>
      <c r="J1" s="272" t="s">
        <v>27</v>
      </c>
      <c r="K1" s="272" t="s">
        <v>27</v>
      </c>
      <c r="L1" s="272" t="s">
        <v>27</v>
      </c>
      <c r="M1" s="272" t="s">
        <v>27</v>
      </c>
      <c r="N1" s="272" t="s">
        <v>27</v>
      </c>
      <c r="O1" s="272" t="s">
        <v>27</v>
      </c>
      <c r="P1" s="272" t="s">
        <v>27</v>
      </c>
      <c r="Q1" s="272" t="s">
        <v>27</v>
      </c>
      <c r="R1" s="272" t="s">
        <v>27</v>
      </c>
      <c r="S1" s="272" t="s">
        <v>27</v>
      </c>
      <c r="T1" s="272" t="s">
        <v>27</v>
      </c>
      <c r="U1" s="272" t="s">
        <v>27</v>
      </c>
      <c r="V1" s="272" t="s">
        <v>27</v>
      </c>
      <c r="W1" s="272" t="s">
        <v>27</v>
      </c>
      <c r="X1" s="272" t="s">
        <v>27</v>
      </c>
      <c r="Y1" s="272" t="s">
        <v>27</v>
      </c>
      <c r="Z1" s="272" t="s">
        <v>27</v>
      </c>
      <c r="AA1" s="272" t="s">
        <v>27</v>
      </c>
      <c r="AB1" s="272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74" t="s">
        <v>105</v>
      </c>
      <c r="B1" s="274" t="s">
        <v>27</v>
      </c>
      <c r="C1" s="274" t="s">
        <v>27</v>
      </c>
      <c r="D1" s="274" t="s">
        <v>27</v>
      </c>
      <c r="E1" s="274" t="s">
        <v>27</v>
      </c>
      <c r="F1" s="274" t="s">
        <v>27</v>
      </c>
      <c r="G1" s="274" t="s">
        <v>27</v>
      </c>
      <c r="H1" s="274" t="s">
        <v>27</v>
      </c>
      <c r="I1" s="274" t="s">
        <v>27</v>
      </c>
      <c r="J1" s="274" t="s">
        <v>27</v>
      </c>
      <c r="K1" s="274" t="s">
        <v>27</v>
      </c>
      <c r="L1" s="274" t="s">
        <v>27</v>
      </c>
      <c r="M1" s="274" t="s">
        <v>27</v>
      </c>
      <c r="N1" s="274" t="s">
        <v>27</v>
      </c>
      <c r="O1" s="274" t="s">
        <v>27</v>
      </c>
      <c r="P1" s="274" t="s">
        <v>27</v>
      </c>
      <c r="Q1" s="274" t="s">
        <v>27</v>
      </c>
      <c r="R1" s="274" t="s">
        <v>27</v>
      </c>
      <c r="S1" s="274" t="s">
        <v>27</v>
      </c>
      <c r="T1" s="274" t="s">
        <v>27</v>
      </c>
      <c r="U1" s="274" t="s">
        <v>27</v>
      </c>
      <c r="V1" s="274" t="s">
        <v>27</v>
      </c>
      <c r="W1" s="274" t="s">
        <v>27</v>
      </c>
      <c r="X1" s="274" t="s">
        <v>27</v>
      </c>
      <c r="Y1" s="274" t="s">
        <v>27</v>
      </c>
      <c r="Z1" s="274" t="s">
        <v>27</v>
      </c>
      <c r="AA1" s="274" t="s">
        <v>27</v>
      </c>
      <c r="AB1" s="274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75" t="s">
        <v>80</v>
      </c>
      <c r="B1" s="275" t="s">
        <v>27</v>
      </c>
      <c r="C1" s="275" t="s">
        <v>27</v>
      </c>
      <c r="D1" s="275" t="s">
        <v>27</v>
      </c>
      <c r="E1" s="275" t="s">
        <v>27</v>
      </c>
      <c r="F1" s="275" t="s">
        <v>27</v>
      </c>
      <c r="G1" s="275" t="s">
        <v>27</v>
      </c>
      <c r="H1" s="275" t="s">
        <v>27</v>
      </c>
      <c r="I1" s="275" t="s">
        <v>27</v>
      </c>
      <c r="J1" s="275" t="s">
        <v>27</v>
      </c>
      <c r="K1" s="275" t="s">
        <v>27</v>
      </c>
      <c r="L1" s="275" t="s">
        <v>27</v>
      </c>
      <c r="M1" s="275" t="s">
        <v>27</v>
      </c>
      <c r="N1" s="275" t="s">
        <v>27</v>
      </c>
      <c r="O1" s="275" t="s">
        <v>27</v>
      </c>
      <c r="P1" s="275" t="s">
        <v>27</v>
      </c>
      <c r="Q1" s="275" t="s">
        <v>27</v>
      </c>
      <c r="R1" s="275" t="s">
        <v>27</v>
      </c>
      <c r="S1" s="275" t="s">
        <v>27</v>
      </c>
      <c r="T1" s="275" t="s">
        <v>27</v>
      </c>
      <c r="U1" s="275" t="s">
        <v>27</v>
      </c>
      <c r="V1" s="275" t="s">
        <v>27</v>
      </c>
      <c r="W1" s="275" t="s">
        <v>27</v>
      </c>
      <c r="X1" s="275" t="s">
        <v>27</v>
      </c>
      <c r="Y1" s="275" t="s">
        <v>27</v>
      </c>
      <c r="Z1" s="275" t="s">
        <v>27</v>
      </c>
      <c r="AA1" s="275" t="s">
        <v>27</v>
      </c>
      <c r="AB1" s="275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48</vt:i4>
      </vt:variant>
      <vt:variant>
        <vt:lpstr>Intervalos Nomeados</vt:lpstr>
      </vt:variant>
      <vt:variant>
        <vt:i4>1</vt:i4>
      </vt:variant>
    </vt:vector>
  </HeadingPairs>
  <TitlesOfParts>
    <vt:vector size="49" baseType="lpstr">
      <vt:lpstr>HARMONY EMBALAGENS 1285</vt:lpstr>
      <vt:lpstr>DR EMBALAGENS 1282 P</vt:lpstr>
      <vt:lpstr>J FER 1281 P</vt:lpstr>
      <vt:lpstr>VÔ CHICO 1280 P</vt:lpstr>
      <vt:lpstr>PCBOX EMBALAGENS 1278 P</vt:lpstr>
      <vt:lpstr>RM EMBALAGENS 1277</vt:lpstr>
      <vt:lpstr>RM Embalagens 1275 P</vt:lpstr>
      <vt:lpstr>FAVINCO EMBALAGENS 1273 P</vt:lpstr>
      <vt:lpstr>ABAPEL 1272 P</vt:lpstr>
      <vt:lpstr>RM Embalagens 1271 P</vt:lpstr>
      <vt:lpstr>IPE -PC BOX 1270 P</vt:lpstr>
      <vt:lpstr>PCBOX  - IPE 1266 P</vt:lpstr>
      <vt:lpstr>Tolecaixas 1264 P</vt:lpstr>
      <vt:lpstr>RM Embalagens 1263 P</vt:lpstr>
      <vt:lpstr>HARMONY EMBALAGENS 1262 P</vt:lpstr>
      <vt:lpstr>HARMONY EMBALAGENS 1260 P</vt:lpstr>
      <vt:lpstr>CARTOMIL EMBALAGENS LTDA 1258 P</vt:lpstr>
      <vt:lpstr>CARPEL 1257 P</vt:lpstr>
      <vt:lpstr>FAVINCO EMBALAGENS 1256 P</vt:lpstr>
      <vt:lpstr>RR STELLA 1253 P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  <vt:lpstr>'FAVINCO EMBALAGENS 1273 P'!Area_de_impressao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2026-10-15T13:09:38Z</cp:lastPrinted>
  <dcterms:created xsi:type="dcterms:W3CDTF">2026-07-02T17:42:15Z</dcterms:created>
  <dcterms:modified xsi:type="dcterms:W3CDTF">2026-10-15T16:27:15Z</dcterms:modified>
</cp:coreProperties>
</file>