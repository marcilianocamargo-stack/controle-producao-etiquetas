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780A14A-BCEA-4AF9-ADEE-74A55A9E420C}" xr6:coauthVersionLast="47" xr6:coauthVersionMax="47" xr10:uidLastSave="{00000000-0000-0000-0000-000000000000}"/>
  <bookViews>
    <workbookView xWindow="-21720" yWindow="-120" windowWidth="21840" windowHeight="13020" firstSheet="1" activeTab="3" xr2:uid="{00000000-000D-0000-FFFF-FFFF00000000}"/>
  </bookViews>
  <sheets>
    <sheet name="ABAPEL 1213" sheetId="159" r:id="rId1"/>
    <sheet name="IPE - PCBOX 1212" sheetId="158" r:id="rId2"/>
    <sheet name="Z4A EMBALAGENS LTDA 1210" sheetId="157" r:id="rId3"/>
    <sheet name="RM Embalagens 1209 P" sheetId="156" r:id="rId4"/>
    <sheet name="IPE - PC BOX 1203P" sheetId="154" r:id="rId5"/>
    <sheet name="ABAPEL 1201" sheetId="153" r:id="rId6"/>
    <sheet name="HARMONY EMBALAGENS 1200" sheetId="152" r:id="rId7"/>
    <sheet name="HARMONY EMBALAGENS 1199" sheetId="151" r:id="rId8"/>
    <sheet name="FAVINCO EMBALAGENS 1197 P" sheetId="150" r:id="rId9"/>
    <sheet name="ABAPEL 1196" sheetId="149" r:id="rId10"/>
    <sheet name="CARPELL LTDA 1195 P" sheetId="147" r:id="rId11"/>
    <sheet name="Renovapel 1192 P" sheetId="146" r:id="rId12"/>
    <sheet name="DR EMBALAGENS 1189  P" sheetId="144" r:id="rId13"/>
    <sheet name="FAVINCO EMBALAGENS 1188 R" sheetId="143" r:id="rId14"/>
    <sheet name="PCBOX - IPE 1187 P" sheetId="142" r:id="rId15"/>
    <sheet name="RM Embalagens 1184 P" sheetId="141" r:id="rId16"/>
    <sheet name="CARTOMIL EMBALAGENS LTDA 1183 P" sheetId="140" r:id="rId17"/>
    <sheet name="Z4A EMBALAGENS LTDA 1182" sheetId="139" r:id="rId18"/>
    <sheet name="HARMONY EMBALAGENS 1180 P" sheetId="137" r:id="rId19"/>
    <sheet name="RM Embalagens 1179 P" sheetId="136" r:id="rId20"/>
    <sheet name="Tolecaixas 1181 P" sheetId="138" r:id="rId21"/>
    <sheet name="ABAPEL 1178 P" sheetId="135" r:id="rId22"/>
    <sheet name="FAVINCO EMBALAGENS 1177 P" sheetId="134" r:id="rId23"/>
    <sheet name="IPE EMBALAGENS 1176 P" sheetId="133" r:id="rId24"/>
    <sheet name="PCBOX EMBALAGENS 1175 P" sheetId="132" r:id="rId25"/>
    <sheet name="ABAPEL 1174 P" sheetId="131" r:id="rId26"/>
    <sheet name="PCBOX EMBALAGENS 1171 P" sheetId="127" r:id="rId27"/>
    <sheet name="HARMONY EMBALAGENS 1169 P" sheetId="125" r:id="rId28"/>
    <sheet name="DR EMBALAGEM 1167 P" sheetId="124" r:id="rId29"/>
    <sheet name="Z4A EMBALAGENS  1166 P" sheetId="123" r:id="rId30"/>
    <sheet name="RM Embalagens 1165 P" sheetId="122" r:id="rId31"/>
    <sheet name="Carpel 1158 P" sheetId="119" r:id="rId32"/>
    <sheet name="ABAPEL 1155 P" sheetId="118" r:id="rId33"/>
    <sheet name="IPE - PCBOX 1154 P" sheetId="117" r:id="rId34"/>
    <sheet name="ABAPEL 1143 P" sheetId="109" r:id="rId35"/>
    <sheet name="HARMONY EMBALAGENS 1138 P" sheetId="102" r:id="rId36"/>
    <sheet name="ABAPEL 1127 P" sheetId="97" r:id="rId37"/>
    <sheet name="ABAPEL 1105 P" sheetId="85" r:id="rId38"/>
    <sheet name="IVAIR SILVA 1122 P" sheetId="91" r:id="rId39"/>
    <sheet name="RENOVAPEL 1115 P" sheetId="88" r:id="rId4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58" l="1"/>
  <c r="H9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<sst xmlns="http://schemas.openxmlformats.org/spreadsheetml/2006/main" count="7382" uniqueCount="790">
  <si>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</si>
  <si>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</si>
  <si>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</si>
  <si>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</si>
  <si>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</si>
  <si>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</si>
  <si>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</si>
  <si>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</si>
  <si>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</si>
  <si>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</si>
  <si>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</si>
  <si>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</si>
  <si>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</si>
  <si>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</si>
  <si>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</si>
  <si>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</si>
  <si>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</si>
  <si>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</si>
  <si>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</si>
  <si>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</si>
  <si>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</si>
  <si>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</si>
  <si>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</si>
  <si>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</si>
  <si>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</si>
  <si>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</si>
  <si>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</si>
  <si>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</si>
  <si>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</si>
  <si>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</si>
  <si>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</si>
  <si>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</si>
  <si>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</si>
  <si>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</si>
  <si>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</si>
  <si>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</si>
  <si>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</si>
  <si>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</si>
  <si>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</si>
  <si>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</si>
  <si>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</si>
  <si>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</si>
  <si>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</si>
  <si>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</si>
  <si>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</si>
  <si>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</si>
  <si>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</si>
  <si>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</si>
  <si>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</si>
  <si>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</si>
  <si>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</si>
  <si>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</si>
  <si>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</si>
  <si>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</si>
  <si>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</si>
  <si>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</si>
  <si>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</si>
  <si>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</si>
  <si>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</si>
  <si>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</si>
  <si>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</si>
  <si>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</si>
  <si>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</si>
  <si>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</si>
  <si>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</si>
  <si>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</si>
  <si>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</si>
  <si>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</si>
  <si>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</si>
  <si>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</si>
  <si>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</si>
  <si>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</si>
  <si>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</si>
  <si>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</si>
  <si>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</si>
  <si>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</si>
  <si>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</si>
  <si>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</si>
  <si>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</si>
  <si>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</si>
  <si>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</si>
  <si>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</si>
  <si>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</si>
  <si>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</si>
  <si>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</si>
  <si>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</si>
  <si>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</si>
  <si>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</si>
  <si>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</si>
  <si>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</si>
  <si>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</si>
  <si>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</si>
  <si>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</si>
  <si>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</si>
  <si>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</si>
  <si>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</si>
  <si>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</si>
  <si>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</si>
  <si>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</si>
  <si>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</si>
  <si>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</si>
  <si>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</si>
  <si>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</si>
  <si>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</si>
  <si>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</si>
  <si>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</si>
  <si>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</si>
  <si>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</si>
  <si>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</si>
  <si>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</si>
  <si>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</si>
  <si>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</si>
  <si>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</si>
  <si>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</si>
  <si>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</si>
  <si>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</si>
  <si>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</si>
  <si>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</si>
  <si>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</si>
  <si>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</si>
  <si>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</si>
  <si>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</si>
  <si>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</si>
  <si>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</si>
  <si>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</si>
  <si>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</si>
  <si>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</si>
  <si>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</si>
  <si>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</si>
  <si>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</si>
  <si>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</si>
  <si>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</si>
  <si>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</si>
  <si>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</si>
  <si>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</si>
  <si>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</si>
  <si>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</si>
  <si>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</si>
  <si>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</si>
  <si>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</si>
  <si>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</si>
  <si>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</si>
  <si>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</si>
  <si>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</si>
  <si>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</si>
  <si>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</si>
  <si>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</si>
  <si>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</si>
  <si>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</si>
  <si>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</si>
  <si>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</si>
  <si>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</si>
  <si>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</si>
  <si>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</si>
  <si>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</si>
  <si>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</si>
  <si>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</si>
  <si>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</si>
  <si>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</si>
  <si>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</si>
  <si>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</si>
  <si>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</si>
  <si>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</si>
  <si>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</si>
  <si>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</si>
  <si>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</si>
  <si>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</si>
  <si>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</si>
  <si>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</si>
  <si>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</si>
  <si>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</si>
  <si>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</si>
  <si>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</si>
  <si>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</si>
  <si>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</si>
  <si>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</si>
  <si>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</si>
  <si>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</si>
  <si>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</si>
  <si>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</si>
  <si>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</si>
  <si>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</si>
  <si>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</si>
  <si>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</si>
  <si>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</si>
  <si>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</si>
  <si>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</si>
  <si>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</si>
  <si>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</si>
  <si>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</si>
  <si>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</si>
  <si>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</si>
  <si>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</si>
  <si>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</si>
  <si>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</si>
  <si>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</si>
  <si>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</si>
  <si>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</si>
  <si>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</si>
  <si>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</si>
  <si>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</si>
  <si>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</si>
  <si>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</si>
  <si>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</si>
  <si>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</si>
  <si>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</si>
  <si>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</si>
  <si>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</si>
  <si>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</si>
  <si>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</si>
  <si>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</si>
  <si>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</si>
  <si>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</si>
  <si>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</si>
  <si>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</si>
  <si>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</si>
  <si>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</si>
  <si>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</si>
  <si>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</si>
  <si>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</si>
  <si>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</si>
  <si>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</si>
  <si>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</si>
  <si>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</si>
  <si>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</si>
  <si>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</si>
  <si>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</si>
  <si>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</si>
  <si>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</si>
  <si>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</si>
  <si>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</si>
  <si>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</si>
  <si>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</si>
  <si>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</si>
  <si>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</si>
  <si>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</si>
  <si>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</si>
  <si>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</si>
  <si>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</si>
  <si>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</si>
  <si>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</si>
  <si>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</si>
  <si>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</si>
  <si>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</si>
  <si>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</si>
  <si>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</si>
  <si>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</si>
  <si>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</si>
  <si>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</si>
  <si>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</si>
  <si>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</si>
  <si>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</si>
  <si>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</si>
  <si>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</si>
  <si>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</si>
  <si>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</si>
  <si>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</si>
  <si>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</si>
  <si>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</si>
  <si>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</si>
  <si>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</si>
  <si>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</si>
  <si>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</si>
  <si>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</si>
  <si>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</si>
  <si>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</si>
  <si>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</si>
  <si>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</si>
  <si>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</si>
  <si>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</si>
  <si>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</si>
  <si>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</si>
  <si>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</si>
  <si>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</si>
  <si>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</si>
  <si>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</si>
  <si>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</si>
  <si>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</si>
  <si>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</si>
  <si>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</si>
  <si>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</si>
  <si>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</si>
  <si>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</si>
  <si>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</si>
  <si>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</si>
  <si>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</si>
  <si>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</si>
  <si>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</si>
  <si>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</si>
  <si>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</si>
  <si>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</si>
  <si>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</si>
  <si>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</si>
  <si>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</si>
  <si>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</si>
  <si>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</si>
  <si>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</si>
  <si>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</si>
  <si>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</si>
  <si>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</si>
  <si>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</si>
  <si>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</si>
  <si>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</si>
  <si>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</si>
  <si>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</si>
  <si>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</si>
  <si>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</si>
  <si>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</si>
  <si>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</si>
  <si>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</si>
  <si>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</si>
  <si>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</si>
  <si>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</si>
  <si>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</si>
  <si>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</si>
  <si>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</si>
  <si>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</si>
  <si>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</si>
  <si>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</si>
  <si>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</si>
  <si>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</si>
  <si>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</si>
  <si>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</si>
  <si>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</si>
  <si>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</si>
  <si>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</si>
  <si>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</si>
  <si>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</si>
  <si>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</si>
  <si>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</si>
  <si>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</si>
  <si>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</si>
  <si>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</si>
  <si>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</si>
  <si>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</si>
  <si>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</si>
  <si>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</si>
  <si>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</si>
  <si>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</si>
  <si>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</si>
  <si>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</si>
  <si>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</si>
  <si>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</si>
  <si>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</si>
  <si>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</si>
  <si>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</si>
  <si>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</si>
  <si>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</si>
  <si>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</si>
  <si>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</si>
  <si>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</si>
  <si>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</si>
  <si>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</si>
  <si>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</si>
  <si>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</si>
  <si>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</si>
  <si>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</si>
  <si>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</si>
  <si>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</si>
  <si>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</si>
  <si>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</si>
  <si>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</si>
  <si>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</si>
  <si>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</si>
  <si>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</si>
  <si>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</si>
  <si>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</si>
  <si>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</si>
  <si>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</si>
  <si>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</si>
  <si>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</si>
  <si>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</si>
  <si>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</si>
  <si>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</si>
  <si>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</si>
  <si>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</si>
  <si>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</si>
  <si>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</si>
  <si>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</si>
  <si>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</si>
  <si>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</si>
  <si>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</si>
  <si>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</si>
  <si>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</si>
  <si>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</si>
  <si>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</si>
  <si>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</si>
  <si>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</si>
  <si>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</si>
  <si>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</si>
  <si>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</si>
  <si>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</si>
  <si>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</si>
  <si>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</si>
  <si>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</si>
  <si>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</si>
  <si>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</si>
  <si>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</si>
  <si>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</si>
  <si>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</si>
  <si>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</si>
  <si>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</si>
  <si>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</si>
  <si>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</si>
  <si>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</si>
  <si>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</si>
  <si>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</si>
  <si>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</si>
  <si>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</si>
  <si>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</si>
  <si>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</si>
  <si>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</si>
  <si>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</si>
  <si>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</si>
  <si>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</si>
  <si>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</si>
  <si>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</si>
  <si>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</si>
  <si>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</si>
  <si>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</si>
  <si>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</si>
  <si>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</si>
  <si>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</si>
  <si>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</si>
  <si>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</si>
  <si>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</si>
  <si>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</si>
  <si>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</si>
  <si>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</si>
  <si>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</si>
  <si>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</si>
  <si>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</si>
  <si>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</si>
  <si>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</si>
  <si>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</si>
  <si>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</si>
  <si>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</si>
  <si>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</si>
  <si>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</si>
  <si>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</si>
  <si>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</si>
  <si>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</si>
  <si>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</si>
  <si>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</si>
  <si>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</si>
  <si>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</si>
  <si>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</si>
  <si>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</si>
  <si>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</si>
  <si>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</si>
  <si>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</si>
  <si>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</si>
  <si>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</si>
  <si>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</si>
  <si>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</si>
  <si>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</si>
  <si>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</si>
  <si>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</si>
  <si>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</si>
  <si>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</si>
  <si>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</si>
  <si>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</si>
  <si>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</si>
  <si>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</si>
  <si>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</si>
  <si>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</si>
  <si>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</si>
  <si>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</si>
  <si>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</si>
  <si>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</si>
  <si>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</si>
  <si>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</si>
  <si>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</si>
  <si>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</si>
  <si>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</si>
  <si>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</si>
  <si>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</si>
  <si>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</si>
  <si>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</si>
  <si>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</si>
  <si>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</si>
  <si>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</si>
  <si>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</si>
  <si>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</si>
  <si>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</si>
  <si>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</si>
  <si>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</si>
  <si>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</si>
  <si>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</si>
  <si>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</si>
  <si>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</si>
  <si>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</si>
  <si>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</si>
  <si>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</si>
  <si>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</si>
  <si>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</si>
  <si>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</si>
  <si>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</si>
  <si>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</si>
  <si>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</si>
  <si>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</si>
  <si>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</si>
  <si>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</si>
  <si>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</si>
  <si>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</si>
  <si>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</si>
  <si>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</si>
  <si>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</si>
  <si>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</si>
  <si>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</si>
  <si>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</si>
  <si>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</si>
  <si>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</si>
  <si>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</si>
  <si>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</si>
  <si>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</si>
  <si>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</si>
  <si>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</si>
  <si>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</si>
  <si>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</si>
  <si>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</si>
  <si>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</si>
  <si>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</si>
  <si>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</si>
  <si>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</si>
  <si>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</si>
  <si>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</si>
  <si>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</si>
  <si>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</si>
  <si>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</si>
  <si>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</si>
  <si>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</si>
  <si>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</si>
  <si>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</si>
  <si>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</si>
  <si>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</si>
  <si>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</si>
  <si>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</si>
  <si>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</si>
  <si>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</si>
  <si>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</si>
  <si>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</si>
  <si>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</si>
  <si>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</si>
  <si>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</si>
  <si>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</si>
  <si>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</si>
  <si>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</si>
  <si>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</si>
  <si>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</si>
  <si>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</si>
  <si>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</si>
  <si>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</si>
  <si>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</si>
  <si>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</si>
  <si>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</si>
  <si>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</si>
  <si>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</si>
  <si>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</si>
  <si>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</si>
  <si>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</si>
  <si>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</si>
  <si>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</si>
  <si>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</si>
  <si>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</si>
  <si>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</si>
  <si>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</si>
  <si>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</si>
  <si>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</si>
  <si>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</si>
  <si>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</si>
  <si>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</si>
  <si>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</si>
  <si>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</si>
  <si>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</si>
  <si>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</si>
  <si>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</si>
  <si>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</si>
  <si>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</si>
  <si>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</si>
  <si>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</si>
  <si>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</si>
  <si>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</si>
  <si>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</si>
  <si>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</si>
  <si>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</si>
  <si>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</si>
  <si>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</si>
  <si>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</si>
  <si>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</si>
  <si>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</si>
  <si>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</si>
  <si>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</si>
  <si>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</si>
  <si>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</si>
  <si>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</si>
  <si>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</si>
  <si>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</si>
  <si>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</si>
  <si>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</si>
  <si>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</si>
  <si>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</si>
  <si>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</si>
  <si>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</si>
  <si>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</si>
  <si>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</si>
  <si>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</si>
  <si>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</si>
  <si>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</si>
  <si>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</si>
  <si>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</si>
  <si>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</si>
  <si>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</si>
  <si>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</si>
  <si>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</si>
  <si>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</si>
  <si>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</si>
  <si>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</si>
  <si>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</si>
  <si>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</si>
  <si>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</si>
  <si>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</si>
  <si>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</si>
  <si>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</si>
  <si>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</si>
  <si>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</si>
  <si>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</si>
  <si>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</si>
  <si>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</si>
  <si>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</si>
  <si>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</si>
  <si>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</si>
  <si>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</si>
  <si>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</si>
  <si>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</si>
  <si>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</si>
  <si>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</si>
  <si>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</si>
  <si>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</si>
  <si>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</si>
  <si>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</si>
  <si>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</si>
  <si>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</si>
  <si>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</si>
  <si>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</si>
  <si>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</si>
  <si>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</si>
  <si>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</si>
  <si>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</si>
  <si>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</si>
  <si>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</si>
  <si>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</si>
  <si>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</si>
  <si>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</si>
  <si>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</si>
  <si>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</si>
  <si>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</si>
  <si>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</si>
  <si>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</si>
  <si>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</si>
  <si>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</si>
  <si>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</si>
  <si>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</si>
  <si>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</si>
  <si>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</si>
  <si>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</si>
  <si>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</si>
  <si>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</si>
  <si>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</si>
  <si>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</si>
  <si>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</si>
  <si>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</si>
  <si>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</si>
  <si>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</si>
  <si>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</si>
  <si>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</si>
  <si>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</si>
  <si>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</si>
  <si>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</si>
  <si>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</si>
  <si>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</si>
  <si>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</si>
  <si>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</si>
  <si>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</si>
  <si>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</si>
  <si>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</si>
  <si>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</si>
  <si>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</si>
  <si>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</si>
  <si>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</si>
  <si>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</si>
  <si>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</si>
  <si>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</si>
  <si>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</si>
  <si>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</si>
  <si>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</si>
  <si>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</si>
  <si>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</si>
  <si>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</si>
  <si>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</si>
  <si>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</si>
  <si>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</si>
  <si>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</si>
  <si>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</si>
  <si>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</si>
  <si>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</si>
  <si>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</si>
  <si>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</si>
  <si>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</si>
  <si>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</si>
  <si>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</si>
  <si>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</si>
  <si>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</si>
  <si>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</si>
  <si>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</si>
  <si>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</si>
  <si>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</si>
  <si>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</si>
  <si>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</si>
  <si>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</si>
  <si>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</si>
  <si>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</si>
  <si>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</si>
  <si>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</si>
  <si>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</si>
  <si>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</si>
  <si>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</si>
  <si>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</si>
  <si>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</si>
  <si>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</si>
  <si>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</si>
  <si>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</si>
  <si>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</si>
  <si>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</si>
  <si>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</si>
  <si>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</si>
  <si>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</si>
  <si>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</si>
  <si>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</si>
  <si>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</si>
  <si>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RM Embalagens (Daiane Marques Canossa ME)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</si>
  <si>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</si>
  <si>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</si>
  <si>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</si>
  <si>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</si>
  <si>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</si>
  <si>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</si>
  <si>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</si>
  <si>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</si>
  <si>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</si>
  <si>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</si>
  <si>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</si>
  <si>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</si>
  <si>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</si>
  <si>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</si>
  <si>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</si>
  <si>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</si>
  <si>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</si>
  <si>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PROGRAMAÇÃO ONDULADEIRA - RM Embalagens (Daiane Marques Canossa ME)  —  OF: 001209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</si>
  <si>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</si>
  <si>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</si>
  <si>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</si>
  <si>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</si>
  <si>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</si>
  <si>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</si>
  <si>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</si>
  <si>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</si>
  <si>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</si>
  <si>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</si>
  <si>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</si>
  <si>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</si>
  <si>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87x364x87</t>
  </si>
  <si>
    <t>1746</t>
  </si>
  <si>
    <t>17/09/2026</t>
  </si>
  <si>
    <t>1741</t>
  </si>
  <si>
    <t>1152x1483</t>
  </si>
  <si>
    <t>182x202x182</t>
  </si>
  <si>
    <t>1745</t>
  </si>
  <si>
    <t>694x1543</t>
  </si>
  <si>
    <t>135x404x135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</si>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</sst>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9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1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workbookViewId="0">
      <selection activeCell="P12" sqref="P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789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x14ac:dyDescent="0.3">
      <c r="A3" s="150">
        <v>1</v>
      </c>
      <c r="B3" s="151" t="s">
        <v>63</v>
      </c>
      <c r="C3" s="150" t="s">
        <v>65</v>
      </c>
      <c r="D3" s="150" t="s">
        <v>773</v>
      </c>
      <c r="E3" s="150" t="s">
        <v>27</v>
      </c>
      <c r="F3" s="150">
        <v>262640</v>
      </c>
      <c r="G3" s="150" t="s">
        <v>784</v>
      </c>
      <c r="H3" s="150">
        <v>800</v>
      </c>
      <c r="I3" s="152">
        <v>0.73199999999999998</v>
      </c>
      <c r="J3" s="152">
        <v>1.6739999999999999</v>
      </c>
      <c r="K3" s="150" t="s">
        <v>788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787</v>
      </c>
    </row>
    <row r="4" spans="1:28" s="156" customFormat="1" x14ac:dyDescent="0.3">
      <c r="A4" s="150">
        <v>2</v>
      </c>
      <c r="B4" s="151" t="s">
        <v>63</v>
      </c>
      <c r="C4" s="150" t="s">
        <v>65</v>
      </c>
      <c r="D4" s="150" t="s">
        <v>773</v>
      </c>
      <c r="E4" s="150" t="s">
        <v>27</v>
      </c>
      <c r="F4" s="150">
        <v>262641</v>
      </c>
      <c r="G4" s="150" t="s">
        <v>784</v>
      </c>
      <c r="H4" s="150">
        <v>1150</v>
      </c>
      <c r="I4" s="152">
        <v>0.54700000000000004</v>
      </c>
      <c r="J4" s="152">
        <v>1.44</v>
      </c>
      <c r="K4" s="150" t="s">
        <v>786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785</v>
      </c>
    </row>
    <row r="5" spans="1:28" s="156" customFormat="1" x14ac:dyDescent="0.3">
      <c r="A5" s="150">
        <v>3</v>
      </c>
      <c r="B5" s="151" t="s">
        <v>63</v>
      </c>
      <c r="C5" s="150" t="s">
        <v>36</v>
      </c>
      <c r="D5" s="150" t="s">
        <v>773</v>
      </c>
      <c r="E5" s="150" t="s">
        <v>27</v>
      </c>
      <c r="F5" s="150">
        <v>262642</v>
      </c>
      <c r="G5" s="150" t="s">
        <v>784</v>
      </c>
      <c r="H5" s="150">
        <v>1000</v>
      </c>
      <c r="I5" s="152">
        <v>0.58099999999999996</v>
      </c>
      <c r="J5" s="152">
        <v>1.58</v>
      </c>
      <c r="K5" s="150" t="s">
        <v>783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782</v>
      </c>
    </row>
    <row r="6" spans="1:28" s="156" customForma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9"/>
  <sheetViews>
    <sheetView workbookViewId="0">
      <selection activeCell="AA14" sqref="AA14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18" t="s">
        <v>781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444</v>
      </c>
      <c r="C3" s="116" t="s">
        <v>45</v>
      </c>
      <c r="D3" s="116" t="s">
        <v>773</v>
      </c>
      <c r="E3" s="116" t="s">
        <v>27</v>
      </c>
      <c r="F3" s="116">
        <v>262639</v>
      </c>
      <c r="G3" s="116" t="s">
        <v>780</v>
      </c>
      <c r="H3" s="116">
        <v>300</v>
      </c>
      <c r="I3" s="117">
        <v>0.67400000000000004</v>
      </c>
      <c r="J3" s="117">
        <v>1.5229999999999999</v>
      </c>
      <c r="K3" s="116" t="s">
        <v>779</v>
      </c>
      <c r="L3" s="113">
        <v>307.95100000000002</v>
      </c>
      <c r="M3" s="115">
        <v>228.4</v>
      </c>
      <c r="N3" s="112">
        <v>3.1699999999999999E-2</v>
      </c>
      <c r="O3" s="114">
        <v>1.9</v>
      </c>
      <c r="P3" s="111">
        <v>174.9</v>
      </c>
      <c r="Q3" s="111">
        <v>2</v>
      </c>
      <c r="R3" s="111">
        <v>1400</v>
      </c>
      <c r="S3" s="113">
        <v>1.3480000000000001</v>
      </c>
      <c r="T3" s="111">
        <v>52</v>
      </c>
      <c r="U3" s="112">
        <v>3.7100000000000001E-2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778</v>
      </c>
    </row>
    <row r="4" spans="1:28" ht="25.05" customHeight="1" x14ac:dyDescent="0.3">
      <c r="A4" s="116">
        <v>2</v>
      </c>
      <c r="B4" s="118" t="s">
        <v>444</v>
      </c>
      <c r="C4" s="116" t="s">
        <v>45</v>
      </c>
      <c r="D4" s="116" t="s">
        <v>773</v>
      </c>
      <c r="E4" s="116" t="s">
        <v>27</v>
      </c>
      <c r="F4" s="116">
        <v>262637</v>
      </c>
      <c r="G4" s="116" t="s">
        <v>777</v>
      </c>
      <c r="H4" s="116">
        <v>500</v>
      </c>
      <c r="I4" s="117">
        <v>0.56599999999999995</v>
      </c>
      <c r="J4" s="117">
        <v>1.4630000000000001</v>
      </c>
      <c r="K4" s="116" t="s">
        <v>776</v>
      </c>
      <c r="L4" s="113">
        <v>414.029</v>
      </c>
      <c r="M4" s="115">
        <v>365.8</v>
      </c>
      <c r="N4" s="112">
        <v>5.0799999999999998E-2</v>
      </c>
      <c r="O4" s="114">
        <v>3.05</v>
      </c>
      <c r="P4" s="111">
        <v>235.2</v>
      </c>
      <c r="Q4" s="111">
        <v>2</v>
      </c>
      <c r="R4" s="111">
        <v>1200</v>
      </c>
      <c r="S4" s="113">
        <v>1.1319999999999999</v>
      </c>
      <c r="T4" s="111">
        <v>68</v>
      </c>
      <c r="U4" s="112">
        <v>5.67E-2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775</v>
      </c>
    </row>
    <row r="5" spans="1:28" ht="25.05" customHeight="1" x14ac:dyDescent="0.3">
      <c r="A5" s="116">
        <v>3</v>
      </c>
      <c r="B5" s="118" t="s">
        <v>448</v>
      </c>
      <c r="C5" s="116" t="s">
        <v>45</v>
      </c>
      <c r="D5" s="116" t="s">
        <v>773</v>
      </c>
      <c r="E5" s="116" t="s">
        <v>27</v>
      </c>
      <c r="F5" s="116">
        <v>262635</v>
      </c>
      <c r="G5" s="116" t="s">
        <v>774</v>
      </c>
      <c r="H5" s="116">
        <v>5000</v>
      </c>
      <c r="I5" s="117">
        <v>0.55900000000000005</v>
      </c>
      <c r="J5" s="117">
        <v>1.389</v>
      </c>
      <c r="K5" s="116" t="s">
        <v>446</v>
      </c>
      <c r="L5" s="113">
        <v>3882.2550000000001</v>
      </c>
      <c r="M5" s="115">
        <v>3472.5</v>
      </c>
      <c r="N5" s="112">
        <v>0.48230000000000001</v>
      </c>
      <c r="O5" s="114">
        <v>28.94</v>
      </c>
      <c r="P5" s="111">
        <v>2205.1</v>
      </c>
      <c r="Q5" s="111">
        <v>2</v>
      </c>
      <c r="R5" s="111">
        <v>1150</v>
      </c>
      <c r="S5" s="113">
        <v>1.1180000000000001</v>
      </c>
      <c r="T5" s="111">
        <v>32</v>
      </c>
      <c r="U5" s="112">
        <v>2.7799999999999998E-2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73</v>
      </c>
      <c r="AB5" s="111" t="s">
        <v>445</v>
      </c>
    </row>
    <row r="6" spans="1:28" ht="25.05" customHeight="1" x14ac:dyDescent="0.3">
      <c r="A6" s="116">
        <v>4</v>
      </c>
      <c r="B6" s="118" t="s">
        <v>448</v>
      </c>
      <c r="C6" s="116" t="s">
        <v>45</v>
      </c>
      <c r="D6" s="116" t="s">
        <v>773</v>
      </c>
      <c r="E6" s="116" t="s">
        <v>27</v>
      </c>
      <c r="F6" s="116">
        <v>262636</v>
      </c>
      <c r="G6" s="116" t="s">
        <v>774</v>
      </c>
      <c r="H6" s="116">
        <v>5000</v>
      </c>
      <c r="I6" s="117">
        <v>0.55900000000000005</v>
      </c>
      <c r="J6" s="117">
        <v>1.389</v>
      </c>
      <c r="K6" s="116" t="s">
        <v>446</v>
      </c>
      <c r="L6" s="113">
        <v>3882.2550000000001</v>
      </c>
      <c r="M6" s="115">
        <v>3472.5</v>
      </c>
      <c r="N6" s="112">
        <v>0.48230000000000001</v>
      </c>
      <c r="O6" s="114">
        <v>28.94</v>
      </c>
      <c r="P6" s="111">
        <v>2205.1</v>
      </c>
      <c r="Q6" s="111">
        <v>2</v>
      </c>
      <c r="R6" s="111">
        <v>1150</v>
      </c>
      <c r="S6" s="113">
        <v>1.1180000000000001</v>
      </c>
      <c r="T6" s="111">
        <v>32</v>
      </c>
      <c r="U6" s="112">
        <v>2.7799999999999998E-2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73</v>
      </c>
      <c r="AB6" s="111" t="s">
        <v>445</v>
      </c>
    </row>
    <row r="7" spans="1:28" ht="25.05" customHeight="1" x14ac:dyDescent="0.3">
      <c r="A7" s="116">
        <v>5</v>
      </c>
      <c r="B7" s="118" t="s">
        <v>444</v>
      </c>
      <c r="C7" s="116" t="s">
        <v>26</v>
      </c>
      <c r="D7" s="116" t="s">
        <v>773</v>
      </c>
      <c r="E7" s="116" t="s">
        <v>27</v>
      </c>
      <c r="F7" s="116">
        <v>262638</v>
      </c>
      <c r="G7" s="116" t="s">
        <v>772</v>
      </c>
      <c r="H7" s="116">
        <v>200</v>
      </c>
      <c r="I7" s="117">
        <v>0.53800000000000003</v>
      </c>
      <c r="J7" s="117">
        <v>1.423</v>
      </c>
      <c r="K7" s="116" t="s">
        <v>771</v>
      </c>
      <c r="L7" s="113">
        <v>153.11500000000001</v>
      </c>
      <c r="M7" s="115">
        <v>142.30000000000001</v>
      </c>
      <c r="N7" s="112">
        <v>1.9800000000000002E-2</v>
      </c>
      <c r="O7" s="114">
        <v>1.19</v>
      </c>
      <c r="P7" s="111">
        <v>82.4</v>
      </c>
      <c r="Q7" s="111">
        <v>2</v>
      </c>
      <c r="R7" s="111">
        <v>1100</v>
      </c>
      <c r="S7" s="113">
        <v>1.0760000000000001</v>
      </c>
      <c r="T7" s="111">
        <v>24</v>
      </c>
      <c r="U7" s="112">
        <v>2.18E-2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39</v>
      </c>
      <c r="AB7" s="111" t="s">
        <v>770</v>
      </c>
    </row>
    <row r="8" spans="1:28" ht="25.05" customHeight="1" x14ac:dyDescent="0.3">
      <c r="A8" s="116"/>
      <c r="B8" s="118" t="s">
        <v>444</v>
      </c>
      <c r="C8" s="116" t="s">
        <v>36</v>
      </c>
      <c r="D8" s="228">
        <v>46282</v>
      </c>
      <c r="E8" s="116"/>
      <c r="F8" s="116">
        <v>262643</v>
      </c>
      <c r="G8" s="116">
        <v>1748</v>
      </c>
      <c r="H8" s="116">
        <v>600</v>
      </c>
      <c r="I8" s="117">
        <v>0.94899999999999995</v>
      </c>
      <c r="J8" s="117">
        <v>1.536</v>
      </c>
      <c r="K8" s="116" t="s">
        <v>587</v>
      </c>
      <c r="L8" s="113">
        <v>874.59799999999996</v>
      </c>
      <c r="M8" s="115">
        <v>921.6</v>
      </c>
      <c r="N8" s="112">
        <v>0.25600000000000001</v>
      </c>
      <c r="O8" s="114">
        <v>15.36</v>
      </c>
      <c r="P8" s="111">
        <v>275.5</v>
      </c>
      <c r="Q8" s="111">
        <v>1</v>
      </c>
      <c r="R8" s="111">
        <v>1000</v>
      </c>
      <c r="S8" s="113">
        <v>0.94899999999999995</v>
      </c>
      <c r="T8" s="111">
        <v>51</v>
      </c>
      <c r="U8" s="112">
        <v>5.0999999999999997E-2</v>
      </c>
      <c r="V8" s="111" t="s">
        <v>28</v>
      </c>
      <c r="W8" s="111" t="s">
        <v>28</v>
      </c>
      <c r="X8" s="111" t="s">
        <v>28</v>
      </c>
      <c r="Y8" s="111"/>
      <c r="Z8" s="111"/>
      <c r="AA8" s="111">
        <v>2</v>
      </c>
      <c r="AB8" s="111" t="s">
        <v>586</v>
      </c>
    </row>
    <row r="9" spans="1:28" ht="25.05" customHeight="1" x14ac:dyDescent="0.3">
      <c r="A9" s="110" t="s">
        <v>27</v>
      </c>
      <c r="B9" s="110" t="s">
        <v>27</v>
      </c>
      <c r="C9" s="110" t="s">
        <v>27</v>
      </c>
      <c r="D9" s="110" t="s">
        <v>27</v>
      </c>
      <c r="E9" s="110" t="s">
        <v>27</v>
      </c>
      <c r="F9" s="110" t="s">
        <v>27</v>
      </c>
      <c r="G9" s="110" t="s">
        <v>27</v>
      </c>
      <c r="H9" s="110">
        <f>SUM(H3:H8)</f>
        <v>11600</v>
      </c>
      <c r="I9" s="110" t="s">
        <v>27</v>
      </c>
      <c r="J9" s="110" t="s">
        <v>27</v>
      </c>
      <c r="K9" s="110" t="s">
        <v>27</v>
      </c>
      <c r="L9" s="109" t="s">
        <v>27</v>
      </c>
      <c r="M9" s="109" t="s">
        <v>27</v>
      </c>
      <c r="N9" s="109" t="s">
        <v>27</v>
      </c>
      <c r="O9" s="109" t="s">
        <v>27</v>
      </c>
      <c r="P9" s="109">
        <f>SUM(P3:P8)</f>
        <v>5178.1999999999989</v>
      </c>
      <c r="Q9" s="109" t="s">
        <v>27</v>
      </c>
      <c r="R9" s="109" t="s">
        <v>27</v>
      </c>
      <c r="S9" s="109" t="s">
        <v>27</v>
      </c>
      <c r="T9" s="109" t="s">
        <v>27</v>
      </c>
      <c r="U9" s="109" t="s">
        <v>27</v>
      </c>
      <c r="V9" s="109" t="s">
        <v>27</v>
      </c>
      <c r="W9" s="109" t="s">
        <v>27</v>
      </c>
      <c r="X9" s="109" t="s">
        <v>27</v>
      </c>
      <c r="Y9" s="109" t="s">
        <v>27</v>
      </c>
      <c r="Z9" s="109" t="s">
        <v>27</v>
      </c>
      <c r="AA9" s="109" t="s">
        <v>27</v>
      </c>
      <c r="AB9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workbookViewId="0">
      <selection activeCell="AH9" sqref="AH9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18" t="s">
        <v>768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767</v>
      </c>
      <c r="H3" s="116">
        <v>7200</v>
      </c>
      <c r="I3" s="117">
        <v>0.64600000000000002</v>
      </c>
      <c r="J3" s="117">
        <v>1.843</v>
      </c>
      <c r="K3" s="116" t="s">
        <v>766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765</v>
      </c>
      <c r="AB3" s="111" t="s">
        <v>764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763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762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761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760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759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dimension ref="A1:AB13"/>
  <sheetViews>
    <sheetView tabSelected="1" topLeftCell="A7" workbookViewId="0">
      <selection activeCell="S20" sqref="S20"/>
    </sheetView>
  </sheetViews>
  <sheetFormatPr defaultRowHeight="14.4" x14ac:dyDescent="0.3"/>
  <cols>
    <col min="1" max="1" width="4.88671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1" t="s">
        <v>758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740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757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756</v>
      </c>
    </row>
    <row r="4" spans="1:28" ht="25.05" customHeight="1" x14ac:dyDescent="0.3">
      <c r="A4" s="116">
        <v>2</v>
      </c>
      <c r="B4" s="118" t="s">
        <v>740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755</v>
      </c>
    </row>
    <row r="5" spans="1:28" ht="25.05" customHeight="1" x14ac:dyDescent="0.3">
      <c r="A5" s="116">
        <v>3</v>
      </c>
      <c r="B5" s="118" t="s">
        <v>740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754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753</v>
      </c>
    </row>
    <row r="6" spans="1:28" ht="25.05" customHeight="1" x14ac:dyDescent="0.3">
      <c r="A6" s="116">
        <v>4</v>
      </c>
      <c r="B6" s="118" t="s">
        <v>740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752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751</v>
      </c>
    </row>
    <row r="7" spans="1:28" ht="25.05" customHeight="1" x14ac:dyDescent="0.3">
      <c r="A7" s="116">
        <v>5</v>
      </c>
      <c r="B7" s="118" t="s">
        <v>740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750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749</v>
      </c>
    </row>
    <row r="8" spans="1:28" ht="25.05" customHeight="1" x14ac:dyDescent="0.3">
      <c r="A8" s="116">
        <v>6</v>
      </c>
      <c r="B8" s="118" t="s">
        <v>740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748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747</v>
      </c>
    </row>
    <row r="9" spans="1:28" ht="25.05" customHeight="1" x14ac:dyDescent="0.3">
      <c r="A9" s="116">
        <v>7</v>
      </c>
      <c r="B9" s="118" t="s">
        <v>740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746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745</v>
      </c>
    </row>
    <row r="10" spans="1:28" ht="25.05" customHeight="1" x14ac:dyDescent="0.3">
      <c r="A10" s="116">
        <v>8</v>
      </c>
      <c r="B10" s="118" t="s">
        <v>740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744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743</v>
      </c>
    </row>
    <row r="11" spans="1:28" ht="25.05" customHeight="1" x14ac:dyDescent="0.3">
      <c r="A11" s="116">
        <v>9</v>
      </c>
      <c r="B11" s="118" t="s">
        <v>740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742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741</v>
      </c>
    </row>
    <row r="12" spans="1:28" ht="25.05" customHeight="1" x14ac:dyDescent="0.3">
      <c r="A12" s="116">
        <v>10</v>
      </c>
      <c r="B12" s="118" t="s">
        <v>740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9" t="s">
        <v>723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0" t="s">
        <v>710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zoomScale="77" zoomScaleNormal="77"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0" t="s">
        <v>702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Z22" sqref="Z22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8" t="s">
        <v>681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769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665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19" t="s">
        <v>592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19" t="s">
        <v>539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X17" sqref="X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0" t="s">
        <v>535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19" t="s">
        <v>496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19" t="s">
        <v>486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9" t="s">
        <v>475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19" t="s">
        <v>454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19" t="s">
        <v>440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19" t="s">
        <v>403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9" t="s">
        <v>329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324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19" t="s">
        <v>258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19" t="s">
        <v>240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9" t="s">
        <v>202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192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19" t="s">
        <v>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19" t="s">
        <v>134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40</vt:i4>
      </vt:variant>
    </vt:vector>
  </HeadingPairs>
  <TitlesOfParts>
    <vt:vector size="40" baseType="lpstr">
      <vt:lpstr>ABAPEL 1213</vt:lpstr>
      <vt:lpstr>IPE - PCBOX 1212</vt:lpstr>
      <vt:lpstr>Z4A EMBALAGENS LTDA 1210</vt:lpstr>
      <vt:lpstr>RM Embalagens 1209 P</vt:lpstr>
      <vt:lpstr>IPE - PC BOX 1203P</vt:lpstr>
      <vt:lpstr>ABAPEL 1201</vt:lpstr>
      <vt:lpstr>HARMONY EMBALAGENS 1200</vt:lpstr>
      <vt:lpstr>HARMONY EMBALAGENS 1199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2026-09-17T19:18:36Z</cp:lastPrinted>
  <dcterms:created xsi:type="dcterms:W3CDTF">2026-07-02T17:42:15Z</dcterms:created>
  <dcterms:modified xsi:type="dcterms:W3CDTF">2026-09-18T12:46:24Z</dcterms:modified>
</cp:coreProperties>
</file>