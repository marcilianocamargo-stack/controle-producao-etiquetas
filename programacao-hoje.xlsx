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165E8C47-23F5-401B-8B0E-31A40344A5ED}" xr6:coauthVersionLast="47" xr6:coauthVersionMax="47" xr10:uidLastSave="{00000000-0000-0000-0000-000000000000}"/>
  <bookViews>
    <workbookView xWindow="-21720" yWindow="-120" windowWidth="21840" windowHeight="13020" firstSheet="9" activeTab="12" xr2:uid="{00000000-000D-0000-FFFF-FFFF00000000}"/>
  </bookViews>
  <sheets>
    <sheet name="PCBOX EMBALAGENS LTDA 1222" sheetId="164" r:id="rId1"/>
    <sheet name="FORBOX 1220" sheetId="163" r:id="rId2"/>
    <sheet name="HARMONY EMBALAGENS 1217" sheetId="162" r:id="rId3"/>
    <sheet name="Z4A EMBALAGENS LTDA 1216" sheetId="161" r:id="rId4"/>
    <sheet name="Tolecaixas 1215" sheetId="160" r:id="rId5"/>
    <sheet name="ABAPEL 1213" sheetId="159" r:id="rId6"/>
    <sheet name="IPE - PCBOX 1212 P" sheetId="158" r:id="rId7"/>
    <sheet name="Z4A EMBALAGENS LTDA 1210 P" sheetId="157" r:id="rId8"/>
    <sheet name="RM Embalagens 1209 P" sheetId="156" r:id="rId9"/>
    <sheet name="ABAPEL 1201 P" sheetId="153" r:id="rId10"/>
    <sheet name="HARMONY EMBALAGENS 1200" sheetId="152" r:id="rId11"/>
    <sheet name="FAVINCO EMBALAGENS 1197 P" sheetId="150" r:id="rId12"/>
    <sheet name="ABAPEL 1196 P" sheetId="149" r:id="rId13"/>
    <sheet name="RM Embalagens 1184 P" sheetId="141" r:id="rId14"/>
    <sheet name="HARMONY EMBALAGENS 1180 P" sheetId="137" r:id="rId15"/>
    <sheet name="Carpel 1158 P" sheetId="119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8" i="153" l="1"/>
  <c r="H8" i="153"/>
  <c r="P11" i="159"/>
  <c r="H11" i="159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<sst xmlns="http://schemas.openxmlformats.org/spreadsheetml/2006/main" count="2780" uniqueCount="307">
  <si>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</si>
  <si>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</si>
  <si>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</si>
  <si>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</si>
  <si>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</si>
  <si>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</si>
  <si>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</si>
  <si>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</si>
  <si>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</si>
  <si>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</si>
  <si>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</si>
  <si>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</si>
  <si>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</si>
  <si>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</si>
  <si>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</si>
  <si>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</si>
  <si>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</si>
  <si>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</si>
  <si>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</si>
  <si>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</si>
  <si>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</si>
  <si>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</si>
  <si>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</si>
  <si>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</si>
  <si>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</si>
  <si>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</si>
  <si>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</si>
  <si>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</si>
  <si>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</si>
  <si>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</si>
  <si>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</si>
  <si>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</si>
  <si>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</si>
  <si>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</si>
  <si>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</si>
  <si>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</si>
  <si>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</si>
  <si>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</si>
  <si>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</si>
  <si>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</si>
  <si>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</si>
  <si>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</si>
  <si>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</si>
  <si>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</si>
  <si>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</si>
  <si>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</si>
  <si>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</si>
  <si>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</si>
  <si>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</si>
  <si>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</si>
  <si>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</si>
  <si>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</si>
  <si>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</si>
  <si>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</si>
  <si>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</si>
  <si>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</si>
  <si>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</si>
  <si>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</si>
  <si>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</si>
  <si>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</si>
  <si>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</si>
  <si>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</si>
  <si>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</si>
  <si>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</si>
  <si>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</si>
  <si>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</si>
  <si>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</si>
  <si>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</si>
  <si>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</si>
  <si>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</si>
  <si>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</si>
  <si>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</si>
  <si>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</si>
  <si>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</si>
  <si>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</si>
  <si>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</si>
  <si>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</si>
  <si>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</si>
  <si>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</si>
  <si>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</si>
  <si>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</si>
  <si>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</si>
  <si>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</si>
  <si>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</si>
  <si>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</si>
  <si>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</si>
  <si>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</si>
  <si>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</si>
  <si>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</si>
  <si>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</si>
  <si>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</si>
  <si>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</si>
  <si>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</si>
  <si>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</si>
  <si>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</si>
  <si>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</si>
  <si>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</si>
  <si>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</si>
  <si>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</si>
  <si>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</si>
  <si>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</si>
  <si>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</si>
  <si>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</si>
  <si>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</si>
  <si>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</si>
  <si>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</si>
  <si>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</si>
  <si>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</si>
  <si>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</si>
  <si>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</si>
  <si>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</si>
  <si>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</si>
  <si>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</si>
  <si>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</si>
  <si>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</si>
  <si>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</si>
  <si>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</si>
  <si>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</si>
  <si>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</si>
  <si>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</si>
  <si>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</si>
  <si>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</si>
  <si>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</si>
  <si>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</si>
  <si>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</si>
  <si>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</si>
  <si>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</si>
  <si>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</si>
  <si>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</si>
  <si>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</si>
  <si>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</si>
  <si>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</si>
  <si>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</si>
  <si>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</si>
  <si>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</si>
  <si>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</si>
  <si>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</si>
  <si>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</si>
  <si>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</si>
  <si>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</si>
  <si>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</si>
  <si>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</si>
  <si>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</si>
  <si>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</si>
  <si>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</si>
  <si>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</si>
  <si>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</si>
  <si>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</si>
  <si>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</si>
  <si>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</si>
  <si>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</si>
  <si>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</si>
  <si>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</si>
  <si>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</si>
  <si>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</si>
  <si>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</si>
  <si>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</si>
  <si>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</si>
  <si>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</si>
  <si>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</si>
  <si>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</si>
  <si>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</si>
  <si>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</si>
  <si>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</si>
  <si>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</si>
  <si>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</si>
  <si>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</si>
  <si>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</si>
  <si>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</si>
  <si>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</si>
  <si>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</si>
  <si>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</si>
  <si>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</si>
  <si>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</si>
  <si>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</si>
  <si>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</si>
  <si>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</si>
  <si>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</si>
  <si>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</si>
  <si>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</si>
  <si>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</si>
  <si>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</si>
  <si>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</si>
  <si>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</si>
  <si>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</si>
  <si>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</si>
  <si>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</si>
  <si>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</si>
  <si>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</si>
  <si>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</si>
  <si>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</si>
  <si>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</si>
  <si>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</si>
  <si>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</si>
  <si>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</si>
  <si>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</si>
  <si>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</si>
  <si>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</si>
  <si>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</si>
  <si>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</si>
  <si>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</si>
  <si>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</si>
  <si>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</si>
  <si>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</si>
  <si>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</si>
  <si>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</si>
  <si>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</si>
  <si>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</si>
  <si>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</si>
  <si>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</si>
  <si>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</si>
  <si>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</si>
  <si>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</si>
  <si>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</si>
  <si>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</si>
  <si>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</si>
  <si>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</si>
  <si>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</si>
  <si>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</si>
  <si>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</si>
  <si>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</si>
  <si>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</si>
  <si>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</si>
  <si>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</si>
  <si>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</si>
  <si>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</si>
  <si>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</si>
  <si>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</si>
  <si>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</si>
  <si>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</si>
  <si>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</si>
  <si>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</si>
  <si>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</si>
  <si>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</si>
  <si>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752x1694</t>
  </si>
  <si>
    <t>186x360x186</t>
  </si>
  <si>
    <t>PROGRAMAÇÃO ONDULADEIRA - ABAPEL COMERCIO DE EMBALAGENS LTDA  —  OF: 001213</t>
  </si>
  <si>
    <t>PROGRAMAÇÃO ONDULADEIRA - RM Embalagens   —  OF: 001209</t>
  </si>
  <si>
    <t>RM Embalagens</t>
  </si>
  <si>
    <t>17092026</t>
  </si>
  <si>
    <t>1080x1380</t>
  </si>
  <si>
    <t>1170x1740</t>
  </si>
  <si>
    <t>980x1270</t>
  </si>
  <si>
    <t>PROGRAMAÇÃO ONDULADEIRA - Tolecaixas Indústria e Comércio Ltda  —  OF: 001215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</si>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</sst>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1" x14ac:knownFonts="1">
    <font>
      <sz val="11"/>
      <color theme="1"/>
      <name val="Calibri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3" fillId="0" borderId="0"/>
    <xf numFmtId="0" fontId="5" fillId="0" borderId="0"/>
    <xf numFmtId="0" fontId="15" fillId="0" borderId="0"/>
  </cellStyleXfs>
  <cellXfs count="103">
    <xf numFmtId="0" fontId="0" fillId="0" borderId="0" xfId="0" applyFont="1" applyAlignment="1"/>
    <xf numFmtId="0" fontId="3" fillId="0" borderId="0" xfId="1"/>
    <xf numFmtId="0" fontId="2" fillId="4" borderId="1" xfId="1" applyFont="1" applyFill="1" applyBorder="1" applyAlignment="1">
      <alignment horizontal="center" vertical="center" wrapText="1"/>
    </xf>
    <xf numFmtId="0" fontId="5" fillId="0" borderId="0" xfId="2"/>
    <xf numFmtId="0" fontId="6" fillId="4" borderId="1" xfId="2" applyFont="1" applyFill="1" applyBorder="1" applyAlignment="1">
      <alignment horizontal="center" vertical="center" wrapText="1"/>
    </xf>
    <xf numFmtId="0" fontId="3" fillId="3" borderId="1" xfId="1" applyFill="1" applyBorder="1" applyAlignment="1">
      <alignment horizontal="center" vertical="center"/>
    </xf>
    <xf numFmtId="166" fontId="3" fillId="3" borderId="1" xfId="1" applyNumberFormat="1" applyFill="1" applyBorder="1" applyAlignment="1">
      <alignment horizontal="center" vertical="center"/>
    </xf>
    <xf numFmtId="164" fontId="3" fillId="3" borderId="1" xfId="1" applyNumberFormat="1" applyFill="1" applyBorder="1" applyAlignment="1">
      <alignment horizontal="center" vertical="center"/>
    </xf>
    <xf numFmtId="2" fontId="3" fillId="3" borderId="1" xfId="1" applyNumberFormat="1" applyFill="1" applyBorder="1" applyAlignment="1">
      <alignment horizontal="center" vertical="center"/>
    </xf>
    <xf numFmtId="165" fontId="3" fillId="3" borderId="1" xfId="1" applyNumberFormat="1" applyFill="1" applyBorder="1" applyAlignment="1">
      <alignment horizontal="center" vertical="center"/>
    </xf>
    <xf numFmtId="0" fontId="4" fillId="3" borderId="1" xfId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center" vertical="center"/>
    </xf>
    <xf numFmtId="0" fontId="3" fillId="0" borderId="0" xfId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1" xfId="2" applyFont="1" applyFill="1" applyBorder="1" applyAlignment="1">
      <alignment horizontal="right"/>
    </xf>
    <xf numFmtId="0" fontId="10" fillId="2" borderId="1" xfId="2" applyFont="1" applyFill="1" applyBorder="1" applyAlignment="1">
      <alignment horizontal="left"/>
    </xf>
    <xf numFmtId="0" fontId="5" fillId="3" borderId="1" xfId="2" applyFill="1" applyBorder="1" applyAlignment="1">
      <alignment horizontal="right"/>
    </xf>
    <xf numFmtId="166" fontId="5" fillId="3" borderId="1" xfId="2" applyNumberFormat="1" applyFill="1" applyBorder="1" applyAlignment="1">
      <alignment horizontal="right"/>
    </xf>
    <xf numFmtId="164" fontId="5" fillId="3" borderId="1" xfId="2" applyNumberFormat="1" applyFill="1" applyBorder="1" applyAlignment="1">
      <alignment horizontal="right"/>
    </xf>
    <xf numFmtId="2" fontId="5" fillId="3" borderId="1" xfId="2" applyNumberFormat="1" applyFill="1" applyBorder="1" applyAlignment="1">
      <alignment horizontal="right"/>
    </xf>
    <xf numFmtId="165" fontId="5" fillId="3" borderId="1" xfId="2" applyNumberFormat="1" applyFill="1" applyBorder="1" applyAlignment="1">
      <alignment horizontal="right"/>
    </xf>
    <xf numFmtId="0" fontId="5" fillId="3" borderId="1" xfId="2" applyFill="1" applyBorder="1" applyAlignment="1">
      <alignment horizontal="left"/>
    </xf>
    <xf numFmtId="164" fontId="5" fillId="3" borderId="1" xfId="2" applyNumberFormat="1" applyFill="1" applyBorder="1" applyAlignment="1">
      <alignment horizontal="left"/>
    </xf>
    <xf numFmtId="0" fontId="10" fillId="3" borderId="1" xfId="2" applyFont="1" applyFill="1" applyBorder="1" applyAlignment="1">
      <alignment horizontal="left"/>
    </xf>
    <xf numFmtId="0" fontId="8" fillId="3" borderId="1" xfId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 vertical="center"/>
    </xf>
    <xf numFmtId="164" fontId="8" fillId="3" borderId="1" xfId="1" applyNumberFormat="1" applyFont="1" applyFill="1" applyBorder="1" applyAlignment="1">
      <alignment horizontal="center" vertical="center"/>
    </xf>
    <xf numFmtId="165" fontId="8" fillId="3" borderId="1" xfId="1" applyNumberFormat="1" applyFont="1" applyFill="1" applyBorder="1" applyAlignment="1">
      <alignment horizontal="center" vertical="center"/>
    </xf>
    <xf numFmtId="166" fontId="8" fillId="3" borderId="1" xfId="1" applyNumberFormat="1" applyFont="1" applyFill="1" applyBorder="1" applyAlignment="1">
      <alignment horizontal="center" vertical="center"/>
    </xf>
    <xf numFmtId="2" fontId="8" fillId="3" borderId="1" xfId="1" applyNumberFormat="1" applyFont="1" applyFill="1" applyBorder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4" fillId="3" borderId="1" xfId="1" applyFont="1" applyFill="1" applyBorder="1" applyAlignment="1">
      <alignment horizontal="center" vertical="center"/>
    </xf>
    <xf numFmtId="0" fontId="9" fillId="2" borderId="1" xfId="1" applyFont="1" applyFill="1" applyBorder="1" applyAlignment="1">
      <alignment horizontal="center" vertical="center"/>
    </xf>
    <xf numFmtId="0" fontId="11" fillId="4" borderId="1" xfId="1" applyFont="1" applyFill="1" applyBorder="1" applyAlignment="1">
      <alignment horizontal="center" vertical="center" wrapText="1"/>
    </xf>
    <xf numFmtId="0" fontId="15" fillId="0" borderId="0" xfId="3"/>
    <xf numFmtId="0" fontId="16" fillId="2" borderId="1" xfId="3" applyFont="1" applyFill="1" applyBorder="1" applyAlignment="1">
      <alignment horizontal="right"/>
    </xf>
    <xf numFmtId="0" fontId="16" fillId="2" borderId="1" xfId="3" applyFont="1" applyFill="1" applyBorder="1" applyAlignment="1">
      <alignment horizontal="left"/>
    </xf>
    <xf numFmtId="0" fontId="15" fillId="3" borderId="1" xfId="3" applyFill="1" applyBorder="1" applyAlignment="1">
      <alignment horizontal="right"/>
    </xf>
    <xf numFmtId="166" fontId="15" fillId="3" borderId="1" xfId="3" applyNumberFormat="1" applyFill="1" applyBorder="1" applyAlignment="1">
      <alignment horizontal="right"/>
    </xf>
    <xf numFmtId="164" fontId="15" fillId="3" borderId="1" xfId="3" applyNumberFormat="1" applyFill="1" applyBorder="1" applyAlignment="1">
      <alignment horizontal="right"/>
    </xf>
    <xf numFmtId="2" fontId="15" fillId="3" borderId="1" xfId="3" applyNumberFormat="1" applyFill="1" applyBorder="1" applyAlignment="1">
      <alignment horizontal="right"/>
    </xf>
    <xf numFmtId="165" fontId="15" fillId="3" borderId="1" xfId="3" applyNumberFormat="1" applyFill="1" applyBorder="1" applyAlignment="1">
      <alignment horizontal="right"/>
    </xf>
    <xf numFmtId="0" fontId="15" fillId="3" borderId="1" xfId="3" applyFill="1" applyBorder="1" applyAlignment="1">
      <alignment horizontal="left"/>
    </xf>
    <xf numFmtId="164" fontId="15" fillId="3" borderId="1" xfId="3" applyNumberFormat="1" applyFill="1" applyBorder="1" applyAlignment="1">
      <alignment horizontal="left"/>
    </xf>
    <xf numFmtId="0" fontId="16" fillId="3" borderId="1" xfId="3" applyFont="1" applyFill="1" applyBorder="1" applyAlignment="1">
      <alignment horizontal="left"/>
    </xf>
    <xf numFmtId="0" fontId="17" fillId="4" borderId="1" xfId="3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center" vertical="center"/>
    </xf>
    <xf numFmtId="164" fontId="15" fillId="3" borderId="1" xfId="0" applyNumberFormat="1" applyFont="1" applyFill="1" applyBorder="1" applyAlignment="1">
      <alignment horizontal="center" vertical="center"/>
    </xf>
    <xf numFmtId="165" fontId="15" fillId="3" borderId="1" xfId="0" applyNumberFormat="1" applyFont="1" applyFill="1" applyBorder="1" applyAlignment="1">
      <alignment horizontal="center" vertical="center"/>
    </xf>
    <xf numFmtId="166" fontId="15" fillId="3" borderId="1" xfId="0" applyNumberFormat="1" applyFont="1" applyFill="1" applyBorder="1" applyAlignment="1">
      <alignment horizontal="center" vertical="center"/>
    </xf>
    <xf numFmtId="2" fontId="15" fillId="3" borderId="1" xfId="0" applyNumberFormat="1" applyFont="1" applyFill="1" applyBorder="1" applyAlignment="1">
      <alignment horizontal="center" vertical="center"/>
    </xf>
    <xf numFmtId="0" fontId="15" fillId="3" borderId="1" xfId="3" applyFill="1" applyBorder="1" applyAlignment="1">
      <alignment horizontal="center" vertical="center"/>
    </xf>
    <xf numFmtId="0" fontId="16" fillId="3" borderId="1" xfId="3" applyFont="1" applyFill="1" applyBorder="1" applyAlignment="1">
      <alignment horizontal="center" vertical="center"/>
    </xf>
    <xf numFmtId="164" fontId="15" fillId="3" borderId="1" xfId="3" applyNumberFormat="1" applyFill="1" applyBorder="1" applyAlignment="1">
      <alignment horizontal="center" vertical="center"/>
    </xf>
    <xf numFmtId="165" fontId="15" fillId="3" borderId="1" xfId="3" applyNumberFormat="1" applyFill="1" applyBorder="1" applyAlignment="1">
      <alignment horizontal="center" vertical="center"/>
    </xf>
    <xf numFmtId="166" fontId="15" fillId="3" borderId="1" xfId="3" applyNumberFormat="1" applyFill="1" applyBorder="1" applyAlignment="1">
      <alignment horizontal="center" vertical="center"/>
    </xf>
    <xf numFmtId="2" fontId="15" fillId="3" borderId="1" xfId="3" applyNumberFormat="1" applyFill="1" applyBorder="1" applyAlignment="1">
      <alignment horizontal="center" vertical="center"/>
    </xf>
    <xf numFmtId="0" fontId="15" fillId="0" borderId="0" xfId="3" applyAlignment="1">
      <alignment horizontal="center" vertical="center"/>
    </xf>
    <xf numFmtId="0" fontId="16" fillId="2" borderId="1" xfId="3" applyFont="1" applyFill="1" applyBorder="1" applyAlignment="1">
      <alignment horizontal="center" vertical="center"/>
    </xf>
    <xf numFmtId="0" fontId="15" fillId="3" borderId="1" xfId="3" applyFill="1" applyBorder="1" applyAlignment="1">
      <alignment horizontal="center"/>
    </xf>
    <xf numFmtId="0" fontId="16" fillId="3" borderId="1" xfId="3" applyFont="1" applyFill="1" applyBorder="1" applyAlignment="1">
      <alignment horizontal="center"/>
    </xf>
    <xf numFmtId="164" fontId="15" fillId="3" borderId="1" xfId="3" applyNumberFormat="1" applyFill="1" applyBorder="1" applyAlignment="1">
      <alignment horizontal="center"/>
    </xf>
    <xf numFmtId="165" fontId="15" fillId="3" borderId="1" xfId="3" applyNumberFormat="1" applyFill="1" applyBorder="1" applyAlignment="1">
      <alignment horizontal="center"/>
    </xf>
    <xf numFmtId="166" fontId="15" fillId="3" borderId="1" xfId="3" applyNumberFormat="1" applyFill="1" applyBorder="1" applyAlignment="1">
      <alignment horizontal="center"/>
    </xf>
    <xf numFmtId="2" fontId="15" fillId="3" borderId="1" xfId="3" applyNumberFormat="1" applyFill="1" applyBorder="1" applyAlignment="1">
      <alignment horizontal="center"/>
    </xf>
    <xf numFmtId="0" fontId="15" fillId="0" borderId="0" xfId="3" applyAlignment="1">
      <alignment horizontal="center"/>
    </xf>
    <xf numFmtId="0" fontId="16" fillId="2" borderId="1" xfId="3" applyFont="1" applyFill="1" applyBorder="1" applyAlignment="1">
      <alignment horizontal="center"/>
    </xf>
    <xf numFmtId="14" fontId="15" fillId="3" borderId="1" xfId="3" applyNumberFormat="1" applyFill="1" applyBorder="1" applyAlignment="1">
      <alignment horizontal="center" vertical="center"/>
    </xf>
    <xf numFmtId="0" fontId="15" fillId="6" borderId="1" xfId="3" applyFill="1" applyBorder="1" applyAlignment="1">
      <alignment horizontal="center"/>
    </xf>
    <xf numFmtId="0" fontId="16" fillId="6" borderId="1" xfId="3" applyFont="1" applyFill="1" applyBorder="1" applyAlignment="1">
      <alignment horizontal="center"/>
    </xf>
    <xf numFmtId="164" fontId="15" fillId="6" borderId="1" xfId="3" applyNumberFormat="1" applyFill="1" applyBorder="1" applyAlignment="1">
      <alignment horizontal="center"/>
    </xf>
    <xf numFmtId="165" fontId="15" fillId="6" borderId="1" xfId="3" applyNumberFormat="1" applyFill="1" applyBorder="1" applyAlignment="1">
      <alignment horizontal="center"/>
    </xf>
    <xf numFmtId="166" fontId="15" fillId="6" borderId="1" xfId="3" applyNumberFormat="1" applyFill="1" applyBorder="1" applyAlignment="1">
      <alignment horizontal="center"/>
    </xf>
    <xf numFmtId="2" fontId="15" fillId="6" borderId="1" xfId="3" applyNumberFormat="1" applyFill="1" applyBorder="1" applyAlignment="1">
      <alignment horizontal="center"/>
    </xf>
    <xf numFmtId="0" fontId="15" fillId="6" borderId="0" xfId="3" applyFill="1" applyAlignment="1">
      <alignment horizontal="center"/>
    </xf>
    <xf numFmtId="14" fontId="15" fillId="3" borderId="1" xfId="3" applyNumberFormat="1" applyFill="1" applyBorder="1" applyAlignment="1">
      <alignment horizontal="center"/>
    </xf>
    <xf numFmtId="0" fontId="15" fillId="5" borderId="0" xfId="3" applyFill="1" applyAlignment="1">
      <alignment horizontal="center"/>
    </xf>
    <xf numFmtId="0" fontId="15" fillId="5" borderId="1" xfId="3" applyFill="1" applyBorder="1" applyAlignment="1">
      <alignment horizontal="center" vertical="center"/>
    </xf>
    <xf numFmtId="0" fontId="16" fillId="5" borderId="1" xfId="3" applyFont="1" applyFill="1" applyBorder="1" applyAlignment="1">
      <alignment horizontal="center" vertical="center"/>
    </xf>
    <xf numFmtId="164" fontId="15" fillId="5" borderId="1" xfId="3" applyNumberFormat="1" applyFill="1" applyBorder="1" applyAlignment="1">
      <alignment horizontal="center" vertical="center"/>
    </xf>
    <xf numFmtId="165" fontId="15" fillId="5" borderId="1" xfId="3" applyNumberFormat="1" applyFill="1" applyBorder="1" applyAlignment="1">
      <alignment horizontal="center" vertical="center"/>
    </xf>
    <xf numFmtId="166" fontId="15" fillId="5" borderId="1" xfId="3" applyNumberFormat="1" applyFill="1" applyBorder="1" applyAlignment="1">
      <alignment horizontal="center" vertical="center"/>
    </xf>
    <xf numFmtId="2" fontId="15" fillId="5" borderId="1" xfId="3" applyNumberFormat="1" applyFill="1" applyBorder="1" applyAlignment="1">
      <alignment horizontal="center" vertical="center"/>
    </xf>
    <xf numFmtId="0" fontId="13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166" fontId="13" fillId="3" borderId="1" xfId="1" applyNumberFormat="1" applyFont="1" applyFill="1" applyBorder="1" applyAlignment="1">
      <alignment horizontal="center" vertical="center"/>
    </xf>
    <xf numFmtId="164" fontId="13" fillId="3" borderId="1" xfId="1" applyNumberFormat="1" applyFont="1" applyFill="1" applyBorder="1" applyAlignment="1">
      <alignment horizontal="center" vertical="center"/>
    </xf>
    <xf numFmtId="2" fontId="13" fillId="3" borderId="1" xfId="1" applyNumberFormat="1" applyFont="1" applyFill="1" applyBorder="1" applyAlignment="1">
      <alignment horizontal="center" vertical="center"/>
    </xf>
    <xf numFmtId="165" fontId="13" fillId="3" borderId="1" xfId="1" applyNumberFormat="1" applyFont="1" applyFill="1" applyBorder="1" applyAlignment="1">
      <alignment horizontal="center" vertical="center"/>
    </xf>
    <xf numFmtId="0" fontId="19" fillId="3" borderId="1" xfId="1" applyFont="1" applyFill="1" applyBorder="1" applyAlignment="1">
      <alignment horizontal="center" vertical="center"/>
    </xf>
    <xf numFmtId="14" fontId="15" fillId="3" borderId="1" xfId="3" applyNumberFormat="1" applyFill="1" applyBorder="1" applyAlignment="1">
      <alignment horizontal="left"/>
    </xf>
    <xf numFmtId="0" fontId="18" fillId="0" borderId="0" xfId="3" applyFont="1"/>
    <xf numFmtId="0" fontId="7" fillId="0" borderId="0" xfId="3" applyFont="1"/>
    <xf numFmtId="0" fontId="1" fillId="0" borderId="0" xfId="1" applyFont="1"/>
    <xf numFmtId="0" fontId="7" fillId="0" borderId="0" xfId="3" applyFont="1" applyAlignment="1">
      <alignment horizontal="center" vertical="center"/>
    </xf>
    <xf numFmtId="0" fontId="12" fillId="0" borderId="0" xfId="1" applyFont="1"/>
    <xf numFmtId="0" fontId="7" fillId="0" borderId="0" xfId="2" applyFont="1"/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3" fillId="3" borderId="1" xfId="1" applyNumberFormat="1" applyFill="1" applyBorder="1" applyAlignment="1">
      <alignment horizontal="center" vertical="center"/>
    </xf>
    <xf numFmtId="0" fontId="7" fillId="0" borderId="0" xfId="1" applyFont="1"/>
    <xf numFmtId="14" fontId="15" fillId="6" borderId="1" xfId="3" applyNumberFormat="1" applyFill="1" applyBorder="1" applyAlignment="1">
      <alignment horizont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dimension ref="A1:AB7"/>
  <sheetViews>
    <sheetView workbookViewId="0">
      <selection sqref="A1:AB1"/>
    </sheetView>
  </sheetViews>
  <sheetFormatPr defaultRowHeight="14.4" x14ac:dyDescent="0.3"/>
  <cols>
    <col min="1" max="1" width="4.109375" style="34" customWidth="1"/>
    <col min="2" max="2" width="20.77734375" style="34" hidden="1" customWidth="1"/>
    <col min="3" max="3" width="7.77734375" style="34" customWidth="1"/>
    <col min="4" max="4" width="11.77734375" style="34" hidden="1" customWidth="1"/>
    <col min="5" max="5" width="8.77734375" style="34" customWidth="1"/>
    <col min="6" max="6" width="7.77734375" style="34" customWidth="1"/>
    <col min="7" max="7" width="5.77734375" style="34" customWidth="1"/>
    <col min="8" max="8" width="6.77734375" style="34" customWidth="1"/>
    <col min="9" max="9" width="6.5546875" style="34" customWidth="1"/>
    <col min="10" max="10" width="6.88671875" style="34" customWidth="1"/>
    <col min="11" max="11" width="8.109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109375" style="34" customWidth="1"/>
    <col min="17" max="17" width="4.5546875" style="34" customWidth="1"/>
    <col min="18" max="18" width="7.109375" style="34" customWidth="1"/>
    <col min="19" max="19" width="7.21875" style="34" customWidth="1"/>
    <col min="20" max="20" width="11.77734375" style="34" hidden="1" customWidth="1"/>
    <col min="21" max="21" width="8.77734375" style="34" hidden="1" customWidth="1"/>
    <col min="22" max="22" width="9.109375" style="34" customWidth="1"/>
    <col min="23" max="23" width="7.77734375" style="34" customWidth="1"/>
    <col min="24" max="24" width="8.21875" style="34" customWidth="1"/>
    <col min="25" max="25" width="8" style="34" customWidth="1"/>
    <col min="26" max="26" width="7.88671875" style="34" customWidth="1"/>
    <col min="27" max="27" width="4.44140625" style="34" customWidth="1"/>
    <col min="28" max="28" width="11.44140625" style="34" customWidth="1"/>
    <col min="29" max="16384" width="8.88671875" style="34"/>
  </cols>
  <sheetData>
    <row r="1" spans="1:28" ht="18" customHeight="1" x14ac:dyDescent="0.35">
      <c r="A1" s="92" t="s">
        <v>300</v>
      </c>
      <c r="B1" s="92" t="s">
        <v>27</v>
      </c>
      <c r="C1" s="92" t="s">
        <v>27</v>
      </c>
      <c r="D1" s="92" t="s">
        <v>27</v>
      </c>
      <c r="E1" s="92" t="s">
        <v>27</v>
      </c>
      <c r="F1" s="92" t="s">
        <v>27</v>
      </c>
      <c r="G1" s="92" t="s">
        <v>27</v>
      </c>
      <c r="H1" s="92" t="s">
        <v>27</v>
      </c>
      <c r="I1" s="92" t="s">
        <v>27</v>
      </c>
      <c r="J1" s="92" t="s">
        <v>27</v>
      </c>
      <c r="K1" s="92" t="s">
        <v>27</v>
      </c>
      <c r="L1" s="92" t="s">
        <v>27</v>
      </c>
      <c r="M1" s="92" t="s">
        <v>27</v>
      </c>
      <c r="N1" s="92" t="s">
        <v>27</v>
      </c>
      <c r="O1" s="92" t="s">
        <v>27</v>
      </c>
      <c r="P1" s="92" t="s">
        <v>27</v>
      </c>
      <c r="Q1" s="92" t="s">
        <v>27</v>
      </c>
      <c r="R1" s="92" t="s">
        <v>27</v>
      </c>
      <c r="S1" s="92" t="s">
        <v>27</v>
      </c>
      <c r="T1" s="92" t="s">
        <v>27</v>
      </c>
      <c r="U1" s="92" t="s">
        <v>27</v>
      </c>
      <c r="V1" s="92" t="s">
        <v>27</v>
      </c>
      <c r="W1" s="92" t="s">
        <v>27</v>
      </c>
      <c r="X1" s="92" t="s">
        <v>27</v>
      </c>
      <c r="Y1" s="92" t="s">
        <v>27</v>
      </c>
      <c r="Z1" s="92" t="s">
        <v>27</v>
      </c>
      <c r="AA1" s="92" t="s">
        <v>27</v>
      </c>
      <c r="AB1" s="92" t="s">
        <v>27</v>
      </c>
    </row>
    <row r="2" spans="1:28" ht="40.799999999999997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90</v>
      </c>
      <c r="C3" s="42" t="s">
        <v>26</v>
      </c>
      <c r="D3" s="42" t="s">
        <v>276</v>
      </c>
      <c r="E3" s="42" t="s">
        <v>27</v>
      </c>
      <c r="F3" s="42">
        <v>262676</v>
      </c>
      <c r="G3" s="42" t="s">
        <v>299</v>
      </c>
      <c r="H3" s="42">
        <v>200</v>
      </c>
      <c r="I3" s="43">
        <v>1.026</v>
      </c>
      <c r="J3" s="43">
        <v>2.0630000000000002</v>
      </c>
      <c r="K3" s="42" t="s">
        <v>33</v>
      </c>
      <c r="L3" s="39">
        <v>423.32799999999997</v>
      </c>
      <c r="M3" s="41">
        <v>412.6</v>
      </c>
      <c r="N3" s="38">
        <v>0.11459999999999999</v>
      </c>
      <c r="O3" s="40">
        <v>6.88</v>
      </c>
      <c r="P3" s="37">
        <v>227.8</v>
      </c>
      <c r="Q3" s="37">
        <v>1</v>
      </c>
      <c r="R3" s="37">
        <v>1050</v>
      </c>
      <c r="S3" s="39">
        <v>1.026</v>
      </c>
      <c r="T3" s="37">
        <v>24</v>
      </c>
      <c r="U3" s="38">
        <v>2.29E-2</v>
      </c>
      <c r="V3" s="37" t="s">
        <v>28</v>
      </c>
      <c r="W3" s="37" t="s">
        <v>29</v>
      </c>
      <c r="X3" s="37" t="s">
        <v>28</v>
      </c>
      <c r="Y3" s="37" t="s">
        <v>28</v>
      </c>
      <c r="Z3" s="37" t="s">
        <v>28</v>
      </c>
      <c r="AA3" s="37" t="s">
        <v>32</v>
      </c>
      <c r="AB3" s="37" t="s">
        <v>298</v>
      </c>
    </row>
    <row r="4" spans="1:28" x14ac:dyDescent="0.3">
      <c r="A4" s="42">
        <v>2</v>
      </c>
      <c r="B4" s="44" t="s">
        <v>90</v>
      </c>
      <c r="C4" s="42" t="s">
        <v>35</v>
      </c>
      <c r="D4" s="42" t="s">
        <v>276</v>
      </c>
      <c r="E4" s="42" t="s">
        <v>27</v>
      </c>
      <c r="F4" s="42">
        <v>262678</v>
      </c>
      <c r="G4" s="42" t="s">
        <v>296</v>
      </c>
      <c r="H4" s="42">
        <v>250</v>
      </c>
      <c r="I4" s="43">
        <v>1.4890000000000001</v>
      </c>
      <c r="J4" s="43">
        <v>1.9890000000000001</v>
      </c>
      <c r="K4" s="42" t="s">
        <v>33</v>
      </c>
      <c r="L4" s="39">
        <v>740.40499999999997</v>
      </c>
      <c r="M4" s="41">
        <v>497.3</v>
      </c>
      <c r="N4" s="38">
        <v>0.1381</v>
      </c>
      <c r="O4" s="40">
        <v>8.2899999999999991</v>
      </c>
      <c r="P4" s="37">
        <v>233.2</v>
      </c>
      <c r="Q4" s="37">
        <v>1</v>
      </c>
      <c r="R4" s="37">
        <v>1550</v>
      </c>
      <c r="S4" s="39">
        <v>1.4890000000000001</v>
      </c>
      <c r="T4" s="37">
        <v>61</v>
      </c>
      <c r="U4" s="38">
        <v>3.9399999999999998E-2</v>
      </c>
      <c r="V4" s="37" t="s">
        <v>28</v>
      </c>
      <c r="W4" s="37" t="s">
        <v>28</v>
      </c>
      <c r="X4" s="37" t="s">
        <v>28</v>
      </c>
      <c r="Y4" s="37" t="s">
        <v>27</v>
      </c>
      <c r="Z4" s="37" t="s">
        <v>27</v>
      </c>
      <c r="AA4" s="37" t="s">
        <v>38</v>
      </c>
      <c r="AB4" s="37" t="s">
        <v>297</v>
      </c>
    </row>
    <row r="5" spans="1:28" x14ac:dyDescent="0.3">
      <c r="A5" s="42">
        <v>3</v>
      </c>
      <c r="B5" s="44" t="s">
        <v>90</v>
      </c>
      <c r="C5" s="42" t="s">
        <v>35</v>
      </c>
      <c r="D5" s="42" t="s">
        <v>276</v>
      </c>
      <c r="E5" s="42" t="s">
        <v>27</v>
      </c>
      <c r="F5" s="42">
        <v>262679</v>
      </c>
      <c r="G5" s="42" t="s">
        <v>296</v>
      </c>
      <c r="H5" s="42">
        <v>150</v>
      </c>
      <c r="I5" s="43">
        <v>1.19</v>
      </c>
      <c r="J5" s="43">
        <v>1.417</v>
      </c>
      <c r="K5" s="42" t="s">
        <v>33</v>
      </c>
      <c r="L5" s="39">
        <v>252.934</v>
      </c>
      <c r="M5" s="41">
        <v>212.6</v>
      </c>
      <c r="N5" s="38">
        <v>5.8999999999999997E-2</v>
      </c>
      <c r="O5" s="40">
        <v>3.54</v>
      </c>
      <c r="P5" s="37">
        <v>79.7</v>
      </c>
      <c r="Q5" s="37">
        <v>1</v>
      </c>
      <c r="R5" s="37">
        <v>1250</v>
      </c>
      <c r="S5" s="39">
        <v>1.19</v>
      </c>
      <c r="T5" s="37">
        <v>60</v>
      </c>
      <c r="U5" s="38">
        <v>4.8000000000000001E-2</v>
      </c>
      <c r="V5" s="37" t="s">
        <v>28</v>
      </c>
      <c r="W5" s="37" t="s">
        <v>28</v>
      </c>
      <c r="X5" s="37" t="s">
        <v>28</v>
      </c>
      <c r="Y5" s="37" t="s">
        <v>27</v>
      </c>
      <c r="Z5" s="37" t="s">
        <v>27</v>
      </c>
      <c r="AA5" s="37" t="s">
        <v>38</v>
      </c>
      <c r="AB5" s="37" t="s">
        <v>295</v>
      </c>
    </row>
    <row r="6" spans="1:28" x14ac:dyDescent="0.3">
      <c r="A6" s="42">
        <v>4</v>
      </c>
      <c r="B6" s="44" t="s">
        <v>90</v>
      </c>
      <c r="C6" s="42" t="s">
        <v>42</v>
      </c>
      <c r="D6" s="42" t="s">
        <v>276</v>
      </c>
      <c r="E6" s="42" t="s">
        <v>27</v>
      </c>
      <c r="F6" s="42">
        <v>262677</v>
      </c>
      <c r="G6" s="42" t="s">
        <v>294</v>
      </c>
      <c r="H6" s="42">
        <v>1000</v>
      </c>
      <c r="I6" s="43">
        <v>0.8</v>
      </c>
      <c r="J6" s="43">
        <v>1.171</v>
      </c>
      <c r="K6" s="42" t="s">
        <v>33</v>
      </c>
      <c r="L6" s="39">
        <v>936.8</v>
      </c>
      <c r="M6" s="41">
        <v>1171</v>
      </c>
      <c r="N6" s="38">
        <v>0.32529999999999998</v>
      </c>
      <c r="O6" s="40">
        <v>19.52</v>
      </c>
      <c r="P6" s="37">
        <v>323.2</v>
      </c>
      <c r="Q6" s="37">
        <v>1</v>
      </c>
      <c r="R6" s="37">
        <v>850</v>
      </c>
      <c r="S6" s="39">
        <v>0.8</v>
      </c>
      <c r="T6" s="37">
        <v>50</v>
      </c>
      <c r="U6" s="38">
        <v>5.8799999999999998E-2</v>
      </c>
      <c r="V6" s="37" t="s">
        <v>29</v>
      </c>
      <c r="W6" s="37" t="s">
        <v>29</v>
      </c>
      <c r="X6" s="37" t="s">
        <v>28</v>
      </c>
      <c r="Y6" s="37" t="s">
        <v>27</v>
      </c>
      <c r="Z6" s="37" t="s">
        <v>27</v>
      </c>
      <c r="AA6" s="37" t="s">
        <v>32</v>
      </c>
      <c r="AB6" s="37" t="s">
        <v>293</v>
      </c>
    </row>
    <row r="7" spans="1:28" x14ac:dyDescent="0.3">
      <c r="A7" s="36" t="s">
        <v>27</v>
      </c>
      <c r="B7" s="36" t="s">
        <v>27</v>
      </c>
      <c r="C7" s="36" t="s">
        <v>27</v>
      </c>
      <c r="D7" s="36" t="s">
        <v>27</v>
      </c>
      <c r="E7" s="36" t="s">
        <v>27</v>
      </c>
      <c r="F7" s="36" t="s">
        <v>27</v>
      </c>
      <c r="G7" s="36" t="s">
        <v>27</v>
      </c>
      <c r="H7" s="36">
        <v>1600</v>
      </c>
      <c r="I7" s="36" t="s">
        <v>27</v>
      </c>
      <c r="J7" s="36" t="s">
        <v>27</v>
      </c>
      <c r="K7" s="36" t="s">
        <v>27</v>
      </c>
      <c r="L7" s="35" t="s">
        <v>27</v>
      </c>
      <c r="M7" s="35" t="s">
        <v>27</v>
      </c>
      <c r="N7" s="35" t="s">
        <v>27</v>
      </c>
      <c r="O7" s="35" t="s">
        <v>27</v>
      </c>
      <c r="P7" s="35">
        <v>863.8</v>
      </c>
      <c r="Q7" s="35" t="s">
        <v>27</v>
      </c>
      <c r="R7" s="35" t="s">
        <v>27</v>
      </c>
      <c r="S7" s="35" t="s">
        <v>27</v>
      </c>
      <c r="T7" s="35" t="s">
        <v>27</v>
      </c>
      <c r="U7" s="35" t="s">
        <v>27</v>
      </c>
      <c r="V7" s="35" t="s">
        <v>27</v>
      </c>
      <c r="W7" s="35" t="s">
        <v>27</v>
      </c>
      <c r="X7" s="35" t="s">
        <v>27</v>
      </c>
      <c r="Y7" s="35" t="s">
        <v>27</v>
      </c>
      <c r="Z7" s="35" t="s">
        <v>27</v>
      </c>
      <c r="AA7" s="35" t="s">
        <v>27</v>
      </c>
      <c r="AB7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dimension ref="A1:AB7"/>
  <sheetViews>
    <sheetView workbookViewId="0">
      <selection activeCell="C3" sqref="C3:C6"/>
    </sheetView>
  </sheetViews>
  <sheetFormatPr defaultRowHeight="14.4" x14ac:dyDescent="0.3"/>
  <cols>
    <col min="1" max="1" width="4.6640625" style="34" customWidth="1"/>
    <col min="2" max="2" width="20.77734375" style="34" hidden="1" customWidth="1"/>
    <col min="3" max="3" width="6.21875" style="34" customWidth="1"/>
    <col min="4" max="4" width="11.77734375" style="34" hidden="1" customWidth="1"/>
    <col min="5" max="5" width="9" style="34" customWidth="1"/>
    <col min="6" max="6" width="7.33203125" style="34" customWidth="1"/>
    <col min="7" max="7" width="4.5546875" style="34" customWidth="1"/>
    <col min="8" max="8" width="5.88671875" style="34" customWidth="1"/>
    <col min="9" max="10" width="6.6640625" style="34" customWidth="1"/>
    <col min="11" max="11" width="12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88671875" style="34" customWidth="1"/>
    <col min="17" max="17" width="3.33203125" style="34" customWidth="1"/>
    <col min="18" max="18" width="4.77734375" style="34" customWidth="1"/>
    <col min="19" max="19" width="6.33203125" style="34" customWidth="1"/>
    <col min="20" max="20" width="11.77734375" style="34" hidden="1" customWidth="1"/>
    <col min="21" max="21" width="8.77734375" style="34" hidden="1" customWidth="1"/>
    <col min="22" max="22" width="8.109375" style="34" customWidth="1"/>
    <col min="23" max="24" width="7.5546875" style="34" customWidth="1"/>
    <col min="25" max="26" width="7.109375" style="34" customWidth="1"/>
    <col min="27" max="27" width="4.21875" style="34" customWidth="1"/>
    <col min="28" max="28" width="10.109375" style="34" customWidth="1"/>
    <col min="29" max="16384" width="8.88671875" style="34"/>
  </cols>
  <sheetData>
    <row r="1" spans="1:28" ht="18" customHeight="1" x14ac:dyDescent="0.35">
      <c r="A1" s="92" t="s">
        <v>282</v>
      </c>
      <c r="B1" s="92" t="s">
        <v>27</v>
      </c>
      <c r="C1" s="92" t="s">
        <v>27</v>
      </c>
      <c r="D1" s="92" t="s">
        <v>27</v>
      </c>
      <c r="E1" s="92" t="s">
        <v>27</v>
      </c>
      <c r="F1" s="92" t="s">
        <v>27</v>
      </c>
      <c r="G1" s="92" t="s">
        <v>27</v>
      </c>
      <c r="H1" s="92" t="s">
        <v>27</v>
      </c>
      <c r="I1" s="92" t="s">
        <v>27</v>
      </c>
      <c r="J1" s="92" t="s">
        <v>27</v>
      </c>
      <c r="K1" s="92" t="s">
        <v>27</v>
      </c>
      <c r="L1" s="92" t="s">
        <v>27</v>
      </c>
      <c r="M1" s="92" t="s">
        <v>27</v>
      </c>
      <c r="N1" s="92" t="s">
        <v>27</v>
      </c>
      <c r="O1" s="92" t="s">
        <v>27</v>
      </c>
      <c r="P1" s="92" t="s">
        <v>27</v>
      </c>
      <c r="Q1" s="92" t="s">
        <v>27</v>
      </c>
      <c r="R1" s="92" t="s">
        <v>27</v>
      </c>
      <c r="S1" s="92" t="s">
        <v>27</v>
      </c>
      <c r="T1" s="92" t="s">
        <v>27</v>
      </c>
      <c r="U1" s="92" t="s">
        <v>27</v>
      </c>
      <c r="V1" s="92" t="s">
        <v>27</v>
      </c>
      <c r="W1" s="92" t="s">
        <v>27</v>
      </c>
      <c r="X1" s="92" t="s">
        <v>27</v>
      </c>
      <c r="Y1" s="92" t="s">
        <v>27</v>
      </c>
      <c r="Z1" s="92" t="s">
        <v>27</v>
      </c>
      <c r="AA1" s="92" t="s">
        <v>27</v>
      </c>
      <c r="AB1" s="92" t="s">
        <v>27</v>
      </c>
    </row>
    <row r="2" spans="1:28" ht="57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277</v>
      </c>
      <c r="C3" s="42" t="s">
        <v>44</v>
      </c>
      <c r="D3" s="42" t="s">
        <v>276</v>
      </c>
      <c r="E3" s="42" t="s">
        <v>27</v>
      </c>
      <c r="F3" s="42">
        <v>262670</v>
      </c>
      <c r="G3" s="42" t="s">
        <v>275</v>
      </c>
      <c r="H3" s="42">
        <v>1050</v>
      </c>
      <c r="I3" s="43">
        <v>0.56899999999999995</v>
      </c>
      <c r="J3" s="43">
        <v>1.33</v>
      </c>
      <c r="K3" s="42" t="s">
        <v>281</v>
      </c>
      <c r="L3" s="39">
        <v>794.60799999999995</v>
      </c>
      <c r="M3" s="41">
        <v>698.3</v>
      </c>
      <c r="N3" s="38">
        <v>9.7000000000000003E-2</v>
      </c>
      <c r="O3" s="40">
        <v>5.82</v>
      </c>
      <c r="P3" s="37">
        <v>451.3</v>
      </c>
      <c r="Q3" s="37">
        <v>2</v>
      </c>
      <c r="R3" s="37">
        <v>1200</v>
      </c>
      <c r="S3" s="39">
        <v>1.1379999999999999</v>
      </c>
      <c r="T3" s="37">
        <v>62</v>
      </c>
      <c r="U3" s="38">
        <v>5.1700000000000003E-2</v>
      </c>
      <c r="V3" s="37" t="s">
        <v>34</v>
      </c>
      <c r="W3" s="37" t="s">
        <v>39</v>
      </c>
      <c r="X3" s="37" t="s">
        <v>34</v>
      </c>
      <c r="Y3" s="37" t="s">
        <v>34</v>
      </c>
      <c r="Z3" s="37" t="s">
        <v>34</v>
      </c>
      <c r="AA3" s="37" t="s">
        <v>30</v>
      </c>
      <c r="AB3" s="37" t="s">
        <v>280</v>
      </c>
    </row>
    <row r="4" spans="1:28" x14ac:dyDescent="0.3">
      <c r="A4" s="42">
        <v>2</v>
      </c>
      <c r="B4" s="44" t="s">
        <v>277</v>
      </c>
      <c r="C4" s="42" t="s">
        <v>44</v>
      </c>
      <c r="D4" s="42" t="s">
        <v>276</v>
      </c>
      <c r="E4" s="42" t="s">
        <v>27</v>
      </c>
      <c r="F4" s="42">
        <v>262669</v>
      </c>
      <c r="G4" s="42" t="s">
        <v>275</v>
      </c>
      <c r="H4" s="42">
        <v>3100</v>
      </c>
      <c r="I4" s="43">
        <v>1.119</v>
      </c>
      <c r="J4" s="43">
        <v>1.67</v>
      </c>
      <c r="K4" s="42" t="s">
        <v>279</v>
      </c>
      <c r="L4" s="39">
        <v>5793.0630000000001</v>
      </c>
      <c r="M4" s="41">
        <v>5177</v>
      </c>
      <c r="N4" s="38">
        <v>1.4380999999999999</v>
      </c>
      <c r="O4" s="40">
        <v>86.28</v>
      </c>
      <c r="P4" s="37">
        <v>3290.5</v>
      </c>
      <c r="Q4" s="37">
        <v>1</v>
      </c>
      <c r="R4" s="37">
        <v>1150</v>
      </c>
      <c r="S4" s="39">
        <v>1.119</v>
      </c>
      <c r="T4" s="37">
        <v>31</v>
      </c>
      <c r="U4" s="38">
        <v>2.7E-2</v>
      </c>
      <c r="V4" s="37" t="s">
        <v>34</v>
      </c>
      <c r="W4" s="37" t="s">
        <v>39</v>
      </c>
      <c r="X4" s="37" t="s">
        <v>34</v>
      </c>
      <c r="Y4" s="37" t="s">
        <v>34</v>
      </c>
      <c r="Z4" s="37" t="s">
        <v>34</v>
      </c>
      <c r="AA4" s="37" t="s">
        <v>64</v>
      </c>
      <c r="AB4" s="37" t="s">
        <v>278</v>
      </c>
    </row>
    <row r="5" spans="1:28" x14ac:dyDescent="0.3">
      <c r="A5" s="42">
        <v>3</v>
      </c>
      <c r="B5" s="44" t="s">
        <v>277</v>
      </c>
      <c r="C5" s="42" t="s">
        <v>44</v>
      </c>
      <c r="D5" s="42" t="s">
        <v>276</v>
      </c>
      <c r="E5" s="42" t="s">
        <v>27</v>
      </c>
      <c r="F5" s="42">
        <v>262668</v>
      </c>
      <c r="G5" s="42" t="s">
        <v>275</v>
      </c>
      <c r="H5" s="42">
        <v>4200</v>
      </c>
      <c r="I5" s="43">
        <v>0.879</v>
      </c>
      <c r="J5" s="43">
        <v>1.48</v>
      </c>
      <c r="K5" s="42" t="s">
        <v>274</v>
      </c>
      <c r="L5" s="39">
        <v>5463.8639999999996</v>
      </c>
      <c r="M5" s="41">
        <v>6216</v>
      </c>
      <c r="N5" s="38">
        <v>1.7266999999999999</v>
      </c>
      <c r="O5" s="40">
        <v>103.6</v>
      </c>
      <c r="P5" s="37">
        <v>3103.5</v>
      </c>
      <c r="Q5" s="37">
        <v>1</v>
      </c>
      <c r="R5" s="37">
        <v>900</v>
      </c>
      <c r="S5" s="39">
        <v>0.879</v>
      </c>
      <c r="T5" s="37">
        <v>21</v>
      </c>
      <c r="U5" s="38">
        <v>2.3300000000000001E-2</v>
      </c>
      <c r="V5" s="37" t="s">
        <v>34</v>
      </c>
      <c r="W5" s="37" t="s">
        <v>39</v>
      </c>
      <c r="X5" s="37" t="s">
        <v>34</v>
      </c>
      <c r="Y5" s="37" t="s">
        <v>34</v>
      </c>
      <c r="Z5" s="37" t="s">
        <v>34</v>
      </c>
      <c r="AA5" s="37" t="s">
        <v>273</v>
      </c>
      <c r="AB5" s="37" t="s">
        <v>272</v>
      </c>
    </row>
    <row r="6" spans="1:28" x14ac:dyDescent="0.3">
      <c r="A6" s="42">
        <v>4</v>
      </c>
      <c r="B6" s="44" t="s">
        <v>301</v>
      </c>
      <c r="C6" s="42" t="s">
        <v>26</v>
      </c>
      <c r="D6" s="91">
        <v>46286</v>
      </c>
      <c r="E6" s="42"/>
      <c r="F6" s="42">
        <v>262680</v>
      </c>
      <c r="G6" s="42">
        <v>1755</v>
      </c>
      <c r="H6" s="42">
        <v>400</v>
      </c>
      <c r="I6" s="43">
        <v>0.73</v>
      </c>
      <c r="J6" s="43">
        <v>1.98</v>
      </c>
      <c r="K6" s="42" t="s">
        <v>33</v>
      </c>
      <c r="L6" s="39">
        <v>578.16</v>
      </c>
      <c r="M6" s="41">
        <v>396</v>
      </c>
      <c r="N6" s="38">
        <v>5.5E-2</v>
      </c>
      <c r="O6" s="40">
        <v>3.3</v>
      </c>
      <c r="P6" s="37">
        <v>311.10000000000002</v>
      </c>
      <c r="Q6" s="37">
        <v>2</v>
      </c>
      <c r="R6" s="37">
        <v>1500</v>
      </c>
      <c r="S6" s="39">
        <v>1.46</v>
      </c>
      <c r="T6" s="37">
        <v>40</v>
      </c>
      <c r="U6" s="38">
        <v>2.6700000000000002E-2</v>
      </c>
      <c r="V6" s="37" t="s">
        <v>28</v>
      </c>
      <c r="W6" s="37" t="s">
        <v>29</v>
      </c>
      <c r="X6" s="37" t="s">
        <v>28</v>
      </c>
      <c r="Y6" s="37" t="s">
        <v>28</v>
      </c>
      <c r="Z6" s="37" t="s">
        <v>28</v>
      </c>
      <c r="AA6" s="37">
        <v>3</v>
      </c>
      <c r="AB6" s="37" t="s">
        <v>302</v>
      </c>
    </row>
    <row r="7" spans="1:28" x14ac:dyDescent="0.3">
      <c r="A7" s="36" t="s">
        <v>27</v>
      </c>
      <c r="B7" s="36" t="s">
        <v>27</v>
      </c>
      <c r="C7" s="36" t="s">
        <v>27</v>
      </c>
      <c r="D7" s="36" t="s">
        <v>27</v>
      </c>
      <c r="E7" s="36" t="s">
        <v>27</v>
      </c>
      <c r="F7" s="36" t="s">
        <v>27</v>
      </c>
      <c r="G7" s="36" t="s">
        <v>27</v>
      </c>
      <c r="H7" s="36">
        <v>8350</v>
      </c>
      <c r="I7" s="36" t="s">
        <v>27</v>
      </c>
      <c r="J7" s="36" t="s">
        <v>27</v>
      </c>
      <c r="K7" s="36" t="s">
        <v>27</v>
      </c>
      <c r="L7" s="35" t="s">
        <v>27</v>
      </c>
      <c r="M7" s="35" t="s">
        <v>27</v>
      </c>
      <c r="N7" s="35" t="s">
        <v>27</v>
      </c>
      <c r="O7" s="35" t="s">
        <v>27</v>
      </c>
      <c r="P7" s="35">
        <v>6845.3</v>
      </c>
      <c r="Q7" s="35" t="s">
        <v>27</v>
      </c>
      <c r="R7" s="35" t="s">
        <v>27</v>
      </c>
      <c r="S7" s="35" t="s">
        <v>27</v>
      </c>
      <c r="T7" s="35" t="s">
        <v>27</v>
      </c>
      <c r="U7" s="35" t="s">
        <v>27</v>
      </c>
      <c r="V7" s="35" t="s">
        <v>27</v>
      </c>
      <c r="W7" s="35" t="s">
        <v>27</v>
      </c>
      <c r="X7" s="35" t="s">
        <v>27</v>
      </c>
      <c r="Y7" s="35" t="s">
        <v>27</v>
      </c>
      <c r="Z7" s="35" t="s">
        <v>27</v>
      </c>
      <c r="AA7" s="35" t="s">
        <v>27</v>
      </c>
      <c r="AB7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topLeftCell="A7" workbookViewId="0">
      <selection sqref="A1:AB1"/>
    </sheetView>
  </sheetViews>
  <sheetFormatPr defaultRowHeight="14.4" x14ac:dyDescent="0.3"/>
  <cols>
    <col min="1" max="1" width="3.5546875" style="34" customWidth="1"/>
    <col min="2" max="2" width="20.77734375" style="34" hidden="1" customWidth="1"/>
    <col min="3" max="3" width="6" style="34" customWidth="1"/>
    <col min="4" max="4" width="11.77734375" style="34" hidden="1" customWidth="1"/>
    <col min="5" max="5" width="8.77734375" style="34" customWidth="1"/>
    <col min="6" max="6" width="7" style="34" customWidth="1"/>
    <col min="7" max="7" width="8.6640625" style="34" customWidth="1"/>
    <col min="8" max="8" width="7.6640625" style="34" customWidth="1"/>
    <col min="9" max="9" width="6.5546875" style="34" customWidth="1"/>
    <col min="10" max="10" width="6.77734375" style="34" customWidth="1"/>
    <col min="11" max="11" width="13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21875" style="34" customWidth="1"/>
    <col min="17" max="17" width="3.77734375" style="34" customWidth="1"/>
    <col min="18" max="18" width="5.109375" style="34" customWidth="1"/>
    <col min="19" max="19" width="6.33203125" style="34" customWidth="1"/>
    <col min="20" max="20" width="11.77734375" style="34" hidden="1" customWidth="1"/>
    <col min="21" max="21" width="8.77734375" style="34" hidden="1" customWidth="1"/>
    <col min="22" max="23" width="7.5546875" style="34" customWidth="1"/>
    <col min="24" max="24" width="7.44140625" style="34" customWidth="1"/>
    <col min="25" max="25" width="8.109375" style="34" customWidth="1"/>
    <col min="26" max="26" width="7.77734375" style="34" customWidth="1"/>
    <col min="27" max="27" width="4.109375" style="34" customWidth="1"/>
    <col min="28" max="28" width="11.21875" style="34" customWidth="1"/>
    <col min="29" max="16384" width="8.88671875" style="34"/>
  </cols>
  <sheetData>
    <row r="1" spans="1:28" ht="18" customHeight="1" x14ac:dyDescent="0.35">
      <c r="A1" s="92" t="s">
        <v>268</v>
      </c>
      <c r="B1" s="92" t="s">
        <v>27</v>
      </c>
      <c r="C1" s="92" t="s">
        <v>27</v>
      </c>
      <c r="D1" s="92" t="s">
        <v>27</v>
      </c>
      <c r="E1" s="92" t="s">
        <v>27</v>
      </c>
      <c r="F1" s="92" t="s">
        <v>27</v>
      </c>
      <c r="G1" s="92" t="s">
        <v>27</v>
      </c>
      <c r="H1" s="92" t="s">
        <v>27</v>
      </c>
      <c r="I1" s="92" t="s">
        <v>27</v>
      </c>
      <c r="J1" s="92" t="s">
        <v>27</v>
      </c>
      <c r="K1" s="92" t="s">
        <v>27</v>
      </c>
      <c r="L1" s="92" t="s">
        <v>27</v>
      </c>
      <c r="M1" s="92" t="s">
        <v>27</v>
      </c>
      <c r="N1" s="92" t="s">
        <v>27</v>
      </c>
      <c r="O1" s="92" t="s">
        <v>27</v>
      </c>
      <c r="P1" s="92" t="s">
        <v>27</v>
      </c>
      <c r="Q1" s="92" t="s">
        <v>27</v>
      </c>
      <c r="R1" s="92" t="s">
        <v>27</v>
      </c>
      <c r="S1" s="92" t="s">
        <v>27</v>
      </c>
      <c r="T1" s="92" t="s">
        <v>27</v>
      </c>
      <c r="U1" s="92" t="s">
        <v>27</v>
      </c>
      <c r="V1" s="92" t="s">
        <v>27</v>
      </c>
      <c r="W1" s="92" t="s">
        <v>27</v>
      </c>
      <c r="X1" s="92" t="s">
        <v>27</v>
      </c>
      <c r="Y1" s="92" t="s">
        <v>27</v>
      </c>
      <c r="Z1" s="92" t="s">
        <v>27</v>
      </c>
      <c r="AA1" s="92" t="s">
        <v>27</v>
      </c>
      <c r="AB1" s="92" t="s">
        <v>27</v>
      </c>
    </row>
    <row r="2" spans="1:28" ht="59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58" customFormat="1" ht="25.05" customHeight="1" x14ac:dyDescent="0.3">
      <c r="A3" s="52">
        <v>1</v>
      </c>
      <c r="B3" s="53" t="s">
        <v>60</v>
      </c>
      <c r="C3" s="52" t="s">
        <v>26</v>
      </c>
      <c r="D3" s="52" t="s">
        <v>255</v>
      </c>
      <c r="E3" s="52" t="s">
        <v>27</v>
      </c>
      <c r="F3" s="52">
        <v>262658</v>
      </c>
      <c r="G3" s="52" t="s">
        <v>254</v>
      </c>
      <c r="H3" s="52">
        <v>300</v>
      </c>
      <c r="I3" s="54">
        <v>1.1539999999999999</v>
      </c>
      <c r="J3" s="54">
        <v>1.9710000000000001</v>
      </c>
      <c r="K3" s="52" t="s">
        <v>86</v>
      </c>
      <c r="L3" s="54">
        <v>682.36</v>
      </c>
      <c r="M3" s="55">
        <v>591.29999999999995</v>
      </c>
      <c r="N3" s="56">
        <v>0.1643</v>
      </c>
      <c r="O3" s="57">
        <v>9.86</v>
      </c>
      <c r="P3" s="52">
        <v>367.1</v>
      </c>
      <c r="Q3" s="52">
        <v>1</v>
      </c>
      <c r="R3" s="52">
        <v>1200</v>
      </c>
      <c r="S3" s="54">
        <v>1.1539999999999999</v>
      </c>
      <c r="T3" s="52">
        <v>46</v>
      </c>
      <c r="U3" s="56">
        <v>3.8300000000000001E-2</v>
      </c>
      <c r="V3" s="52" t="s">
        <v>28</v>
      </c>
      <c r="W3" s="52" t="s">
        <v>29</v>
      </c>
      <c r="X3" s="52" t="s">
        <v>28</v>
      </c>
      <c r="Y3" s="52" t="s">
        <v>28</v>
      </c>
      <c r="Z3" s="52" t="s">
        <v>28</v>
      </c>
      <c r="AA3" s="52" t="s">
        <v>32</v>
      </c>
      <c r="AB3" s="52" t="s">
        <v>85</v>
      </c>
    </row>
    <row r="4" spans="1:28" s="58" customFormat="1" ht="25.05" customHeight="1" x14ac:dyDescent="0.3">
      <c r="A4" s="52">
        <v>2</v>
      </c>
      <c r="B4" s="53" t="s">
        <v>60</v>
      </c>
      <c r="C4" s="52" t="s">
        <v>35</v>
      </c>
      <c r="D4" s="52" t="s">
        <v>255</v>
      </c>
      <c r="E4" s="52" t="s">
        <v>27</v>
      </c>
      <c r="F4" s="52">
        <v>262656</v>
      </c>
      <c r="G4" s="52" t="s">
        <v>254</v>
      </c>
      <c r="H4" s="52">
        <v>1000</v>
      </c>
      <c r="I4" s="54">
        <v>0.76200000000000001</v>
      </c>
      <c r="J4" s="54">
        <v>0.69299999999999995</v>
      </c>
      <c r="K4" s="52" t="s">
        <v>267</v>
      </c>
      <c r="L4" s="54">
        <v>528.06600000000003</v>
      </c>
      <c r="M4" s="55">
        <v>346.5</v>
      </c>
      <c r="N4" s="56">
        <v>4.8099999999999997E-2</v>
      </c>
      <c r="O4" s="57">
        <v>2.89</v>
      </c>
      <c r="P4" s="52">
        <v>166.3</v>
      </c>
      <c r="Q4" s="52">
        <v>2</v>
      </c>
      <c r="R4" s="52">
        <v>1550</v>
      </c>
      <c r="S4" s="54">
        <v>1.524</v>
      </c>
      <c r="T4" s="52">
        <v>26</v>
      </c>
      <c r="U4" s="56">
        <v>1.6799999999999999E-2</v>
      </c>
      <c r="V4" s="52" t="s">
        <v>28</v>
      </c>
      <c r="W4" s="52" t="s">
        <v>28</v>
      </c>
      <c r="X4" s="52" t="s">
        <v>28</v>
      </c>
      <c r="Y4" s="52" t="s">
        <v>27</v>
      </c>
      <c r="Z4" s="52" t="s">
        <v>27</v>
      </c>
      <c r="AA4" s="52" t="s">
        <v>38</v>
      </c>
      <c r="AB4" s="52" t="s">
        <v>266</v>
      </c>
    </row>
    <row r="5" spans="1:28" s="58" customFormat="1" ht="25.05" customHeight="1" x14ac:dyDescent="0.3">
      <c r="A5" s="52">
        <v>3</v>
      </c>
      <c r="B5" s="53" t="s">
        <v>60</v>
      </c>
      <c r="C5" s="52" t="s">
        <v>35</v>
      </c>
      <c r="D5" s="52" t="s">
        <v>255</v>
      </c>
      <c r="E5" s="52" t="s">
        <v>27</v>
      </c>
      <c r="F5" s="52">
        <v>262651</v>
      </c>
      <c r="G5" s="52" t="s">
        <v>254</v>
      </c>
      <c r="H5" s="52">
        <v>400</v>
      </c>
      <c r="I5" s="54">
        <v>0.48799999999999999</v>
      </c>
      <c r="J5" s="54">
        <v>1.2689999999999999</v>
      </c>
      <c r="K5" s="52" t="s">
        <v>33</v>
      </c>
      <c r="L5" s="54">
        <v>247.709</v>
      </c>
      <c r="M5" s="55">
        <v>169.2</v>
      </c>
      <c r="N5" s="56">
        <v>1.5699999999999999E-2</v>
      </c>
      <c r="O5" s="57">
        <v>0.94</v>
      </c>
      <c r="P5" s="52">
        <v>78</v>
      </c>
      <c r="Q5" s="52">
        <v>3</v>
      </c>
      <c r="R5" s="52">
        <v>1500</v>
      </c>
      <c r="S5" s="54">
        <v>1.464</v>
      </c>
      <c r="T5" s="52">
        <v>36</v>
      </c>
      <c r="U5" s="56">
        <v>2.4E-2</v>
      </c>
      <c r="V5" s="52" t="s">
        <v>28</v>
      </c>
      <c r="W5" s="52" t="s">
        <v>28</v>
      </c>
      <c r="X5" s="52" t="s">
        <v>28</v>
      </c>
      <c r="Y5" s="52" t="s">
        <v>27</v>
      </c>
      <c r="Z5" s="52" t="s">
        <v>27</v>
      </c>
      <c r="AA5" s="52" t="s">
        <v>38</v>
      </c>
      <c r="AB5" s="52" t="s">
        <v>265</v>
      </c>
    </row>
    <row r="6" spans="1:28" s="58" customFormat="1" ht="25.05" customHeight="1" x14ac:dyDescent="0.3">
      <c r="A6" s="52">
        <v>4</v>
      </c>
      <c r="B6" s="53" t="s">
        <v>60</v>
      </c>
      <c r="C6" s="52" t="s">
        <v>35</v>
      </c>
      <c r="D6" s="52" t="s">
        <v>255</v>
      </c>
      <c r="E6" s="52" t="s">
        <v>27</v>
      </c>
      <c r="F6" s="52">
        <v>262653</v>
      </c>
      <c r="G6" s="52" t="s">
        <v>254</v>
      </c>
      <c r="H6" s="52">
        <v>400</v>
      </c>
      <c r="I6" s="54">
        <v>0.46800000000000003</v>
      </c>
      <c r="J6" s="54">
        <v>1.1890000000000001</v>
      </c>
      <c r="K6" s="52" t="s">
        <v>33</v>
      </c>
      <c r="L6" s="54">
        <v>222.58099999999999</v>
      </c>
      <c r="M6" s="55">
        <v>158.5</v>
      </c>
      <c r="N6" s="56">
        <v>1.47E-2</v>
      </c>
      <c r="O6" s="57">
        <v>0.88</v>
      </c>
      <c r="P6" s="52">
        <v>70.099999999999994</v>
      </c>
      <c r="Q6" s="52">
        <v>3</v>
      </c>
      <c r="R6" s="52">
        <v>1450</v>
      </c>
      <c r="S6" s="54">
        <v>1.4039999999999999</v>
      </c>
      <c r="T6" s="52">
        <v>46</v>
      </c>
      <c r="U6" s="56">
        <v>3.1699999999999999E-2</v>
      </c>
      <c r="V6" s="52" t="s">
        <v>28</v>
      </c>
      <c r="W6" s="52" t="s">
        <v>28</v>
      </c>
      <c r="X6" s="52" t="s">
        <v>28</v>
      </c>
      <c r="Y6" s="52" t="s">
        <v>27</v>
      </c>
      <c r="Z6" s="52" t="s">
        <v>27</v>
      </c>
      <c r="AA6" s="52" t="s">
        <v>38</v>
      </c>
      <c r="AB6" s="52" t="s">
        <v>264</v>
      </c>
    </row>
    <row r="7" spans="1:28" s="58" customFormat="1" ht="25.05" customHeight="1" x14ac:dyDescent="0.3">
      <c r="A7" s="52">
        <v>5</v>
      </c>
      <c r="B7" s="53" t="s">
        <v>60</v>
      </c>
      <c r="C7" s="52" t="s">
        <v>35</v>
      </c>
      <c r="D7" s="52" t="s">
        <v>255</v>
      </c>
      <c r="E7" s="52" t="s">
        <v>27</v>
      </c>
      <c r="F7" s="52">
        <v>262654</v>
      </c>
      <c r="G7" s="52" t="s">
        <v>254</v>
      </c>
      <c r="H7" s="52">
        <v>600</v>
      </c>
      <c r="I7" s="54">
        <v>0.66400000000000003</v>
      </c>
      <c r="J7" s="54">
        <v>1.2490000000000001</v>
      </c>
      <c r="K7" s="52" t="s">
        <v>263</v>
      </c>
      <c r="L7" s="54">
        <v>497.60199999999998</v>
      </c>
      <c r="M7" s="55">
        <v>374.7</v>
      </c>
      <c r="N7" s="56">
        <v>5.1999999999999998E-2</v>
      </c>
      <c r="O7" s="57">
        <v>3.12</v>
      </c>
      <c r="P7" s="52">
        <v>156.69999999999999</v>
      </c>
      <c r="Q7" s="52">
        <v>2</v>
      </c>
      <c r="R7" s="52">
        <v>1350</v>
      </c>
      <c r="S7" s="54">
        <v>1.3280000000000001</v>
      </c>
      <c r="T7" s="52">
        <v>22</v>
      </c>
      <c r="U7" s="56">
        <v>1.6299999999999999E-2</v>
      </c>
      <c r="V7" s="52" t="s">
        <v>28</v>
      </c>
      <c r="W7" s="52" t="s">
        <v>28</v>
      </c>
      <c r="X7" s="52" t="s">
        <v>28</v>
      </c>
      <c r="Y7" s="52" t="s">
        <v>27</v>
      </c>
      <c r="Z7" s="52" t="s">
        <v>27</v>
      </c>
      <c r="AA7" s="52" t="s">
        <v>32</v>
      </c>
      <c r="AB7" s="52" t="s">
        <v>262</v>
      </c>
    </row>
    <row r="8" spans="1:28" s="58" customFormat="1" ht="25.05" customHeight="1" x14ac:dyDescent="0.3">
      <c r="A8" s="52">
        <v>6</v>
      </c>
      <c r="B8" s="53" t="s">
        <v>60</v>
      </c>
      <c r="C8" s="52" t="s">
        <v>35</v>
      </c>
      <c r="D8" s="52" t="s">
        <v>255</v>
      </c>
      <c r="E8" s="52" t="s">
        <v>27</v>
      </c>
      <c r="F8" s="52">
        <v>262657</v>
      </c>
      <c r="G8" s="52" t="s">
        <v>254</v>
      </c>
      <c r="H8" s="52">
        <v>600</v>
      </c>
      <c r="I8" s="54">
        <v>1.1519999999999999</v>
      </c>
      <c r="J8" s="54">
        <v>0.69299999999999995</v>
      </c>
      <c r="K8" s="52" t="s">
        <v>261</v>
      </c>
      <c r="L8" s="54">
        <v>479.00200000000001</v>
      </c>
      <c r="M8" s="55">
        <v>415.8</v>
      </c>
      <c r="N8" s="56">
        <v>0.11550000000000001</v>
      </c>
      <c r="O8" s="57">
        <v>6.93</v>
      </c>
      <c r="P8" s="52">
        <v>150.9</v>
      </c>
      <c r="Q8" s="52">
        <v>1</v>
      </c>
      <c r="R8" s="52">
        <v>1200</v>
      </c>
      <c r="S8" s="54">
        <v>1.1519999999999999</v>
      </c>
      <c r="T8" s="52">
        <v>48</v>
      </c>
      <c r="U8" s="56">
        <v>0.04</v>
      </c>
      <c r="V8" s="52" t="s">
        <v>28</v>
      </c>
      <c r="W8" s="52" t="s">
        <v>28</v>
      </c>
      <c r="X8" s="52" t="s">
        <v>28</v>
      </c>
      <c r="Y8" s="52" t="s">
        <v>27</v>
      </c>
      <c r="Z8" s="52" t="s">
        <v>27</v>
      </c>
      <c r="AA8" s="52" t="s">
        <v>38</v>
      </c>
      <c r="AB8" s="52" t="s">
        <v>260</v>
      </c>
    </row>
    <row r="9" spans="1:28" s="58" customFormat="1" ht="25.05" customHeight="1" x14ac:dyDescent="0.3">
      <c r="A9" s="52">
        <v>7</v>
      </c>
      <c r="B9" s="53" t="s">
        <v>60</v>
      </c>
      <c r="C9" s="52" t="s">
        <v>35</v>
      </c>
      <c r="D9" s="52" t="s">
        <v>255</v>
      </c>
      <c r="E9" s="52" t="s">
        <v>27</v>
      </c>
      <c r="F9" s="52">
        <v>262655</v>
      </c>
      <c r="G9" s="52" t="s">
        <v>254</v>
      </c>
      <c r="H9" s="52">
        <v>2500</v>
      </c>
      <c r="I9" s="54">
        <v>0.38400000000000001</v>
      </c>
      <c r="J9" s="54">
        <v>0.58299999999999996</v>
      </c>
      <c r="K9" s="52" t="s">
        <v>33</v>
      </c>
      <c r="L9" s="54">
        <v>559.67999999999995</v>
      </c>
      <c r="M9" s="55">
        <v>485.8</v>
      </c>
      <c r="N9" s="56">
        <v>4.4999999999999998E-2</v>
      </c>
      <c r="O9" s="57">
        <v>2.7</v>
      </c>
      <c r="P9" s="52">
        <v>176.3</v>
      </c>
      <c r="Q9" s="52">
        <v>3</v>
      </c>
      <c r="R9" s="52">
        <v>1200</v>
      </c>
      <c r="S9" s="54">
        <v>1.1519999999999999</v>
      </c>
      <c r="T9" s="52">
        <v>48</v>
      </c>
      <c r="U9" s="56">
        <v>0.04</v>
      </c>
      <c r="V9" s="52" t="s">
        <v>28</v>
      </c>
      <c r="W9" s="52" t="s">
        <v>28</v>
      </c>
      <c r="X9" s="52" t="s">
        <v>28</v>
      </c>
      <c r="Y9" s="52" t="s">
        <v>27</v>
      </c>
      <c r="Z9" s="52" t="s">
        <v>27</v>
      </c>
      <c r="AA9" s="52" t="s">
        <v>38</v>
      </c>
      <c r="AB9" s="52" t="s">
        <v>259</v>
      </c>
    </row>
    <row r="10" spans="1:28" s="58" customFormat="1" ht="25.05" customHeight="1" x14ac:dyDescent="0.3">
      <c r="A10" s="52">
        <v>8</v>
      </c>
      <c r="B10" s="53" t="s">
        <v>60</v>
      </c>
      <c r="C10" s="52" t="s">
        <v>35</v>
      </c>
      <c r="D10" s="52" t="s">
        <v>255</v>
      </c>
      <c r="E10" s="52" t="s">
        <v>27</v>
      </c>
      <c r="F10" s="52">
        <v>262652</v>
      </c>
      <c r="G10" s="52" t="s">
        <v>254</v>
      </c>
      <c r="H10" s="52">
        <v>400</v>
      </c>
      <c r="I10" s="54">
        <v>0.52800000000000002</v>
      </c>
      <c r="J10" s="54">
        <v>1.149</v>
      </c>
      <c r="K10" s="52" t="s">
        <v>33</v>
      </c>
      <c r="L10" s="54">
        <v>242.66900000000001</v>
      </c>
      <c r="M10" s="55">
        <v>229.8</v>
      </c>
      <c r="N10" s="56">
        <v>3.1899999999999998E-2</v>
      </c>
      <c r="O10" s="57">
        <v>1.92</v>
      </c>
      <c r="P10" s="52">
        <v>76.400000000000006</v>
      </c>
      <c r="Q10" s="52">
        <v>2</v>
      </c>
      <c r="R10" s="52">
        <v>1100</v>
      </c>
      <c r="S10" s="54">
        <v>1.056</v>
      </c>
      <c r="T10" s="52">
        <v>44</v>
      </c>
      <c r="U10" s="56">
        <v>0.04</v>
      </c>
      <c r="V10" s="52" t="s">
        <v>28</v>
      </c>
      <c r="W10" s="52" t="s">
        <v>28</v>
      </c>
      <c r="X10" s="52" t="s">
        <v>28</v>
      </c>
      <c r="Y10" s="52" t="s">
        <v>27</v>
      </c>
      <c r="Z10" s="52" t="s">
        <v>27</v>
      </c>
      <c r="AA10" s="52" t="s">
        <v>38</v>
      </c>
      <c r="AB10" s="52" t="s">
        <v>258</v>
      </c>
    </row>
    <row r="11" spans="1:28" s="58" customFormat="1" ht="25.05" customHeight="1" x14ac:dyDescent="0.3">
      <c r="A11" s="52">
        <v>9</v>
      </c>
      <c r="B11" s="53" t="s">
        <v>60</v>
      </c>
      <c r="C11" s="52" t="s">
        <v>35</v>
      </c>
      <c r="D11" s="52" t="s">
        <v>255</v>
      </c>
      <c r="E11" s="52" t="s">
        <v>27</v>
      </c>
      <c r="F11" s="52">
        <v>262660</v>
      </c>
      <c r="G11" s="52" t="s">
        <v>254</v>
      </c>
      <c r="H11" s="52">
        <v>1500</v>
      </c>
      <c r="I11" s="54">
        <v>0.42399999999999999</v>
      </c>
      <c r="J11" s="54">
        <v>0.78900000000000003</v>
      </c>
      <c r="K11" s="52" t="s">
        <v>257</v>
      </c>
      <c r="L11" s="54">
        <v>501.80399999999997</v>
      </c>
      <c r="M11" s="55">
        <v>591.79999999999995</v>
      </c>
      <c r="N11" s="56">
        <v>8.2199999999999995E-2</v>
      </c>
      <c r="O11" s="57">
        <v>4.93</v>
      </c>
      <c r="P11" s="52">
        <v>158.1</v>
      </c>
      <c r="Q11" s="52">
        <v>2</v>
      </c>
      <c r="R11" s="52">
        <v>900</v>
      </c>
      <c r="S11" s="54">
        <v>0.84799999999999998</v>
      </c>
      <c r="T11" s="52">
        <v>52</v>
      </c>
      <c r="U11" s="56">
        <v>5.7799999999999997E-2</v>
      </c>
      <c r="V11" s="52" t="s">
        <v>28</v>
      </c>
      <c r="W11" s="52" t="s">
        <v>28</v>
      </c>
      <c r="X11" s="52" t="s">
        <v>28</v>
      </c>
      <c r="Y11" s="52" t="s">
        <v>27</v>
      </c>
      <c r="Z11" s="52" t="s">
        <v>27</v>
      </c>
      <c r="AA11" s="52" t="s">
        <v>38</v>
      </c>
      <c r="AB11" s="52" t="s">
        <v>256</v>
      </c>
    </row>
    <row r="12" spans="1:28" s="58" customFormat="1" ht="25.05" customHeight="1" x14ac:dyDescent="0.3">
      <c r="A12" s="52">
        <v>10</v>
      </c>
      <c r="B12" s="53" t="s">
        <v>60</v>
      </c>
      <c r="C12" s="52" t="s">
        <v>35</v>
      </c>
      <c r="D12" s="52" t="s">
        <v>255</v>
      </c>
      <c r="E12" s="52" t="s">
        <v>27</v>
      </c>
      <c r="F12" s="52">
        <v>262659</v>
      </c>
      <c r="G12" s="52" t="s">
        <v>254</v>
      </c>
      <c r="H12" s="52">
        <v>3000</v>
      </c>
      <c r="I12" s="54">
        <v>0.36799999999999999</v>
      </c>
      <c r="J12" s="54">
        <v>0.72899999999999998</v>
      </c>
      <c r="K12" s="52" t="s">
        <v>253</v>
      </c>
      <c r="L12" s="54">
        <v>804.81600000000003</v>
      </c>
      <c r="M12" s="55">
        <v>1093.5</v>
      </c>
      <c r="N12" s="56">
        <v>0.15190000000000001</v>
      </c>
      <c r="O12" s="57">
        <v>9.11</v>
      </c>
      <c r="P12" s="52">
        <v>253.5</v>
      </c>
      <c r="Q12" s="52">
        <v>2</v>
      </c>
      <c r="R12" s="52">
        <v>800</v>
      </c>
      <c r="S12" s="54">
        <v>0.73599999999999999</v>
      </c>
      <c r="T12" s="52">
        <v>64</v>
      </c>
      <c r="U12" s="56">
        <v>0.08</v>
      </c>
      <c r="V12" s="52" t="s">
        <v>28</v>
      </c>
      <c r="W12" s="52" t="s">
        <v>28</v>
      </c>
      <c r="X12" s="52" t="s">
        <v>28</v>
      </c>
      <c r="Y12" s="52" t="s">
        <v>27</v>
      </c>
      <c r="Z12" s="52" t="s">
        <v>27</v>
      </c>
      <c r="AA12" s="52" t="s">
        <v>32</v>
      </c>
      <c r="AB12" s="52" t="s">
        <v>252</v>
      </c>
    </row>
    <row r="13" spans="1:28" s="58" customFormat="1" ht="25.05" customHeight="1" x14ac:dyDescent="0.3">
      <c r="A13" s="59" t="s">
        <v>27</v>
      </c>
      <c r="B13" s="59" t="s">
        <v>27</v>
      </c>
      <c r="C13" s="59" t="s">
        <v>27</v>
      </c>
      <c r="D13" s="59" t="s">
        <v>27</v>
      </c>
      <c r="E13" s="59" t="s">
        <v>27</v>
      </c>
      <c r="F13" s="59" t="s">
        <v>27</v>
      </c>
      <c r="G13" s="59" t="s">
        <v>27</v>
      </c>
      <c r="H13" s="59">
        <v>10700</v>
      </c>
      <c r="I13" s="59" t="s">
        <v>27</v>
      </c>
      <c r="J13" s="59" t="s">
        <v>27</v>
      </c>
      <c r="K13" s="59" t="s">
        <v>27</v>
      </c>
      <c r="L13" s="59" t="s">
        <v>27</v>
      </c>
      <c r="M13" s="59" t="s">
        <v>27</v>
      </c>
      <c r="N13" s="59" t="s">
        <v>27</v>
      </c>
      <c r="O13" s="59" t="s">
        <v>27</v>
      </c>
      <c r="P13" s="59">
        <v>1653.5</v>
      </c>
      <c r="Q13" s="59" t="s">
        <v>27</v>
      </c>
      <c r="R13" s="59" t="s">
        <v>27</v>
      </c>
      <c r="S13" s="59" t="s">
        <v>27</v>
      </c>
      <c r="T13" s="59" t="s">
        <v>27</v>
      </c>
      <c r="U13" s="59" t="s">
        <v>27</v>
      </c>
      <c r="V13" s="59" t="s">
        <v>27</v>
      </c>
      <c r="W13" s="59" t="s">
        <v>27</v>
      </c>
      <c r="X13" s="59" t="s">
        <v>27</v>
      </c>
      <c r="Y13" s="59" t="s">
        <v>27</v>
      </c>
      <c r="Z13" s="59" t="s">
        <v>27</v>
      </c>
      <c r="AA13" s="59" t="s">
        <v>27</v>
      </c>
      <c r="AB13" s="59" t="s">
        <v>27</v>
      </c>
    </row>
    <row r="14" spans="1:28" s="58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4" customWidth="1"/>
    <col min="2" max="2" width="20.77734375" style="34" hidden="1" customWidth="1"/>
    <col min="3" max="3" width="5.6640625" style="34" customWidth="1"/>
    <col min="4" max="4" width="11.77734375" style="34" hidden="1" customWidth="1"/>
    <col min="5" max="5" width="9.109375" style="34" customWidth="1"/>
    <col min="6" max="6" width="7.21875" style="34" customWidth="1"/>
    <col min="7" max="7" width="6.21875" style="34" customWidth="1"/>
    <col min="8" max="8" width="6" style="34" customWidth="1"/>
    <col min="9" max="9" width="6.5546875" style="34" customWidth="1"/>
    <col min="10" max="10" width="6.44140625" style="34" customWidth="1"/>
    <col min="11" max="11" width="12.109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5.77734375" style="34" customWidth="1"/>
    <col min="17" max="17" width="3.6640625" style="34" customWidth="1"/>
    <col min="18" max="18" width="5.6640625" style="34" customWidth="1"/>
    <col min="19" max="19" width="5.33203125" style="34" customWidth="1"/>
    <col min="20" max="20" width="11.77734375" style="34" hidden="1" customWidth="1"/>
    <col min="21" max="21" width="8.77734375" style="34" hidden="1" customWidth="1"/>
    <col min="22" max="22" width="7.109375" style="34" customWidth="1"/>
    <col min="23" max="23" width="6.88671875" style="34" customWidth="1"/>
    <col min="24" max="24" width="7.21875" style="34" customWidth="1"/>
    <col min="25" max="25" width="7.33203125" style="34" customWidth="1"/>
    <col min="26" max="26" width="7.5546875" style="34" customWidth="1"/>
    <col min="27" max="27" width="3.5546875" style="34" customWidth="1"/>
    <col min="28" max="28" width="9.77734375" style="34" customWidth="1"/>
    <col min="29" max="16384" width="8.88671875" style="34"/>
  </cols>
  <sheetData>
    <row r="1" spans="1:28" ht="18" customHeight="1" x14ac:dyDescent="0.35">
      <c r="A1" s="92" t="s">
        <v>251</v>
      </c>
      <c r="B1" s="92" t="s">
        <v>27</v>
      </c>
      <c r="C1" s="92" t="s">
        <v>27</v>
      </c>
      <c r="D1" s="92" t="s">
        <v>27</v>
      </c>
      <c r="E1" s="92" t="s">
        <v>27</v>
      </c>
      <c r="F1" s="92" t="s">
        <v>27</v>
      </c>
      <c r="G1" s="92" t="s">
        <v>27</v>
      </c>
      <c r="H1" s="92" t="s">
        <v>27</v>
      </c>
      <c r="I1" s="92" t="s">
        <v>27</v>
      </c>
      <c r="J1" s="92" t="s">
        <v>27</v>
      </c>
      <c r="K1" s="92" t="s">
        <v>27</v>
      </c>
      <c r="L1" s="92" t="s">
        <v>27</v>
      </c>
      <c r="M1" s="92" t="s">
        <v>27</v>
      </c>
      <c r="N1" s="92" t="s">
        <v>27</v>
      </c>
      <c r="O1" s="92" t="s">
        <v>27</v>
      </c>
      <c r="P1" s="92" t="s">
        <v>27</v>
      </c>
      <c r="Q1" s="92" t="s">
        <v>27</v>
      </c>
      <c r="R1" s="92" t="s">
        <v>27</v>
      </c>
      <c r="S1" s="92" t="s">
        <v>27</v>
      </c>
      <c r="T1" s="92" t="s">
        <v>27</v>
      </c>
      <c r="U1" s="92" t="s">
        <v>27</v>
      </c>
      <c r="V1" s="92" t="s">
        <v>27</v>
      </c>
      <c r="W1" s="92" t="s">
        <v>27</v>
      </c>
      <c r="X1" s="92" t="s">
        <v>27</v>
      </c>
      <c r="Y1" s="92" t="s">
        <v>27</v>
      </c>
      <c r="Z1" s="92" t="s">
        <v>27</v>
      </c>
      <c r="AA1" s="92" t="s">
        <v>27</v>
      </c>
      <c r="AB1" s="92" t="s">
        <v>27</v>
      </c>
    </row>
    <row r="2" spans="1:28" ht="60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84</v>
      </c>
      <c r="C3" s="42" t="s">
        <v>81</v>
      </c>
      <c r="D3" s="42" t="s">
        <v>247</v>
      </c>
      <c r="E3" s="42" t="s">
        <v>27</v>
      </c>
      <c r="F3" s="42">
        <v>262649</v>
      </c>
      <c r="G3" s="42" t="s">
        <v>250</v>
      </c>
      <c r="H3" s="42">
        <v>2600</v>
      </c>
      <c r="I3" s="43">
        <v>0.49199999999999999</v>
      </c>
      <c r="J3" s="43">
        <v>1.2629999999999999</v>
      </c>
      <c r="K3" s="42" t="s">
        <v>249</v>
      </c>
      <c r="L3" s="39">
        <v>1615.63</v>
      </c>
      <c r="M3" s="41">
        <v>1641.9</v>
      </c>
      <c r="N3" s="38">
        <v>0.22800000000000001</v>
      </c>
      <c r="O3" s="40">
        <v>13.68</v>
      </c>
      <c r="P3" s="37">
        <v>589.70000000000005</v>
      </c>
      <c r="Q3" s="37">
        <v>2</v>
      </c>
      <c r="R3" s="37">
        <v>1050</v>
      </c>
      <c r="S3" s="39">
        <v>0.98399999999999999</v>
      </c>
      <c r="T3" s="37">
        <v>66</v>
      </c>
      <c r="U3" s="38">
        <v>6.2899999999999998E-2</v>
      </c>
      <c r="V3" s="37" t="s">
        <v>41</v>
      </c>
      <c r="W3" s="37" t="s">
        <v>29</v>
      </c>
      <c r="X3" s="37" t="s">
        <v>28</v>
      </c>
      <c r="Y3" s="37" t="s">
        <v>27</v>
      </c>
      <c r="Z3" s="37" t="s">
        <v>27</v>
      </c>
      <c r="AA3" s="37" t="s">
        <v>31</v>
      </c>
      <c r="AB3" s="37" t="s">
        <v>248</v>
      </c>
    </row>
    <row r="4" spans="1:28" x14ac:dyDescent="0.3">
      <c r="A4" s="42">
        <v>2</v>
      </c>
      <c r="B4" s="44" t="s">
        <v>84</v>
      </c>
      <c r="C4" s="42" t="s">
        <v>81</v>
      </c>
      <c r="D4" s="42" t="s">
        <v>247</v>
      </c>
      <c r="E4" s="42" t="s">
        <v>27</v>
      </c>
      <c r="F4" s="42">
        <v>262650</v>
      </c>
      <c r="G4" s="42" t="s">
        <v>246</v>
      </c>
      <c r="H4" s="42">
        <v>2300</v>
      </c>
      <c r="I4" s="43">
        <v>0.45700000000000002</v>
      </c>
      <c r="J4" s="43">
        <v>1.393</v>
      </c>
      <c r="K4" s="42" t="s">
        <v>245</v>
      </c>
      <c r="L4" s="39">
        <v>1464.182</v>
      </c>
      <c r="M4" s="41">
        <v>1602</v>
      </c>
      <c r="N4" s="38">
        <v>0.2225</v>
      </c>
      <c r="O4" s="40">
        <v>13.35</v>
      </c>
      <c r="P4" s="37">
        <v>534.4</v>
      </c>
      <c r="Q4" s="37">
        <v>2</v>
      </c>
      <c r="R4" s="37">
        <v>950</v>
      </c>
      <c r="S4" s="39">
        <v>0.91400000000000003</v>
      </c>
      <c r="T4" s="37">
        <v>36</v>
      </c>
      <c r="U4" s="38">
        <v>3.7900000000000003E-2</v>
      </c>
      <c r="V4" s="37" t="s">
        <v>41</v>
      </c>
      <c r="W4" s="37" t="s">
        <v>29</v>
      </c>
      <c r="X4" s="37" t="s">
        <v>28</v>
      </c>
      <c r="Y4" s="37" t="s">
        <v>27</v>
      </c>
      <c r="Z4" s="37" t="s">
        <v>27</v>
      </c>
      <c r="AA4" s="37" t="s">
        <v>30</v>
      </c>
      <c r="AB4" s="37" t="s">
        <v>244</v>
      </c>
    </row>
    <row r="5" spans="1:28" x14ac:dyDescent="0.3">
      <c r="A5" s="36" t="s">
        <v>27</v>
      </c>
      <c r="B5" s="36" t="s">
        <v>27</v>
      </c>
      <c r="C5" s="36" t="s">
        <v>27</v>
      </c>
      <c r="D5" s="36" t="s">
        <v>27</v>
      </c>
      <c r="E5" s="36" t="s">
        <v>27</v>
      </c>
      <c r="F5" s="36" t="s">
        <v>27</v>
      </c>
      <c r="G5" s="36" t="s">
        <v>27</v>
      </c>
      <c r="H5" s="36">
        <v>4900</v>
      </c>
      <c r="I5" s="36" t="s">
        <v>27</v>
      </c>
      <c r="J5" s="36" t="s">
        <v>27</v>
      </c>
      <c r="K5" s="36" t="s">
        <v>27</v>
      </c>
      <c r="L5" s="35" t="s">
        <v>27</v>
      </c>
      <c r="M5" s="35" t="s">
        <v>27</v>
      </c>
      <c r="N5" s="35" t="s">
        <v>27</v>
      </c>
      <c r="O5" s="35" t="s">
        <v>27</v>
      </c>
      <c r="P5" s="35">
        <v>1124.0999999999999</v>
      </c>
      <c r="Q5" s="35" t="s">
        <v>27</v>
      </c>
      <c r="R5" s="35" t="s">
        <v>27</v>
      </c>
      <c r="S5" s="35" t="s">
        <v>27</v>
      </c>
      <c r="T5" s="35" t="s">
        <v>27</v>
      </c>
      <c r="U5" s="35" t="s">
        <v>27</v>
      </c>
      <c r="V5" s="35" t="s">
        <v>27</v>
      </c>
      <c r="W5" s="35" t="s">
        <v>27</v>
      </c>
      <c r="X5" s="35" t="s">
        <v>27</v>
      </c>
      <c r="Y5" s="35" t="s">
        <v>27</v>
      </c>
      <c r="Z5" s="35" t="s">
        <v>27</v>
      </c>
      <c r="AA5" s="35" t="s">
        <v>27</v>
      </c>
      <c r="AB5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A221D-BD7D-4C5D-A432-527A12F5B88A}">
  <dimension ref="A1:AB9"/>
  <sheetViews>
    <sheetView workbookViewId="0">
      <selection activeCell="H14" sqref="H14"/>
    </sheetView>
  </sheetViews>
  <sheetFormatPr defaultRowHeight="14.4" x14ac:dyDescent="0.3"/>
  <cols>
    <col min="1" max="1" width="3.77734375" style="34" customWidth="1"/>
    <col min="2" max="2" width="20.77734375" style="34" hidden="1" customWidth="1"/>
    <col min="3" max="3" width="7.109375" style="34" customWidth="1"/>
    <col min="4" max="4" width="11.77734375" style="34" hidden="1" customWidth="1"/>
    <col min="5" max="5" width="8.44140625" style="34" customWidth="1"/>
    <col min="6" max="6" width="6.77734375" style="34" customWidth="1"/>
    <col min="7" max="7" width="8.77734375" style="34" customWidth="1"/>
    <col min="8" max="8" width="6.21875" style="34" customWidth="1"/>
    <col min="9" max="9" width="5.77734375" style="34" customWidth="1"/>
    <col min="10" max="11" width="6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6.77734375" style="34" customWidth="1"/>
    <col min="17" max="17" width="4" style="34" customWidth="1"/>
    <col min="18" max="18" width="6.33203125" style="34" customWidth="1"/>
    <col min="19" max="19" width="6.44140625" style="34" customWidth="1"/>
    <col min="20" max="20" width="11.77734375" style="34" hidden="1" customWidth="1"/>
    <col min="21" max="21" width="8.77734375" style="34" hidden="1" customWidth="1"/>
    <col min="22" max="22" width="7.88671875" style="34" customWidth="1"/>
    <col min="23" max="23" width="7.77734375" style="34" customWidth="1"/>
    <col min="24" max="24" width="8.109375" style="34" customWidth="1"/>
    <col min="25" max="25" width="9.44140625" style="34" customWidth="1"/>
    <col min="26" max="26" width="9.6640625" style="34" customWidth="1"/>
    <col min="27" max="27" width="4.109375" style="34" customWidth="1"/>
    <col min="28" max="28" width="11.44140625" style="34" customWidth="1"/>
    <col min="29" max="16384" width="8.88671875" style="34"/>
  </cols>
  <sheetData>
    <row r="1" spans="1:28" ht="18" customHeight="1" x14ac:dyDescent="0.35">
      <c r="A1" s="92" t="s">
        <v>243</v>
      </c>
      <c r="B1" s="92" t="s">
        <v>27</v>
      </c>
      <c r="C1" s="92" t="s">
        <v>27</v>
      </c>
      <c r="D1" s="92" t="s">
        <v>27</v>
      </c>
      <c r="E1" s="92" t="s">
        <v>27</v>
      </c>
      <c r="F1" s="92" t="s">
        <v>27</v>
      </c>
      <c r="G1" s="92" t="s">
        <v>27</v>
      </c>
      <c r="H1" s="92" t="s">
        <v>27</v>
      </c>
      <c r="I1" s="92" t="s">
        <v>27</v>
      </c>
      <c r="J1" s="92" t="s">
        <v>27</v>
      </c>
      <c r="K1" s="92" t="s">
        <v>27</v>
      </c>
      <c r="L1" s="92" t="s">
        <v>27</v>
      </c>
      <c r="M1" s="92" t="s">
        <v>27</v>
      </c>
      <c r="N1" s="92" t="s">
        <v>27</v>
      </c>
      <c r="O1" s="92" t="s">
        <v>27</v>
      </c>
      <c r="P1" s="92" t="s">
        <v>27</v>
      </c>
      <c r="Q1" s="92" t="s">
        <v>27</v>
      </c>
      <c r="R1" s="92" t="s">
        <v>27</v>
      </c>
      <c r="S1" s="92" t="s">
        <v>27</v>
      </c>
      <c r="T1" s="92" t="s">
        <v>27</v>
      </c>
      <c r="U1" s="92" t="s">
        <v>27</v>
      </c>
      <c r="V1" s="92" t="s">
        <v>27</v>
      </c>
      <c r="W1" s="92" t="s">
        <v>27</v>
      </c>
      <c r="X1" s="92" t="s">
        <v>27</v>
      </c>
      <c r="Y1" s="92" t="s">
        <v>27</v>
      </c>
      <c r="Z1" s="92" t="s">
        <v>27</v>
      </c>
      <c r="AA1" s="92" t="s">
        <v>27</v>
      </c>
      <c r="AB1" s="92" t="s">
        <v>27</v>
      </c>
    </row>
    <row r="2" spans="1:28" ht="47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ht="25.05" customHeight="1" x14ac:dyDescent="0.3">
      <c r="A3" s="42">
        <v>1</v>
      </c>
      <c r="B3" s="44" t="s">
        <v>107</v>
      </c>
      <c r="C3" s="42" t="s">
        <v>55</v>
      </c>
      <c r="D3" s="42" t="s">
        <v>222</v>
      </c>
      <c r="E3" s="42" t="s">
        <v>27</v>
      </c>
      <c r="F3" s="42">
        <v>262645</v>
      </c>
      <c r="G3" s="42" t="s">
        <v>239</v>
      </c>
      <c r="H3" s="42">
        <v>2740</v>
      </c>
      <c r="I3" s="43">
        <v>0.48</v>
      </c>
      <c r="J3" s="43">
        <v>1.25</v>
      </c>
      <c r="K3" s="42" t="s">
        <v>33</v>
      </c>
      <c r="L3" s="39">
        <v>1644</v>
      </c>
      <c r="M3" s="41">
        <v>1141.7</v>
      </c>
      <c r="N3" s="38">
        <v>0.1057</v>
      </c>
      <c r="O3" s="40">
        <v>6.34</v>
      </c>
      <c r="P3" s="37">
        <v>600.1</v>
      </c>
      <c r="Q3" s="37">
        <v>3</v>
      </c>
      <c r="R3" s="37">
        <v>1500</v>
      </c>
      <c r="S3" s="39">
        <v>1.44</v>
      </c>
      <c r="T3" s="37">
        <v>60</v>
      </c>
      <c r="U3" s="38">
        <v>0.04</v>
      </c>
      <c r="V3" s="37" t="s">
        <v>37</v>
      </c>
      <c r="W3" s="37" t="s">
        <v>29</v>
      </c>
      <c r="X3" s="37" t="s">
        <v>34</v>
      </c>
      <c r="Y3" s="37" t="s">
        <v>27</v>
      </c>
      <c r="Z3" s="37" t="s">
        <v>27</v>
      </c>
      <c r="AA3" s="37" t="s">
        <v>31</v>
      </c>
      <c r="AB3" s="37" t="s">
        <v>242</v>
      </c>
    </row>
    <row r="4" spans="1:28" ht="25.05" customHeight="1" x14ac:dyDescent="0.3">
      <c r="A4" s="42">
        <v>2</v>
      </c>
      <c r="B4" s="44" t="s">
        <v>107</v>
      </c>
      <c r="C4" s="42" t="s">
        <v>55</v>
      </c>
      <c r="D4" s="42" t="s">
        <v>222</v>
      </c>
      <c r="E4" s="42" t="s">
        <v>27</v>
      </c>
      <c r="F4" s="42">
        <v>262644</v>
      </c>
      <c r="G4" s="42" t="s">
        <v>239</v>
      </c>
      <c r="H4" s="42">
        <v>1662</v>
      </c>
      <c r="I4" s="43">
        <v>0.43</v>
      </c>
      <c r="J4" s="43">
        <v>1.1499999999999999</v>
      </c>
      <c r="K4" s="42" t="s">
        <v>33</v>
      </c>
      <c r="L4" s="39">
        <v>821.85900000000004</v>
      </c>
      <c r="M4" s="41">
        <v>637.1</v>
      </c>
      <c r="N4" s="38">
        <v>5.8999999999999997E-2</v>
      </c>
      <c r="O4" s="40">
        <v>3.54</v>
      </c>
      <c r="P4" s="37">
        <v>300</v>
      </c>
      <c r="Q4" s="37">
        <v>3</v>
      </c>
      <c r="R4" s="37">
        <v>1350</v>
      </c>
      <c r="S4" s="39">
        <v>1.29</v>
      </c>
      <c r="T4" s="37">
        <v>60</v>
      </c>
      <c r="U4" s="38">
        <v>4.4400000000000002E-2</v>
      </c>
      <c r="V4" s="37" t="s">
        <v>37</v>
      </c>
      <c r="W4" s="37" t="s">
        <v>29</v>
      </c>
      <c r="X4" s="37" t="s">
        <v>34</v>
      </c>
      <c r="Y4" s="37" t="s">
        <v>27</v>
      </c>
      <c r="Z4" s="37" t="s">
        <v>27</v>
      </c>
      <c r="AA4" s="37" t="s">
        <v>32</v>
      </c>
      <c r="AB4" s="37" t="s">
        <v>241</v>
      </c>
    </row>
    <row r="5" spans="1:28" ht="25.05" customHeight="1" x14ac:dyDescent="0.3">
      <c r="A5" s="42">
        <v>5</v>
      </c>
      <c r="B5" s="44" t="s">
        <v>107</v>
      </c>
      <c r="C5" s="42" t="s">
        <v>55</v>
      </c>
      <c r="D5" s="42" t="s">
        <v>222</v>
      </c>
      <c r="E5" s="42" t="s">
        <v>27</v>
      </c>
      <c r="F5" s="42">
        <v>262646</v>
      </c>
      <c r="G5" s="42" t="s">
        <v>239</v>
      </c>
      <c r="H5" s="42">
        <v>1140</v>
      </c>
      <c r="I5" s="43">
        <v>0.53</v>
      </c>
      <c r="J5" s="43">
        <v>1.36</v>
      </c>
      <c r="K5" s="42" t="s">
        <v>33</v>
      </c>
      <c r="L5" s="39">
        <v>821.71199999999999</v>
      </c>
      <c r="M5" s="41">
        <v>775.2</v>
      </c>
      <c r="N5" s="38">
        <v>0.1077</v>
      </c>
      <c r="O5" s="40">
        <v>6.46</v>
      </c>
      <c r="P5" s="37">
        <v>299.89999999999998</v>
      </c>
      <c r="Q5" s="37">
        <v>2</v>
      </c>
      <c r="R5" s="37">
        <v>1100</v>
      </c>
      <c r="S5" s="39">
        <v>1.06</v>
      </c>
      <c r="T5" s="37">
        <v>40</v>
      </c>
      <c r="U5" s="38">
        <v>3.6400000000000002E-2</v>
      </c>
      <c r="V5" s="37" t="s">
        <v>37</v>
      </c>
      <c r="W5" s="37" t="s">
        <v>29</v>
      </c>
      <c r="X5" s="37" t="s">
        <v>34</v>
      </c>
      <c r="Y5" s="37" t="s">
        <v>27</v>
      </c>
      <c r="Z5" s="37" t="s">
        <v>27</v>
      </c>
      <c r="AA5" s="37" t="s">
        <v>32</v>
      </c>
      <c r="AB5" s="37" t="s">
        <v>240</v>
      </c>
    </row>
    <row r="6" spans="1:28" ht="25.05" customHeight="1" x14ac:dyDescent="0.3">
      <c r="A6" s="42">
        <v>3</v>
      </c>
      <c r="B6" s="44" t="s">
        <v>107</v>
      </c>
      <c r="C6" s="42" t="s">
        <v>49</v>
      </c>
      <c r="D6" s="42" t="s">
        <v>222</v>
      </c>
      <c r="E6" s="42" t="s">
        <v>27</v>
      </c>
      <c r="F6" s="42">
        <v>262647</v>
      </c>
      <c r="G6" s="42" t="s">
        <v>239</v>
      </c>
      <c r="H6" s="42">
        <v>3052</v>
      </c>
      <c r="I6" s="43">
        <v>0.39</v>
      </c>
      <c r="J6" s="43">
        <v>0.71</v>
      </c>
      <c r="K6" s="42" t="s">
        <v>33</v>
      </c>
      <c r="L6" s="39">
        <v>845.09900000000005</v>
      </c>
      <c r="M6" s="41">
        <v>722.3</v>
      </c>
      <c r="N6" s="38">
        <v>6.6900000000000001E-2</v>
      </c>
      <c r="O6" s="40">
        <v>4.01</v>
      </c>
      <c r="P6" s="37">
        <v>300</v>
      </c>
      <c r="Q6" s="37">
        <v>3</v>
      </c>
      <c r="R6" s="37">
        <v>1200</v>
      </c>
      <c r="S6" s="39">
        <v>1.17</v>
      </c>
      <c r="T6" s="37">
        <v>30</v>
      </c>
      <c r="U6" s="38">
        <v>2.5000000000000001E-2</v>
      </c>
      <c r="V6" s="37" t="s">
        <v>29</v>
      </c>
      <c r="W6" s="37" t="s">
        <v>28</v>
      </c>
      <c r="X6" s="37" t="s">
        <v>29</v>
      </c>
      <c r="Y6" s="37" t="s">
        <v>27</v>
      </c>
      <c r="Z6" s="37" t="s">
        <v>27</v>
      </c>
      <c r="AA6" s="37" t="s">
        <v>38</v>
      </c>
      <c r="AB6" s="37" t="s">
        <v>108</v>
      </c>
    </row>
    <row r="7" spans="1:28" ht="25.05" customHeight="1" x14ac:dyDescent="0.3">
      <c r="A7" s="42">
        <v>4</v>
      </c>
      <c r="B7" s="44" t="s">
        <v>107</v>
      </c>
      <c r="C7" s="42" t="s">
        <v>49</v>
      </c>
      <c r="D7" s="42" t="s">
        <v>222</v>
      </c>
      <c r="E7" s="42" t="s">
        <v>27</v>
      </c>
      <c r="F7" s="42">
        <v>262648</v>
      </c>
      <c r="G7" s="42" t="s">
        <v>239</v>
      </c>
      <c r="H7" s="42">
        <v>3317</v>
      </c>
      <c r="I7" s="43">
        <v>0.56000000000000005</v>
      </c>
      <c r="J7" s="43">
        <v>0.91</v>
      </c>
      <c r="K7" s="42" t="s">
        <v>33</v>
      </c>
      <c r="L7" s="39">
        <v>1690.3430000000001</v>
      </c>
      <c r="M7" s="41">
        <v>1509.2</v>
      </c>
      <c r="N7" s="38">
        <v>0.20960000000000001</v>
      </c>
      <c r="O7" s="40">
        <v>12.58</v>
      </c>
      <c r="P7" s="37">
        <v>600.1</v>
      </c>
      <c r="Q7" s="37">
        <v>2</v>
      </c>
      <c r="R7" s="37">
        <v>1150</v>
      </c>
      <c r="S7" s="39">
        <v>1.1200000000000001</v>
      </c>
      <c r="T7" s="37">
        <v>30</v>
      </c>
      <c r="U7" s="38">
        <v>2.6100000000000002E-2</v>
      </c>
      <c r="V7" s="37" t="s">
        <v>29</v>
      </c>
      <c r="W7" s="37" t="s">
        <v>28</v>
      </c>
      <c r="X7" s="37" t="s">
        <v>29</v>
      </c>
      <c r="Y7" s="37" t="s">
        <v>27</v>
      </c>
      <c r="Z7" s="37" t="s">
        <v>27</v>
      </c>
      <c r="AA7" s="37" t="s">
        <v>30</v>
      </c>
      <c r="AB7" s="37" t="s">
        <v>106</v>
      </c>
    </row>
    <row r="8" spans="1:28" ht="25.05" customHeight="1" x14ac:dyDescent="0.3">
      <c r="A8" s="36" t="s">
        <v>27</v>
      </c>
      <c r="B8" s="36" t="s">
        <v>27</v>
      </c>
      <c r="C8" s="36" t="s">
        <v>27</v>
      </c>
      <c r="D8" s="36" t="s">
        <v>27</v>
      </c>
      <c r="E8" s="36" t="s">
        <v>27</v>
      </c>
      <c r="F8" s="36" t="s">
        <v>27</v>
      </c>
      <c r="G8" s="36" t="s">
        <v>27</v>
      </c>
      <c r="H8" s="36">
        <v>11911</v>
      </c>
      <c r="I8" s="36" t="s">
        <v>27</v>
      </c>
      <c r="J8" s="36" t="s">
        <v>27</v>
      </c>
      <c r="K8" s="36" t="s">
        <v>27</v>
      </c>
      <c r="L8" s="35" t="s">
        <v>27</v>
      </c>
      <c r="M8" s="35" t="s">
        <v>27</v>
      </c>
      <c r="N8" s="35" t="s">
        <v>27</v>
      </c>
      <c r="O8" s="35" t="s">
        <v>27</v>
      </c>
      <c r="P8" s="35">
        <v>2100</v>
      </c>
      <c r="Q8" s="35" t="s">
        <v>27</v>
      </c>
      <c r="R8" s="35" t="s">
        <v>27</v>
      </c>
      <c r="S8" s="35" t="s">
        <v>27</v>
      </c>
      <c r="T8" s="35" t="s">
        <v>27</v>
      </c>
      <c r="U8" s="35" t="s">
        <v>27</v>
      </c>
      <c r="V8" s="35" t="s">
        <v>27</v>
      </c>
      <c r="W8" s="35" t="s">
        <v>27</v>
      </c>
      <c r="X8" s="35" t="s">
        <v>27</v>
      </c>
      <c r="Y8" s="35" t="s">
        <v>27</v>
      </c>
      <c r="Z8" s="35" t="s">
        <v>27</v>
      </c>
      <c r="AA8" s="35" t="s">
        <v>27</v>
      </c>
      <c r="AB8" s="35" t="s">
        <v>27</v>
      </c>
    </row>
    <row r="9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11"/>
  <sheetViews>
    <sheetView workbookViewId="0">
      <selection activeCell="AE3" sqref="AE3"/>
    </sheetView>
  </sheetViews>
  <sheetFormatPr defaultRowHeight="14.4" x14ac:dyDescent="0.3"/>
  <cols>
    <col min="1" max="1" width="4.5546875" style="34" customWidth="1"/>
    <col min="2" max="2" width="20.77734375" style="34" hidden="1" customWidth="1"/>
    <col min="3" max="3" width="5.88671875" style="34" customWidth="1"/>
    <col min="4" max="4" width="11.77734375" style="34" hidden="1" customWidth="1"/>
    <col min="5" max="5" width="8.109375" style="34" customWidth="1"/>
    <col min="6" max="6" width="7.21875" style="34" customWidth="1"/>
    <col min="7" max="7" width="5" style="34" customWidth="1"/>
    <col min="8" max="8" width="6.33203125" style="34" customWidth="1"/>
    <col min="9" max="9" width="6.44140625" style="34" customWidth="1"/>
    <col min="10" max="10" width="6.21875" style="34" customWidth="1"/>
    <col min="11" max="11" width="12.55468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6.33203125" style="34" customWidth="1"/>
    <col min="17" max="17" width="4.77734375" style="34" customWidth="1"/>
    <col min="18" max="18" width="6.21875" style="34" customWidth="1"/>
    <col min="19" max="19" width="6.44140625" style="34" customWidth="1"/>
    <col min="20" max="20" width="11.77734375" style="34" hidden="1" customWidth="1"/>
    <col min="21" max="21" width="8.77734375" style="34" hidden="1" customWidth="1"/>
    <col min="22" max="22" width="7.44140625" style="34" customWidth="1"/>
    <col min="23" max="23" width="8.109375" style="34" customWidth="1"/>
    <col min="24" max="24" width="7.44140625" style="34" customWidth="1"/>
    <col min="25" max="25" width="7.21875" style="34" customWidth="1"/>
    <col min="26" max="26" width="6.88671875" style="34" customWidth="1"/>
    <col min="27" max="27" width="4.88671875" style="34" customWidth="1"/>
    <col min="28" max="28" width="11.109375" style="34" customWidth="1"/>
    <col min="29" max="16384" width="8.88671875" style="34"/>
  </cols>
  <sheetData>
    <row r="1" spans="1:28" ht="18" customHeight="1" x14ac:dyDescent="0.35">
      <c r="A1" s="92" t="s">
        <v>236</v>
      </c>
      <c r="B1" s="92" t="s">
        <v>27</v>
      </c>
      <c r="C1" s="92" t="s">
        <v>27</v>
      </c>
      <c r="D1" s="92" t="s">
        <v>27</v>
      </c>
      <c r="E1" s="92" t="s">
        <v>27</v>
      </c>
      <c r="F1" s="92" t="s">
        <v>27</v>
      </c>
      <c r="G1" s="92" t="s">
        <v>27</v>
      </c>
      <c r="H1" s="92" t="s">
        <v>27</v>
      </c>
      <c r="I1" s="92" t="s">
        <v>27</v>
      </c>
      <c r="J1" s="92" t="s">
        <v>27</v>
      </c>
      <c r="K1" s="92" t="s">
        <v>27</v>
      </c>
      <c r="L1" s="92" t="s">
        <v>27</v>
      </c>
      <c r="M1" s="92" t="s">
        <v>27</v>
      </c>
      <c r="N1" s="92" t="s">
        <v>27</v>
      </c>
      <c r="O1" s="92" t="s">
        <v>27</v>
      </c>
      <c r="P1" s="92" t="s">
        <v>27</v>
      </c>
      <c r="Q1" s="92" t="s">
        <v>27</v>
      </c>
      <c r="R1" s="92" t="s">
        <v>27</v>
      </c>
      <c r="S1" s="92" t="s">
        <v>27</v>
      </c>
      <c r="T1" s="92" t="s">
        <v>27</v>
      </c>
      <c r="U1" s="92" t="s">
        <v>27</v>
      </c>
      <c r="V1" s="92" t="s">
        <v>27</v>
      </c>
      <c r="W1" s="92" t="s">
        <v>27</v>
      </c>
      <c r="X1" s="92" t="s">
        <v>27</v>
      </c>
      <c r="Y1" s="92" t="s">
        <v>27</v>
      </c>
      <c r="Z1" s="92" t="s">
        <v>27</v>
      </c>
      <c r="AA1" s="92" t="s">
        <v>27</v>
      </c>
      <c r="AB1" s="92" t="s">
        <v>27</v>
      </c>
    </row>
    <row r="2" spans="1:28" ht="52.8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13" customFormat="1" ht="25.05" customHeight="1" x14ac:dyDescent="0.3">
      <c r="A3" s="46">
        <v>1</v>
      </c>
      <c r="B3" s="47" t="s">
        <v>58</v>
      </c>
      <c r="C3" s="46" t="s">
        <v>26</v>
      </c>
      <c r="D3" s="46" t="s">
        <v>255</v>
      </c>
      <c r="E3" s="46" t="s">
        <v>27</v>
      </c>
      <c r="F3" s="46">
        <v>262674</v>
      </c>
      <c r="G3" s="46" t="s">
        <v>284</v>
      </c>
      <c r="H3" s="46">
        <v>400</v>
      </c>
      <c r="I3" s="48">
        <v>1.3720000000000001</v>
      </c>
      <c r="J3" s="48">
        <v>2.38</v>
      </c>
      <c r="K3" s="46" t="s">
        <v>288</v>
      </c>
      <c r="L3" s="48">
        <v>1306.144</v>
      </c>
      <c r="M3" s="49">
        <v>952</v>
      </c>
      <c r="N3" s="50">
        <v>0.26440000000000002</v>
      </c>
      <c r="O3" s="51">
        <v>15.87</v>
      </c>
      <c r="P3" s="46">
        <v>702.7</v>
      </c>
      <c r="Q3" s="46">
        <v>1</v>
      </c>
      <c r="R3" s="46">
        <v>1400</v>
      </c>
      <c r="S3" s="48">
        <v>1.3720000000000001</v>
      </c>
      <c r="T3" s="46">
        <v>28</v>
      </c>
      <c r="U3" s="50">
        <v>0.02</v>
      </c>
      <c r="V3" s="46" t="s">
        <v>28</v>
      </c>
      <c r="W3" s="46" t="s">
        <v>29</v>
      </c>
      <c r="X3" s="46" t="s">
        <v>28</v>
      </c>
      <c r="Y3" s="46" t="s">
        <v>28</v>
      </c>
      <c r="Z3" s="46" t="s">
        <v>28</v>
      </c>
      <c r="AA3" s="46" t="s">
        <v>30</v>
      </c>
      <c r="AB3" s="46" t="s">
        <v>287</v>
      </c>
    </row>
    <row r="4" spans="1:28" s="13" customFormat="1" ht="25.05" customHeight="1" x14ac:dyDescent="0.3">
      <c r="A4" s="46">
        <v>2</v>
      </c>
      <c r="B4" s="47" t="s">
        <v>58</v>
      </c>
      <c r="C4" s="46" t="s">
        <v>26</v>
      </c>
      <c r="D4" s="46" t="s">
        <v>255</v>
      </c>
      <c r="E4" s="46" t="s">
        <v>27</v>
      </c>
      <c r="F4" s="46">
        <v>262672</v>
      </c>
      <c r="G4" s="46" t="s">
        <v>284</v>
      </c>
      <c r="H4" s="46">
        <v>400</v>
      </c>
      <c r="I4" s="48">
        <v>1.1519999999999999</v>
      </c>
      <c r="J4" s="48">
        <v>2.34</v>
      </c>
      <c r="K4" s="46" t="s">
        <v>286</v>
      </c>
      <c r="L4" s="48">
        <v>1078.2719999999999</v>
      </c>
      <c r="M4" s="49">
        <v>936</v>
      </c>
      <c r="N4" s="50">
        <v>0.26</v>
      </c>
      <c r="O4" s="51">
        <v>15.6</v>
      </c>
      <c r="P4" s="46">
        <v>580.1</v>
      </c>
      <c r="Q4" s="46">
        <v>1</v>
      </c>
      <c r="R4" s="46">
        <v>1200</v>
      </c>
      <c r="S4" s="48">
        <v>1.1519999999999999</v>
      </c>
      <c r="T4" s="46">
        <v>48</v>
      </c>
      <c r="U4" s="50">
        <v>0.04</v>
      </c>
      <c r="V4" s="46" t="s">
        <v>28</v>
      </c>
      <c r="W4" s="46" t="s">
        <v>29</v>
      </c>
      <c r="X4" s="46" t="s">
        <v>28</v>
      </c>
      <c r="Y4" s="46" t="s">
        <v>28</v>
      </c>
      <c r="Z4" s="46" t="s">
        <v>28</v>
      </c>
      <c r="AA4" s="46" t="s">
        <v>30</v>
      </c>
      <c r="AB4" s="46" t="s">
        <v>285</v>
      </c>
    </row>
    <row r="5" spans="1:28" s="13" customFormat="1" ht="25.05" customHeight="1" x14ac:dyDescent="0.3">
      <c r="A5" s="46">
        <v>3</v>
      </c>
      <c r="B5" s="47" t="s">
        <v>58</v>
      </c>
      <c r="C5" s="46" t="s">
        <v>26</v>
      </c>
      <c r="D5" s="46" t="s">
        <v>255</v>
      </c>
      <c r="E5" s="46" t="s">
        <v>27</v>
      </c>
      <c r="F5" s="46">
        <v>262671</v>
      </c>
      <c r="G5" s="46" t="s">
        <v>284</v>
      </c>
      <c r="H5" s="46">
        <v>400</v>
      </c>
      <c r="I5" s="48">
        <v>1.3520000000000001</v>
      </c>
      <c r="J5" s="48">
        <v>2.339</v>
      </c>
      <c r="K5" s="46" t="s">
        <v>283</v>
      </c>
      <c r="L5" s="48">
        <v>1264.931</v>
      </c>
      <c r="M5" s="49">
        <v>467.8</v>
      </c>
      <c r="N5" s="50">
        <v>6.5000000000000002E-2</v>
      </c>
      <c r="O5" s="51">
        <v>3.9</v>
      </c>
      <c r="P5" s="46">
        <v>680.5</v>
      </c>
      <c r="Q5" s="46">
        <v>2</v>
      </c>
      <c r="R5" s="46">
        <v>1200</v>
      </c>
      <c r="S5" s="48">
        <v>2.7040000000000002</v>
      </c>
      <c r="T5" s="46">
        <v>-1504</v>
      </c>
      <c r="U5" s="50">
        <v>-1.2533000000000001</v>
      </c>
      <c r="V5" s="46" t="s">
        <v>28</v>
      </c>
      <c r="W5" s="46" t="s">
        <v>29</v>
      </c>
      <c r="X5" s="46" t="s">
        <v>28</v>
      </c>
      <c r="Y5" s="46" t="s">
        <v>28</v>
      </c>
      <c r="Z5" s="46" t="s">
        <v>28</v>
      </c>
      <c r="AA5" s="46" t="s">
        <v>30</v>
      </c>
      <c r="AB5" s="46" t="s">
        <v>280</v>
      </c>
    </row>
    <row r="6" spans="1:28" s="58" customFormat="1" ht="25.05" customHeight="1" x14ac:dyDescent="0.3">
      <c r="A6" s="52">
        <v>1</v>
      </c>
      <c r="B6" s="53" t="s">
        <v>58</v>
      </c>
      <c r="C6" s="52" t="s">
        <v>59</v>
      </c>
      <c r="D6" s="52" t="s">
        <v>222</v>
      </c>
      <c r="E6" s="52" t="s">
        <v>27</v>
      </c>
      <c r="F6" s="52">
        <v>262640</v>
      </c>
      <c r="G6" s="52" t="s">
        <v>231</v>
      </c>
      <c r="H6" s="52">
        <v>800</v>
      </c>
      <c r="I6" s="54">
        <v>0.73199999999999998</v>
      </c>
      <c r="J6" s="54">
        <v>1.6739999999999999</v>
      </c>
      <c r="K6" s="52" t="s">
        <v>235</v>
      </c>
      <c r="L6" s="54">
        <v>980.29399999999998</v>
      </c>
      <c r="M6" s="55">
        <v>669.6</v>
      </c>
      <c r="N6" s="56">
        <v>9.2999999999999999E-2</v>
      </c>
      <c r="O6" s="57">
        <v>5.58</v>
      </c>
      <c r="P6" s="52">
        <v>317.60000000000002</v>
      </c>
      <c r="Q6" s="52">
        <v>2</v>
      </c>
      <c r="R6" s="52">
        <v>1500</v>
      </c>
      <c r="S6" s="54">
        <v>1.464</v>
      </c>
      <c r="T6" s="52">
        <v>36</v>
      </c>
      <c r="U6" s="56">
        <v>2.4E-2</v>
      </c>
      <c r="V6" s="52" t="s">
        <v>28</v>
      </c>
      <c r="W6" s="52" t="s">
        <v>28</v>
      </c>
      <c r="X6" s="52" t="s">
        <v>28</v>
      </c>
      <c r="Y6" s="52" t="s">
        <v>27</v>
      </c>
      <c r="Z6" s="52" t="s">
        <v>27</v>
      </c>
      <c r="AA6" s="52" t="s">
        <v>30</v>
      </c>
      <c r="AB6" s="52" t="s">
        <v>234</v>
      </c>
    </row>
    <row r="7" spans="1:28" s="58" customFormat="1" ht="25.05" customHeight="1" x14ac:dyDescent="0.3">
      <c r="A7" s="52">
        <v>2</v>
      </c>
      <c r="B7" s="53" t="s">
        <v>58</v>
      </c>
      <c r="C7" s="52" t="s">
        <v>59</v>
      </c>
      <c r="D7" s="52" t="s">
        <v>222</v>
      </c>
      <c r="E7" s="52" t="s">
        <v>27</v>
      </c>
      <c r="F7" s="52">
        <v>262641</v>
      </c>
      <c r="G7" s="52" t="s">
        <v>231</v>
      </c>
      <c r="H7" s="52">
        <v>1150</v>
      </c>
      <c r="I7" s="54">
        <v>0.54700000000000004</v>
      </c>
      <c r="J7" s="54">
        <v>1.44</v>
      </c>
      <c r="K7" s="52" t="s">
        <v>233</v>
      </c>
      <c r="L7" s="54">
        <v>905.83199999999999</v>
      </c>
      <c r="M7" s="55">
        <v>828</v>
      </c>
      <c r="N7" s="56">
        <v>0.115</v>
      </c>
      <c r="O7" s="57">
        <v>6.9</v>
      </c>
      <c r="P7" s="52">
        <v>293.5</v>
      </c>
      <c r="Q7" s="52">
        <v>2</v>
      </c>
      <c r="R7" s="52">
        <v>1150</v>
      </c>
      <c r="S7" s="54">
        <v>1.0940000000000001</v>
      </c>
      <c r="T7" s="52">
        <v>56</v>
      </c>
      <c r="U7" s="56">
        <v>4.87E-2</v>
      </c>
      <c r="V7" s="52" t="s">
        <v>28</v>
      </c>
      <c r="W7" s="52" t="s">
        <v>28</v>
      </c>
      <c r="X7" s="52" t="s">
        <v>28</v>
      </c>
      <c r="Y7" s="52" t="s">
        <v>27</v>
      </c>
      <c r="Z7" s="52" t="s">
        <v>27</v>
      </c>
      <c r="AA7" s="52" t="s">
        <v>32</v>
      </c>
      <c r="AB7" s="52" t="s">
        <v>232</v>
      </c>
    </row>
    <row r="8" spans="1:28" s="13" customFormat="1" ht="25.05" customHeight="1" x14ac:dyDescent="0.3">
      <c r="A8" s="46">
        <v>4</v>
      </c>
      <c r="B8" s="47" t="s">
        <v>58</v>
      </c>
      <c r="C8" s="46" t="s">
        <v>35</v>
      </c>
      <c r="D8" s="46" t="s">
        <v>255</v>
      </c>
      <c r="E8" s="46" t="s">
        <v>27</v>
      </c>
      <c r="F8" s="46">
        <v>262673</v>
      </c>
      <c r="G8" s="46" t="s">
        <v>284</v>
      </c>
      <c r="H8" s="46">
        <v>1000</v>
      </c>
      <c r="I8" s="48">
        <v>0.76</v>
      </c>
      <c r="J8" s="48">
        <v>1.0900000000000001</v>
      </c>
      <c r="K8" s="46" t="s">
        <v>33</v>
      </c>
      <c r="L8" s="48">
        <v>828.4</v>
      </c>
      <c r="M8" s="49">
        <v>545</v>
      </c>
      <c r="N8" s="50">
        <v>7.5700000000000003E-2</v>
      </c>
      <c r="O8" s="51">
        <v>4.54</v>
      </c>
      <c r="P8" s="46">
        <v>260.89999999999998</v>
      </c>
      <c r="Q8" s="46">
        <v>2</v>
      </c>
      <c r="R8" s="46">
        <v>1550</v>
      </c>
      <c r="S8" s="48">
        <v>1.52</v>
      </c>
      <c r="T8" s="46">
        <v>30</v>
      </c>
      <c r="U8" s="50">
        <v>1.9400000000000001E-2</v>
      </c>
      <c r="V8" s="46" t="s">
        <v>28</v>
      </c>
      <c r="W8" s="46" t="s">
        <v>28</v>
      </c>
      <c r="X8" s="46" t="s">
        <v>28</v>
      </c>
      <c r="Y8" s="46" t="s">
        <v>27</v>
      </c>
      <c r="Z8" s="46" t="s">
        <v>27</v>
      </c>
      <c r="AA8" s="46" t="s">
        <v>32</v>
      </c>
      <c r="AB8" s="46" t="s">
        <v>289</v>
      </c>
    </row>
    <row r="9" spans="1:28" s="13" customFormat="1" ht="25.05" customHeight="1" x14ac:dyDescent="0.3">
      <c r="A9" s="46">
        <v>5</v>
      </c>
      <c r="B9" s="47" t="s">
        <v>58</v>
      </c>
      <c r="C9" s="46" t="s">
        <v>35</v>
      </c>
      <c r="D9" s="46" t="s">
        <v>276</v>
      </c>
      <c r="E9" s="46" t="s">
        <v>27</v>
      </c>
      <c r="F9" s="46">
        <v>262675</v>
      </c>
      <c r="G9" s="46" t="s">
        <v>290</v>
      </c>
      <c r="H9" s="46">
        <v>1350</v>
      </c>
      <c r="I9" s="48">
        <v>0.59199999999999997</v>
      </c>
      <c r="J9" s="48">
        <v>1.619</v>
      </c>
      <c r="K9" s="46" t="s">
        <v>291</v>
      </c>
      <c r="L9" s="48">
        <v>1293.905</v>
      </c>
      <c r="M9" s="49">
        <v>1092.8</v>
      </c>
      <c r="N9" s="50">
        <v>0.15179999999999999</v>
      </c>
      <c r="O9" s="51">
        <v>9.11</v>
      </c>
      <c r="P9" s="46">
        <v>407.6</v>
      </c>
      <c r="Q9" s="46">
        <v>2</v>
      </c>
      <c r="R9" s="46">
        <v>1250</v>
      </c>
      <c r="S9" s="48">
        <v>1.1839999999999999</v>
      </c>
      <c r="T9" s="46">
        <v>66</v>
      </c>
      <c r="U9" s="50">
        <v>5.28E-2</v>
      </c>
      <c r="V9" s="46" t="s">
        <v>28</v>
      </c>
      <c r="W9" s="46" t="s">
        <v>28</v>
      </c>
      <c r="X9" s="46" t="s">
        <v>28</v>
      </c>
      <c r="Y9" s="46" t="s">
        <v>27</v>
      </c>
      <c r="Z9" s="46" t="s">
        <v>27</v>
      </c>
      <c r="AA9" s="46" t="s">
        <v>31</v>
      </c>
      <c r="AB9" s="46" t="s">
        <v>292</v>
      </c>
    </row>
    <row r="10" spans="1:28" s="58" customFormat="1" ht="25.05" customHeight="1" x14ac:dyDescent="0.3">
      <c r="A10" s="52">
        <v>3</v>
      </c>
      <c r="B10" s="53" t="s">
        <v>58</v>
      </c>
      <c r="C10" s="52" t="s">
        <v>35</v>
      </c>
      <c r="D10" s="52" t="s">
        <v>222</v>
      </c>
      <c r="E10" s="52" t="s">
        <v>27</v>
      </c>
      <c r="F10" s="52">
        <v>262642</v>
      </c>
      <c r="G10" s="52" t="s">
        <v>231</v>
      </c>
      <c r="H10" s="52">
        <v>1000</v>
      </c>
      <c r="I10" s="54">
        <v>0.58099999999999996</v>
      </c>
      <c r="J10" s="54">
        <v>1.58</v>
      </c>
      <c r="K10" s="52" t="s">
        <v>230</v>
      </c>
      <c r="L10" s="54">
        <v>917.98</v>
      </c>
      <c r="M10" s="55">
        <v>790</v>
      </c>
      <c r="N10" s="56">
        <v>0.10970000000000001</v>
      </c>
      <c r="O10" s="57">
        <v>6.58</v>
      </c>
      <c r="P10" s="52">
        <v>289.2</v>
      </c>
      <c r="Q10" s="52">
        <v>2</v>
      </c>
      <c r="R10" s="52">
        <v>1200</v>
      </c>
      <c r="S10" s="54">
        <v>1.1619999999999999</v>
      </c>
      <c r="T10" s="52">
        <v>38</v>
      </c>
      <c r="U10" s="56">
        <v>3.1699999999999999E-2</v>
      </c>
      <c r="V10" s="52" t="s">
        <v>28</v>
      </c>
      <c r="W10" s="52" t="s">
        <v>28</v>
      </c>
      <c r="X10" s="52" t="s">
        <v>28</v>
      </c>
      <c r="Y10" s="52" t="s">
        <v>27</v>
      </c>
      <c r="Z10" s="52" t="s">
        <v>27</v>
      </c>
      <c r="AA10" s="52" t="s">
        <v>32</v>
      </c>
      <c r="AB10" s="52" t="s">
        <v>229</v>
      </c>
    </row>
    <row r="11" spans="1:28" s="58" customFormat="1" x14ac:dyDescent="0.3">
      <c r="A11" s="59" t="s">
        <v>27</v>
      </c>
      <c r="B11" s="59" t="s">
        <v>27</v>
      </c>
      <c r="C11" s="59" t="s">
        <v>27</v>
      </c>
      <c r="D11" s="59" t="s">
        <v>27</v>
      </c>
      <c r="E11" s="59" t="s">
        <v>27</v>
      </c>
      <c r="F11" s="59" t="s">
        <v>27</v>
      </c>
      <c r="G11" s="59" t="s">
        <v>27</v>
      </c>
      <c r="H11" s="59">
        <f>SUM(H3:H10)</f>
        <v>6500</v>
      </c>
      <c r="I11" s="59" t="s">
        <v>27</v>
      </c>
      <c r="J11" s="59" t="s">
        <v>27</v>
      </c>
      <c r="K11" s="59" t="s">
        <v>27</v>
      </c>
      <c r="L11" s="59" t="s">
        <v>27</v>
      </c>
      <c r="M11" s="59" t="s">
        <v>27</v>
      </c>
      <c r="N11" s="59" t="s">
        <v>27</v>
      </c>
      <c r="O11" s="59" t="s">
        <v>27</v>
      </c>
      <c r="P11" s="59">
        <f>SUM(P3:P10)</f>
        <v>3532.1</v>
      </c>
      <c r="Q11" s="59" t="s">
        <v>27</v>
      </c>
      <c r="R11" s="59" t="s">
        <v>27</v>
      </c>
      <c r="S11" s="59" t="s">
        <v>27</v>
      </c>
      <c r="T11" s="59" t="s">
        <v>27</v>
      </c>
      <c r="U11" s="59" t="s">
        <v>27</v>
      </c>
      <c r="V11" s="59" t="s">
        <v>27</v>
      </c>
      <c r="W11" s="59" t="s">
        <v>27</v>
      </c>
      <c r="X11" s="59" t="s">
        <v>27</v>
      </c>
      <c r="Y11" s="59" t="s">
        <v>27</v>
      </c>
      <c r="Z11" s="59" t="s">
        <v>27</v>
      </c>
      <c r="AA11" s="59" t="s">
        <v>27</v>
      </c>
      <c r="AB11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topLeftCell="A31" workbookViewId="0">
      <selection activeCell="C3" sqref="C3:C11"/>
    </sheetView>
  </sheetViews>
  <sheetFormatPr defaultRowHeight="14.4" x14ac:dyDescent="0.3"/>
  <cols>
    <col min="1" max="1" width="3.33203125" style="34" customWidth="1"/>
    <col min="2" max="2" width="20.77734375" style="34" hidden="1" customWidth="1"/>
    <col min="3" max="3" width="7.77734375" style="34" customWidth="1"/>
    <col min="4" max="4" width="11.77734375" style="34" hidden="1" customWidth="1"/>
    <col min="5" max="5" width="8.6640625" style="34" customWidth="1"/>
    <col min="6" max="6" width="7.109375" style="34" customWidth="1"/>
    <col min="7" max="7" width="5.77734375" style="34" customWidth="1"/>
    <col min="8" max="8" width="6" style="34" customWidth="1"/>
    <col min="9" max="9" width="7.21875" style="34" customWidth="1"/>
    <col min="10" max="10" width="6.5546875" style="34" customWidth="1"/>
    <col min="11" max="11" width="6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44140625" style="34" customWidth="1"/>
    <col min="17" max="17" width="4.21875" style="34" customWidth="1"/>
    <col min="18" max="18" width="6.44140625" style="34" customWidth="1"/>
    <col min="19" max="19" width="5.77734375" style="34" customWidth="1"/>
    <col min="20" max="20" width="11.77734375" style="34" hidden="1" customWidth="1"/>
    <col min="21" max="21" width="8.77734375" style="34" hidden="1" customWidth="1"/>
    <col min="22" max="22" width="7.77734375" style="34" customWidth="1"/>
    <col min="23" max="23" width="7.6640625" style="34" customWidth="1"/>
    <col min="24" max="24" width="7.44140625" style="34" customWidth="1"/>
    <col min="25" max="25" width="7.77734375" style="34" customWidth="1"/>
    <col min="26" max="26" width="7.44140625" style="34" customWidth="1"/>
    <col min="27" max="27" width="4.21875" style="34" customWidth="1"/>
    <col min="28" max="28" width="11.33203125" style="34" customWidth="1"/>
    <col min="29" max="16384" width="8.88671875" style="34"/>
  </cols>
  <sheetData>
    <row r="1" spans="1:28" ht="18" customHeight="1" x14ac:dyDescent="0.35">
      <c r="A1" s="93" t="s">
        <v>228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61.2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98" customFormat="1" ht="25.05" customHeight="1" x14ac:dyDescent="0.3">
      <c r="A3" s="98">
        <v>1</v>
      </c>
      <c r="B3" s="98" t="s">
        <v>90</v>
      </c>
      <c r="C3" s="98" t="s">
        <v>44</v>
      </c>
      <c r="D3" s="99">
        <v>46283</v>
      </c>
      <c r="F3" s="98">
        <v>262665</v>
      </c>
      <c r="G3" s="98">
        <v>1749</v>
      </c>
      <c r="H3" s="98">
        <v>500</v>
      </c>
      <c r="I3" s="98">
        <v>1.494</v>
      </c>
      <c r="J3" s="98">
        <v>2.5630000000000002</v>
      </c>
      <c r="K3" s="98" t="s">
        <v>33</v>
      </c>
      <c r="L3" s="98">
        <v>1914.5609999999999</v>
      </c>
      <c r="M3" s="98">
        <v>1281.5</v>
      </c>
      <c r="N3" s="98">
        <v>0.35599999999999998</v>
      </c>
      <c r="O3" s="98">
        <v>21.36</v>
      </c>
      <c r="P3" s="98">
        <v>1087.5</v>
      </c>
      <c r="Q3" s="98">
        <v>1</v>
      </c>
      <c r="R3" s="98">
        <v>1550</v>
      </c>
      <c r="S3" s="98">
        <v>1.494</v>
      </c>
      <c r="T3" s="98">
        <v>56</v>
      </c>
      <c r="U3" s="98">
        <v>3.61E-2</v>
      </c>
      <c r="V3" s="98" t="s">
        <v>34</v>
      </c>
      <c r="W3" s="98" t="s">
        <v>39</v>
      </c>
      <c r="X3" s="98" t="s">
        <v>34</v>
      </c>
      <c r="Y3" s="98" t="s">
        <v>34</v>
      </c>
      <c r="Z3" s="98" t="s">
        <v>34</v>
      </c>
      <c r="AA3" s="98">
        <v>3</v>
      </c>
      <c r="AB3" s="98" t="s">
        <v>269</v>
      </c>
    </row>
    <row r="4" spans="1:28" s="98" customFormat="1" ht="25.05" customHeight="1" x14ac:dyDescent="0.3">
      <c r="A4" s="98">
        <v>2</v>
      </c>
      <c r="B4" s="98" t="s">
        <v>90</v>
      </c>
      <c r="C4" s="98" t="s">
        <v>44</v>
      </c>
      <c r="D4" s="99">
        <v>46283</v>
      </c>
      <c r="F4" s="98">
        <v>262666</v>
      </c>
      <c r="G4" s="98">
        <v>1749</v>
      </c>
      <c r="H4" s="98">
        <v>500</v>
      </c>
      <c r="I4" s="98">
        <v>1.444</v>
      </c>
      <c r="J4" s="98">
        <v>2.383</v>
      </c>
      <c r="K4" s="98" t="s">
        <v>33</v>
      </c>
      <c r="L4" s="98">
        <v>1720.5260000000001</v>
      </c>
      <c r="M4" s="98">
        <v>1191.5</v>
      </c>
      <c r="N4" s="98">
        <v>0.33100000000000002</v>
      </c>
      <c r="O4" s="98">
        <v>19.86</v>
      </c>
      <c r="P4" s="98">
        <v>977.3</v>
      </c>
      <c r="Q4" s="98">
        <v>1</v>
      </c>
      <c r="R4" s="98">
        <v>1500</v>
      </c>
      <c r="S4" s="98">
        <v>1.444</v>
      </c>
      <c r="T4" s="98">
        <v>56</v>
      </c>
      <c r="U4" s="98">
        <v>3.73E-2</v>
      </c>
      <c r="V4" s="98" t="s">
        <v>34</v>
      </c>
      <c r="W4" s="98" t="s">
        <v>39</v>
      </c>
      <c r="X4" s="98" t="s">
        <v>34</v>
      </c>
      <c r="Y4" s="98" t="s">
        <v>34</v>
      </c>
      <c r="Z4" s="98" t="s">
        <v>34</v>
      </c>
      <c r="AA4" s="98">
        <v>3</v>
      </c>
      <c r="AB4" s="98" t="s">
        <v>270</v>
      </c>
    </row>
    <row r="5" spans="1:28" s="98" customFormat="1" ht="25.05" customHeight="1" x14ac:dyDescent="0.3">
      <c r="A5" s="98">
        <v>3</v>
      </c>
      <c r="B5" s="98" t="s">
        <v>90</v>
      </c>
      <c r="C5" s="98" t="s">
        <v>44</v>
      </c>
      <c r="D5" s="99">
        <v>46283</v>
      </c>
      <c r="F5" s="98">
        <v>262667</v>
      </c>
      <c r="G5" s="98">
        <v>1751</v>
      </c>
      <c r="H5" s="98">
        <v>400</v>
      </c>
      <c r="I5" s="98">
        <v>1.3879999999999999</v>
      </c>
      <c r="J5" s="98">
        <v>1.5029999999999999</v>
      </c>
      <c r="K5" s="98" t="s">
        <v>33</v>
      </c>
      <c r="L5" s="98">
        <v>834.46600000000001</v>
      </c>
      <c r="M5" s="98">
        <v>601.20000000000005</v>
      </c>
      <c r="N5" s="98">
        <v>0.16700000000000001</v>
      </c>
      <c r="O5" s="98">
        <v>10.02</v>
      </c>
      <c r="P5" s="98">
        <v>474</v>
      </c>
      <c r="Q5" s="98">
        <v>1</v>
      </c>
      <c r="R5" s="98">
        <v>1450</v>
      </c>
      <c r="S5" s="98">
        <v>1.3879999999999999</v>
      </c>
      <c r="T5" s="98">
        <v>62</v>
      </c>
      <c r="U5" s="98">
        <v>4.2799999999999998E-2</v>
      </c>
      <c r="V5" s="98" t="s">
        <v>34</v>
      </c>
      <c r="W5" s="98" t="s">
        <v>39</v>
      </c>
      <c r="X5" s="98" t="s">
        <v>34</v>
      </c>
      <c r="Y5" s="98" t="s">
        <v>34</v>
      </c>
      <c r="Z5" s="98" t="s">
        <v>34</v>
      </c>
      <c r="AA5" s="98">
        <v>3</v>
      </c>
      <c r="AB5" s="98" t="s">
        <v>271</v>
      </c>
    </row>
    <row r="6" spans="1:28" s="58" customFormat="1" ht="25.05" customHeight="1" x14ac:dyDescent="0.3">
      <c r="A6" s="98">
        <v>4</v>
      </c>
      <c r="B6" s="53" t="s">
        <v>90</v>
      </c>
      <c r="C6" s="52" t="s">
        <v>44</v>
      </c>
      <c r="D6" s="52" t="s">
        <v>222</v>
      </c>
      <c r="E6" s="52" t="s">
        <v>27</v>
      </c>
      <c r="F6" s="52">
        <v>262639</v>
      </c>
      <c r="G6" s="52" t="s">
        <v>227</v>
      </c>
      <c r="H6" s="52">
        <v>300</v>
      </c>
      <c r="I6" s="54">
        <v>0.67400000000000004</v>
      </c>
      <c r="J6" s="54">
        <v>1.5229999999999999</v>
      </c>
      <c r="K6" s="98" t="s">
        <v>33</v>
      </c>
      <c r="L6" s="54">
        <v>307.95100000000002</v>
      </c>
      <c r="M6" s="55">
        <v>228.4</v>
      </c>
      <c r="N6" s="56">
        <v>3.1699999999999999E-2</v>
      </c>
      <c r="O6" s="57">
        <v>1.9</v>
      </c>
      <c r="P6" s="52">
        <v>174.9</v>
      </c>
      <c r="Q6" s="52">
        <v>2</v>
      </c>
      <c r="R6" s="52">
        <v>1400</v>
      </c>
      <c r="S6" s="54">
        <v>1.3480000000000001</v>
      </c>
      <c r="T6" s="52">
        <v>52</v>
      </c>
      <c r="U6" s="56">
        <v>3.7100000000000001E-2</v>
      </c>
      <c r="V6" s="52" t="s">
        <v>34</v>
      </c>
      <c r="W6" s="52" t="s">
        <v>39</v>
      </c>
      <c r="X6" s="52" t="s">
        <v>34</v>
      </c>
      <c r="Y6" s="52" t="s">
        <v>34</v>
      </c>
      <c r="Z6" s="52" t="s">
        <v>34</v>
      </c>
      <c r="AA6" s="52" t="s">
        <v>32</v>
      </c>
      <c r="AB6" s="52" t="s">
        <v>226</v>
      </c>
    </row>
    <row r="7" spans="1:28" s="58" customFormat="1" ht="25.05" customHeight="1" x14ac:dyDescent="0.3">
      <c r="A7" s="98">
        <v>5</v>
      </c>
      <c r="B7" s="53" t="s">
        <v>90</v>
      </c>
      <c r="C7" s="52" t="s">
        <v>44</v>
      </c>
      <c r="D7" s="52" t="s">
        <v>222</v>
      </c>
      <c r="E7" s="52" t="s">
        <v>27</v>
      </c>
      <c r="F7" s="52">
        <v>262637</v>
      </c>
      <c r="G7" s="52" t="s">
        <v>225</v>
      </c>
      <c r="H7" s="52">
        <v>500</v>
      </c>
      <c r="I7" s="54">
        <v>0.56599999999999995</v>
      </c>
      <c r="J7" s="54">
        <v>1.4630000000000001</v>
      </c>
      <c r="K7" s="98" t="s">
        <v>33</v>
      </c>
      <c r="L7" s="54">
        <v>414.029</v>
      </c>
      <c r="M7" s="55">
        <v>365.8</v>
      </c>
      <c r="N7" s="56">
        <v>5.0799999999999998E-2</v>
      </c>
      <c r="O7" s="57">
        <v>3.05</v>
      </c>
      <c r="P7" s="52">
        <v>235.2</v>
      </c>
      <c r="Q7" s="52">
        <v>2</v>
      </c>
      <c r="R7" s="52">
        <v>1200</v>
      </c>
      <c r="S7" s="54">
        <v>1.1319999999999999</v>
      </c>
      <c r="T7" s="52">
        <v>68</v>
      </c>
      <c r="U7" s="56">
        <v>5.67E-2</v>
      </c>
      <c r="V7" s="52" t="s">
        <v>34</v>
      </c>
      <c r="W7" s="52" t="s">
        <v>39</v>
      </c>
      <c r="X7" s="52" t="s">
        <v>34</v>
      </c>
      <c r="Y7" s="52" t="s">
        <v>34</v>
      </c>
      <c r="Z7" s="52" t="s">
        <v>34</v>
      </c>
      <c r="AA7" s="52" t="s">
        <v>32</v>
      </c>
      <c r="AB7" s="52" t="s">
        <v>224</v>
      </c>
    </row>
    <row r="8" spans="1:28" s="58" customFormat="1" ht="25.05" customHeight="1" x14ac:dyDescent="0.3">
      <c r="A8" s="98">
        <v>6</v>
      </c>
      <c r="B8" s="53" t="s">
        <v>92</v>
      </c>
      <c r="C8" s="52" t="s">
        <v>44</v>
      </c>
      <c r="D8" s="52" t="s">
        <v>222</v>
      </c>
      <c r="E8" s="52" t="s">
        <v>27</v>
      </c>
      <c r="F8" s="52">
        <v>262635</v>
      </c>
      <c r="G8" s="52" t="s">
        <v>223</v>
      </c>
      <c r="H8" s="52">
        <v>5000</v>
      </c>
      <c r="I8" s="54">
        <v>0.55900000000000005</v>
      </c>
      <c r="J8" s="54">
        <v>1.389</v>
      </c>
      <c r="K8" s="98" t="s">
        <v>33</v>
      </c>
      <c r="L8" s="54">
        <v>3882.2550000000001</v>
      </c>
      <c r="M8" s="55">
        <v>3472.5</v>
      </c>
      <c r="N8" s="56">
        <v>0.48230000000000001</v>
      </c>
      <c r="O8" s="57">
        <v>28.94</v>
      </c>
      <c r="P8" s="52">
        <v>2205.1</v>
      </c>
      <c r="Q8" s="52">
        <v>2</v>
      </c>
      <c r="R8" s="52">
        <v>1150</v>
      </c>
      <c r="S8" s="54">
        <v>1.1180000000000001</v>
      </c>
      <c r="T8" s="52">
        <v>32</v>
      </c>
      <c r="U8" s="56">
        <v>2.7799999999999998E-2</v>
      </c>
      <c r="V8" s="52" t="s">
        <v>34</v>
      </c>
      <c r="W8" s="52" t="s">
        <v>39</v>
      </c>
      <c r="X8" s="52" t="s">
        <v>34</v>
      </c>
      <c r="Y8" s="52" t="s">
        <v>34</v>
      </c>
      <c r="Z8" s="52" t="s">
        <v>34</v>
      </c>
      <c r="AA8" s="52" t="s">
        <v>66</v>
      </c>
      <c r="AB8" s="52" t="s">
        <v>91</v>
      </c>
    </row>
    <row r="9" spans="1:28" s="58" customFormat="1" ht="25.05" customHeight="1" x14ac:dyDescent="0.3">
      <c r="A9" s="98">
        <v>7</v>
      </c>
      <c r="B9" s="53" t="s">
        <v>92</v>
      </c>
      <c r="C9" s="52" t="s">
        <v>44</v>
      </c>
      <c r="D9" s="52" t="s">
        <v>222</v>
      </c>
      <c r="E9" s="52" t="s">
        <v>27</v>
      </c>
      <c r="F9" s="52">
        <v>262636</v>
      </c>
      <c r="G9" s="52" t="s">
        <v>223</v>
      </c>
      <c r="H9" s="52">
        <v>5000</v>
      </c>
      <c r="I9" s="54">
        <v>0.55900000000000005</v>
      </c>
      <c r="J9" s="54">
        <v>1.389</v>
      </c>
      <c r="K9" s="98" t="s">
        <v>33</v>
      </c>
      <c r="L9" s="54">
        <v>3882.2550000000001</v>
      </c>
      <c r="M9" s="55">
        <v>3472.5</v>
      </c>
      <c r="N9" s="56">
        <v>0.48230000000000001</v>
      </c>
      <c r="O9" s="57">
        <v>28.94</v>
      </c>
      <c r="P9" s="52">
        <v>2205.1</v>
      </c>
      <c r="Q9" s="52">
        <v>2</v>
      </c>
      <c r="R9" s="52">
        <v>1150</v>
      </c>
      <c r="S9" s="54">
        <v>1.1180000000000001</v>
      </c>
      <c r="T9" s="52">
        <v>32</v>
      </c>
      <c r="U9" s="56">
        <v>2.7799999999999998E-2</v>
      </c>
      <c r="V9" s="52" t="s">
        <v>34</v>
      </c>
      <c r="W9" s="52" t="s">
        <v>39</v>
      </c>
      <c r="X9" s="52" t="s">
        <v>34</v>
      </c>
      <c r="Y9" s="52" t="s">
        <v>34</v>
      </c>
      <c r="Z9" s="52" t="s">
        <v>34</v>
      </c>
      <c r="AA9" s="52" t="s">
        <v>66</v>
      </c>
      <c r="AB9" s="52" t="s">
        <v>91</v>
      </c>
    </row>
    <row r="10" spans="1:28" s="58" customFormat="1" ht="25.05" customHeight="1" x14ac:dyDescent="0.3">
      <c r="A10" s="98">
        <v>8</v>
      </c>
      <c r="B10" s="53" t="s">
        <v>90</v>
      </c>
      <c r="C10" s="52" t="s">
        <v>26</v>
      </c>
      <c r="D10" s="52" t="s">
        <v>222</v>
      </c>
      <c r="E10" s="52" t="s">
        <v>27</v>
      </c>
      <c r="F10" s="52">
        <v>262638</v>
      </c>
      <c r="G10" s="52" t="s">
        <v>221</v>
      </c>
      <c r="H10" s="52">
        <v>200</v>
      </c>
      <c r="I10" s="54">
        <v>0.53800000000000003</v>
      </c>
      <c r="J10" s="54">
        <v>1.423</v>
      </c>
      <c r="K10" s="98" t="s">
        <v>33</v>
      </c>
      <c r="L10" s="54">
        <v>153.11500000000001</v>
      </c>
      <c r="M10" s="55">
        <v>142.30000000000001</v>
      </c>
      <c r="N10" s="56">
        <v>1.9800000000000002E-2</v>
      </c>
      <c r="O10" s="57">
        <v>1.19</v>
      </c>
      <c r="P10" s="52">
        <v>82.4</v>
      </c>
      <c r="Q10" s="52">
        <v>2</v>
      </c>
      <c r="R10" s="52">
        <v>1100</v>
      </c>
      <c r="S10" s="54">
        <v>1.0760000000000001</v>
      </c>
      <c r="T10" s="52">
        <v>24</v>
      </c>
      <c r="U10" s="56">
        <v>2.18E-2</v>
      </c>
      <c r="V10" s="52" t="s">
        <v>28</v>
      </c>
      <c r="W10" s="52" t="s">
        <v>29</v>
      </c>
      <c r="X10" s="52" t="s">
        <v>28</v>
      </c>
      <c r="Y10" s="52" t="s">
        <v>28</v>
      </c>
      <c r="Z10" s="52" t="s">
        <v>28</v>
      </c>
      <c r="AA10" s="52" t="s">
        <v>38</v>
      </c>
      <c r="AB10" s="52" t="s">
        <v>220</v>
      </c>
    </row>
    <row r="11" spans="1:28" s="58" customFormat="1" ht="25.05" customHeight="1" x14ac:dyDescent="0.3">
      <c r="A11" s="98">
        <v>9</v>
      </c>
      <c r="B11" s="53" t="s">
        <v>90</v>
      </c>
      <c r="C11" s="52" t="s">
        <v>35</v>
      </c>
      <c r="D11" s="68">
        <v>46282</v>
      </c>
      <c r="E11" s="52"/>
      <c r="F11" s="52">
        <v>262643</v>
      </c>
      <c r="G11" s="52">
        <v>1748</v>
      </c>
      <c r="H11" s="52">
        <v>600</v>
      </c>
      <c r="I11" s="54">
        <v>0.94899999999999995</v>
      </c>
      <c r="J11" s="54">
        <v>1.536</v>
      </c>
      <c r="K11" s="98" t="s">
        <v>33</v>
      </c>
      <c r="L11" s="54">
        <v>874.59799999999996</v>
      </c>
      <c r="M11" s="55">
        <v>921.6</v>
      </c>
      <c r="N11" s="56">
        <v>0.25600000000000001</v>
      </c>
      <c r="O11" s="57">
        <v>15.36</v>
      </c>
      <c r="P11" s="52">
        <v>275.5</v>
      </c>
      <c r="Q11" s="52">
        <v>1</v>
      </c>
      <c r="R11" s="52">
        <v>1000</v>
      </c>
      <c r="S11" s="54">
        <v>0.94899999999999995</v>
      </c>
      <c r="T11" s="52">
        <v>51</v>
      </c>
      <c r="U11" s="56">
        <v>5.0999999999999997E-2</v>
      </c>
      <c r="V11" s="52" t="s">
        <v>28</v>
      </c>
      <c r="W11" s="52" t="s">
        <v>28</v>
      </c>
      <c r="X11" s="52" t="s">
        <v>28</v>
      </c>
      <c r="Y11" s="52"/>
      <c r="Z11" s="52"/>
      <c r="AA11" s="52">
        <v>2</v>
      </c>
      <c r="AB11" s="52" t="s">
        <v>124</v>
      </c>
    </row>
    <row r="12" spans="1:28" s="58" customFormat="1" ht="25.05" customHeight="1" x14ac:dyDescent="0.3">
      <c r="A12" s="59" t="s">
        <v>27</v>
      </c>
      <c r="B12" s="59" t="s">
        <v>27</v>
      </c>
      <c r="C12" s="59" t="s">
        <v>27</v>
      </c>
      <c r="D12" s="59" t="s">
        <v>27</v>
      </c>
      <c r="E12" s="59" t="s">
        <v>27</v>
      </c>
      <c r="F12" s="59" t="s">
        <v>27</v>
      </c>
      <c r="G12" s="59" t="s">
        <v>27</v>
      </c>
      <c r="H12" s="59">
        <f>SUM(H3:H11)</f>
        <v>13000</v>
      </c>
      <c r="I12" s="59" t="s">
        <v>27</v>
      </c>
      <c r="J12" s="59" t="s">
        <v>27</v>
      </c>
      <c r="K12" s="59" t="s">
        <v>27</v>
      </c>
      <c r="L12" s="59" t="s">
        <v>27</v>
      </c>
      <c r="M12" s="59" t="s">
        <v>27</v>
      </c>
      <c r="N12" s="59" t="s">
        <v>27</v>
      </c>
      <c r="O12" s="59" t="s">
        <v>27</v>
      </c>
      <c r="P12" s="59">
        <f>SUM(P3:P11)</f>
        <v>7717</v>
      </c>
      <c r="Q12" s="59" t="s">
        <v>27</v>
      </c>
      <c r="R12" s="59" t="s">
        <v>27</v>
      </c>
      <c r="S12" s="59" t="s">
        <v>27</v>
      </c>
      <c r="T12" s="59" t="s">
        <v>27</v>
      </c>
      <c r="U12" s="59" t="s">
        <v>27</v>
      </c>
      <c r="V12" s="59" t="s">
        <v>27</v>
      </c>
      <c r="W12" s="59" t="s">
        <v>27</v>
      </c>
      <c r="X12" s="59" t="s">
        <v>27</v>
      </c>
      <c r="Y12" s="59" t="s">
        <v>27</v>
      </c>
      <c r="Z12" s="59" t="s">
        <v>27</v>
      </c>
      <c r="AA12" s="59" t="s">
        <v>27</v>
      </c>
      <c r="AB12" s="59" t="s">
        <v>27</v>
      </c>
    </row>
  </sheetData>
  <mergeCells count="1">
    <mergeCell ref="A1:AB1"/>
  </mergeCells>
  <phoneticPr fontId="20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sqref="A1:AB7"/>
    </sheetView>
  </sheetViews>
  <sheetFormatPr defaultRowHeight="14.4" x14ac:dyDescent="0.3"/>
  <cols>
    <col min="1" max="1" width="2.77734375" style="34" customWidth="1"/>
    <col min="2" max="2" width="20.77734375" style="34" hidden="1" customWidth="1"/>
    <col min="3" max="3" width="7.77734375" style="34" customWidth="1"/>
    <col min="4" max="4" width="11.77734375" style="34" hidden="1" customWidth="1"/>
    <col min="5" max="5" width="8.77734375" style="34" customWidth="1"/>
    <col min="6" max="6" width="7.109375" style="34" customWidth="1"/>
    <col min="7" max="8" width="6.21875" style="34" customWidth="1"/>
    <col min="9" max="10" width="6" style="34" customWidth="1"/>
    <col min="11" max="11" width="13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88671875" style="34" customWidth="1"/>
    <col min="17" max="17" width="3.88671875" style="34" customWidth="1"/>
    <col min="18" max="18" width="5.88671875" style="34" customWidth="1"/>
    <col min="19" max="19" width="6.109375" style="34" customWidth="1"/>
    <col min="20" max="20" width="11.77734375" style="34" hidden="1" customWidth="1"/>
    <col min="21" max="21" width="8.77734375" style="34" hidden="1" customWidth="1"/>
    <col min="22" max="22" width="7.21875" style="34" customWidth="1"/>
    <col min="23" max="23" width="7.77734375" style="34" customWidth="1"/>
    <col min="24" max="24" width="7.109375" style="34" customWidth="1"/>
    <col min="25" max="25" width="7.5546875" style="34" customWidth="1"/>
    <col min="26" max="26" width="8" style="34" customWidth="1"/>
    <col min="27" max="27" width="4.109375" style="34" customWidth="1"/>
    <col min="28" max="28" width="9.44140625" style="34" customWidth="1"/>
    <col min="29" max="16384" width="8.88671875" style="34"/>
  </cols>
  <sheetData>
    <row r="1" spans="1:28" ht="18" customHeight="1" x14ac:dyDescent="0.35">
      <c r="A1" s="93" t="s">
        <v>218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56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84</v>
      </c>
      <c r="C3" s="42" t="s">
        <v>45</v>
      </c>
      <c r="D3" s="42" t="s">
        <v>94</v>
      </c>
      <c r="E3" s="42" t="s">
        <v>27</v>
      </c>
      <c r="F3" s="42">
        <v>262633</v>
      </c>
      <c r="G3" s="42" t="s">
        <v>217</v>
      </c>
      <c r="H3" s="42">
        <v>7200</v>
      </c>
      <c r="I3" s="43">
        <v>0.64600000000000002</v>
      </c>
      <c r="J3" s="43">
        <v>1.843</v>
      </c>
      <c r="K3" s="42" t="s">
        <v>216</v>
      </c>
      <c r="L3" s="39">
        <v>8572.1620000000003</v>
      </c>
      <c r="M3" s="41">
        <v>6634.8</v>
      </c>
      <c r="N3" s="38">
        <v>0.92149999999999999</v>
      </c>
      <c r="O3" s="40">
        <v>55.29</v>
      </c>
      <c r="P3" s="37">
        <v>3771.8</v>
      </c>
      <c r="Q3" s="37">
        <v>2</v>
      </c>
      <c r="R3" s="37">
        <v>1350</v>
      </c>
      <c r="S3" s="39">
        <v>1.292</v>
      </c>
      <c r="T3" s="37">
        <v>58</v>
      </c>
      <c r="U3" s="38">
        <v>4.2999999999999997E-2</v>
      </c>
      <c r="V3" s="37" t="s">
        <v>41</v>
      </c>
      <c r="W3" s="37" t="s">
        <v>41</v>
      </c>
      <c r="X3" s="37" t="s">
        <v>41</v>
      </c>
      <c r="Y3" s="37" t="s">
        <v>27</v>
      </c>
      <c r="Z3" s="37" t="s">
        <v>27</v>
      </c>
      <c r="AA3" s="37" t="s">
        <v>215</v>
      </c>
      <c r="AB3" s="37" t="s">
        <v>214</v>
      </c>
    </row>
    <row r="4" spans="1:28" x14ac:dyDescent="0.3">
      <c r="A4" s="42">
        <v>2</v>
      </c>
      <c r="B4" s="44" t="s">
        <v>84</v>
      </c>
      <c r="C4" s="42" t="s">
        <v>45</v>
      </c>
      <c r="D4" s="42" t="s">
        <v>87</v>
      </c>
      <c r="E4" s="42" t="s">
        <v>27</v>
      </c>
      <c r="F4" s="42">
        <v>262630</v>
      </c>
      <c r="G4" s="42" t="s">
        <v>213</v>
      </c>
      <c r="H4" s="42">
        <v>11100</v>
      </c>
      <c r="I4" s="43">
        <v>0.622</v>
      </c>
      <c r="J4" s="43">
        <v>1.8089999999999999</v>
      </c>
      <c r="K4" s="42" t="s">
        <v>56</v>
      </c>
      <c r="L4" s="39">
        <v>12489.698</v>
      </c>
      <c r="M4" s="41">
        <v>10039.9</v>
      </c>
      <c r="N4" s="38">
        <v>1.3944000000000001</v>
      </c>
      <c r="O4" s="40">
        <v>83.67</v>
      </c>
      <c r="P4" s="37">
        <v>5495.5</v>
      </c>
      <c r="Q4" s="37">
        <v>2</v>
      </c>
      <c r="R4" s="37">
        <v>1300</v>
      </c>
      <c r="S4" s="39">
        <v>1.244</v>
      </c>
      <c r="T4" s="37">
        <v>56</v>
      </c>
      <c r="U4" s="38">
        <v>4.3099999999999999E-2</v>
      </c>
      <c r="V4" s="37" t="s">
        <v>41</v>
      </c>
      <c r="W4" s="37" t="s">
        <v>41</v>
      </c>
      <c r="X4" s="37" t="s">
        <v>41</v>
      </c>
      <c r="Y4" s="37" t="s">
        <v>27</v>
      </c>
      <c r="Z4" s="37" t="s">
        <v>27</v>
      </c>
      <c r="AA4" s="37" t="s">
        <v>212</v>
      </c>
      <c r="AB4" s="37" t="s">
        <v>46</v>
      </c>
    </row>
    <row r="5" spans="1:28" x14ac:dyDescent="0.3">
      <c r="A5" s="42">
        <v>3</v>
      </c>
      <c r="B5" s="44" t="s">
        <v>84</v>
      </c>
      <c r="C5" s="42" t="s">
        <v>45</v>
      </c>
      <c r="D5" s="42" t="s">
        <v>94</v>
      </c>
      <c r="E5" s="42" t="s">
        <v>27</v>
      </c>
      <c r="F5" s="42">
        <v>262632</v>
      </c>
      <c r="G5" s="42" t="s">
        <v>211</v>
      </c>
      <c r="H5" s="42">
        <v>3600</v>
      </c>
      <c r="I5" s="43">
        <v>0.33500000000000002</v>
      </c>
      <c r="J5" s="43">
        <v>0.88</v>
      </c>
      <c r="K5" s="42" t="s">
        <v>33</v>
      </c>
      <c r="L5" s="39">
        <v>1061.28</v>
      </c>
      <c r="M5" s="41">
        <v>1056</v>
      </c>
      <c r="N5" s="38">
        <v>9.7799999999999998E-2</v>
      </c>
      <c r="O5" s="40">
        <v>5.87</v>
      </c>
      <c r="P5" s="37">
        <v>467</v>
      </c>
      <c r="Q5" s="37">
        <v>3</v>
      </c>
      <c r="R5" s="37">
        <v>1050</v>
      </c>
      <c r="S5" s="39">
        <v>1.0049999999999999</v>
      </c>
      <c r="T5" s="37">
        <v>45</v>
      </c>
      <c r="U5" s="38">
        <v>4.2900000000000001E-2</v>
      </c>
      <c r="V5" s="37" t="s">
        <v>41</v>
      </c>
      <c r="W5" s="37" t="s">
        <v>41</v>
      </c>
      <c r="X5" s="37" t="s">
        <v>41</v>
      </c>
      <c r="Y5" s="37" t="s">
        <v>27</v>
      </c>
      <c r="Z5" s="37" t="s">
        <v>27</v>
      </c>
      <c r="AA5" s="37" t="s">
        <v>32</v>
      </c>
      <c r="AB5" s="37" t="s">
        <v>210</v>
      </c>
    </row>
    <row r="6" spans="1:28" x14ac:dyDescent="0.3">
      <c r="A6" s="42">
        <v>4</v>
      </c>
      <c r="B6" s="44" t="s">
        <v>84</v>
      </c>
      <c r="C6" s="42" t="s">
        <v>45</v>
      </c>
      <c r="D6" s="42" t="s">
        <v>87</v>
      </c>
      <c r="E6" s="42" t="s">
        <v>27</v>
      </c>
      <c r="F6" s="42">
        <v>262631</v>
      </c>
      <c r="G6" s="42" t="s">
        <v>209</v>
      </c>
      <c r="H6" s="42">
        <v>5550</v>
      </c>
      <c r="I6" s="43">
        <v>0.32</v>
      </c>
      <c r="J6" s="43">
        <v>0.86599999999999999</v>
      </c>
      <c r="K6" s="42" t="s">
        <v>33</v>
      </c>
      <c r="L6" s="39">
        <v>1538.0160000000001</v>
      </c>
      <c r="M6" s="41">
        <v>1602.1</v>
      </c>
      <c r="N6" s="38">
        <v>0.14829999999999999</v>
      </c>
      <c r="O6" s="40">
        <v>8.9</v>
      </c>
      <c r="P6" s="37">
        <v>676.7</v>
      </c>
      <c r="Q6" s="37">
        <v>3</v>
      </c>
      <c r="R6" s="37">
        <v>1000</v>
      </c>
      <c r="S6" s="39">
        <v>0.96</v>
      </c>
      <c r="T6" s="37">
        <v>40</v>
      </c>
      <c r="U6" s="38">
        <v>0.04</v>
      </c>
      <c r="V6" s="37" t="s">
        <v>41</v>
      </c>
      <c r="W6" s="37" t="s">
        <v>41</v>
      </c>
      <c r="X6" s="37" t="s">
        <v>41</v>
      </c>
      <c r="Y6" s="37" t="s">
        <v>27</v>
      </c>
      <c r="Z6" s="37" t="s">
        <v>27</v>
      </c>
      <c r="AA6" s="37" t="s">
        <v>30</v>
      </c>
      <c r="AB6" s="37" t="s">
        <v>47</v>
      </c>
    </row>
    <row r="7" spans="1:28" x14ac:dyDescent="0.3">
      <c r="A7" s="36" t="s">
        <v>27</v>
      </c>
      <c r="B7" s="36" t="s">
        <v>27</v>
      </c>
      <c r="C7" s="36" t="s">
        <v>27</v>
      </c>
      <c r="D7" s="36" t="s">
        <v>27</v>
      </c>
      <c r="E7" s="36" t="s">
        <v>27</v>
      </c>
      <c r="F7" s="36" t="s">
        <v>27</v>
      </c>
      <c r="G7" s="36" t="s">
        <v>27</v>
      </c>
      <c r="H7" s="36">
        <v>27450</v>
      </c>
      <c r="I7" s="36" t="s">
        <v>27</v>
      </c>
      <c r="J7" s="36" t="s">
        <v>27</v>
      </c>
      <c r="K7" s="36" t="s">
        <v>27</v>
      </c>
      <c r="L7" s="35" t="s">
        <v>27</v>
      </c>
      <c r="M7" s="35" t="s">
        <v>27</v>
      </c>
      <c r="N7" s="35" t="s">
        <v>27</v>
      </c>
      <c r="O7" s="35" t="s">
        <v>27</v>
      </c>
      <c r="P7" s="35">
        <v>10410.9</v>
      </c>
      <c r="Q7" s="35" t="s">
        <v>27</v>
      </c>
      <c r="R7" s="35" t="s">
        <v>27</v>
      </c>
      <c r="S7" s="35" t="s">
        <v>27</v>
      </c>
      <c r="T7" s="35" t="s">
        <v>27</v>
      </c>
      <c r="U7" s="35" t="s">
        <v>27</v>
      </c>
      <c r="V7" s="35" t="s">
        <v>27</v>
      </c>
      <c r="W7" s="35" t="s">
        <v>27</v>
      </c>
      <c r="X7" s="35" t="s">
        <v>27</v>
      </c>
      <c r="Y7" s="35" t="s">
        <v>27</v>
      </c>
      <c r="Z7" s="35" t="s">
        <v>27</v>
      </c>
      <c r="AA7" s="35" t="s">
        <v>27</v>
      </c>
      <c r="AB7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4" customWidth="1"/>
    <col min="2" max="2" width="17.109375" style="34" hidden="1" customWidth="1"/>
    <col min="3" max="3" width="5.88671875" style="34" customWidth="1"/>
    <col min="4" max="4" width="11.77734375" style="34" hidden="1" customWidth="1"/>
    <col min="5" max="5" width="9.21875" style="34" customWidth="1"/>
    <col min="6" max="6" width="7.44140625" style="34" customWidth="1"/>
    <col min="7" max="7" width="3.21875" style="34" customWidth="1"/>
    <col min="8" max="8" width="5.88671875" style="34" customWidth="1"/>
    <col min="9" max="9" width="6.88671875" style="34" customWidth="1"/>
    <col min="10" max="10" width="6.33203125" style="34" customWidth="1"/>
    <col min="11" max="11" width="13.218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" style="34" customWidth="1"/>
    <col min="17" max="17" width="4" style="34" customWidth="1"/>
    <col min="18" max="18" width="6.5546875" style="34" customWidth="1"/>
    <col min="19" max="19" width="6.6640625" style="34" customWidth="1"/>
    <col min="20" max="20" width="11.77734375" style="34" hidden="1" customWidth="1"/>
    <col min="21" max="21" width="8.77734375" style="34" hidden="1" customWidth="1"/>
    <col min="22" max="22" width="8.33203125" style="34" customWidth="1"/>
    <col min="23" max="23" width="8.21875" style="34" customWidth="1"/>
    <col min="24" max="25" width="7.6640625" style="34" customWidth="1"/>
    <col min="26" max="26" width="7.88671875" style="34" customWidth="1"/>
    <col min="27" max="27" width="3.88671875" style="34" customWidth="1"/>
    <col min="28" max="28" width="11" style="34" customWidth="1"/>
    <col min="29" max="16384" width="8.88671875" style="34"/>
  </cols>
  <sheetData>
    <row r="1" spans="1:28" ht="18" customHeight="1" x14ac:dyDescent="0.35">
      <c r="A1" s="93" t="s">
        <v>237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57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ht="25.05" customHeight="1" x14ac:dyDescent="0.3">
      <c r="A3" s="42">
        <v>1</v>
      </c>
      <c r="B3" s="44" t="s">
        <v>238</v>
      </c>
      <c r="C3" s="42" t="s">
        <v>26</v>
      </c>
      <c r="D3" s="42" t="s">
        <v>128</v>
      </c>
      <c r="E3" s="42" t="s">
        <v>27</v>
      </c>
      <c r="F3" s="42">
        <v>262624</v>
      </c>
      <c r="G3" s="42" t="s">
        <v>31</v>
      </c>
      <c r="H3" s="42">
        <v>2000</v>
      </c>
      <c r="I3" s="43">
        <v>0.67900000000000005</v>
      </c>
      <c r="J3" s="43">
        <v>1.35</v>
      </c>
      <c r="K3" s="42" t="s">
        <v>208</v>
      </c>
      <c r="L3" s="39">
        <v>1833.3</v>
      </c>
      <c r="M3" s="41">
        <v>1350</v>
      </c>
      <c r="N3" s="38">
        <v>0.1875</v>
      </c>
      <c r="O3" s="40">
        <v>11.25</v>
      </c>
      <c r="P3" s="37">
        <v>986.3</v>
      </c>
      <c r="Q3" s="37">
        <v>2</v>
      </c>
      <c r="R3" s="37">
        <v>1400</v>
      </c>
      <c r="S3" s="39">
        <v>1.3580000000000001</v>
      </c>
      <c r="T3" s="37">
        <v>42</v>
      </c>
      <c r="U3" s="38">
        <v>0.03</v>
      </c>
      <c r="V3" s="37" t="s">
        <v>28</v>
      </c>
      <c r="W3" s="37" t="s">
        <v>29</v>
      </c>
      <c r="X3" s="37" t="s">
        <v>28</v>
      </c>
      <c r="Y3" s="37" t="s">
        <v>28</v>
      </c>
      <c r="Z3" s="37" t="s">
        <v>28</v>
      </c>
      <c r="AA3" s="37" t="s">
        <v>65</v>
      </c>
      <c r="AB3" s="37" t="s">
        <v>207</v>
      </c>
    </row>
    <row r="4" spans="1:28" ht="25.05" customHeight="1" x14ac:dyDescent="0.3">
      <c r="A4" s="42">
        <v>2</v>
      </c>
      <c r="B4" s="44" t="s">
        <v>238</v>
      </c>
      <c r="C4" s="42" t="s">
        <v>26</v>
      </c>
      <c r="D4" s="42" t="s">
        <v>128</v>
      </c>
      <c r="E4" s="42" t="s">
        <v>27</v>
      </c>
      <c r="F4" s="42">
        <v>262629</v>
      </c>
      <c r="G4" s="42" t="s">
        <v>31</v>
      </c>
      <c r="H4" s="42">
        <v>300</v>
      </c>
      <c r="I4" s="43">
        <v>1.3480000000000001</v>
      </c>
      <c r="J4" s="43">
        <v>1.496</v>
      </c>
      <c r="K4" s="42" t="s">
        <v>33</v>
      </c>
      <c r="L4" s="39">
        <v>604.98199999999997</v>
      </c>
      <c r="M4" s="41">
        <v>448.8</v>
      </c>
      <c r="N4" s="38">
        <v>0.12470000000000001</v>
      </c>
      <c r="O4" s="40">
        <v>7.48</v>
      </c>
      <c r="P4" s="37">
        <v>325.5</v>
      </c>
      <c r="Q4" s="37">
        <v>1</v>
      </c>
      <c r="R4" s="37">
        <v>1400</v>
      </c>
      <c r="S4" s="39">
        <v>1.3480000000000001</v>
      </c>
      <c r="T4" s="37">
        <v>52</v>
      </c>
      <c r="U4" s="38">
        <v>3.7100000000000001E-2</v>
      </c>
      <c r="V4" s="37" t="s">
        <v>28</v>
      </c>
      <c r="W4" s="37" t="s">
        <v>29</v>
      </c>
      <c r="X4" s="37" t="s">
        <v>28</v>
      </c>
      <c r="Y4" s="37" t="s">
        <v>28</v>
      </c>
      <c r="Z4" s="37" t="s">
        <v>28</v>
      </c>
      <c r="AA4" s="37" t="s">
        <v>32</v>
      </c>
      <c r="AB4" s="37" t="s">
        <v>206</v>
      </c>
    </row>
    <row r="5" spans="1:28" ht="25.05" customHeight="1" x14ac:dyDescent="0.3">
      <c r="A5" s="42">
        <v>3</v>
      </c>
      <c r="B5" s="44" t="s">
        <v>238</v>
      </c>
      <c r="C5" s="42" t="s">
        <v>26</v>
      </c>
      <c r="D5" s="42" t="s">
        <v>128</v>
      </c>
      <c r="E5" s="42" t="s">
        <v>27</v>
      </c>
      <c r="F5" s="42">
        <v>262627</v>
      </c>
      <c r="G5" s="42" t="s">
        <v>31</v>
      </c>
      <c r="H5" s="42">
        <v>250</v>
      </c>
      <c r="I5" s="43">
        <v>0.94799999999999995</v>
      </c>
      <c r="J5" s="43">
        <v>2.36</v>
      </c>
      <c r="K5" s="42" t="s">
        <v>205</v>
      </c>
      <c r="L5" s="39">
        <v>559.32000000000005</v>
      </c>
      <c r="M5" s="41">
        <v>590</v>
      </c>
      <c r="N5" s="38">
        <v>0.16389999999999999</v>
      </c>
      <c r="O5" s="40">
        <v>9.83</v>
      </c>
      <c r="P5" s="37">
        <v>300.89999999999998</v>
      </c>
      <c r="Q5" s="37">
        <v>1</v>
      </c>
      <c r="R5" s="37">
        <v>1000</v>
      </c>
      <c r="S5" s="39">
        <v>0.94799999999999995</v>
      </c>
      <c r="T5" s="37">
        <v>52</v>
      </c>
      <c r="U5" s="38">
        <v>5.1999999999999998E-2</v>
      </c>
      <c r="V5" s="37" t="s">
        <v>28</v>
      </c>
      <c r="W5" s="37" t="s">
        <v>29</v>
      </c>
      <c r="X5" s="37" t="s">
        <v>28</v>
      </c>
      <c r="Y5" s="37" t="s">
        <v>28</v>
      </c>
      <c r="Z5" s="37" t="s">
        <v>28</v>
      </c>
      <c r="AA5" s="37" t="s">
        <v>32</v>
      </c>
      <c r="AB5" s="37" t="s">
        <v>204</v>
      </c>
    </row>
    <row r="6" spans="1:28" ht="25.05" customHeight="1" x14ac:dyDescent="0.3">
      <c r="A6" s="42">
        <v>4</v>
      </c>
      <c r="B6" s="44" t="s">
        <v>238</v>
      </c>
      <c r="C6" s="42" t="s">
        <v>26</v>
      </c>
      <c r="D6" s="42" t="s">
        <v>128</v>
      </c>
      <c r="E6" s="42" t="s">
        <v>27</v>
      </c>
      <c r="F6" s="42">
        <v>262628</v>
      </c>
      <c r="G6" s="42" t="s">
        <v>31</v>
      </c>
      <c r="H6" s="42">
        <v>320</v>
      </c>
      <c r="I6" s="43">
        <v>0.83599999999999997</v>
      </c>
      <c r="J6" s="43">
        <v>2.1</v>
      </c>
      <c r="K6" s="42" t="s">
        <v>203</v>
      </c>
      <c r="L6" s="39">
        <v>561.79200000000003</v>
      </c>
      <c r="M6" s="41">
        <v>672</v>
      </c>
      <c r="N6" s="38">
        <v>0.1867</v>
      </c>
      <c r="O6" s="40">
        <v>11.2</v>
      </c>
      <c r="P6" s="37">
        <v>302.2</v>
      </c>
      <c r="Q6" s="37">
        <v>1</v>
      </c>
      <c r="R6" s="37">
        <v>900</v>
      </c>
      <c r="S6" s="39">
        <v>0.83599999999999997</v>
      </c>
      <c r="T6" s="37">
        <v>64</v>
      </c>
      <c r="U6" s="38">
        <v>7.1099999999999997E-2</v>
      </c>
      <c r="V6" s="37" t="s">
        <v>28</v>
      </c>
      <c r="W6" s="37" t="s">
        <v>29</v>
      </c>
      <c r="X6" s="37" t="s">
        <v>28</v>
      </c>
      <c r="Y6" s="37" t="s">
        <v>28</v>
      </c>
      <c r="Z6" s="37" t="s">
        <v>28</v>
      </c>
      <c r="AA6" s="37" t="s">
        <v>32</v>
      </c>
      <c r="AB6" s="37" t="s">
        <v>202</v>
      </c>
    </row>
    <row r="7" spans="1:28" ht="25.05" customHeight="1" x14ac:dyDescent="0.3">
      <c r="A7" s="42">
        <v>5</v>
      </c>
      <c r="B7" s="44" t="s">
        <v>238</v>
      </c>
      <c r="C7" s="42" t="s">
        <v>35</v>
      </c>
      <c r="D7" s="42" t="s">
        <v>128</v>
      </c>
      <c r="E7" s="42" t="s">
        <v>27</v>
      </c>
      <c r="F7" s="42">
        <v>262621</v>
      </c>
      <c r="G7" s="42" t="s">
        <v>31</v>
      </c>
      <c r="H7" s="42">
        <v>1000</v>
      </c>
      <c r="I7" s="43">
        <v>0.71</v>
      </c>
      <c r="J7" s="43">
        <v>0.96</v>
      </c>
      <c r="K7" s="42" t="s">
        <v>201</v>
      </c>
      <c r="L7" s="39">
        <v>681.6</v>
      </c>
      <c r="M7" s="41">
        <v>480</v>
      </c>
      <c r="N7" s="38">
        <v>6.6699999999999995E-2</v>
      </c>
      <c r="O7" s="40">
        <v>4</v>
      </c>
      <c r="P7" s="37">
        <v>214.7</v>
      </c>
      <c r="Q7" s="37">
        <v>2</v>
      </c>
      <c r="R7" s="37">
        <v>1450</v>
      </c>
      <c r="S7" s="39">
        <v>1.42</v>
      </c>
      <c r="T7" s="37">
        <v>30</v>
      </c>
      <c r="U7" s="38">
        <v>2.07E-2</v>
      </c>
      <c r="V7" s="37" t="s">
        <v>28</v>
      </c>
      <c r="W7" s="37" t="s">
        <v>28</v>
      </c>
      <c r="X7" s="37" t="s">
        <v>28</v>
      </c>
      <c r="Y7" s="37" t="s">
        <v>27</v>
      </c>
      <c r="Z7" s="37" t="s">
        <v>27</v>
      </c>
      <c r="AA7" s="37" t="s">
        <v>38</v>
      </c>
      <c r="AB7" s="37" t="s">
        <v>200</v>
      </c>
    </row>
    <row r="8" spans="1:28" ht="25.05" customHeight="1" x14ac:dyDescent="0.3">
      <c r="A8" s="42">
        <v>6</v>
      </c>
      <c r="B8" s="44" t="s">
        <v>238</v>
      </c>
      <c r="C8" s="42" t="s">
        <v>35</v>
      </c>
      <c r="D8" s="42" t="s">
        <v>128</v>
      </c>
      <c r="E8" s="42" t="s">
        <v>27</v>
      </c>
      <c r="F8" s="42">
        <v>262622</v>
      </c>
      <c r="G8" s="42" t="s">
        <v>31</v>
      </c>
      <c r="H8" s="42">
        <v>550</v>
      </c>
      <c r="I8" s="43">
        <v>1.18</v>
      </c>
      <c r="J8" s="43">
        <v>1.44</v>
      </c>
      <c r="K8" s="42" t="s">
        <v>199</v>
      </c>
      <c r="L8" s="39">
        <v>934.56</v>
      </c>
      <c r="M8" s="41">
        <v>792</v>
      </c>
      <c r="N8" s="38">
        <v>0.22</v>
      </c>
      <c r="O8" s="40">
        <v>13.2</v>
      </c>
      <c r="P8" s="37">
        <v>294.39999999999998</v>
      </c>
      <c r="Q8" s="37">
        <v>1</v>
      </c>
      <c r="R8" s="37">
        <v>1200</v>
      </c>
      <c r="S8" s="39">
        <v>1.18</v>
      </c>
      <c r="T8" s="37">
        <v>20</v>
      </c>
      <c r="U8" s="38">
        <v>1.67E-2</v>
      </c>
      <c r="V8" s="37" t="s">
        <v>28</v>
      </c>
      <c r="W8" s="37" t="s">
        <v>28</v>
      </c>
      <c r="X8" s="37" t="s">
        <v>28</v>
      </c>
      <c r="Y8" s="37" t="s">
        <v>27</v>
      </c>
      <c r="Z8" s="37" t="s">
        <v>27</v>
      </c>
      <c r="AA8" s="37" t="s">
        <v>32</v>
      </c>
      <c r="AB8" s="37" t="s">
        <v>198</v>
      </c>
    </row>
    <row r="9" spans="1:28" ht="25.05" customHeight="1" x14ac:dyDescent="0.3">
      <c r="A9" s="42">
        <v>7</v>
      </c>
      <c r="B9" s="44" t="s">
        <v>238</v>
      </c>
      <c r="C9" s="42" t="s">
        <v>81</v>
      </c>
      <c r="D9" s="42" t="s">
        <v>128</v>
      </c>
      <c r="E9" s="42" t="s">
        <v>27</v>
      </c>
      <c r="F9" s="42">
        <v>262626</v>
      </c>
      <c r="G9" s="42" t="s">
        <v>31</v>
      </c>
      <c r="H9" s="42">
        <v>5500</v>
      </c>
      <c r="I9" s="43">
        <v>0.54500000000000004</v>
      </c>
      <c r="J9" s="43">
        <v>1.8</v>
      </c>
      <c r="K9" s="42" t="s">
        <v>197</v>
      </c>
      <c r="L9" s="39">
        <v>5395.5</v>
      </c>
      <c r="M9" s="41">
        <v>4950</v>
      </c>
      <c r="N9" s="38">
        <v>0.6875</v>
      </c>
      <c r="O9" s="40">
        <v>41.25</v>
      </c>
      <c r="P9" s="37">
        <v>1969.4</v>
      </c>
      <c r="Q9" s="37">
        <v>2</v>
      </c>
      <c r="R9" s="37">
        <v>1150</v>
      </c>
      <c r="S9" s="39">
        <v>1.0900000000000001</v>
      </c>
      <c r="T9" s="37">
        <v>60</v>
      </c>
      <c r="U9" s="38">
        <v>5.2200000000000003E-2</v>
      </c>
      <c r="V9" s="37" t="s">
        <v>41</v>
      </c>
      <c r="W9" s="37" t="s">
        <v>29</v>
      </c>
      <c r="X9" s="37" t="s">
        <v>28</v>
      </c>
      <c r="Y9" s="37" t="s">
        <v>27</v>
      </c>
      <c r="Z9" s="37" t="s">
        <v>27</v>
      </c>
      <c r="AA9" s="37" t="s">
        <v>54</v>
      </c>
      <c r="AB9" s="37" t="s">
        <v>196</v>
      </c>
    </row>
    <row r="10" spans="1:28" ht="25.05" customHeight="1" x14ac:dyDescent="0.3">
      <c r="A10" s="42">
        <v>8</v>
      </c>
      <c r="B10" s="44" t="s">
        <v>238</v>
      </c>
      <c r="C10" s="42" t="s">
        <v>81</v>
      </c>
      <c r="D10" s="42" t="s">
        <v>128</v>
      </c>
      <c r="E10" s="42" t="s">
        <v>27</v>
      </c>
      <c r="F10" s="42">
        <v>262620</v>
      </c>
      <c r="G10" s="42" t="s">
        <v>31</v>
      </c>
      <c r="H10" s="42">
        <v>5000</v>
      </c>
      <c r="I10" s="43">
        <v>0.52100000000000002</v>
      </c>
      <c r="J10" s="43">
        <v>1.03</v>
      </c>
      <c r="K10" s="42" t="s">
        <v>195</v>
      </c>
      <c r="L10" s="39">
        <v>2683.15</v>
      </c>
      <c r="M10" s="41">
        <v>2575</v>
      </c>
      <c r="N10" s="38">
        <v>0.35759999999999997</v>
      </c>
      <c r="O10" s="40">
        <v>21.46</v>
      </c>
      <c r="P10" s="37">
        <v>979.3</v>
      </c>
      <c r="Q10" s="37">
        <v>2</v>
      </c>
      <c r="R10" s="37">
        <v>1100</v>
      </c>
      <c r="S10" s="39">
        <v>1.042</v>
      </c>
      <c r="T10" s="37">
        <v>58</v>
      </c>
      <c r="U10" s="38">
        <v>5.2699999999999997E-2</v>
      </c>
      <c r="V10" s="37" t="s">
        <v>41</v>
      </c>
      <c r="W10" s="37" t="s">
        <v>29</v>
      </c>
      <c r="X10" s="37" t="s">
        <v>28</v>
      </c>
      <c r="Y10" s="37" t="s">
        <v>27</v>
      </c>
      <c r="Z10" s="37" t="s">
        <v>27</v>
      </c>
      <c r="AA10" s="37" t="s">
        <v>31</v>
      </c>
      <c r="AB10" s="37" t="s">
        <v>194</v>
      </c>
    </row>
    <row r="11" spans="1:28" ht="25.05" customHeight="1" x14ac:dyDescent="0.3">
      <c r="A11" s="42">
        <v>9</v>
      </c>
      <c r="B11" s="44" t="s">
        <v>238</v>
      </c>
      <c r="C11" s="42" t="s">
        <v>35</v>
      </c>
      <c r="D11" s="42" t="s">
        <v>128</v>
      </c>
      <c r="E11" s="42" t="s">
        <v>27</v>
      </c>
      <c r="F11" s="42">
        <v>262623</v>
      </c>
      <c r="G11" s="42" t="s">
        <v>31</v>
      </c>
      <c r="H11" s="42">
        <v>700</v>
      </c>
      <c r="I11" s="43">
        <v>0.97</v>
      </c>
      <c r="J11" s="43">
        <v>1.42</v>
      </c>
      <c r="K11" s="42" t="s">
        <v>193</v>
      </c>
      <c r="L11" s="39">
        <v>964.18</v>
      </c>
      <c r="M11" s="41">
        <v>994</v>
      </c>
      <c r="N11" s="38">
        <v>0.27610000000000001</v>
      </c>
      <c r="O11" s="40">
        <v>16.57</v>
      </c>
      <c r="P11" s="37">
        <v>303.7</v>
      </c>
      <c r="Q11" s="37">
        <v>1</v>
      </c>
      <c r="R11" s="37">
        <v>1000</v>
      </c>
      <c r="S11" s="39">
        <v>0.97</v>
      </c>
      <c r="T11" s="37">
        <v>30</v>
      </c>
      <c r="U11" s="38">
        <v>0.03</v>
      </c>
      <c r="V11" s="37" t="s">
        <v>28</v>
      </c>
      <c r="W11" s="37" t="s">
        <v>28</v>
      </c>
      <c r="X11" s="37" t="s">
        <v>28</v>
      </c>
      <c r="Y11" s="37" t="s">
        <v>27</v>
      </c>
      <c r="Z11" s="37" t="s">
        <v>27</v>
      </c>
      <c r="AA11" s="37" t="s">
        <v>32</v>
      </c>
      <c r="AB11" s="37" t="s">
        <v>192</v>
      </c>
    </row>
    <row r="12" spans="1:28" ht="25.05" customHeight="1" x14ac:dyDescent="0.3">
      <c r="A12" s="42">
        <v>10</v>
      </c>
      <c r="B12" s="44" t="s">
        <v>238</v>
      </c>
      <c r="C12" s="42" t="s">
        <v>35</v>
      </c>
      <c r="D12" s="42" t="s">
        <v>128</v>
      </c>
      <c r="E12" s="42" t="s">
        <v>27</v>
      </c>
      <c r="F12" s="42">
        <v>262625</v>
      </c>
      <c r="G12" s="42" t="s">
        <v>31</v>
      </c>
      <c r="H12" s="42">
        <v>4000</v>
      </c>
      <c r="I12" s="43">
        <v>0.30399999999999999</v>
      </c>
      <c r="J12" s="43">
        <v>0.98</v>
      </c>
      <c r="K12" s="42" t="s">
        <v>83</v>
      </c>
      <c r="L12" s="39">
        <v>1191.68</v>
      </c>
      <c r="M12" s="41">
        <v>1960</v>
      </c>
      <c r="N12" s="38">
        <v>0.2722</v>
      </c>
      <c r="O12" s="40">
        <v>16.329999999999998</v>
      </c>
      <c r="P12" s="37">
        <v>375.4</v>
      </c>
      <c r="Q12" s="37">
        <v>2</v>
      </c>
      <c r="R12" s="37">
        <v>650</v>
      </c>
      <c r="S12" s="39">
        <v>0.60799999999999998</v>
      </c>
      <c r="T12" s="37">
        <v>42</v>
      </c>
      <c r="U12" s="38">
        <v>6.4600000000000005E-2</v>
      </c>
      <c r="V12" s="37" t="s">
        <v>28</v>
      </c>
      <c r="W12" s="37" t="s">
        <v>28</v>
      </c>
      <c r="X12" s="37" t="s">
        <v>28</v>
      </c>
      <c r="Y12" s="37" t="s">
        <v>27</v>
      </c>
      <c r="Z12" s="37" t="s">
        <v>27</v>
      </c>
      <c r="AA12" s="37" t="s">
        <v>32</v>
      </c>
      <c r="AB12" s="37" t="s">
        <v>82</v>
      </c>
    </row>
    <row r="13" spans="1:28" ht="25.05" customHeight="1" x14ac:dyDescent="0.3">
      <c r="A13" s="36" t="s">
        <v>27</v>
      </c>
      <c r="B13" s="36" t="s">
        <v>27</v>
      </c>
      <c r="C13" s="36" t="s">
        <v>27</v>
      </c>
      <c r="D13" s="36" t="s">
        <v>27</v>
      </c>
      <c r="E13" s="36" t="s">
        <v>27</v>
      </c>
      <c r="F13" s="36" t="s">
        <v>27</v>
      </c>
      <c r="G13" s="36" t="s">
        <v>27</v>
      </c>
      <c r="H13" s="36">
        <v>19620</v>
      </c>
      <c r="I13" s="36" t="s">
        <v>27</v>
      </c>
      <c r="J13" s="36" t="s">
        <v>27</v>
      </c>
      <c r="K13" s="36" t="s">
        <v>27</v>
      </c>
      <c r="L13" s="35" t="s">
        <v>27</v>
      </c>
      <c r="M13" s="35" t="s">
        <v>27</v>
      </c>
      <c r="N13" s="35" t="s">
        <v>27</v>
      </c>
      <c r="O13" s="35" t="s">
        <v>27</v>
      </c>
      <c r="P13" s="35">
        <v>6051.8</v>
      </c>
      <c r="Q13" s="35" t="s">
        <v>27</v>
      </c>
      <c r="R13" s="35" t="s">
        <v>27</v>
      </c>
      <c r="S13" s="35" t="s">
        <v>27</v>
      </c>
      <c r="T13" s="35" t="s">
        <v>27</v>
      </c>
      <c r="U13" s="35" t="s">
        <v>27</v>
      </c>
      <c r="V13" s="35" t="s">
        <v>27</v>
      </c>
      <c r="W13" s="35" t="s">
        <v>27</v>
      </c>
      <c r="X13" s="35" t="s">
        <v>27</v>
      </c>
      <c r="Y13" s="35" t="s">
        <v>27</v>
      </c>
      <c r="Z13" s="35" t="s">
        <v>27</v>
      </c>
      <c r="AA13" s="35" t="s">
        <v>27</v>
      </c>
      <c r="AB13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101" t="s">
        <v>181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303</v>
      </c>
      <c r="C7" s="5" t="s">
        <v>26</v>
      </c>
      <c r="D7" s="100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304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activeCell="AJ10" sqref="AJ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94" t="s">
        <v>173</v>
      </c>
      <c r="B1" s="94" t="s">
        <v>27</v>
      </c>
      <c r="C1" s="94" t="s">
        <v>27</v>
      </c>
      <c r="D1" s="94" t="s">
        <v>27</v>
      </c>
      <c r="E1" s="94" t="s">
        <v>27</v>
      </c>
      <c r="F1" s="94" t="s">
        <v>27</v>
      </c>
      <c r="G1" s="94" t="s">
        <v>27</v>
      </c>
      <c r="H1" s="94" t="s">
        <v>27</v>
      </c>
      <c r="I1" s="94" t="s">
        <v>27</v>
      </c>
      <c r="J1" s="94" t="s">
        <v>27</v>
      </c>
      <c r="K1" s="94" t="s">
        <v>27</v>
      </c>
      <c r="L1" s="94" t="s">
        <v>27</v>
      </c>
      <c r="M1" s="94" t="s">
        <v>27</v>
      </c>
      <c r="N1" s="94" t="s">
        <v>27</v>
      </c>
      <c r="O1" s="94" t="s">
        <v>27</v>
      </c>
      <c r="P1" s="94" t="s">
        <v>27</v>
      </c>
      <c r="Q1" s="94" t="s">
        <v>27</v>
      </c>
      <c r="R1" s="94" t="s">
        <v>27</v>
      </c>
      <c r="S1" s="94" t="s">
        <v>27</v>
      </c>
      <c r="T1" s="94" t="s">
        <v>27</v>
      </c>
      <c r="U1" s="94" t="s">
        <v>27</v>
      </c>
      <c r="V1" s="94" t="s">
        <v>27</v>
      </c>
      <c r="W1" s="94" t="s">
        <v>27</v>
      </c>
      <c r="X1" s="94" t="s">
        <v>27</v>
      </c>
      <c r="Y1" s="94" t="s">
        <v>27</v>
      </c>
      <c r="Z1" s="94" t="s">
        <v>27</v>
      </c>
      <c r="AA1" s="94" t="s">
        <v>27</v>
      </c>
      <c r="AB1" s="94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84" customFormat="1" ht="25.05" customHeight="1" x14ac:dyDescent="0.3">
      <c r="A4" s="5">
        <v>2</v>
      </c>
      <c r="B4" s="90" t="s">
        <v>60</v>
      </c>
      <c r="C4" s="85" t="s">
        <v>57</v>
      </c>
      <c r="D4" s="85" t="s">
        <v>152</v>
      </c>
      <c r="E4" s="85" t="s">
        <v>27</v>
      </c>
      <c r="F4" s="85">
        <v>262597</v>
      </c>
      <c r="G4" s="85" t="s">
        <v>171</v>
      </c>
      <c r="H4" s="85">
        <v>600</v>
      </c>
      <c r="I4" s="87">
        <v>1.236</v>
      </c>
      <c r="J4" s="87">
        <v>2.5910000000000002</v>
      </c>
      <c r="K4" s="85" t="s">
        <v>104</v>
      </c>
      <c r="L4" s="87">
        <v>1921.4860000000001</v>
      </c>
      <c r="M4" s="89">
        <v>1554.6</v>
      </c>
      <c r="N4" s="86">
        <v>0.43180000000000002</v>
      </c>
      <c r="O4" s="88">
        <v>25.91</v>
      </c>
      <c r="P4" s="85">
        <v>1214.4000000000001</v>
      </c>
      <c r="Q4" s="85">
        <v>1</v>
      </c>
      <c r="R4" s="85">
        <v>1300</v>
      </c>
      <c r="S4" s="87">
        <v>1.236</v>
      </c>
      <c r="T4" s="85">
        <v>64</v>
      </c>
      <c r="U4" s="86">
        <v>4.9200000000000001E-2</v>
      </c>
      <c r="V4" s="85" t="s">
        <v>29</v>
      </c>
      <c r="W4" s="85" t="s">
        <v>39</v>
      </c>
      <c r="X4" s="85" t="s">
        <v>28</v>
      </c>
      <c r="Y4" s="85" t="s">
        <v>28</v>
      </c>
      <c r="Z4" s="85" t="s">
        <v>29</v>
      </c>
      <c r="AA4" s="85" t="s">
        <v>31</v>
      </c>
      <c r="AB4" s="85" t="s">
        <v>103</v>
      </c>
    </row>
    <row r="5" spans="1:28" s="84" customFormat="1" ht="25.05" customHeight="1" x14ac:dyDescent="0.3">
      <c r="A5" s="5">
        <v>3</v>
      </c>
      <c r="B5" s="90" t="s">
        <v>60</v>
      </c>
      <c r="C5" s="85" t="s">
        <v>57</v>
      </c>
      <c r="D5" s="85" t="s">
        <v>152</v>
      </c>
      <c r="E5" s="85" t="s">
        <v>27</v>
      </c>
      <c r="F5" s="85">
        <v>262596</v>
      </c>
      <c r="G5" s="85" t="s">
        <v>171</v>
      </c>
      <c r="H5" s="85">
        <v>2000</v>
      </c>
      <c r="I5" s="87">
        <v>1.196</v>
      </c>
      <c r="J5" s="87">
        <v>1.6910000000000001</v>
      </c>
      <c r="K5" s="85" t="s">
        <v>101</v>
      </c>
      <c r="L5" s="87">
        <v>4044.8719999999998</v>
      </c>
      <c r="M5" s="89">
        <v>3382</v>
      </c>
      <c r="N5" s="86">
        <v>0.93940000000000001</v>
      </c>
      <c r="O5" s="88">
        <v>56.37</v>
      </c>
      <c r="P5" s="85">
        <v>2556.4</v>
      </c>
      <c r="Q5" s="85">
        <v>1</v>
      </c>
      <c r="R5" s="85">
        <v>1250</v>
      </c>
      <c r="S5" s="87">
        <v>1.196</v>
      </c>
      <c r="T5" s="85">
        <v>54</v>
      </c>
      <c r="U5" s="86">
        <v>4.3200000000000002E-2</v>
      </c>
      <c r="V5" s="85" t="s">
        <v>29</v>
      </c>
      <c r="W5" s="85" t="s">
        <v>39</v>
      </c>
      <c r="X5" s="85" t="s">
        <v>28</v>
      </c>
      <c r="Y5" s="85" t="s">
        <v>28</v>
      </c>
      <c r="Z5" s="85" t="s">
        <v>29</v>
      </c>
      <c r="AA5" s="85" t="s">
        <v>65</v>
      </c>
      <c r="AB5" s="85" t="s">
        <v>100</v>
      </c>
    </row>
    <row r="6" spans="1:28" s="84" customFormat="1" ht="25.05" customHeight="1" x14ac:dyDescent="0.3">
      <c r="A6" s="5">
        <v>4</v>
      </c>
      <c r="B6" s="90" t="s">
        <v>60</v>
      </c>
      <c r="C6" s="85" t="s">
        <v>44</v>
      </c>
      <c r="D6" s="85" t="s">
        <v>152</v>
      </c>
      <c r="E6" s="85" t="s">
        <v>27</v>
      </c>
      <c r="F6" s="85">
        <v>262595</v>
      </c>
      <c r="G6" s="85" t="s">
        <v>171</v>
      </c>
      <c r="H6" s="85">
        <v>1400</v>
      </c>
      <c r="I6" s="87">
        <v>1.2050000000000001</v>
      </c>
      <c r="J6" s="87">
        <v>2.5910000000000002</v>
      </c>
      <c r="K6" s="85" t="s">
        <v>50</v>
      </c>
      <c r="L6" s="87">
        <v>4371.0169999999998</v>
      </c>
      <c r="M6" s="89">
        <v>3627.4</v>
      </c>
      <c r="N6" s="86">
        <v>1.0076000000000001</v>
      </c>
      <c r="O6" s="88">
        <v>60.46</v>
      </c>
      <c r="P6" s="85">
        <v>2482.6999999999998</v>
      </c>
      <c r="Q6" s="85">
        <v>1</v>
      </c>
      <c r="R6" s="85">
        <v>1250</v>
      </c>
      <c r="S6" s="87">
        <v>1.2050000000000001</v>
      </c>
      <c r="T6" s="85">
        <v>45</v>
      </c>
      <c r="U6" s="86">
        <v>3.5999999999999997E-2</v>
      </c>
      <c r="V6" s="85" t="s">
        <v>34</v>
      </c>
      <c r="W6" s="85" t="s">
        <v>39</v>
      </c>
      <c r="X6" s="85" t="s">
        <v>34</v>
      </c>
      <c r="Y6" s="85" t="s">
        <v>34</v>
      </c>
      <c r="Z6" s="85" t="s">
        <v>34</v>
      </c>
      <c r="AA6" s="85" t="s">
        <v>52</v>
      </c>
      <c r="AB6" s="85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AD3" sqref="AD3"/>
    </sheetView>
  </sheetViews>
  <sheetFormatPr defaultRowHeight="14.4" x14ac:dyDescent="0.3"/>
  <cols>
    <col min="1" max="1" width="4.44140625" style="34" customWidth="1"/>
    <col min="2" max="2" width="20.77734375" style="34" hidden="1" customWidth="1"/>
    <col min="3" max="3" width="7.77734375" style="34" customWidth="1"/>
    <col min="4" max="4" width="11.77734375" style="34" hidden="1" customWidth="1"/>
    <col min="5" max="5" width="9.6640625" style="34" customWidth="1"/>
    <col min="6" max="6" width="8.44140625" style="34" customWidth="1"/>
    <col min="7" max="7" width="4.44140625" style="34" customWidth="1"/>
    <col min="8" max="8" width="7.33203125" style="34" customWidth="1"/>
    <col min="9" max="9" width="6.109375" style="34" customWidth="1"/>
    <col min="10" max="10" width="6.44140625" style="34" customWidth="1"/>
    <col min="11" max="11" width="13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109375" style="34" customWidth="1"/>
    <col min="17" max="17" width="3.88671875" style="34" customWidth="1"/>
    <col min="18" max="18" width="6.5546875" style="34" customWidth="1"/>
    <col min="19" max="19" width="6.77734375" style="34" customWidth="1"/>
    <col min="20" max="20" width="11.77734375" style="34" hidden="1" customWidth="1"/>
    <col min="21" max="21" width="8.77734375" style="34" hidden="1" customWidth="1"/>
    <col min="22" max="23" width="8.109375" style="34" customWidth="1"/>
    <col min="24" max="24" width="8.6640625" style="34" customWidth="1"/>
    <col min="25" max="26" width="11.77734375" style="34" customWidth="1"/>
    <col min="27" max="27" width="10.77734375" style="34" customWidth="1"/>
    <col min="28" max="28" width="16.77734375" style="34" customWidth="1"/>
    <col min="29" max="16384" width="8.88671875" style="34"/>
  </cols>
  <sheetData>
    <row r="1" spans="1:28" ht="18" customHeight="1" x14ac:dyDescent="0.35">
      <c r="A1" s="93" t="s">
        <v>143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41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66" customFormat="1" ht="25.05" customHeight="1" x14ac:dyDescent="0.3">
      <c r="A3" s="60">
        <v>1</v>
      </c>
      <c r="B3" s="61" t="s">
        <v>93</v>
      </c>
      <c r="C3" s="60" t="s">
        <v>57</v>
      </c>
      <c r="D3" s="60" t="s">
        <v>125</v>
      </c>
      <c r="E3" s="60" t="s">
        <v>27</v>
      </c>
      <c r="F3" s="60">
        <v>262575</v>
      </c>
      <c r="G3" s="60" t="s">
        <v>142</v>
      </c>
      <c r="H3" s="60">
        <v>600</v>
      </c>
      <c r="I3" s="62">
        <v>0.54300000000000004</v>
      </c>
      <c r="J3" s="62">
        <v>0.95</v>
      </c>
      <c r="K3" s="60" t="s">
        <v>141</v>
      </c>
      <c r="L3" s="62">
        <v>309.51</v>
      </c>
      <c r="M3" s="63">
        <v>285</v>
      </c>
      <c r="N3" s="64">
        <v>3.9600000000000003E-2</v>
      </c>
      <c r="O3" s="65">
        <v>2.38</v>
      </c>
      <c r="P3" s="60">
        <v>193.8</v>
      </c>
      <c r="Q3" s="60">
        <v>2</v>
      </c>
      <c r="R3" s="60">
        <v>1150</v>
      </c>
      <c r="S3" s="62">
        <v>1.0860000000000001</v>
      </c>
      <c r="T3" s="60">
        <v>64</v>
      </c>
      <c r="U3" s="64">
        <v>5.57E-2</v>
      </c>
      <c r="V3" s="60" t="s">
        <v>29</v>
      </c>
      <c r="W3" s="60" t="s">
        <v>39</v>
      </c>
      <c r="X3" s="60" t="s">
        <v>28</v>
      </c>
      <c r="Y3" s="60" t="s">
        <v>28</v>
      </c>
      <c r="Z3" s="60" t="s">
        <v>29</v>
      </c>
      <c r="AA3" s="60" t="s">
        <v>38</v>
      </c>
      <c r="AB3" s="60" t="s">
        <v>140</v>
      </c>
    </row>
    <row r="4" spans="1:28" s="66" customFormat="1" ht="25.05" customHeight="1" x14ac:dyDescent="0.3">
      <c r="A4" s="60">
        <v>2</v>
      </c>
      <c r="B4" s="61" t="s">
        <v>93</v>
      </c>
      <c r="C4" s="60" t="s">
        <v>57</v>
      </c>
      <c r="D4" s="76">
        <v>46279</v>
      </c>
      <c r="E4" s="60"/>
      <c r="F4" s="60">
        <v>262579</v>
      </c>
      <c r="G4" s="60">
        <v>69</v>
      </c>
      <c r="H4" s="60">
        <v>300</v>
      </c>
      <c r="I4" s="62">
        <v>1.113</v>
      </c>
      <c r="J4" s="62">
        <v>2.41</v>
      </c>
      <c r="K4" s="60" t="s">
        <v>150</v>
      </c>
      <c r="L4" s="62">
        <v>804.69899999999996</v>
      </c>
      <c r="M4" s="63">
        <v>723</v>
      </c>
      <c r="N4" s="64">
        <v>0.20080000000000001</v>
      </c>
      <c r="O4" s="65">
        <v>12.05</v>
      </c>
      <c r="P4" s="60">
        <v>503.7</v>
      </c>
      <c r="Q4" s="60">
        <v>1</v>
      </c>
      <c r="R4" s="60">
        <v>1150</v>
      </c>
      <c r="S4" s="62">
        <v>1.113</v>
      </c>
      <c r="T4" s="60">
        <v>37</v>
      </c>
      <c r="U4" s="64">
        <v>3.2199999999999999E-2</v>
      </c>
      <c r="V4" s="60" t="s">
        <v>29</v>
      </c>
      <c r="W4" s="60" t="s">
        <v>39</v>
      </c>
      <c r="X4" s="60" t="s">
        <v>28</v>
      </c>
      <c r="Y4" s="60" t="s">
        <v>28</v>
      </c>
      <c r="Z4" s="60" t="s">
        <v>29</v>
      </c>
      <c r="AA4" s="60">
        <v>2</v>
      </c>
      <c r="AB4" s="60" t="s">
        <v>151</v>
      </c>
    </row>
    <row r="5" spans="1:28" s="66" customFormat="1" ht="25.05" customHeight="1" x14ac:dyDescent="0.3">
      <c r="A5" s="60">
        <v>3</v>
      </c>
      <c r="B5" s="61" t="s">
        <v>93</v>
      </c>
      <c r="C5" s="60" t="s">
        <v>144</v>
      </c>
      <c r="D5" s="76">
        <v>46279</v>
      </c>
      <c r="E5" s="60"/>
      <c r="F5" s="60">
        <v>262577</v>
      </c>
      <c r="G5" s="60">
        <v>69</v>
      </c>
      <c r="H5" s="60">
        <v>1000</v>
      </c>
      <c r="I5" s="62">
        <v>0.52500000000000002</v>
      </c>
      <c r="J5" s="62">
        <v>1.29</v>
      </c>
      <c r="K5" s="60" t="s">
        <v>146</v>
      </c>
      <c r="L5" s="62">
        <v>677.25</v>
      </c>
      <c r="M5" s="63">
        <v>645</v>
      </c>
      <c r="N5" s="64">
        <v>8.9599999999999999E-2</v>
      </c>
      <c r="O5" s="65">
        <v>5.38</v>
      </c>
      <c r="P5" s="60">
        <v>262.8</v>
      </c>
      <c r="Q5" s="60">
        <v>2</v>
      </c>
      <c r="R5" s="60">
        <v>1100</v>
      </c>
      <c r="S5" s="62">
        <v>1.05</v>
      </c>
      <c r="T5" s="60">
        <v>50</v>
      </c>
      <c r="U5" s="64">
        <v>4.5499999999999999E-2</v>
      </c>
      <c r="V5" s="60" t="s">
        <v>39</v>
      </c>
      <c r="W5" s="60" t="s">
        <v>29</v>
      </c>
      <c r="X5" s="60" t="s">
        <v>29</v>
      </c>
      <c r="Y5" s="60"/>
      <c r="Z5" s="60"/>
      <c r="AA5" s="60">
        <v>2</v>
      </c>
      <c r="AB5" s="60" t="s">
        <v>147</v>
      </c>
    </row>
    <row r="6" spans="1:28" s="66" customFormat="1" ht="25.05" customHeight="1" x14ac:dyDescent="0.3">
      <c r="A6" s="60">
        <v>4</v>
      </c>
      <c r="B6" s="61" t="s">
        <v>93</v>
      </c>
      <c r="C6" s="60" t="s">
        <v>144</v>
      </c>
      <c r="D6" s="76">
        <v>46279</v>
      </c>
      <c r="E6" s="60"/>
      <c r="F6" s="60">
        <v>262576</v>
      </c>
      <c r="G6" s="60">
        <v>69</v>
      </c>
      <c r="H6" s="60">
        <v>500</v>
      </c>
      <c r="I6" s="62">
        <v>0.45</v>
      </c>
      <c r="J6" s="62">
        <v>1.59</v>
      </c>
      <c r="K6" s="60" t="s">
        <v>145</v>
      </c>
      <c r="L6" s="62">
        <v>357.75</v>
      </c>
      <c r="M6" s="63">
        <v>397.5</v>
      </c>
      <c r="N6" s="64">
        <v>5.5199999999999999E-2</v>
      </c>
      <c r="O6" s="65">
        <v>3.31</v>
      </c>
      <c r="P6" s="60">
        <v>138.80000000000001</v>
      </c>
      <c r="Q6" s="60">
        <v>2</v>
      </c>
      <c r="R6" s="60">
        <v>1150</v>
      </c>
      <c r="S6" s="62">
        <v>0.9</v>
      </c>
      <c r="T6" s="60">
        <v>250</v>
      </c>
      <c r="U6" s="64">
        <v>0.21740000000000001</v>
      </c>
      <c r="V6" s="60" t="s">
        <v>39</v>
      </c>
      <c r="W6" s="60" t="s">
        <v>29</v>
      </c>
      <c r="X6" s="60" t="s">
        <v>29</v>
      </c>
      <c r="Y6" s="60"/>
      <c r="Z6" s="60"/>
      <c r="AA6" s="60">
        <v>1</v>
      </c>
      <c r="AB6" s="60" t="s">
        <v>140</v>
      </c>
    </row>
    <row r="7" spans="1:28" s="66" customFormat="1" ht="25.05" customHeight="1" x14ac:dyDescent="0.3">
      <c r="A7" s="60">
        <v>5</v>
      </c>
      <c r="B7" s="61" t="s">
        <v>93</v>
      </c>
      <c r="C7" s="60" t="s">
        <v>144</v>
      </c>
      <c r="D7" s="76">
        <v>46279</v>
      </c>
      <c r="E7" s="60"/>
      <c r="F7" s="60">
        <v>262578</v>
      </c>
      <c r="G7" s="60">
        <v>69</v>
      </c>
      <c r="H7" s="60">
        <v>600</v>
      </c>
      <c r="I7" s="62">
        <v>0.54600000000000004</v>
      </c>
      <c r="J7" s="62">
        <v>1.41</v>
      </c>
      <c r="K7" s="60" t="s">
        <v>148</v>
      </c>
      <c r="L7" s="62">
        <v>461.916</v>
      </c>
      <c r="M7" s="63">
        <v>423</v>
      </c>
      <c r="N7" s="64">
        <v>5.8700000000000002E-2</v>
      </c>
      <c r="O7" s="65">
        <v>3.52</v>
      </c>
      <c r="P7" s="60">
        <v>179.2</v>
      </c>
      <c r="Q7" s="60">
        <v>2</v>
      </c>
      <c r="R7" s="60">
        <v>1150</v>
      </c>
      <c r="S7" s="62">
        <v>1.0920000000000001</v>
      </c>
      <c r="T7" s="60">
        <v>58</v>
      </c>
      <c r="U7" s="64">
        <v>5.04E-2</v>
      </c>
      <c r="V7" s="60" t="s">
        <v>39</v>
      </c>
      <c r="W7" s="60" t="s">
        <v>29</v>
      </c>
      <c r="X7" s="60" t="s">
        <v>29</v>
      </c>
      <c r="Y7" s="60"/>
      <c r="Z7" s="60"/>
      <c r="AA7" s="60">
        <v>1</v>
      </c>
      <c r="AB7" s="60" t="s">
        <v>149</v>
      </c>
    </row>
    <row r="8" spans="1:28" s="66" customFormat="1" ht="25.05" customHeight="1" x14ac:dyDescent="0.3">
      <c r="A8" s="60">
        <v>6</v>
      </c>
      <c r="B8" s="61" t="s">
        <v>93</v>
      </c>
      <c r="C8" s="60" t="s">
        <v>35</v>
      </c>
      <c r="D8" s="76">
        <v>46282</v>
      </c>
      <c r="E8" s="60"/>
      <c r="F8" s="60">
        <v>262634</v>
      </c>
      <c r="G8" s="60">
        <v>74</v>
      </c>
      <c r="H8" s="60">
        <v>5000</v>
      </c>
      <c r="I8" s="62">
        <v>0.76</v>
      </c>
      <c r="J8" s="62">
        <v>0.9</v>
      </c>
      <c r="K8" s="60" t="s">
        <v>33</v>
      </c>
      <c r="L8" s="62">
        <v>3420</v>
      </c>
      <c r="M8" s="63">
        <v>2250</v>
      </c>
      <c r="N8" s="64">
        <v>0.3125</v>
      </c>
      <c r="O8" s="65">
        <v>18.75</v>
      </c>
      <c r="P8" s="60">
        <v>1077.3</v>
      </c>
      <c r="Q8" s="60">
        <v>2</v>
      </c>
      <c r="R8" s="60">
        <v>1550</v>
      </c>
      <c r="S8" s="62">
        <v>1.52</v>
      </c>
      <c r="T8" s="60">
        <v>30</v>
      </c>
      <c r="U8" s="64">
        <v>1.9400000000000001E-2</v>
      </c>
      <c r="V8" s="60" t="s">
        <v>28</v>
      </c>
      <c r="W8" s="60" t="s">
        <v>28</v>
      </c>
      <c r="X8" s="60" t="s">
        <v>28</v>
      </c>
      <c r="Y8" s="60"/>
      <c r="Z8" s="60"/>
      <c r="AA8" s="60">
        <v>7</v>
      </c>
      <c r="AB8" s="60" t="s">
        <v>219</v>
      </c>
    </row>
    <row r="9" spans="1:28" s="66" customFormat="1" ht="25.05" customHeight="1" x14ac:dyDescent="0.3">
      <c r="A9" s="60">
        <v>7</v>
      </c>
      <c r="B9" s="61" t="s">
        <v>93</v>
      </c>
      <c r="C9" s="60" t="s">
        <v>35</v>
      </c>
      <c r="D9" s="76">
        <v>46280</v>
      </c>
      <c r="E9" s="60"/>
      <c r="F9" s="60">
        <v>262603</v>
      </c>
      <c r="G9" s="60">
        <v>70</v>
      </c>
      <c r="H9" s="60">
        <v>600</v>
      </c>
      <c r="I9" s="62">
        <v>0.69</v>
      </c>
      <c r="J9" s="62">
        <v>1</v>
      </c>
      <c r="K9" s="60" t="s">
        <v>33</v>
      </c>
      <c r="L9" s="62">
        <v>414</v>
      </c>
      <c r="M9" s="63">
        <v>300</v>
      </c>
      <c r="N9" s="64">
        <v>4.1700000000000001E-2</v>
      </c>
      <c r="O9" s="65">
        <v>2.5</v>
      </c>
      <c r="P9" s="60">
        <v>130.4</v>
      </c>
      <c r="Q9" s="60">
        <v>2</v>
      </c>
      <c r="R9" s="60">
        <v>1400</v>
      </c>
      <c r="S9" s="62">
        <v>1.38</v>
      </c>
      <c r="T9" s="60">
        <v>20</v>
      </c>
      <c r="U9" s="64">
        <v>1.43E-2</v>
      </c>
      <c r="V9" s="60" t="s">
        <v>28</v>
      </c>
      <c r="W9" s="60" t="s">
        <v>28</v>
      </c>
      <c r="X9" s="60" t="s">
        <v>28</v>
      </c>
      <c r="Y9" s="60"/>
      <c r="Z9" s="60"/>
      <c r="AA9" s="60">
        <v>1</v>
      </c>
      <c r="AB9" s="60" t="s">
        <v>183</v>
      </c>
    </row>
    <row r="10" spans="1:28" s="66" customFormat="1" ht="25.05" customHeight="1" x14ac:dyDescent="0.3">
      <c r="A10" s="60">
        <v>8</v>
      </c>
      <c r="B10" s="61" t="s">
        <v>93</v>
      </c>
      <c r="C10" s="60" t="s">
        <v>35</v>
      </c>
      <c r="D10" s="76">
        <v>46281</v>
      </c>
      <c r="E10" s="60"/>
      <c r="F10" s="60">
        <v>262616</v>
      </c>
      <c r="G10" s="60">
        <v>72</v>
      </c>
      <c r="H10" s="60">
        <v>1000</v>
      </c>
      <c r="I10" s="62">
        <v>0.35</v>
      </c>
      <c r="J10" s="62">
        <v>0.88</v>
      </c>
      <c r="K10" s="60" t="s">
        <v>33</v>
      </c>
      <c r="L10" s="62">
        <v>308</v>
      </c>
      <c r="M10" s="63">
        <v>293.3</v>
      </c>
      <c r="N10" s="64">
        <v>2.7199999999999998E-2</v>
      </c>
      <c r="O10" s="65">
        <v>1.63</v>
      </c>
      <c r="P10" s="60">
        <v>97</v>
      </c>
      <c r="Q10" s="60">
        <v>3</v>
      </c>
      <c r="R10" s="60">
        <v>1100</v>
      </c>
      <c r="S10" s="62">
        <v>1.05</v>
      </c>
      <c r="T10" s="60">
        <v>50</v>
      </c>
      <c r="U10" s="64">
        <v>4.5499999999999999E-2</v>
      </c>
      <c r="V10" s="60" t="s">
        <v>28</v>
      </c>
      <c r="W10" s="60" t="s">
        <v>28</v>
      </c>
      <c r="X10" s="60" t="s">
        <v>28</v>
      </c>
      <c r="Y10" s="60"/>
      <c r="Z10" s="60"/>
      <c r="AA10" s="60">
        <v>1</v>
      </c>
      <c r="AB10" s="60" t="s">
        <v>186</v>
      </c>
    </row>
    <row r="11" spans="1:28" s="66" customFormat="1" ht="25.05" customHeight="1" x14ac:dyDescent="0.3">
      <c r="A11" s="60">
        <v>9</v>
      </c>
      <c r="B11" s="61" t="s">
        <v>93</v>
      </c>
      <c r="C11" s="60" t="s">
        <v>35</v>
      </c>
      <c r="D11" s="76">
        <v>46280</v>
      </c>
      <c r="E11" s="60"/>
      <c r="F11" s="60">
        <v>262602</v>
      </c>
      <c r="G11" s="60">
        <v>70</v>
      </c>
      <c r="H11" s="60">
        <v>1250</v>
      </c>
      <c r="I11" s="62">
        <v>0.54</v>
      </c>
      <c r="J11" s="62">
        <v>1</v>
      </c>
      <c r="K11" s="60" t="s">
        <v>33</v>
      </c>
      <c r="L11" s="62">
        <v>675</v>
      </c>
      <c r="M11" s="63">
        <v>625</v>
      </c>
      <c r="N11" s="64">
        <v>8.6800000000000002E-2</v>
      </c>
      <c r="O11" s="65">
        <v>5.21</v>
      </c>
      <c r="P11" s="60">
        <v>212.6</v>
      </c>
      <c r="Q11" s="60">
        <v>2</v>
      </c>
      <c r="R11" s="60">
        <v>1100</v>
      </c>
      <c r="S11" s="62">
        <v>1.08</v>
      </c>
      <c r="T11" s="60">
        <v>20</v>
      </c>
      <c r="U11" s="64">
        <v>1.8200000000000001E-2</v>
      </c>
      <c r="V11" s="60" t="s">
        <v>28</v>
      </c>
      <c r="W11" s="60" t="s">
        <v>28</v>
      </c>
      <c r="X11" s="60" t="s">
        <v>28</v>
      </c>
      <c r="Y11" s="60"/>
      <c r="Z11" s="60"/>
      <c r="AA11" s="60">
        <v>1</v>
      </c>
      <c r="AB11" s="60" t="s">
        <v>182</v>
      </c>
    </row>
    <row r="12" spans="1:28" s="66" customFormat="1" ht="25.05" customHeight="1" x14ac:dyDescent="0.3">
      <c r="A12" s="60">
        <v>10</v>
      </c>
      <c r="B12" s="61" t="s">
        <v>93</v>
      </c>
      <c r="C12" s="60" t="s">
        <v>35</v>
      </c>
      <c r="D12" s="76">
        <v>46281</v>
      </c>
      <c r="E12" s="60"/>
      <c r="F12" s="60">
        <v>262615</v>
      </c>
      <c r="G12" s="60">
        <v>71</v>
      </c>
      <c r="H12" s="60">
        <v>3000</v>
      </c>
      <c r="I12" s="62">
        <v>0.51400000000000001</v>
      </c>
      <c r="J12" s="62">
        <v>1.3420000000000001</v>
      </c>
      <c r="K12" s="60" t="s">
        <v>184</v>
      </c>
      <c r="L12" s="62">
        <v>1379.576</v>
      </c>
      <c r="M12" s="63">
        <v>1342</v>
      </c>
      <c r="N12" s="64">
        <v>0.18640000000000001</v>
      </c>
      <c r="O12" s="65">
        <v>11.18</v>
      </c>
      <c r="P12" s="60">
        <v>434.6</v>
      </c>
      <c r="Q12" s="60">
        <v>2</v>
      </c>
      <c r="R12" s="60">
        <v>1050</v>
      </c>
      <c r="S12" s="62">
        <v>1.028</v>
      </c>
      <c r="T12" s="60">
        <v>22</v>
      </c>
      <c r="U12" s="64">
        <v>2.1000000000000001E-2</v>
      </c>
      <c r="V12" s="60" t="s">
        <v>28</v>
      </c>
      <c r="W12" s="60" t="s">
        <v>28</v>
      </c>
      <c r="X12" s="60" t="s">
        <v>28</v>
      </c>
      <c r="Y12" s="60"/>
      <c r="Z12" s="60"/>
      <c r="AA12" s="60">
        <v>3</v>
      </c>
      <c r="AB12" s="60" t="s">
        <v>185</v>
      </c>
    </row>
    <row r="13" spans="1:28" s="66" customFormat="1" ht="25.05" customHeight="1" x14ac:dyDescent="0.3">
      <c r="A13" s="60">
        <v>11</v>
      </c>
      <c r="B13" s="61" t="s">
        <v>93</v>
      </c>
      <c r="C13" s="60" t="s">
        <v>35</v>
      </c>
      <c r="D13" s="76">
        <v>46281</v>
      </c>
      <c r="E13" s="60"/>
      <c r="F13" s="60">
        <v>262617</v>
      </c>
      <c r="G13" s="60">
        <v>72</v>
      </c>
      <c r="H13" s="60">
        <v>3200</v>
      </c>
      <c r="I13" s="62">
        <v>0.32500000000000001</v>
      </c>
      <c r="J13" s="62">
        <v>0.8</v>
      </c>
      <c r="K13" s="60" t="s">
        <v>33</v>
      </c>
      <c r="L13" s="62">
        <v>832</v>
      </c>
      <c r="M13" s="63">
        <v>853.3</v>
      </c>
      <c r="N13" s="64">
        <v>7.9000000000000001E-2</v>
      </c>
      <c r="O13" s="65">
        <v>4.74</v>
      </c>
      <c r="P13" s="60">
        <v>262.10000000000002</v>
      </c>
      <c r="Q13" s="60">
        <v>3</v>
      </c>
      <c r="R13" s="60">
        <v>1000</v>
      </c>
      <c r="S13" s="62">
        <v>0.97499999999999998</v>
      </c>
      <c r="T13" s="60">
        <v>25</v>
      </c>
      <c r="U13" s="64">
        <v>2.5000000000000001E-2</v>
      </c>
      <c r="V13" s="60" t="s">
        <v>28</v>
      </c>
      <c r="W13" s="60" t="s">
        <v>28</v>
      </c>
      <c r="X13" s="60" t="s">
        <v>28</v>
      </c>
      <c r="Y13" s="60"/>
      <c r="Z13" s="60"/>
      <c r="AA13" s="60">
        <v>2</v>
      </c>
      <c r="AB13" s="60" t="s">
        <v>187</v>
      </c>
    </row>
    <row r="14" spans="1:28" s="66" customFormat="1" ht="25.05" customHeight="1" x14ac:dyDescent="0.3">
      <c r="A14" s="60">
        <v>12</v>
      </c>
      <c r="B14" s="61" t="s">
        <v>93</v>
      </c>
      <c r="C14" s="60" t="s">
        <v>35</v>
      </c>
      <c r="D14" s="76">
        <v>46281</v>
      </c>
      <c r="E14" s="60"/>
      <c r="F14" s="60">
        <v>262618</v>
      </c>
      <c r="G14" s="60">
        <v>73</v>
      </c>
      <c r="H14" s="60">
        <v>2000</v>
      </c>
      <c r="I14" s="62">
        <v>0.27900000000000003</v>
      </c>
      <c r="J14" s="62">
        <v>1.002</v>
      </c>
      <c r="K14" s="60" t="s">
        <v>188</v>
      </c>
      <c r="L14" s="62">
        <v>559.11599999999999</v>
      </c>
      <c r="M14" s="63">
        <v>1002</v>
      </c>
      <c r="N14" s="64">
        <v>0.13919999999999999</v>
      </c>
      <c r="O14" s="65">
        <v>8.35</v>
      </c>
      <c r="P14" s="60">
        <v>176.1</v>
      </c>
      <c r="Q14" s="60">
        <v>2</v>
      </c>
      <c r="R14" s="60">
        <v>600</v>
      </c>
      <c r="S14" s="62">
        <v>0.55800000000000005</v>
      </c>
      <c r="T14" s="60">
        <v>42</v>
      </c>
      <c r="U14" s="64">
        <v>7.0000000000000007E-2</v>
      </c>
      <c r="V14" s="60" t="s">
        <v>28</v>
      </c>
      <c r="W14" s="60" t="s">
        <v>28</v>
      </c>
      <c r="X14" s="60" t="s">
        <v>28</v>
      </c>
      <c r="Y14" s="60"/>
      <c r="Z14" s="60"/>
      <c r="AA14" s="60">
        <v>1</v>
      </c>
      <c r="AB14" s="60" t="s">
        <v>189</v>
      </c>
    </row>
    <row r="15" spans="1:28" s="66" customFormat="1" ht="25.05" customHeight="1" x14ac:dyDescent="0.3">
      <c r="A15" s="60">
        <v>13</v>
      </c>
      <c r="B15" s="61" t="s">
        <v>93</v>
      </c>
      <c r="C15" s="60" t="s">
        <v>35</v>
      </c>
      <c r="D15" s="76">
        <v>46281</v>
      </c>
      <c r="E15" s="60"/>
      <c r="F15" s="60">
        <v>262619</v>
      </c>
      <c r="G15" s="60">
        <v>73</v>
      </c>
      <c r="H15" s="60">
        <v>6000</v>
      </c>
      <c r="I15" s="62">
        <v>0.36499999999999999</v>
      </c>
      <c r="J15" s="62">
        <v>1.04</v>
      </c>
      <c r="K15" s="60" t="s">
        <v>190</v>
      </c>
      <c r="L15" s="62">
        <v>2277.6</v>
      </c>
      <c r="M15" s="63">
        <v>3120</v>
      </c>
      <c r="N15" s="64">
        <v>0.43330000000000002</v>
      </c>
      <c r="O15" s="65">
        <v>26</v>
      </c>
      <c r="P15" s="60">
        <v>717.4</v>
      </c>
      <c r="Q15" s="60">
        <v>2</v>
      </c>
      <c r="R15" s="60">
        <v>750</v>
      </c>
      <c r="S15" s="62">
        <v>0.73</v>
      </c>
      <c r="T15" s="60">
        <v>20</v>
      </c>
      <c r="U15" s="64">
        <v>2.6700000000000002E-2</v>
      </c>
      <c r="V15" s="60" t="s">
        <v>28</v>
      </c>
      <c r="W15" s="60" t="s">
        <v>28</v>
      </c>
      <c r="X15" s="60" t="s">
        <v>28</v>
      </c>
      <c r="Y15" s="60"/>
      <c r="Z15" s="60"/>
      <c r="AA15" s="60">
        <v>3</v>
      </c>
      <c r="AB15" s="60" t="s">
        <v>191</v>
      </c>
    </row>
    <row r="16" spans="1:28" s="58" customFormat="1" ht="25.05" customHeight="1" x14ac:dyDescent="0.3">
      <c r="A16" s="60">
        <v>14</v>
      </c>
      <c r="B16" s="53" t="s">
        <v>126</v>
      </c>
      <c r="C16" s="52" t="s">
        <v>35</v>
      </c>
      <c r="D16" s="68">
        <v>46275</v>
      </c>
      <c r="E16" s="52"/>
      <c r="F16" s="52">
        <v>252541</v>
      </c>
      <c r="G16" s="52">
        <v>67</v>
      </c>
      <c r="H16" s="52">
        <v>3000</v>
      </c>
      <c r="I16" s="54">
        <v>0.27900000000000003</v>
      </c>
      <c r="J16" s="54">
        <v>1.004</v>
      </c>
      <c r="K16" s="52" t="s">
        <v>188</v>
      </c>
      <c r="L16" s="54">
        <v>840.34799999999996</v>
      </c>
      <c r="M16" s="55">
        <v>1004</v>
      </c>
      <c r="N16" s="56">
        <v>9.2999999999999999E-2</v>
      </c>
      <c r="O16" s="57">
        <v>5.58</v>
      </c>
      <c r="P16" s="52">
        <v>289.89999999999998</v>
      </c>
      <c r="Q16" s="52">
        <v>3</v>
      </c>
      <c r="R16" s="52">
        <v>900</v>
      </c>
      <c r="S16" s="54">
        <v>0.83699999999999997</v>
      </c>
      <c r="T16" s="52">
        <v>63</v>
      </c>
      <c r="U16" s="56">
        <v>7.0000000000000007E-2</v>
      </c>
      <c r="V16" s="52" t="s">
        <v>28</v>
      </c>
      <c r="W16" s="52" t="s">
        <v>28</v>
      </c>
      <c r="X16" s="52" t="s">
        <v>28</v>
      </c>
      <c r="Y16" s="52"/>
      <c r="Z16" s="52"/>
      <c r="AA16" s="52">
        <v>1</v>
      </c>
      <c r="AB16" s="52" t="s">
        <v>127</v>
      </c>
    </row>
    <row r="17" spans="1:28" s="66" customFormat="1" ht="25.05" customHeight="1" x14ac:dyDescent="0.3">
      <c r="A17" s="67" t="s">
        <v>27</v>
      </c>
      <c r="B17" s="67" t="s">
        <v>27</v>
      </c>
      <c r="C17" s="67" t="s">
        <v>27</v>
      </c>
      <c r="D17" s="67" t="s">
        <v>27</v>
      </c>
      <c r="E17" s="67" t="s">
        <v>27</v>
      </c>
      <c r="F17" s="67" t="s">
        <v>27</v>
      </c>
      <c r="G17" s="67" t="s">
        <v>27</v>
      </c>
      <c r="H17" s="67">
        <f>SUM(H3:H16)</f>
        <v>28050</v>
      </c>
      <c r="I17" s="67" t="s">
        <v>27</v>
      </c>
      <c r="J17" s="67" t="s">
        <v>27</v>
      </c>
      <c r="K17" s="67" t="s">
        <v>27</v>
      </c>
      <c r="L17" s="67" t="s">
        <v>27</v>
      </c>
      <c r="M17" s="67" t="s">
        <v>27</v>
      </c>
      <c r="N17" s="67" t="s">
        <v>27</v>
      </c>
      <c r="O17" s="67" t="s">
        <v>27</v>
      </c>
      <c r="P17" s="67">
        <f>SUM(P3:P16)</f>
        <v>4675.6999999999989</v>
      </c>
      <c r="Q17" s="67" t="s">
        <v>27</v>
      </c>
      <c r="R17" s="67" t="s">
        <v>27</v>
      </c>
      <c r="S17" s="67" t="s">
        <v>27</v>
      </c>
      <c r="T17" s="67" t="s">
        <v>27</v>
      </c>
      <c r="U17" s="67" t="s">
        <v>27</v>
      </c>
      <c r="V17" s="67" t="s">
        <v>27</v>
      </c>
      <c r="W17" s="67" t="s">
        <v>27</v>
      </c>
      <c r="X17" s="67" t="s">
        <v>27</v>
      </c>
      <c r="Y17" s="67" t="s">
        <v>27</v>
      </c>
      <c r="Z17" s="67" t="s">
        <v>27</v>
      </c>
      <c r="AA17" s="67" t="s">
        <v>27</v>
      </c>
      <c r="AB17" s="67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tabSelected="1" workbookViewId="0">
      <selection sqref="A1:AB1"/>
    </sheetView>
  </sheetViews>
  <sheetFormatPr defaultRowHeight="14.4" x14ac:dyDescent="0.3"/>
  <cols>
    <col min="1" max="1" width="3.88671875" style="34" customWidth="1"/>
    <col min="2" max="2" width="20.77734375" style="34" hidden="1" customWidth="1"/>
    <col min="3" max="3" width="7.21875" style="34" customWidth="1"/>
    <col min="4" max="4" width="11.77734375" style="34" hidden="1" customWidth="1"/>
    <col min="5" max="5" width="10.77734375" style="34" customWidth="1"/>
    <col min="6" max="6" width="8.33203125" style="34" customWidth="1"/>
    <col min="7" max="7" width="6.77734375" style="34" customWidth="1"/>
    <col min="8" max="8" width="7.21875" style="34" customWidth="1"/>
    <col min="9" max="9" width="6.33203125" style="34" customWidth="1"/>
    <col min="10" max="10" width="6.44140625" style="34" customWidth="1"/>
    <col min="11" max="11" width="27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77734375" style="34" customWidth="1"/>
    <col min="17" max="17" width="3.6640625" style="34" customWidth="1"/>
    <col min="18" max="18" width="7" style="34" customWidth="1"/>
    <col min="19" max="19" width="6.77734375" style="34" customWidth="1"/>
    <col min="20" max="20" width="11.77734375" style="34" hidden="1" customWidth="1"/>
    <col min="21" max="21" width="8.77734375" style="34" hidden="1" customWidth="1"/>
    <col min="22" max="22" width="9" style="34" customWidth="1"/>
    <col min="23" max="23" width="8.44140625" style="34" customWidth="1"/>
    <col min="24" max="24" width="9" style="34" customWidth="1"/>
    <col min="25" max="26" width="8.33203125" style="34" customWidth="1"/>
    <col min="27" max="27" width="5.109375" style="34" customWidth="1"/>
    <col min="28" max="28" width="11.109375" style="34" customWidth="1"/>
    <col min="29" max="16384" width="8.88671875" style="34"/>
  </cols>
  <sheetData>
    <row r="1" spans="1:28" ht="18" customHeight="1" x14ac:dyDescent="0.35">
      <c r="A1" s="93" t="s">
        <v>139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s="66" customFormat="1" ht="42.6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75" customFormat="1" ht="25.05" customHeight="1" x14ac:dyDescent="0.3">
      <c r="A3" s="69">
        <v>1</v>
      </c>
      <c r="B3" s="70" t="s">
        <v>58</v>
      </c>
      <c r="C3" s="69" t="s">
        <v>26</v>
      </c>
      <c r="D3" s="102">
        <v>46288</v>
      </c>
      <c r="E3" s="69"/>
      <c r="F3" s="69">
        <v>262682</v>
      </c>
      <c r="G3" s="69" t="s">
        <v>305</v>
      </c>
      <c r="H3" s="69">
        <v>450</v>
      </c>
      <c r="I3" s="71">
        <v>1.165</v>
      </c>
      <c r="J3" s="71">
        <v>2.13</v>
      </c>
      <c r="K3" s="69" t="s">
        <v>33</v>
      </c>
      <c r="L3" s="71">
        <v>1116.653</v>
      </c>
      <c r="M3" s="72">
        <v>958.5</v>
      </c>
      <c r="N3" s="73">
        <v>0.26619999999999999</v>
      </c>
      <c r="O3" s="74">
        <v>15.97</v>
      </c>
      <c r="P3" s="69">
        <v>600.79999999999995</v>
      </c>
      <c r="Q3" s="69">
        <v>1</v>
      </c>
      <c r="R3" s="69">
        <v>1200</v>
      </c>
      <c r="S3" s="71">
        <v>1.165</v>
      </c>
      <c r="T3" s="69">
        <v>35</v>
      </c>
      <c r="U3" s="73">
        <v>2.92E-2</v>
      </c>
      <c r="V3" s="69" t="s">
        <v>28</v>
      </c>
      <c r="W3" s="69" t="s">
        <v>29</v>
      </c>
      <c r="X3" s="69" t="s">
        <v>28</v>
      </c>
      <c r="Y3" s="69" t="s">
        <v>28</v>
      </c>
      <c r="Z3" s="69" t="s">
        <v>28</v>
      </c>
      <c r="AA3" s="69">
        <v>3</v>
      </c>
      <c r="AB3" s="69" t="s">
        <v>306</v>
      </c>
    </row>
    <row r="4" spans="1:28" s="75" customFormat="1" ht="25.05" customHeight="1" x14ac:dyDescent="0.3">
      <c r="A4" s="69">
        <v>2</v>
      </c>
      <c r="B4" s="70" t="s">
        <v>58</v>
      </c>
      <c r="C4" s="69" t="s">
        <v>26</v>
      </c>
      <c r="D4" s="69" t="s">
        <v>125</v>
      </c>
      <c r="E4" s="69" t="s">
        <v>27</v>
      </c>
      <c r="F4" s="69">
        <v>262571</v>
      </c>
      <c r="G4" s="69" t="s">
        <v>130</v>
      </c>
      <c r="H4" s="69">
        <v>1100</v>
      </c>
      <c r="I4" s="71">
        <v>0.85299999999999998</v>
      </c>
      <c r="J4" s="71">
        <v>2.105</v>
      </c>
      <c r="K4" s="69" t="s">
        <v>72</v>
      </c>
      <c r="L4" s="71">
        <v>1975.1210000000001</v>
      </c>
      <c r="M4" s="72">
        <v>2315.5</v>
      </c>
      <c r="N4" s="73">
        <v>0.64319999999999999</v>
      </c>
      <c r="O4" s="74">
        <v>38.590000000000003</v>
      </c>
      <c r="P4" s="69">
        <v>1171.2</v>
      </c>
      <c r="Q4" s="69">
        <v>1</v>
      </c>
      <c r="R4" s="69">
        <v>900</v>
      </c>
      <c r="S4" s="71">
        <v>0.85299999999999998</v>
      </c>
      <c r="T4" s="69">
        <v>47</v>
      </c>
      <c r="U4" s="73">
        <v>5.2200000000000003E-2</v>
      </c>
      <c r="V4" s="69" t="s">
        <v>28</v>
      </c>
      <c r="W4" s="69" t="s">
        <v>29</v>
      </c>
      <c r="X4" s="69" t="s">
        <v>28</v>
      </c>
      <c r="Y4" s="69" t="s">
        <v>28</v>
      </c>
      <c r="Z4" s="69" t="s">
        <v>28</v>
      </c>
      <c r="AA4" s="69" t="s">
        <v>40</v>
      </c>
      <c r="AB4" s="69" t="s">
        <v>138</v>
      </c>
    </row>
    <row r="5" spans="1:28" s="75" customFormat="1" ht="25.05" customHeight="1" x14ac:dyDescent="0.3">
      <c r="A5" s="69">
        <v>3</v>
      </c>
      <c r="B5" s="70" t="s">
        <v>58</v>
      </c>
      <c r="C5" s="69" t="s">
        <v>59</v>
      </c>
      <c r="D5" s="69" t="s">
        <v>125</v>
      </c>
      <c r="E5" s="69" t="s">
        <v>27</v>
      </c>
      <c r="F5" s="69">
        <v>262573</v>
      </c>
      <c r="G5" s="69" t="s">
        <v>130</v>
      </c>
      <c r="H5" s="69">
        <v>750</v>
      </c>
      <c r="I5" s="71">
        <v>1.522</v>
      </c>
      <c r="J5" s="71">
        <v>0.80600000000000005</v>
      </c>
      <c r="K5" s="69" t="s">
        <v>33</v>
      </c>
      <c r="L5" s="71">
        <v>920.04899999999998</v>
      </c>
      <c r="M5" s="72">
        <v>604.5</v>
      </c>
      <c r="N5" s="73">
        <v>0.16789999999999999</v>
      </c>
      <c r="O5" s="74">
        <v>10.07</v>
      </c>
      <c r="P5" s="69">
        <v>317.39999999999998</v>
      </c>
      <c r="Q5" s="69">
        <v>1</v>
      </c>
      <c r="R5" s="69">
        <v>1550</v>
      </c>
      <c r="S5" s="71">
        <v>1.522</v>
      </c>
      <c r="T5" s="69">
        <v>28</v>
      </c>
      <c r="U5" s="73">
        <v>1.8100000000000002E-2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137</v>
      </c>
    </row>
    <row r="6" spans="1:28" s="75" customFormat="1" ht="25.05" customHeight="1" x14ac:dyDescent="0.3">
      <c r="A6" s="69">
        <v>4</v>
      </c>
      <c r="B6" s="70" t="s">
        <v>58</v>
      </c>
      <c r="C6" s="69" t="s">
        <v>59</v>
      </c>
      <c r="D6" s="69" t="s">
        <v>125</v>
      </c>
      <c r="E6" s="69" t="s">
        <v>27</v>
      </c>
      <c r="F6" s="69">
        <v>262567</v>
      </c>
      <c r="G6" s="69" t="s">
        <v>130</v>
      </c>
      <c r="H6" s="69">
        <v>520</v>
      </c>
      <c r="I6" s="71">
        <v>1.2949999999999999</v>
      </c>
      <c r="J6" s="71">
        <v>1.21</v>
      </c>
      <c r="K6" s="69" t="s">
        <v>33</v>
      </c>
      <c r="L6" s="71">
        <v>814.81399999999996</v>
      </c>
      <c r="M6" s="72">
        <v>629.20000000000005</v>
      </c>
      <c r="N6" s="73">
        <v>0.17480000000000001</v>
      </c>
      <c r="O6" s="74">
        <v>10.49</v>
      </c>
      <c r="P6" s="69">
        <v>281.10000000000002</v>
      </c>
      <c r="Q6" s="69">
        <v>1</v>
      </c>
      <c r="R6" s="69">
        <v>1350</v>
      </c>
      <c r="S6" s="71">
        <v>1.2949999999999999</v>
      </c>
      <c r="T6" s="69">
        <v>55</v>
      </c>
      <c r="U6" s="73">
        <v>4.07E-2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32</v>
      </c>
      <c r="AB6" s="69" t="s">
        <v>136</v>
      </c>
    </row>
    <row r="7" spans="1:28" s="75" customFormat="1" ht="25.05" customHeight="1" x14ac:dyDescent="0.3">
      <c r="A7" s="69">
        <v>5</v>
      </c>
      <c r="B7" s="70" t="s">
        <v>58</v>
      </c>
      <c r="C7" s="69" t="s">
        <v>59</v>
      </c>
      <c r="D7" s="69" t="s">
        <v>125</v>
      </c>
      <c r="E7" s="69" t="s">
        <v>27</v>
      </c>
      <c r="F7" s="69">
        <v>262572</v>
      </c>
      <c r="G7" s="69" t="s">
        <v>130</v>
      </c>
      <c r="H7" s="69">
        <v>900</v>
      </c>
      <c r="I7" s="71">
        <v>1.01</v>
      </c>
      <c r="J7" s="71">
        <v>1.006</v>
      </c>
      <c r="K7" s="69" t="s">
        <v>33</v>
      </c>
      <c r="L7" s="71">
        <v>914.45399999999995</v>
      </c>
      <c r="M7" s="72">
        <v>905.4</v>
      </c>
      <c r="N7" s="73">
        <v>0.2515</v>
      </c>
      <c r="O7" s="74">
        <v>15.09</v>
      </c>
      <c r="P7" s="69">
        <v>315.5</v>
      </c>
      <c r="Q7" s="69">
        <v>1</v>
      </c>
      <c r="R7" s="69">
        <v>1050</v>
      </c>
      <c r="S7" s="71">
        <v>1.01</v>
      </c>
      <c r="T7" s="69">
        <v>40</v>
      </c>
      <c r="U7" s="73">
        <v>3.8100000000000002E-2</v>
      </c>
      <c r="V7" s="69" t="s">
        <v>28</v>
      </c>
      <c r="W7" s="69" t="s">
        <v>28</v>
      </c>
      <c r="X7" s="69" t="s">
        <v>28</v>
      </c>
      <c r="Y7" s="69" t="s">
        <v>27</v>
      </c>
      <c r="Z7" s="69" t="s">
        <v>27</v>
      </c>
      <c r="AA7" s="69" t="s">
        <v>32</v>
      </c>
      <c r="AB7" s="69" t="s">
        <v>135</v>
      </c>
    </row>
    <row r="8" spans="1:28" s="75" customFormat="1" ht="25.05" customHeight="1" x14ac:dyDescent="0.3">
      <c r="A8" s="69">
        <v>6</v>
      </c>
      <c r="B8" s="70" t="s">
        <v>58</v>
      </c>
      <c r="C8" s="69" t="s">
        <v>59</v>
      </c>
      <c r="D8" s="69" t="s">
        <v>125</v>
      </c>
      <c r="E8" s="69" t="s">
        <v>27</v>
      </c>
      <c r="F8" s="69">
        <v>262574</v>
      </c>
      <c r="G8" s="69" t="s">
        <v>130</v>
      </c>
      <c r="H8" s="69">
        <v>1500</v>
      </c>
      <c r="I8" s="71">
        <v>0.98799999999999999</v>
      </c>
      <c r="J8" s="71">
        <v>0.72599999999999998</v>
      </c>
      <c r="K8" s="69" t="s">
        <v>33</v>
      </c>
      <c r="L8" s="71">
        <v>1075.932</v>
      </c>
      <c r="M8" s="72">
        <v>1089</v>
      </c>
      <c r="N8" s="73">
        <v>0.30249999999999999</v>
      </c>
      <c r="O8" s="74">
        <v>18.149999999999999</v>
      </c>
      <c r="P8" s="69">
        <v>371.2</v>
      </c>
      <c r="Q8" s="69">
        <v>1</v>
      </c>
      <c r="R8" s="69">
        <v>1050</v>
      </c>
      <c r="S8" s="71">
        <v>0.98799999999999999</v>
      </c>
      <c r="T8" s="69">
        <v>62</v>
      </c>
      <c r="U8" s="73">
        <v>5.8999999999999997E-2</v>
      </c>
      <c r="V8" s="69" t="s">
        <v>28</v>
      </c>
      <c r="W8" s="69" t="s">
        <v>28</v>
      </c>
      <c r="X8" s="69" t="s">
        <v>28</v>
      </c>
      <c r="Y8" s="69" t="s">
        <v>27</v>
      </c>
      <c r="Z8" s="69" t="s">
        <v>27</v>
      </c>
      <c r="AA8" s="69" t="s">
        <v>32</v>
      </c>
      <c r="AB8" s="69" t="s">
        <v>134</v>
      </c>
    </row>
    <row r="9" spans="1:28" s="75" customFormat="1" ht="25.05" customHeight="1" x14ac:dyDescent="0.3">
      <c r="A9" s="69">
        <v>7</v>
      </c>
      <c r="B9" s="70" t="s">
        <v>58</v>
      </c>
      <c r="C9" s="69" t="s">
        <v>35</v>
      </c>
      <c r="D9" s="69" t="s">
        <v>125</v>
      </c>
      <c r="E9" s="69" t="s">
        <v>27</v>
      </c>
      <c r="F9" s="69">
        <v>262568</v>
      </c>
      <c r="G9" s="69" t="s">
        <v>130</v>
      </c>
      <c r="H9" s="69">
        <v>1100</v>
      </c>
      <c r="I9" s="71">
        <v>1.4410000000000001</v>
      </c>
      <c r="J9" s="71">
        <v>1.85</v>
      </c>
      <c r="K9" s="69" t="s">
        <v>133</v>
      </c>
      <c r="L9" s="71">
        <v>2932.4349999999999</v>
      </c>
      <c r="M9" s="72">
        <v>2035</v>
      </c>
      <c r="N9" s="73">
        <v>0.56530000000000002</v>
      </c>
      <c r="O9" s="74">
        <v>33.92</v>
      </c>
      <c r="P9" s="69">
        <v>1011.7</v>
      </c>
      <c r="Q9" s="69">
        <v>1</v>
      </c>
      <c r="R9" s="69">
        <v>1500</v>
      </c>
      <c r="S9" s="71">
        <v>1.4410000000000001</v>
      </c>
      <c r="T9" s="69">
        <v>59</v>
      </c>
      <c r="U9" s="73">
        <v>3.9300000000000002E-2</v>
      </c>
      <c r="V9" s="69" t="s">
        <v>28</v>
      </c>
      <c r="W9" s="69" t="s">
        <v>28</v>
      </c>
      <c r="X9" s="69" t="s">
        <v>28</v>
      </c>
      <c r="Y9" s="69" t="s">
        <v>27</v>
      </c>
      <c r="Z9" s="69" t="s">
        <v>27</v>
      </c>
      <c r="AA9" s="69" t="s">
        <v>30</v>
      </c>
      <c r="AB9" s="69" t="s">
        <v>132</v>
      </c>
    </row>
    <row r="10" spans="1:28" s="75" customFormat="1" ht="25.05" customHeight="1" x14ac:dyDescent="0.3">
      <c r="A10" s="69">
        <v>8</v>
      </c>
      <c r="B10" s="70" t="s">
        <v>58</v>
      </c>
      <c r="C10" s="69" t="s">
        <v>35</v>
      </c>
      <c r="D10" s="69" t="s">
        <v>125</v>
      </c>
      <c r="E10" s="69" t="s">
        <v>27</v>
      </c>
      <c r="F10" s="69">
        <v>262570</v>
      </c>
      <c r="G10" s="69" t="s">
        <v>130</v>
      </c>
      <c r="H10" s="69">
        <v>11000</v>
      </c>
      <c r="I10" s="71">
        <v>0.44600000000000001</v>
      </c>
      <c r="J10" s="71">
        <v>1.2290000000000001</v>
      </c>
      <c r="K10" s="69" t="s">
        <v>89</v>
      </c>
      <c r="L10" s="71">
        <v>6029.4740000000002</v>
      </c>
      <c r="M10" s="72">
        <v>6759.5</v>
      </c>
      <c r="N10" s="73">
        <v>0.93879999999999997</v>
      </c>
      <c r="O10" s="74">
        <v>56.33</v>
      </c>
      <c r="P10" s="69">
        <v>2080.1999999999998</v>
      </c>
      <c r="Q10" s="69">
        <v>2</v>
      </c>
      <c r="R10" s="69">
        <v>950</v>
      </c>
      <c r="S10" s="71">
        <v>0.89200000000000002</v>
      </c>
      <c r="T10" s="69">
        <v>58</v>
      </c>
      <c r="U10" s="73">
        <v>6.1100000000000002E-2</v>
      </c>
      <c r="V10" s="69" t="s">
        <v>28</v>
      </c>
      <c r="W10" s="69" t="s">
        <v>28</v>
      </c>
      <c r="X10" s="69" t="s">
        <v>28</v>
      </c>
      <c r="Y10" s="69" t="s">
        <v>27</v>
      </c>
      <c r="Z10" s="69" t="s">
        <v>27</v>
      </c>
      <c r="AA10" s="69" t="s">
        <v>88</v>
      </c>
      <c r="AB10" s="69" t="s">
        <v>131</v>
      </c>
    </row>
    <row r="11" spans="1:28" s="75" customFormat="1" ht="25.05" customHeight="1" x14ac:dyDescent="0.3">
      <c r="A11" s="69">
        <v>9</v>
      </c>
      <c r="B11" s="70" t="s">
        <v>58</v>
      </c>
      <c r="C11" s="69" t="s">
        <v>35</v>
      </c>
      <c r="D11" s="69" t="s">
        <v>125</v>
      </c>
      <c r="E11" s="69" t="s">
        <v>27</v>
      </c>
      <c r="F11" s="69">
        <v>262569</v>
      </c>
      <c r="G11" s="69" t="s">
        <v>130</v>
      </c>
      <c r="H11" s="69">
        <v>1800</v>
      </c>
      <c r="I11" s="71">
        <v>0.91</v>
      </c>
      <c r="J11" s="71">
        <v>0.65900000000000003</v>
      </c>
      <c r="K11" s="69" t="s">
        <v>33</v>
      </c>
      <c r="L11" s="71">
        <v>1079.442</v>
      </c>
      <c r="M11" s="72">
        <v>1186.2</v>
      </c>
      <c r="N11" s="73">
        <v>0.32950000000000002</v>
      </c>
      <c r="O11" s="74">
        <v>19.77</v>
      </c>
      <c r="P11" s="69">
        <v>372.4</v>
      </c>
      <c r="Q11" s="69">
        <v>1</v>
      </c>
      <c r="R11" s="69">
        <v>950</v>
      </c>
      <c r="S11" s="71">
        <v>0.91</v>
      </c>
      <c r="T11" s="69">
        <v>40</v>
      </c>
      <c r="U11" s="73">
        <v>4.2099999999999999E-2</v>
      </c>
      <c r="V11" s="69" t="s">
        <v>28</v>
      </c>
      <c r="W11" s="69" t="s">
        <v>28</v>
      </c>
      <c r="X11" s="69" t="s">
        <v>28</v>
      </c>
      <c r="Y11" s="69" t="s">
        <v>27</v>
      </c>
      <c r="Z11" s="69" t="s">
        <v>27</v>
      </c>
      <c r="AA11" s="69" t="s">
        <v>32</v>
      </c>
      <c r="AB11" s="69" t="s">
        <v>129</v>
      </c>
    </row>
    <row r="12" spans="1:28" s="66" customFormat="1" ht="25.05" customHeight="1" x14ac:dyDescent="0.3">
      <c r="A12" s="67" t="s">
        <v>27</v>
      </c>
      <c r="B12" s="67" t="s">
        <v>27</v>
      </c>
      <c r="C12" s="67" t="s">
        <v>27</v>
      </c>
      <c r="D12" s="67" t="s">
        <v>27</v>
      </c>
      <c r="E12" s="67" t="s">
        <v>27</v>
      </c>
      <c r="F12" s="67" t="s">
        <v>27</v>
      </c>
      <c r="G12" s="67" t="s">
        <v>27</v>
      </c>
      <c r="H12" s="67">
        <v>19120</v>
      </c>
      <c r="I12" s="67" t="s">
        <v>27</v>
      </c>
      <c r="J12" s="67" t="s">
        <v>27</v>
      </c>
      <c r="K12" s="67" t="s">
        <v>27</v>
      </c>
      <c r="L12" s="67" t="s">
        <v>27</v>
      </c>
      <c r="M12" s="67" t="s">
        <v>27</v>
      </c>
      <c r="N12" s="67" t="s">
        <v>27</v>
      </c>
      <c r="O12" s="67" t="s">
        <v>27</v>
      </c>
      <c r="P12" s="67">
        <v>6577.2</v>
      </c>
      <c r="Q12" s="67" t="s">
        <v>27</v>
      </c>
      <c r="R12" s="67" t="s">
        <v>27</v>
      </c>
      <c r="S12" s="67" t="s">
        <v>27</v>
      </c>
      <c r="T12" s="67" t="s">
        <v>27</v>
      </c>
      <c r="U12" s="67" t="s">
        <v>27</v>
      </c>
      <c r="V12" s="67" t="s">
        <v>27</v>
      </c>
      <c r="W12" s="67" t="s">
        <v>27</v>
      </c>
      <c r="X12" s="67" t="s">
        <v>27</v>
      </c>
      <c r="Y12" s="67" t="s">
        <v>27</v>
      </c>
      <c r="Z12" s="67" t="s">
        <v>27</v>
      </c>
      <c r="AA12" s="67" t="s">
        <v>27</v>
      </c>
      <c r="AB12" s="67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AE9" sqref="AE9"/>
    </sheetView>
  </sheetViews>
  <sheetFormatPr defaultRowHeight="14.4" x14ac:dyDescent="0.3"/>
  <cols>
    <col min="1" max="1" width="5.33203125" style="34" customWidth="1"/>
    <col min="2" max="2" width="20.77734375" style="34" hidden="1" customWidth="1"/>
    <col min="3" max="3" width="6" style="34" customWidth="1"/>
    <col min="4" max="4" width="11.77734375" style="34" hidden="1" customWidth="1"/>
    <col min="5" max="5" width="8.6640625" style="34" customWidth="1"/>
    <col min="6" max="6" width="7.5546875" style="34" customWidth="1"/>
    <col min="7" max="7" width="5" style="34" customWidth="1"/>
    <col min="8" max="8" width="6.77734375" style="34" customWidth="1"/>
    <col min="9" max="9" width="6.5546875" style="34" customWidth="1"/>
    <col min="10" max="10" width="7.77734375" style="34" customWidth="1"/>
    <col min="11" max="11" width="11.3320312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77734375" style="34" customWidth="1"/>
    <col min="17" max="17" width="4" style="34" customWidth="1"/>
    <col min="18" max="18" width="6.33203125" style="34" customWidth="1"/>
    <col min="19" max="19" width="6.6640625" style="34" customWidth="1"/>
    <col min="20" max="20" width="11.77734375" style="34" hidden="1" customWidth="1"/>
    <col min="21" max="21" width="8.77734375" style="34" hidden="1" customWidth="1"/>
    <col min="22" max="22" width="7.88671875" style="34" customWidth="1"/>
    <col min="23" max="23" width="7.77734375" style="34" customWidth="1"/>
    <col min="24" max="24" width="7.6640625" style="34" customWidth="1"/>
    <col min="25" max="26" width="8" style="34" customWidth="1"/>
    <col min="27" max="27" width="4" style="34" customWidth="1"/>
    <col min="28" max="28" width="11.109375" style="34" customWidth="1"/>
    <col min="29" max="16384" width="8.88671875" style="34"/>
  </cols>
  <sheetData>
    <row r="1" spans="1:28" ht="18" customHeight="1" x14ac:dyDescent="0.3">
      <c r="A1" s="95" t="s">
        <v>123</v>
      </c>
      <c r="B1" s="95" t="s">
        <v>27</v>
      </c>
      <c r="C1" s="95" t="s">
        <v>27</v>
      </c>
      <c r="D1" s="95" t="s">
        <v>27</v>
      </c>
      <c r="E1" s="95" t="s">
        <v>27</v>
      </c>
      <c r="F1" s="95" t="s">
        <v>27</v>
      </c>
      <c r="G1" s="95" t="s">
        <v>27</v>
      </c>
      <c r="H1" s="95" t="s">
        <v>27</v>
      </c>
      <c r="I1" s="95" t="s">
        <v>27</v>
      </c>
      <c r="J1" s="95" t="s">
        <v>27</v>
      </c>
      <c r="K1" s="95" t="s">
        <v>27</v>
      </c>
      <c r="L1" s="95" t="s">
        <v>27</v>
      </c>
      <c r="M1" s="95" t="s">
        <v>27</v>
      </c>
      <c r="N1" s="95" t="s">
        <v>27</v>
      </c>
      <c r="O1" s="95" t="s">
        <v>27</v>
      </c>
      <c r="P1" s="95" t="s">
        <v>27</v>
      </c>
      <c r="Q1" s="95" t="s">
        <v>27</v>
      </c>
      <c r="R1" s="95" t="s">
        <v>27</v>
      </c>
      <c r="S1" s="95" t="s">
        <v>27</v>
      </c>
      <c r="T1" s="95" t="s">
        <v>27</v>
      </c>
      <c r="U1" s="95" t="s">
        <v>27</v>
      </c>
      <c r="V1" s="95" t="s">
        <v>27</v>
      </c>
      <c r="W1" s="95" t="s">
        <v>27</v>
      </c>
      <c r="X1" s="95" t="s">
        <v>27</v>
      </c>
      <c r="Y1" s="95" t="s">
        <v>27</v>
      </c>
      <c r="Z1" s="95" t="s">
        <v>27</v>
      </c>
      <c r="AA1" s="95" t="s">
        <v>27</v>
      </c>
      <c r="AB1" s="95" t="s">
        <v>27</v>
      </c>
    </row>
    <row r="2" spans="1:28" ht="38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77" customFormat="1" ht="25.05" customHeight="1" x14ac:dyDescent="0.3">
      <c r="A3" s="78">
        <v>1</v>
      </c>
      <c r="B3" s="79" t="s">
        <v>68</v>
      </c>
      <c r="C3" s="78" t="s">
        <v>26</v>
      </c>
      <c r="D3" s="78" t="s">
        <v>112</v>
      </c>
      <c r="E3" s="78" t="s">
        <v>27</v>
      </c>
      <c r="F3" s="78">
        <v>262497</v>
      </c>
      <c r="G3" s="78" t="s">
        <v>111</v>
      </c>
      <c r="H3" s="78">
        <v>225</v>
      </c>
      <c r="I3" s="80">
        <v>1.548</v>
      </c>
      <c r="J3" s="80">
        <v>1.62</v>
      </c>
      <c r="K3" s="78" t="s">
        <v>33</v>
      </c>
      <c r="L3" s="80">
        <v>564.24599999999998</v>
      </c>
      <c r="M3" s="81">
        <v>364.5</v>
      </c>
      <c r="N3" s="82">
        <v>0.1013</v>
      </c>
      <c r="O3" s="83">
        <v>6.08</v>
      </c>
      <c r="P3" s="78">
        <v>334.6</v>
      </c>
      <c r="Q3" s="78">
        <v>1</v>
      </c>
      <c r="R3" s="78">
        <v>1600</v>
      </c>
      <c r="S3" s="80">
        <v>1.548</v>
      </c>
      <c r="T3" s="78">
        <v>52</v>
      </c>
      <c r="U3" s="82">
        <v>3.2500000000000001E-2</v>
      </c>
      <c r="V3" s="78" t="s">
        <v>28</v>
      </c>
      <c r="W3" s="78" t="s">
        <v>29</v>
      </c>
      <c r="X3" s="78" t="s">
        <v>28</v>
      </c>
      <c r="Y3" s="78" t="s">
        <v>28</v>
      </c>
      <c r="Z3" s="78" t="s">
        <v>28</v>
      </c>
      <c r="AA3" s="78" t="s">
        <v>32</v>
      </c>
      <c r="AB3" s="78" t="s">
        <v>122</v>
      </c>
    </row>
    <row r="4" spans="1:28" s="66" customFormat="1" ht="25.05" customHeight="1" x14ac:dyDescent="0.3">
      <c r="A4" s="52">
        <v>2</v>
      </c>
      <c r="B4" s="53" t="s">
        <v>68</v>
      </c>
      <c r="C4" s="52" t="s">
        <v>26</v>
      </c>
      <c r="D4" s="52" t="s">
        <v>112</v>
      </c>
      <c r="E4" s="52" t="s">
        <v>27</v>
      </c>
      <c r="F4" s="52">
        <v>262501</v>
      </c>
      <c r="G4" s="52" t="s">
        <v>111</v>
      </c>
      <c r="H4" s="52">
        <v>510</v>
      </c>
      <c r="I4" s="54">
        <v>0.76600000000000001</v>
      </c>
      <c r="J4" s="54">
        <v>1.43</v>
      </c>
      <c r="K4" s="52" t="s">
        <v>33</v>
      </c>
      <c r="L4" s="54">
        <v>558.64400000000001</v>
      </c>
      <c r="M4" s="55">
        <v>364.6</v>
      </c>
      <c r="N4" s="56">
        <v>5.0599999999999999E-2</v>
      </c>
      <c r="O4" s="57">
        <v>3.04</v>
      </c>
      <c r="P4" s="52">
        <v>331.3</v>
      </c>
      <c r="Q4" s="52">
        <v>2</v>
      </c>
      <c r="R4" s="52">
        <v>1600</v>
      </c>
      <c r="S4" s="54">
        <v>1.532</v>
      </c>
      <c r="T4" s="52">
        <v>68</v>
      </c>
      <c r="U4" s="56">
        <v>4.2500000000000003E-2</v>
      </c>
      <c r="V4" s="52" t="s">
        <v>28</v>
      </c>
      <c r="W4" s="52" t="s">
        <v>29</v>
      </c>
      <c r="X4" s="52" t="s">
        <v>28</v>
      </c>
      <c r="Y4" s="52" t="s">
        <v>28</v>
      </c>
      <c r="Z4" s="52" t="s">
        <v>28</v>
      </c>
      <c r="AA4" s="52" t="s">
        <v>30</v>
      </c>
      <c r="AB4" s="52" t="s">
        <v>69</v>
      </c>
    </row>
    <row r="5" spans="1:28" s="77" customFormat="1" ht="25.05" customHeight="1" x14ac:dyDescent="0.3">
      <c r="A5" s="78">
        <v>3</v>
      </c>
      <c r="B5" s="79" t="s">
        <v>68</v>
      </c>
      <c r="C5" s="78" t="s">
        <v>26</v>
      </c>
      <c r="D5" s="78" t="s">
        <v>112</v>
      </c>
      <c r="E5" s="78" t="s">
        <v>27</v>
      </c>
      <c r="F5" s="78">
        <v>262495</v>
      </c>
      <c r="G5" s="78" t="s">
        <v>111</v>
      </c>
      <c r="H5" s="78">
        <v>395</v>
      </c>
      <c r="I5" s="80">
        <v>0.69</v>
      </c>
      <c r="J5" s="80">
        <v>2.0699999999999998</v>
      </c>
      <c r="K5" s="78" t="s">
        <v>33</v>
      </c>
      <c r="L5" s="80">
        <v>564.178</v>
      </c>
      <c r="M5" s="81">
        <v>408.8</v>
      </c>
      <c r="N5" s="82">
        <v>5.6800000000000003E-2</v>
      </c>
      <c r="O5" s="83">
        <v>3.41</v>
      </c>
      <c r="P5" s="78">
        <v>334.6</v>
      </c>
      <c r="Q5" s="78">
        <v>2</v>
      </c>
      <c r="R5" s="78">
        <v>1400</v>
      </c>
      <c r="S5" s="80">
        <v>1.38</v>
      </c>
      <c r="T5" s="78">
        <v>20</v>
      </c>
      <c r="U5" s="82">
        <v>1.43E-2</v>
      </c>
      <c r="V5" s="78" t="s">
        <v>28</v>
      </c>
      <c r="W5" s="78" t="s">
        <v>29</v>
      </c>
      <c r="X5" s="78" t="s">
        <v>28</v>
      </c>
      <c r="Y5" s="78" t="s">
        <v>28</v>
      </c>
      <c r="Z5" s="78" t="s">
        <v>28</v>
      </c>
      <c r="AA5" s="78" t="s">
        <v>30</v>
      </c>
      <c r="AB5" s="78" t="s">
        <v>121</v>
      </c>
    </row>
    <row r="6" spans="1:28" s="77" customFormat="1" ht="25.05" customHeight="1" x14ac:dyDescent="0.3">
      <c r="A6" s="78">
        <v>4</v>
      </c>
      <c r="B6" s="79" t="s">
        <v>68</v>
      </c>
      <c r="C6" s="78" t="s">
        <v>26</v>
      </c>
      <c r="D6" s="78" t="s">
        <v>112</v>
      </c>
      <c r="E6" s="78" t="s">
        <v>27</v>
      </c>
      <c r="F6" s="78">
        <v>262496</v>
      </c>
      <c r="G6" s="78" t="s">
        <v>111</v>
      </c>
      <c r="H6" s="78">
        <v>610</v>
      </c>
      <c r="I6" s="80">
        <v>1.29</v>
      </c>
      <c r="J6" s="80">
        <v>1.59</v>
      </c>
      <c r="K6" s="78" t="s">
        <v>33</v>
      </c>
      <c r="L6" s="80">
        <v>1251.171</v>
      </c>
      <c r="M6" s="81">
        <v>969.9</v>
      </c>
      <c r="N6" s="82">
        <v>0.26939999999999997</v>
      </c>
      <c r="O6" s="83">
        <v>16.170000000000002</v>
      </c>
      <c r="P6" s="78">
        <v>741.9</v>
      </c>
      <c r="Q6" s="78">
        <v>1</v>
      </c>
      <c r="R6" s="78">
        <v>1350</v>
      </c>
      <c r="S6" s="80">
        <v>1.29</v>
      </c>
      <c r="T6" s="78">
        <v>60</v>
      </c>
      <c r="U6" s="82">
        <v>4.4400000000000002E-2</v>
      </c>
      <c r="V6" s="78" t="s">
        <v>28</v>
      </c>
      <c r="W6" s="78" t="s">
        <v>29</v>
      </c>
      <c r="X6" s="78" t="s">
        <v>28</v>
      </c>
      <c r="Y6" s="78" t="s">
        <v>28</v>
      </c>
      <c r="Z6" s="78" t="s">
        <v>28</v>
      </c>
      <c r="AA6" s="78" t="s">
        <v>31</v>
      </c>
      <c r="AB6" s="78" t="s">
        <v>120</v>
      </c>
    </row>
    <row r="7" spans="1:28" s="77" customFormat="1" ht="25.05" customHeight="1" x14ac:dyDescent="0.3">
      <c r="A7" s="78">
        <v>5</v>
      </c>
      <c r="B7" s="79" t="s">
        <v>68</v>
      </c>
      <c r="C7" s="78" t="s">
        <v>26</v>
      </c>
      <c r="D7" s="78" t="s">
        <v>112</v>
      </c>
      <c r="E7" s="78" t="s">
        <v>27</v>
      </c>
      <c r="F7" s="78">
        <v>262494</v>
      </c>
      <c r="G7" s="78" t="s">
        <v>111</v>
      </c>
      <c r="H7" s="78">
        <v>700</v>
      </c>
      <c r="I7" s="80">
        <v>1.0740000000000001</v>
      </c>
      <c r="J7" s="80">
        <v>1.27</v>
      </c>
      <c r="K7" s="78" t="s">
        <v>33</v>
      </c>
      <c r="L7" s="80">
        <v>954.78599999999994</v>
      </c>
      <c r="M7" s="81">
        <v>889</v>
      </c>
      <c r="N7" s="82">
        <v>0.24690000000000001</v>
      </c>
      <c r="O7" s="83">
        <v>14.82</v>
      </c>
      <c r="P7" s="78">
        <v>566.20000000000005</v>
      </c>
      <c r="Q7" s="78">
        <v>1</v>
      </c>
      <c r="R7" s="78">
        <v>1100</v>
      </c>
      <c r="S7" s="80">
        <v>1.0740000000000001</v>
      </c>
      <c r="T7" s="78">
        <v>26</v>
      </c>
      <c r="U7" s="82">
        <v>2.3599999999999999E-2</v>
      </c>
      <c r="V7" s="78" t="s">
        <v>28</v>
      </c>
      <c r="W7" s="78" t="s">
        <v>29</v>
      </c>
      <c r="X7" s="78" t="s">
        <v>28</v>
      </c>
      <c r="Y7" s="78" t="s">
        <v>28</v>
      </c>
      <c r="Z7" s="78" t="s">
        <v>28</v>
      </c>
      <c r="AA7" s="78" t="s">
        <v>31</v>
      </c>
      <c r="AB7" s="78" t="s">
        <v>119</v>
      </c>
    </row>
    <row r="8" spans="1:28" s="66" customFormat="1" ht="25.05" customHeight="1" x14ac:dyDescent="0.3">
      <c r="A8" s="52">
        <v>6</v>
      </c>
      <c r="B8" s="53" t="s">
        <v>68</v>
      </c>
      <c r="C8" s="52" t="s">
        <v>26</v>
      </c>
      <c r="D8" s="52" t="s">
        <v>112</v>
      </c>
      <c r="E8" s="52" t="s">
        <v>27</v>
      </c>
      <c r="F8" s="52">
        <v>262502</v>
      </c>
      <c r="G8" s="52" t="s">
        <v>111</v>
      </c>
      <c r="H8" s="52">
        <v>550</v>
      </c>
      <c r="I8" s="54">
        <v>0.95599999999999996</v>
      </c>
      <c r="J8" s="54">
        <v>1.23</v>
      </c>
      <c r="K8" s="52" t="s">
        <v>33</v>
      </c>
      <c r="L8" s="54">
        <v>646.73400000000004</v>
      </c>
      <c r="M8" s="55">
        <v>676.5</v>
      </c>
      <c r="N8" s="56">
        <v>0.18790000000000001</v>
      </c>
      <c r="O8" s="57">
        <v>11.28</v>
      </c>
      <c r="P8" s="52">
        <v>383.5</v>
      </c>
      <c r="Q8" s="52">
        <v>1</v>
      </c>
      <c r="R8" s="52">
        <v>1000</v>
      </c>
      <c r="S8" s="54">
        <v>0.95599999999999996</v>
      </c>
      <c r="T8" s="52">
        <v>44</v>
      </c>
      <c r="U8" s="56">
        <v>4.3999999999999997E-2</v>
      </c>
      <c r="V8" s="52" t="s">
        <v>28</v>
      </c>
      <c r="W8" s="52" t="s">
        <v>29</v>
      </c>
      <c r="X8" s="52" t="s">
        <v>28</v>
      </c>
      <c r="Y8" s="52" t="s">
        <v>28</v>
      </c>
      <c r="Z8" s="52" t="s">
        <v>28</v>
      </c>
      <c r="AA8" s="52" t="s">
        <v>30</v>
      </c>
      <c r="AB8" s="52" t="s">
        <v>118</v>
      </c>
    </row>
    <row r="9" spans="1:28" s="66" customFormat="1" ht="25.05" customHeight="1" x14ac:dyDescent="0.3">
      <c r="A9" s="52">
        <v>7</v>
      </c>
      <c r="B9" s="53" t="s">
        <v>68</v>
      </c>
      <c r="C9" s="52" t="s">
        <v>26</v>
      </c>
      <c r="D9" s="52" t="s">
        <v>112</v>
      </c>
      <c r="E9" s="52" t="s">
        <v>27</v>
      </c>
      <c r="F9" s="52">
        <v>262503</v>
      </c>
      <c r="G9" s="52" t="s">
        <v>111</v>
      </c>
      <c r="H9" s="52">
        <v>550</v>
      </c>
      <c r="I9" s="54">
        <v>0.97099999999999997</v>
      </c>
      <c r="J9" s="54">
        <v>1.26</v>
      </c>
      <c r="K9" s="52" t="s">
        <v>33</v>
      </c>
      <c r="L9" s="54">
        <v>672.90300000000002</v>
      </c>
      <c r="M9" s="55">
        <v>693</v>
      </c>
      <c r="N9" s="56">
        <v>0.1925</v>
      </c>
      <c r="O9" s="57">
        <v>11.55</v>
      </c>
      <c r="P9" s="52">
        <v>399</v>
      </c>
      <c r="Q9" s="52">
        <v>1</v>
      </c>
      <c r="R9" s="52">
        <v>1000</v>
      </c>
      <c r="S9" s="54">
        <v>0.97099999999999997</v>
      </c>
      <c r="T9" s="52">
        <v>29</v>
      </c>
      <c r="U9" s="56">
        <v>2.9000000000000001E-2</v>
      </c>
      <c r="V9" s="52" t="s">
        <v>28</v>
      </c>
      <c r="W9" s="52" t="s">
        <v>29</v>
      </c>
      <c r="X9" s="52" t="s">
        <v>28</v>
      </c>
      <c r="Y9" s="52" t="s">
        <v>28</v>
      </c>
      <c r="Z9" s="52" t="s">
        <v>28</v>
      </c>
      <c r="AA9" s="52" t="s">
        <v>30</v>
      </c>
      <c r="AB9" s="52" t="s">
        <v>117</v>
      </c>
    </row>
    <row r="10" spans="1:28" s="66" customFormat="1" ht="25.05" customHeight="1" x14ac:dyDescent="0.3">
      <c r="A10" s="52">
        <v>8</v>
      </c>
      <c r="B10" s="53" t="s">
        <v>68</v>
      </c>
      <c r="C10" s="52" t="s">
        <v>81</v>
      </c>
      <c r="D10" s="52" t="s">
        <v>112</v>
      </c>
      <c r="E10" s="52" t="s">
        <v>27</v>
      </c>
      <c r="F10" s="52">
        <v>262504</v>
      </c>
      <c r="G10" s="52" t="s">
        <v>111</v>
      </c>
      <c r="H10" s="52">
        <v>375</v>
      </c>
      <c r="I10" s="54">
        <v>1.44</v>
      </c>
      <c r="J10" s="54">
        <v>1.538</v>
      </c>
      <c r="K10" s="52" t="s">
        <v>33</v>
      </c>
      <c r="L10" s="54">
        <v>830.52</v>
      </c>
      <c r="M10" s="55">
        <v>576.79999999999995</v>
      </c>
      <c r="N10" s="56">
        <v>0.16020000000000001</v>
      </c>
      <c r="O10" s="57">
        <v>9.61</v>
      </c>
      <c r="P10" s="52">
        <v>318.10000000000002</v>
      </c>
      <c r="Q10" s="52">
        <v>1</v>
      </c>
      <c r="R10" s="52">
        <v>1500</v>
      </c>
      <c r="S10" s="54">
        <v>1.44</v>
      </c>
      <c r="T10" s="52">
        <v>60</v>
      </c>
      <c r="U10" s="56">
        <v>0.04</v>
      </c>
      <c r="V10" s="52" t="s">
        <v>41</v>
      </c>
      <c r="W10" s="52" t="s">
        <v>29</v>
      </c>
      <c r="X10" s="52" t="s">
        <v>28</v>
      </c>
      <c r="Y10" s="52" t="s">
        <v>27</v>
      </c>
      <c r="Z10" s="52" t="s">
        <v>27</v>
      </c>
      <c r="AA10" s="52" t="s">
        <v>38</v>
      </c>
      <c r="AB10" s="52" t="s">
        <v>116</v>
      </c>
    </row>
    <row r="11" spans="1:28" s="66" customFormat="1" ht="25.05" customHeight="1" x14ac:dyDescent="0.3">
      <c r="A11" s="52">
        <v>9</v>
      </c>
      <c r="B11" s="53" t="s">
        <v>68</v>
      </c>
      <c r="C11" s="52" t="s">
        <v>35</v>
      </c>
      <c r="D11" s="52" t="s">
        <v>112</v>
      </c>
      <c r="E11" s="52" t="s">
        <v>27</v>
      </c>
      <c r="F11" s="52">
        <v>262505</v>
      </c>
      <c r="G11" s="52" t="s">
        <v>111</v>
      </c>
      <c r="H11" s="52">
        <v>1750</v>
      </c>
      <c r="I11" s="54">
        <v>0.74</v>
      </c>
      <c r="J11" s="54">
        <v>0.75</v>
      </c>
      <c r="K11" s="52" t="s">
        <v>33</v>
      </c>
      <c r="L11" s="54">
        <v>971.25</v>
      </c>
      <c r="M11" s="55">
        <v>656.3</v>
      </c>
      <c r="N11" s="56">
        <v>9.11E-2</v>
      </c>
      <c r="O11" s="57">
        <v>5.47</v>
      </c>
      <c r="P11" s="52">
        <v>335.1</v>
      </c>
      <c r="Q11" s="52">
        <v>2</v>
      </c>
      <c r="R11" s="52">
        <v>1500</v>
      </c>
      <c r="S11" s="54">
        <v>1.48</v>
      </c>
      <c r="T11" s="52">
        <v>20</v>
      </c>
      <c r="U11" s="56">
        <v>1.3299999999999999E-2</v>
      </c>
      <c r="V11" s="52" t="s">
        <v>28</v>
      </c>
      <c r="W11" s="52" t="s">
        <v>28</v>
      </c>
      <c r="X11" s="52" t="s">
        <v>28</v>
      </c>
      <c r="Y11" s="52" t="s">
        <v>27</v>
      </c>
      <c r="Z11" s="52" t="s">
        <v>27</v>
      </c>
      <c r="AA11" s="52" t="s">
        <v>30</v>
      </c>
      <c r="AB11" s="52" t="s">
        <v>115</v>
      </c>
    </row>
    <row r="12" spans="1:28" s="66" customFormat="1" ht="25.05" customHeight="1" x14ac:dyDescent="0.3">
      <c r="A12" s="52">
        <v>10</v>
      </c>
      <c r="B12" s="53" t="s">
        <v>68</v>
      </c>
      <c r="C12" s="52" t="s">
        <v>81</v>
      </c>
      <c r="D12" s="52" t="s">
        <v>112</v>
      </c>
      <c r="E12" s="52" t="s">
        <v>27</v>
      </c>
      <c r="F12" s="52">
        <v>262499</v>
      </c>
      <c r="G12" s="52" t="s">
        <v>111</v>
      </c>
      <c r="H12" s="52">
        <v>3200</v>
      </c>
      <c r="I12" s="54">
        <v>0.46100000000000002</v>
      </c>
      <c r="J12" s="54">
        <v>1.32</v>
      </c>
      <c r="K12" s="52" t="s">
        <v>33</v>
      </c>
      <c r="L12" s="54">
        <v>1947.2639999999999</v>
      </c>
      <c r="M12" s="55">
        <v>1408</v>
      </c>
      <c r="N12" s="56">
        <v>0.13039999999999999</v>
      </c>
      <c r="O12" s="57">
        <v>7.82</v>
      </c>
      <c r="P12" s="52">
        <v>745.8</v>
      </c>
      <c r="Q12" s="52">
        <v>3</v>
      </c>
      <c r="R12" s="52">
        <v>1450</v>
      </c>
      <c r="S12" s="54">
        <v>1.383</v>
      </c>
      <c r="T12" s="52">
        <v>67</v>
      </c>
      <c r="U12" s="56">
        <v>4.6199999999999998E-2</v>
      </c>
      <c r="V12" s="52" t="s">
        <v>41</v>
      </c>
      <c r="W12" s="52" t="s">
        <v>29</v>
      </c>
      <c r="X12" s="52" t="s">
        <v>28</v>
      </c>
      <c r="Y12" s="52" t="s">
        <v>27</v>
      </c>
      <c r="Z12" s="52" t="s">
        <v>27</v>
      </c>
      <c r="AA12" s="52" t="s">
        <v>31</v>
      </c>
      <c r="AB12" s="52" t="s">
        <v>114</v>
      </c>
    </row>
    <row r="13" spans="1:28" s="66" customFormat="1" ht="25.05" customHeight="1" x14ac:dyDescent="0.3">
      <c r="A13" s="52">
        <v>11</v>
      </c>
      <c r="B13" s="53" t="s">
        <v>68</v>
      </c>
      <c r="C13" s="52" t="s">
        <v>35</v>
      </c>
      <c r="D13" s="52" t="s">
        <v>112</v>
      </c>
      <c r="E13" s="52" t="s">
        <v>27</v>
      </c>
      <c r="F13" s="52">
        <v>262498</v>
      </c>
      <c r="G13" s="52" t="s">
        <v>111</v>
      </c>
      <c r="H13" s="52">
        <v>3550</v>
      </c>
      <c r="I13" s="54">
        <v>0.3</v>
      </c>
      <c r="J13" s="54">
        <v>0.9</v>
      </c>
      <c r="K13" s="52" t="s">
        <v>33</v>
      </c>
      <c r="L13" s="54">
        <v>958.5</v>
      </c>
      <c r="M13" s="55">
        <v>1065</v>
      </c>
      <c r="N13" s="56">
        <v>9.8599999999999993E-2</v>
      </c>
      <c r="O13" s="57">
        <v>5.92</v>
      </c>
      <c r="P13" s="52">
        <v>330.7</v>
      </c>
      <c r="Q13" s="52">
        <v>3</v>
      </c>
      <c r="R13" s="52">
        <v>950</v>
      </c>
      <c r="S13" s="54">
        <v>0.9</v>
      </c>
      <c r="T13" s="52">
        <v>50</v>
      </c>
      <c r="U13" s="56">
        <v>5.2600000000000001E-2</v>
      </c>
      <c r="V13" s="52" t="s">
        <v>28</v>
      </c>
      <c r="W13" s="52" t="s">
        <v>28</v>
      </c>
      <c r="X13" s="52" t="s">
        <v>28</v>
      </c>
      <c r="Y13" s="52" t="s">
        <v>27</v>
      </c>
      <c r="Z13" s="52" t="s">
        <v>27</v>
      </c>
      <c r="AA13" s="52" t="s">
        <v>32</v>
      </c>
      <c r="AB13" s="52" t="s">
        <v>113</v>
      </c>
    </row>
    <row r="14" spans="1:28" s="66" customFormat="1" ht="25.05" customHeight="1" x14ac:dyDescent="0.3">
      <c r="A14" s="52">
        <v>12</v>
      </c>
      <c r="B14" s="53" t="s">
        <v>68</v>
      </c>
      <c r="C14" s="52" t="s">
        <v>35</v>
      </c>
      <c r="D14" s="52" t="s">
        <v>112</v>
      </c>
      <c r="E14" s="52" t="s">
        <v>27</v>
      </c>
      <c r="F14" s="52">
        <v>262500</v>
      </c>
      <c r="G14" s="52" t="s">
        <v>111</v>
      </c>
      <c r="H14" s="52">
        <v>6000</v>
      </c>
      <c r="I14" s="54">
        <v>0.374</v>
      </c>
      <c r="J14" s="54">
        <v>0.44</v>
      </c>
      <c r="K14" s="52" t="s">
        <v>110</v>
      </c>
      <c r="L14" s="54">
        <v>987.36</v>
      </c>
      <c r="M14" s="55">
        <v>1320</v>
      </c>
      <c r="N14" s="56">
        <v>0.18329999999999999</v>
      </c>
      <c r="O14" s="57">
        <v>11</v>
      </c>
      <c r="P14" s="52">
        <v>340.6</v>
      </c>
      <c r="Q14" s="52">
        <v>2</v>
      </c>
      <c r="R14" s="52">
        <v>800</v>
      </c>
      <c r="S14" s="54">
        <v>0.748</v>
      </c>
      <c r="T14" s="52">
        <v>52</v>
      </c>
      <c r="U14" s="56">
        <v>6.5000000000000002E-2</v>
      </c>
      <c r="V14" s="52" t="s">
        <v>28</v>
      </c>
      <c r="W14" s="52" t="s">
        <v>28</v>
      </c>
      <c r="X14" s="52" t="s">
        <v>28</v>
      </c>
      <c r="Y14" s="52" t="s">
        <v>27</v>
      </c>
      <c r="Z14" s="52" t="s">
        <v>27</v>
      </c>
      <c r="AA14" s="52" t="s">
        <v>32</v>
      </c>
      <c r="AB14" s="52" t="s">
        <v>109</v>
      </c>
    </row>
    <row r="15" spans="1:28" s="66" customFormat="1" ht="25.05" customHeight="1" x14ac:dyDescent="0.3">
      <c r="A15" s="59" t="s">
        <v>27</v>
      </c>
      <c r="B15" s="59" t="s">
        <v>27</v>
      </c>
      <c r="C15" s="59" t="s">
        <v>27</v>
      </c>
      <c r="D15" s="59" t="s">
        <v>27</v>
      </c>
      <c r="E15" s="59" t="s">
        <v>27</v>
      </c>
      <c r="F15" s="59" t="s">
        <v>27</v>
      </c>
      <c r="G15" s="59" t="s">
        <v>27</v>
      </c>
      <c r="H15" s="59">
        <v>18415</v>
      </c>
      <c r="I15" s="59" t="s">
        <v>27</v>
      </c>
      <c r="J15" s="59" t="s">
        <v>27</v>
      </c>
      <c r="K15" s="59" t="s">
        <v>27</v>
      </c>
      <c r="L15" s="59" t="s">
        <v>27</v>
      </c>
      <c r="M15" s="59" t="s">
        <v>27</v>
      </c>
      <c r="N15" s="59" t="s">
        <v>27</v>
      </c>
      <c r="O15" s="59" t="s">
        <v>27</v>
      </c>
      <c r="P15" s="59">
        <v>5161.3999999999996</v>
      </c>
      <c r="Q15" s="59" t="s">
        <v>27</v>
      </c>
      <c r="R15" s="59" t="s">
        <v>27</v>
      </c>
      <c r="S15" s="59" t="s">
        <v>27</v>
      </c>
      <c r="T15" s="59" t="s">
        <v>27</v>
      </c>
      <c r="U15" s="59" t="s">
        <v>27</v>
      </c>
      <c r="V15" s="59" t="s">
        <v>27</v>
      </c>
      <c r="W15" s="59" t="s">
        <v>27</v>
      </c>
      <c r="X15" s="59" t="s">
        <v>27</v>
      </c>
      <c r="Y15" s="59" t="s">
        <v>27</v>
      </c>
      <c r="Z15" s="59" t="s">
        <v>27</v>
      </c>
      <c r="AA15" s="59" t="s">
        <v>27</v>
      </c>
      <c r="AB15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96" t="s">
        <v>105</v>
      </c>
      <c r="B1" s="96" t="s">
        <v>27</v>
      </c>
      <c r="C1" s="96" t="s">
        <v>27</v>
      </c>
      <c r="D1" s="96" t="s">
        <v>27</v>
      </c>
      <c r="E1" s="96" t="s">
        <v>27</v>
      </c>
      <c r="F1" s="96" t="s">
        <v>27</v>
      </c>
      <c r="G1" s="96" t="s">
        <v>27</v>
      </c>
      <c r="H1" s="96" t="s">
        <v>27</v>
      </c>
      <c r="I1" s="96" t="s">
        <v>27</v>
      </c>
      <c r="J1" s="96" t="s">
        <v>27</v>
      </c>
      <c r="K1" s="96" t="s">
        <v>27</v>
      </c>
      <c r="L1" s="96" t="s">
        <v>27</v>
      </c>
      <c r="M1" s="96" t="s">
        <v>27</v>
      </c>
      <c r="N1" s="96" t="s">
        <v>27</v>
      </c>
      <c r="O1" s="96" t="s">
        <v>27</v>
      </c>
      <c r="P1" s="96" t="s">
        <v>27</v>
      </c>
      <c r="Q1" s="96" t="s">
        <v>27</v>
      </c>
      <c r="R1" s="96" t="s">
        <v>27</v>
      </c>
      <c r="S1" s="96" t="s">
        <v>27</v>
      </c>
      <c r="T1" s="96" t="s">
        <v>27</v>
      </c>
      <c r="U1" s="96" t="s">
        <v>27</v>
      </c>
      <c r="V1" s="96" t="s">
        <v>27</v>
      </c>
      <c r="W1" s="96" t="s">
        <v>27</v>
      </c>
      <c r="X1" s="96" t="s">
        <v>27</v>
      </c>
      <c r="Y1" s="96" t="s">
        <v>27</v>
      </c>
      <c r="Z1" s="96" t="s">
        <v>27</v>
      </c>
      <c r="AA1" s="96" t="s">
        <v>27</v>
      </c>
      <c r="AB1" s="96" t="s">
        <v>27</v>
      </c>
    </row>
    <row r="2" spans="1:28" ht="43.2" customHeight="1" x14ac:dyDescent="0.3">
      <c r="A2" s="33" t="s">
        <v>0</v>
      </c>
      <c r="B2" s="33" t="s">
        <v>36</v>
      </c>
      <c r="C2" s="33" t="s">
        <v>1</v>
      </c>
      <c r="D2" s="33" t="s">
        <v>2</v>
      </c>
      <c r="E2" s="33" t="s">
        <v>3</v>
      </c>
      <c r="F2" s="33" t="s">
        <v>53</v>
      </c>
      <c r="G2" s="33" t="s">
        <v>4</v>
      </c>
      <c r="H2" s="33" t="s">
        <v>5</v>
      </c>
      <c r="I2" s="33" t="s">
        <v>6</v>
      </c>
      <c r="J2" s="33" t="s">
        <v>7</v>
      </c>
      <c r="K2" s="33" t="s">
        <v>8</v>
      </c>
      <c r="L2" s="33" t="s">
        <v>9</v>
      </c>
      <c r="M2" s="33" t="s">
        <v>10</v>
      </c>
      <c r="N2" s="33" t="s">
        <v>11</v>
      </c>
      <c r="O2" s="33" t="s">
        <v>12</v>
      </c>
      <c r="P2" s="33" t="s">
        <v>13</v>
      </c>
      <c r="Q2" s="33" t="s">
        <v>14</v>
      </c>
      <c r="R2" s="33" t="s">
        <v>15</v>
      </c>
      <c r="S2" s="33" t="s">
        <v>16</v>
      </c>
      <c r="T2" s="33" t="s">
        <v>17</v>
      </c>
      <c r="U2" s="33" t="s">
        <v>18</v>
      </c>
      <c r="V2" s="33" t="s">
        <v>19</v>
      </c>
      <c r="W2" s="33" t="s">
        <v>20</v>
      </c>
      <c r="X2" s="33" t="s">
        <v>21</v>
      </c>
      <c r="Y2" s="33" t="s">
        <v>22</v>
      </c>
      <c r="Z2" s="33" t="s">
        <v>23</v>
      </c>
      <c r="AA2" s="33" t="s">
        <v>24</v>
      </c>
      <c r="AB2" s="33" t="s">
        <v>25</v>
      </c>
    </row>
    <row r="3" spans="1:28" s="30" customFormat="1" ht="25.05" customHeight="1" x14ac:dyDescent="0.3">
      <c r="A3" s="24">
        <v>1</v>
      </c>
      <c r="B3" s="25" t="s">
        <v>60</v>
      </c>
      <c r="C3" s="31" t="s">
        <v>57</v>
      </c>
      <c r="D3" s="24" t="s">
        <v>87</v>
      </c>
      <c r="E3" s="24" t="s">
        <v>27</v>
      </c>
      <c r="F3" s="24">
        <v>262478</v>
      </c>
      <c r="G3" s="24" t="s">
        <v>102</v>
      </c>
      <c r="H3" s="24">
        <v>150</v>
      </c>
      <c r="I3" s="26">
        <v>1.236</v>
      </c>
      <c r="J3" s="26">
        <v>2.5910000000000002</v>
      </c>
      <c r="K3" s="24" t="s">
        <v>104</v>
      </c>
      <c r="L3" s="26">
        <v>480.37099999999998</v>
      </c>
      <c r="M3" s="27">
        <v>388.7</v>
      </c>
      <c r="N3" s="28">
        <v>0.108</v>
      </c>
      <c r="O3" s="29">
        <v>6.48</v>
      </c>
      <c r="P3" s="24">
        <v>300.7</v>
      </c>
      <c r="Q3" s="24">
        <v>1</v>
      </c>
      <c r="R3" s="24">
        <v>1300</v>
      </c>
      <c r="S3" s="26">
        <v>1.236</v>
      </c>
      <c r="T3" s="24">
        <v>64</v>
      </c>
      <c r="U3" s="28">
        <v>4.9200000000000001E-2</v>
      </c>
      <c r="V3" s="24" t="s">
        <v>29</v>
      </c>
      <c r="W3" s="24" t="s">
        <v>39</v>
      </c>
      <c r="X3" s="24" t="s">
        <v>28</v>
      </c>
      <c r="Y3" s="24" t="s">
        <v>28</v>
      </c>
      <c r="Z3" s="24" t="s">
        <v>29</v>
      </c>
      <c r="AA3" s="24" t="s">
        <v>38</v>
      </c>
      <c r="AB3" s="24" t="s">
        <v>103</v>
      </c>
    </row>
    <row r="4" spans="1:28" s="30" customFormat="1" ht="25.05" customHeight="1" x14ac:dyDescent="0.3">
      <c r="A4" s="24">
        <v>2</v>
      </c>
      <c r="B4" s="25" t="s">
        <v>60</v>
      </c>
      <c r="C4" s="31" t="s">
        <v>57</v>
      </c>
      <c r="D4" s="24" t="s">
        <v>87</v>
      </c>
      <c r="E4" s="24" t="s">
        <v>27</v>
      </c>
      <c r="F4" s="24">
        <v>262479</v>
      </c>
      <c r="G4" s="24" t="s">
        <v>102</v>
      </c>
      <c r="H4" s="24">
        <v>1600</v>
      </c>
      <c r="I4" s="26">
        <v>1.196</v>
      </c>
      <c r="J4" s="26">
        <v>1.6910000000000001</v>
      </c>
      <c r="K4" s="24" t="s">
        <v>101</v>
      </c>
      <c r="L4" s="26">
        <v>3235.8980000000001</v>
      </c>
      <c r="M4" s="27">
        <v>2705.6</v>
      </c>
      <c r="N4" s="28">
        <v>0.75160000000000005</v>
      </c>
      <c r="O4" s="29">
        <v>45.09</v>
      </c>
      <c r="P4" s="24">
        <v>2025.7</v>
      </c>
      <c r="Q4" s="24">
        <v>1</v>
      </c>
      <c r="R4" s="24">
        <v>1250</v>
      </c>
      <c r="S4" s="26">
        <v>1.196</v>
      </c>
      <c r="T4" s="24">
        <v>54</v>
      </c>
      <c r="U4" s="28">
        <v>4.3200000000000002E-2</v>
      </c>
      <c r="V4" s="24" t="s">
        <v>29</v>
      </c>
      <c r="W4" s="24" t="s">
        <v>39</v>
      </c>
      <c r="X4" s="24" t="s">
        <v>28</v>
      </c>
      <c r="Y4" s="24" t="s">
        <v>28</v>
      </c>
      <c r="Z4" s="24" t="s">
        <v>29</v>
      </c>
      <c r="AA4" s="24" t="s">
        <v>63</v>
      </c>
      <c r="AB4" s="24" t="s">
        <v>100</v>
      </c>
    </row>
    <row r="5" spans="1:28" s="30" customFormat="1" ht="25.05" customHeight="1" x14ac:dyDescent="0.3">
      <c r="A5" s="24">
        <v>3</v>
      </c>
      <c r="B5" s="25" t="s">
        <v>60</v>
      </c>
      <c r="C5" s="24" t="s">
        <v>35</v>
      </c>
      <c r="D5" s="24" t="s">
        <v>94</v>
      </c>
      <c r="E5" s="24" t="s">
        <v>27</v>
      </c>
      <c r="F5" s="24">
        <v>262481</v>
      </c>
      <c r="G5" s="24" t="s">
        <v>97</v>
      </c>
      <c r="H5" s="24">
        <v>300</v>
      </c>
      <c r="I5" s="26">
        <v>0.75800000000000001</v>
      </c>
      <c r="J5" s="26">
        <v>0.94899999999999995</v>
      </c>
      <c r="K5" s="24" t="s">
        <v>99</v>
      </c>
      <c r="L5" s="26">
        <v>215.803</v>
      </c>
      <c r="M5" s="27">
        <v>142.30000000000001</v>
      </c>
      <c r="N5" s="28">
        <v>1.9800000000000002E-2</v>
      </c>
      <c r="O5" s="29">
        <v>1.19</v>
      </c>
      <c r="P5" s="24">
        <v>74.5</v>
      </c>
      <c r="Q5" s="24">
        <v>2</v>
      </c>
      <c r="R5" s="24">
        <v>1550</v>
      </c>
      <c r="S5" s="26">
        <v>1.516</v>
      </c>
      <c r="T5" s="24">
        <v>34</v>
      </c>
      <c r="U5" s="28">
        <v>2.1899999999999999E-2</v>
      </c>
      <c r="V5" s="24" t="s">
        <v>28</v>
      </c>
      <c r="W5" s="24" t="s">
        <v>28</v>
      </c>
      <c r="X5" s="24" t="s">
        <v>28</v>
      </c>
      <c r="Y5" s="24" t="s">
        <v>27</v>
      </c>
      <c r="Z5" s="24" t="s">
        <v>27</v>
      </c>
      <c r="AA5" s="24" t="s">
        <v>38</v>
      </c>
      <c r="AB5" s="24" t="s">
        <v>98</v>
      </c>
    </row>
    <row r="6" spans="1:28" s="30" customFormat="1" ht="25.05" customHeight="1" x14ac:dyDescent="0.3">
      <c r="A6" s="24">
        <v>4</v>
      </c>
      <c r="B6" s="25" t="s">
        <v>60</v>
      </c>
      <c r="C6" s="24" t="s">
        <v>42</v>
      </c>
      <c r="D6" s="24" t="s">
        <v>94</v>
      </c>
      <c r="E6" s="24" t="s">
        <v>27</v>
      </c>
      <c r="F6" s="24">
        <v>262480</v>
      </c>
      <c r="G6" s="24" t="s">
        <v>97</v>
      </c>
      <c r="H6" s="24">
        <v>1000</v>
      </c>
      <c r="I6" s="26">
        <v>0.56100000000000005</v>
      </c>
      <c r="J6" s="26">
        <v>1.3109999999999999</v>
      </c>
      <c r="K6" s="24" t="s">
        <v>96</v>
      </c>
      <c r="L6" s="26">
        <v>735.471</v>
      </c>
      <c r="M6" s="27">
        <v>655.5</v>
      </c>
      <c r="N6" s="28">
        <v>9.0999999999999998E-2</v>
      </c>
      <c r="O6" s="29">
        <v>5.46</v>
      </c>
      <c r="P6" s="24">
        <v>270.7</v>
      </c>
      <c r="Q6" s="24">
        <v>2</v>
      </c>
      <c r="R6" s="24">
        <v>1150</v>
      </c>
      <c r="S6" s="26">
        <v>1.1220000000000001</v>
      </c>
      <c r="T6" s="24">
        <v>28</v>
      </c>
      <c r="U6" s="28">
        <v>2.4299999999999999E-2</v>
      </c>
      <c r="V6" s="24" t="s">
        <v>29</v>
      </c>
      <c r="W6" s="24" t="s">
        <v>29</v>
      </c>
      <c r="X6" s="24" t="s">
        <v>28</v>
      </c>
      <c r="Y6" s="24" t="s">
        <v>27</v>
      </c>
      <c r="Z6" s="24" t="s">
        <v>27</v>
      </c>
      <c r="AA6" s="24" t="s">
        <v>32</v>
      </c>
      <c r="AB6" s="24" t="s">
        <v>95</v>
      </c>
    </row>
    <row r="7" spans="1:28" s="30" customFormat="1" ht="25.05" customHeight="1" x14ac:dyDescent="0.3">
      <c r="A7" s="32" t="s">
        <v>27</v>
      </c>
      <c r="B7" s="32" t="s">
        <v>27</v>
      </c>
      <c r="C7" s="32" t="s">
        <v>27</v>
      </c>
      <c r="D7" s="32" t="s">
        <v>27</v>
      </c>
      <c r="E7" s="32" t="s">
        <v>27</v>
      </c>
      <c r="F7" s="32" t="s">
        <v>27</v>
      </c>
      <c r="G7" s="32" t="s">
        <v>27</v>
      </c>
      <c r="H7" s="32">
        <v>3050</v>
      </c>
      <c r="I7" s="32" t="s">
        <v>27</v>
      </c>
      <c r="J7" s="32" t="s">
        <v>27</v>
      </c>
      <c r="K7" s="32" t="s">
        <v>27</v>
      </c>
      <c r="L7" s="32" t="s">
        <v>27</v>
      </c>
      <c r="M7" s="32" t="s">
        <v>27</v>
      </c>
      <c r="N7" s="32" t="s">
        <v>27</v>
      </c>
      <c r="O7" s="32" t="s">
        <v>27</v>
      </c>
      <c r="P7" s="32">
        <v>2671.5</v>
      </c>
      <c r="Q7" s="32" t="s">
        <v>27</v>
      </c>
      <c r="R7" s="32" t="s">
        <v>27</v>
      </c>
      <c r="S7" s="32" t="s">
        <v>27</v>
      </c>
      <c r="T7" s="32" t="s">
        <v>27</v>
      </c>
      <c r="U7" s="32" t="s">
        <v>27</v>
      </c>
      <c r="V7" s="32" t="s">
        <v>27</v>
      </c>
      <c r="W7" s="32" t="s">
        <v>27</v>
      </c>
      <c r="X7" s="32" t="s">
        <v>27</v>
      </c>
      <c r="Y7" s="32" t="s">
        <v>27</v>
      </c>
      <c r="Z7" s="32" t="s">
        <v>27</v>
      </c>
      <c r="AA7" s="32" t="s">
        <v>27</v>
      </c>
      <c r="AB7" s="32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97" t="s">
        <v>80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1">
        <v>1</v>
      </c>
      <c r="B3" s="23" t="s">
        <v>76</v>
      </c>
      <c r="C3" s="21" t="s">
        <v>35</v>
      </c>
      <c r="D3" s="21" t="s">
        <v>75</v>
      </c>
      <c r="E3" s="21" t="s">
        <v>27</v>
      </c>
      <c r="F3" s="21">
        <v>262365</v>
      </c>
      <c r="G3" s="21" t="s">
        <v>74</v>
      </c>
      <c r="H3" s="21">
        <v>700</v>
      </c>
      <c r="I3" s="22">
        <v>0.55000000000000004</v>
      </c>
      <c r="J3" s="22">
        <v>1.0900000000000001</v>
      </c>
      <c r="K3" s="21" t="s">
        <v>33</v>
      </c>
      <c r="L3" s="18">
        <v>289.8</v>
      </c>
      <c r="M3" s="20">
        <v>210</v>
      </c>
      <c r="N3" s="17">
        <v>1.9400000000000001E-2</v>
      </c>
      <c r="O3" s="19">
        <v>1.17</v>
      </c>
      <c r="P3" s="16">
        <v>100</v>
      </c>
      <c r="Q3" s="16">
        <v>3</v>
      </c>
      <c r="R3" s="16">
        <v>1400</v>
      </c>
      <c r="S3" s="18">
        <v>1.38</v>
      </c>
      <c r="T3" s="16">
        <v>20</v>
      </c>
      <c r="U3" s="17">
        <v>1.43E-2</v>
      </c>
      <c r="V3" s="16" t="s">
        <v>28</v>
      </c>
      <c r="W3" s="16" t="s">
        <v>28</v>
      </c>
      <c r="X3" s="16" t="s">
        <v>28</v>
      </c>
      <c r="Y3" s="16" t="s">
        <v>27</v>
      </c>
      <c r="Z3" s="16" t="s">
        <v>27</v>
      </c>
      <c r="AA3" s="16" t="s">
        <v>38</v>
      </c>
      <c r="AB3" s="16" t="s">
        <v>79</v>
      </c>
    </row>
    <row r="4" spans="1:28" ht="25.05" customHeight="1" x14ac:dyDescent="0.3">
      <c r="A4" s="21">
        <v>2</v>
      </c>
      <c r="B4" s="23" t="s">
        <v>76</v>
      </c>
      <c r="C4" s="21" t="s">
        <v>42</v>
      </c>
      <c r="D4" s="21" t="s">
        <v>71</v>
      </c>
      <c r="E4" s="21" t="s">
        <v>27</v>
      </c>
      <c r="F4" s="21">
        <v>262362</v>
      </c>
      <c r="G4" s="21" t="s">
        <v>74</v>
      </c>
      <c r="H4" s="21">
        <v>3000</v>
      </c>
      <c r="I4" s="22">
        <v>0.55400000000000005</v>
      </c>
      <c r="J4" s="22">
        <v>2.2040000000000002</v>
      </c>
      <c r="K4" s="21" t="s">
        <v>62</v>
      </c>
      <c r="L4" s="18">
        <v>3663.0479999999998</v>
      </c>
      <c r="M4" s="20">
        <v>3306</v>
      </c>
      <c r="N4" s="17">
        <v>0.4592</v>
      </c>
      <c r="O4" s="19">
        <v>27.55</v>
      </c>
      <c r="P4" s="16">
        <v>1348</v>
      </c>
      <c r="Q4" s="16">
        <v>2</v>
      </c>
      <c r="R4" s="16">
        <v>1150</v>
      </c>
      <c r="S4" s="18">
        <v>1.1080000000000001</v>
      </c>
      <c r="T4" s="16">
        <v>42</v>
      </c>
      <c r="U4" s="17">
        <v>3.6499999999999998E-2</v>
      </c>
      <c r="V4" s="16" t="s">
        <v>29</v>
      </c>
      <c r="W4" s="16" t="s">
        <v>29</v>
      </c>
      <c r="X4" s="16" t="s">
        <v>28</v>
      </c>
      <c r="Y4" s="16" t="s">
        <v>27</v>
      </c>
      <c r="Z4" s="16" t="s">
        <v>27</v>
      </c>
      <c r="AA4" s="16" t="s">
        <v>52</v>
      </c>
      <c r="AB4" s="16" t="s">
        <v>61</v>
      </c>
    </row>
    <row r="5" spans="1:28" ht="25.05" customHeight="1" x14ac:dyDescent="0.3">
      <c r="A5" s="21">
        <v>3</v>
      </c>
      <c r="B5" s="23" t="s">
        <v>76</v>
      </c>
      <c r="C5" s="21" t="s">
        <v>35</v>
      </c>
      <c r="D5" s="21" t="s">
        <v>75</v>
      </c>
      <c r="E5" s="21" t="s">
        <v>27</v>
      </c>
      <c r="F5" s="21">
        <v>262363</v>
      </c>
      <c r="G5" s="21" t="s">
        <v>74</v>
      </c>
      <c r="H5" s="21">
        <v>2000</v>
      </c>
      <c r="I5" s="22">
        <v>0.40400000000000003</v>
      </c>
      <c r="J5" s="22">
        <v>1.39</v>
      </c>
      <c r="K5" s="21" t="s">
        <v>78</v>
      </c>
      <c r="L5" s="18">
        <v>1123.1199999999999</v>
      </c>
      <c r="M5" s="20">
        <v>1390</v>
      </c>
      <c r="N5" s="17">
        <v>0.19309999999999999</v>
      </c>
      <c r="O5" s="19">
        <v>11.58</v>
      </c>
      <c r="P5" s="16">
        <v>387.5</v>
      </c>
      <c r="Q5" s="16">
        <v>2</v>
      </c>
      <c r="R5" s="16">
        <v>850</v>
      </c>
      <c r="S5" s="18">
        <v>0.80800000000000005</v>
      </c>
      <c r="T5" s="16">
        <v>42</v>
      </c>
      <c r="U5" s="17">
        <v>4.9399999999999999E-2</v>
      </c>
      <c r="V5" s="16" t="s">
        <v>28</v>
      </c>
      <c r="W5" s="16" t="s">
        <v>28</v>
      </c>
      <c r="X5" s="16" t="s">
        <v>28</v>
      </c>
      <c r="Y5" s="16" t="s">
        <v>27</v>
      </c>
      <c r="Z5" s="16" t="s">
        <v>27</v>
      </c>
      <c r="AA5" s="16" t="s">
        <v>30</v>
      </c>
      <c r="AB5" s="16" t="s">
        <v>77</v>
      </c>
    </row>
    <row r="6" spans="1:28" ht="25.05" customHeight="1" x14ac:dyDescent="0.3">
      <c r="A6" s="21">
        <v>4</v>
      </c>
      <c r="B6" s="23" t="s">
        <v>76</v>
      </c>
      <c r="C6" s="21" t="s">
        <v>35</v>
      </c>
      <c r="D6" s="21" t="s">
        <v>75</v>
      </c>
      <c r="E6" s="21" t="s">
        <v>27</v>
      </c>
      <c r="F6" s="21">
        <v>262364</v>
      </c>
      <c r="G6" s="21" t="s">
        <v>74</v>
      </c>
      <c r="H6" s="21">
        <v>6000</v>
      </c>
      <c r="I6" s="22">
        <v>0.41</v>
      </c>
      <c r="J6" s="22">
        <v>0.59</v>
      </c>
      <c r="K6" s="21" t="s">
        <v>43</v>
      </c>
      <c r="L6" s="18">
        <v>725.7</v>
      </c>
      <c r="M6" s="20">
        <v>1770</v>
      </c>
      <c r="N6" s="17">
        <v>0.49170000000000003</v>
      </c>
      <c r="O6" s="19">
        <v>29.5</v>
      </c>
      <c r="P6" s="16">
        <v>250.4</v>
      </c>
      <c r="Q6" s="16">
        <v>1</v>
      </c>
      <c r="R6" s="16">
        <v>450</v>
      </c>
      <c r="S6" s="18">
        <v>0.41</v>
      </c>
      <c r="T6" s="16">
        <v>40</v>
      </c>
      <c r="U6" s="17">
        <v>8.8900000000000007E-2</v>
      </c>
      <c r="V6" s="16" t="s">
        <v>28</v>
      </c>
      <c r="W6" s="16" t="s">
        <v>28</v>
      </c>
      <c r="X6" s="16" t="s">
        <v>28</v>
      </c>
      <c r="Y6" s="16" t="s">
        <v>27</v>
      </c>
      <c r="Z6" s="16" t="s">
        <v>27</v>
      </c>
      <c r="AA6" s="16" t="s">
        <v>38</v>
      </c>
      <c r="AB6" s="16" t="s">
        <v>73</v>
      </c>
    </row>
    <row r="7" spans="1:28" ht="25.05" customHeight="1" x14ac:dyDescent="0.3">
      <c r="A7" s="15" t="s">
        <v>27</v>
      </c>
      <c r="B7" s="15" t="s">
        <v>27</v>
      </c>
      <c r="C7" s="15" t="s">
        <v>27</v>
      </c>
      <c r="D7" s="15" t="s">
        <v>27</v>
      </c>
      <c r="E7" s="15" t="s">
        <v>27</v>
      </c>
      <c r="F7" s="15" t="s">
        <v>27</v>
      </c>
      <c r="G7" s="15" t="s">
        <v>27</v>
      </c>
      <c r="H7" s="15">
        <v>8700</v>
      </c>
      <c r="I7" s="15" t="s">
        <v>27</v>
      </c>
      <c r="J7" s="15" t="s">
        <v>27</v>
      </c>
      <c r="K7" s="15" t="s">
        <v>27</v>
      </c>
      <c r="L7" s="14" t="s">
        <v>27</v>
      </c>
      <c r="M7" s="14" t="s">
        <v>27</v>
      </c>
      <c r="N7" s="14" t="s">
        <v>27</v>
      </c>
      <c r="O7" s="14" t="s">
        <v>27</v>
      </c>
      <c r="P7" s="14">
        <v>2085.8000000000002</v>
      </c>
      <c r="Q7" s="14" t="s">
        <v>27</v>
      </c>
      <c r="R7" s="14" t="s">
        <v>27</v>
      </c>
      <c r="S7" s="14" t="s">
        <v>27</v>
      </c>
      <c r="T7" s="14" t="s">
        <v>27</v>
      </c>
      <c r="U7" s="14" t="s">
        <v>27</v>
      </c>
      <c r="V7" s="14" t="s">
        <v>27</v>
      </c>
      <c r="W7" s="14" t="s">
        <v>27</v>
      </c>
      <c r="X7" s="14" t="s">
        <v>27</v>
      </c>
      <c r="Y7" s="14" t="s">
        <v>27</v>
      </c>
      <c r="Z7" s="14" t="s">
        <v>27</v>
      </c>
      <c r="AA7" s="14" t="s">
        <v>27</v>
      </c>
      <c r="AB7" s="14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16</vt:i4>
      </vt:variant>
    </vt:vector>
  </HeadingPairs>
  <TitlesOfParts>
    <vt:vector size="16" baseType="lpstr">
      <vt:lpstr>PCBOX EMBALAGENS LTDA 1222</vt:lpstr>
      <vt:lpstr>FORBOX 1220</vt:lpstr>
      <vt:lpstr>HARMONY EMBALAGENS 1217</vt:lpstr>
      <vt:lpstr>Z4A EMBALAGENS LTDA 1216</vt:lpstr>
      <vt:lpstr>Tolecaixas 1215</vt:lpstr>
      <vt:lpstr>ABAPEL 1213</vt:lpstr>
      <vt:lpstr>IPE - PCBOX 1212 P</vt:lpstr>
      <vt:lpstr>Z4A EMBALAGENS LTDA 1210 P</vt:lpstr>
      <vt:lpstr>RM Embalagens 1209 P</vt:lpstr>
      <vt:lpstr>ABAPEL 1201 P</vt:lpstr>
      <vt:lpstr>HARMONY EMBALAGENS 1200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2026-09-23T12:52:25Z</cp:lastPrinted>
  <dcterms:created xsi:type="dcterms:W3CDTF">2026-07-02T17:42:15Z</dcterms:created>
  <dcterms:modified xsi:type="dcterms:W3CDTF">2026-09-23T13:14:22Z</dcterms:modified>
</cp:coreProperties>
</file>