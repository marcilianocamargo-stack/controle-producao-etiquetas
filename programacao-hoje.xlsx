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691DD6D-EBFD-4563-A1AF-236749D4307D}" xr6:coauthVersionLast="47" xr6:coauthVersionMax="47" xr10:uidLastSave="{00000000-0000-0000-0000-000000000000}"/>
  <bookViews>
    <workbookView xWindow="-38510" yWindow="-10830" windowWidth="38620" windowHeight="21100" firstSheet="7" activeTab="9" xr2:uid="{00000000-000D-0000-FFFF-FFFF00000000}"/>
  </bookViews>
  <sheets>
    <sheet name="Tolecaixas 1264" sheetId="190" r:id="rId1"/>
    <sheet name="RM Embalagens 1263 P" sheetId="189" r:id="rId2"/>
    <sheet name="HARMONY EMBALAGENS 1262 P" sheetId="188" r:id="rId3"/>
    <sheet name="HARMONY EMBALAGENS 1260" sheetId="187" r:id="rId4"/>
    <sheet name="IPE EMBALAGENS LTDA 1259" sheetId="186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75" l="1"/>
  <c r="H9" i="175"/>
  <c r="P7" i="180"/>
  <c r="H7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<sst xmlns="http://schemas.openxmlformats.org/spreadsheetml/2006/main" count="6942" uniqueCount="676">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</sst>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8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6" fillId="0" borderId="0" xfId="1" applyFont="1" applyAlignment="1">
      <alignment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76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71" t="s">
        <v>672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  <c r="AC1" s="171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668</v>
      </c>
      <c r="E3" s="126">
        <v>262917</v>
      </c>
      <c r="F3" s="178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668</v>
      </c>
      <c r="E4" s="126">
        <v>262916</v>
      </c>
      <c r="F4" s="178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671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668</v>
      </c>
      <c r="E5" s="126">
        <v>262914</v>
      </c>
      <c r="F5" s="178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670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668</v>
      </c>
      <c r="E6" s="126">
        <v>262913</v>
      </c>
      <c r="F6" s="178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668</v>
      </c>
      <c r="E7" s="126">
        <v>262915</v>
      </c>
      <c r="F7" s="178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669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668</v>
      </c>
      <c r="E8" s="126">
        <v>262918</v>
      </c>
      <c r="F8" s="178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77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H16" sqref="AH16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69" t="s">
        <v>667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/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588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666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665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588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664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588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663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588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662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661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660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659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658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657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656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655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654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653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activeCell="R25" sqref="R25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69" t="s">
        <v>652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/>
      <c r="L1" s="169" t="s">
        <v>27</v>
      </c>
      <c r="M1" s="169" t="s">
        <v>27</v>
      </c>
      <c r="N1" s="169" t="s">
        <v>27</v>
      </c>
      <c r="O1" s="169" t="s">
        <v>27</v>
      </c>
      <c r="P1" s="169"/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  <c r="AD1" s="1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601</v>
      </c>
      <c r="E3" s="162" t="s">
        <v>27</v>
      </c>
      <c r="F3" s="162">
        <v>262903</v>
      </c>
      <c r="G3" s="162" t="s">
        <v>634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601</v>
      </c>
      <c r="E4" s="162" t="s">
        <v>27</v>
      </c>
      <c r="F4" s="162">
        <v>262904</v>
      </c>
      <c r="G4" s="162" t="s">
        <v>634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8" t="s">
        <v>629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262889</v>
      </c>
      <c r="G4" s="45" t="s">
        <v>624</v>
      </c>
      <c r="H4" s="45">
        <v>2500</v>
      </c>
      <c r="I4" s="47">
        <v>0.434</v>
      </c>
      <c r="J4" s="47">
        <v>1.4990000000000001</v>
      </c>
      <c r="K4" s="45" t="s">
        <v>626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625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588</v>
      </c>
      <c r="E5" s="45" t="s">
        <v>27</v>
      </c>
      <c r="F5" s="45">
        <v>262886</v>
      </c>
      <c r="G5" s="45" t="s">
        <v>624</v>
      </c>
      <c r="H5" s="45">
        <v>600</v>
      </c>
      <c r="I5" s="47">
        <v>0.84499999999999997</v>
      </c>
      <c r="J5" s="47">
        <v>1.589</v>
      </c>
      <c r="K5" s="45" t="s">
        <v>623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622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8" t="s">
        <v>621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616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0" t="s">
        <v>608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9" t="s">
        <v>597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1" t="s">
        <v>585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B7"/>
  <sheetViews>
    <sheetView tabSelected="1" zoomScale="220" zoomScaleNormal="220" workbookViewId="0">
      <selection activeCell="J9" sqref="J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9" style="1" customWidth="1"/>
    <col min="7" max="7" width="4.44140625" style="1" customWidth="1"/>
    <col min="8" max="8" width="6.44140625" style="1" customWidth="1"/>
    <col min="9" max="9" width="7.7773437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">
      <c r="A1" s="187" t="s">
        <v>578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 t="s">
        <v>27</v>
      </c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 t="s">
        <v>27</v>
      </c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93</v>
      </c>
      <c r="C3" s="5" t="s">
        <v>35</v>
      </c>
      <c r="D3" s="5" t="s">
        <v>576</v>
      </c>
      <c r="E3" s="5" t="s">
        <v>27</v>
      </c>
      <c r="F3" s="5">
        <v>262865</v>
      </c>
      <c r="G3" s="5" t="s">
        <v>575</v>
      </c>
      <c r="H3" s="5">
        <v>1400</v>
      </c>
      <c r="I3" s="7">
        <v>0.44500000000000001</v>
      </c>
      <c r="J3" s="7">
        <v>0.83</v>
      </c>
      <c r="K3" s="5" t="s">
        <v>577</v>
      </c>
      <c r="L3" s="7">
        <v>517.09</v>
      </c>
      <c r="M3" s="9">
        <v>387.3</v>
      </c>
      <c r="N3" s="6">
        <v>3.5900000000000001E-2</v>
      </c>
      <c r="O3" s="8">
        <v>2.15</v>
      </c>
      <c r="P3" s="5">
        <v>162.9</v>
      </c>
      <c r="Q3" s="5">
        <v>3</v>
      </c>
      <c r="R3" s="5">
        <v>1400</v>
      </c>
      <c r="S3" s="7">
        <v>1.335</v>
      </c>
      <c r="T3" s="5">
        <v>65</v>
      </c>
      <c r="U3" s="6">
        <v>4.6399999999999997E-2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574</v>
      </c>
    </row>
    <row r="4" spans="1:28" s="12" customFormat="1" ht="25.05" customHeight="1" x14ac:dyDescent="0.3">
      <c r="A4" s="5"/>
      <c r="B4" s="10" t="s">
        <v>93</v>
      </c>
      <c r="C4" s="5" t="s">
        <v>35</v>
      </c>
      <c r="D4" s="5" t="s">
        <v>576</v>
      </c>
      <c r="E4" s="5" t="s">
        <v>27</v>
      </c>
      <c r="F4" s="5">
        <v>262866</v>
      </c>
      <c r="G4" s="5">
        <v>83</v>
      </c>
      <c r="H4" s="5">
        <v>1000</v>
      </c>
      <c r="I4" s="7">
        <v>0.63</v>
      </c>
      <c r="J4" s="7">
        <v>1</v>
      </c>
      <c r="K4" s="5" t="s">
        <v>33</v>
      </c>
      <c r="L4" s="7">
        <v>630</v>
      </c>
      <c r="M4" s="9">
        <v>500</v>
      </c>
      <c r="N4" s="6">
        <v>6.9400000000000003E-2</v>
      </c>
      <c r="O4" s="8">
        <v>4.17</v>
      </c>
      <c r="P4" s="5">
        <v>198.4</v>
      </c>
      <c r="Q4" s="5">
        <v>2</v>
      </c>
      <c r="R4" s="5">
        <v>1300</v>
      </c>
      <c r="S4" s="7">
        <v>1.26</v>
      </c>
      <c r="T4" s="5">
        <v>40</v>
      </c>
      <c r="U4" s="6">
        <v>3.0800000000000001E-2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38</v>
      </c>
      <c r="AB4" s="5" t="s">
        <v>574</v>
      </c>
    </row>
    <row r="5" spans="1:28" s="51" customFormat="1" ht="25.05" customHeight="1" x14ac:dyDescent="0.3">
      <c r="A5" s="181"/>
      <c r="B5" s="182" t="s">
        <v>126</v>
      </c>
      <c r="C5" s="181" t="s">
        <v>35</v>
      </c>
      <c r="D5" s="181"/>
      <c r="E5" s="181"/>
      <c r="F5" s="181">
        <v>262919</v>
      </c>
      <c r="G5" s="181" t="s">
        <v>673</v>
      </c>
      <c r="H5" s="181">
        <v>4500</v>
      </c>
      <c r="I5" s="183">
        <v>0.58099999999999996</v>
      </c>
      <c r="J5" s="183">
        <v>1.9059999999999999</v>
      </c>
      <c r="K5" s="181" t="s">
        <v>674</v>
      </c>
      <c r="L5" s="183"/>
      <c r="M5" s="184"/>
      <c r="N5" s="185"/>
      <c r="O5" s="186"/>
      <c r="P5" s="181">
        <v>1569.7</v>
      </c>
      <c r="Q5" s="181">
        <v>2</v>
      </c>
      <c r="R5" s="181">
        <v>1200</v>
      </c>
      <c r="S5" s="183">
        <v>1.1619999999999999</v>
      </c>
      <c r="T5" s="181">
        <v>38</v>
      </c>
      <c r="U5" s="185">
        <v>3.1699999999999999E-2</v>
      </c>
      <c r="V5" s="181" t="s">
        <v>28</v>
      </c>
      <c r="W5" s="181" t="s">
        <v>28</v>
      </c>
      <c r="X5" s="181" t="s">
        <v>28</v>
      </c>
      <c r="Y5" s="181" t="s">
        <v>27</v>
      </c>
      <c r="Z5" s="181" t="s">
        <v>27</v>
      </c>
      <c r="AA5" s="181" t="s">
        <v>40</v>
      </c>
      <c r="AB5" s="181" t="s">
        <v>675</v>
      </c>
    </row>
    <row r="6" spans="1:28" s="98" customFormat="1" ht="25.05" customHeight="1" x14ac:dyDescent="0.3">
      <c r="A6" s="91"/>
      <c r="B6" s="92" t="s">
        <v>126</v>
      </c>
      <c r="C6" s="91" t="s">
        <v>49</v>
      </c>
      <c r="D6" s="91" t="s">
        <v>601</v>
      </c>
      <c r="E6" s="91" t="s">
        <v>27</v>
      </c>
      <c r="F6" s="91">
        <v>262890</v>
      </c>
      <c r="G6" s="91" t="s">
        <v>632</v>
      </c>
      <c r="H6" s="91">
        <v>1000</v>
      </c>
      <c r="I6" s="93">
        <v>0.55000000000000004</v>
      </c>
      <c r="J6" s="93">
        <v>1.45</v>
      </c>
      <c r="K6" s="91" t="s">
        <v>630</v>
      </c>
      <c r="L6" s="93">
        <v>797.5</v>
      </c>
      <c r="M6" s="94">
        <v>725</v>
      </c>
      <c r="N6" s="95">
        <v>0.1007</v>
      </c>
      <c r="O6" s="96">
        <v>6.04</v>
      </c>
      <c r="P6" s="91">
        <v>283.10000000000002</v>
      </c>
      <c r="Q6" s="91">
        <v>2</v>
      </c>
      <c r="R6" s="91">
        <v>1150</v>
      </c>
      <c r="S6" s="93">
        <v>1.1000000000000001</v>
      </c>
      <c r="T6" s="91">
        <v>50</v>
      </c>
      <c r="U6" s="95">
        <v>4.3499999999999997E-2</v>
      </c>
      <c r="V6" s="91" t="s">
        <v>29</v>
      </c>
      <c r="W6" s="91" t="s">
        <v>28</v>
      </c>
      <c r="X6" s="91" t="s">
        <v>29</v>
      </c>
      <c r="Y6" s="91" t="s">
        <v>27</v>
      </c>
      <c r="Z6" s="91" t="s">
        <v>27</v>
      </c>
      <c r="AA6" s="91" t="s">
        <v>32</v>
      </c>
      <c r="AB6" s="91" t="s">
        <v>631</v>
      </c>
    </row>
    <row r="7" spans="1:28" s="129" customForma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f>SUM(H3:H6)</f>
        <v>7900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f>SUM(P3:P6)</f>
        <v>2214.1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573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9" t="s">
        <v>566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0" t="s">
        <v>528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0" t="s">
        <v>508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72" t="s">
        <v>489</v>
      </c>
      <c r="B1" s="172" t="s">
        <v>27</v>
      </c>
      <c r="C1" s="172" t="s">
        <v>27</v>
      </c>
      <c r="D1" s="172" t="s">
        <v>27</v>
      </c>
      <c r="E1" s="172" t="s">
        <v>27</v>
      </c>
      <c r="F1" s="172" t="s">
        <v>27</v>
      </c>
      <c r="G1" s="172" t="s">
        <v>27</v>
      </c>
      <c r="H1" s="172" t="s">
        <v>27</v>
      </c>
      <c r="I1" s="172" t="s">
        <v>27</v>
      </c>
      <c r="J1" s="172" t="s">
        <v>27</v>
      </c>
      <c r="K1" s="172" t="s">
        <v>27</v>
      </c>
      <c r="L1" s="172" t="s">
        <v>27</v>
      </c>
      <c r="M1" s="172" t="s">
        <v>27</v>
      </c>
      <c r="N1" s="172" t="s">
        <v>27</v>
      </c>
      <c r="O1" s="172" t="s">
        <v>27</v>
      </c>
      <c r="P1" s="172" t="s">
        <v>27</v>
      </c>
      <c r="Q1" s="172" t="s">
        <v>27</v>
      </c>
      <c r="R1" s="172" t="s">
        <v>27</v>
      </c>
      <c r="S1" s="172" t="s">
        <v>27</v>
      </c>
      <c r="T1" s="172" t="s">
        <v>27</v>
      </c>
      <c r="U1" s="172" t="s">
        <v>27</v>
      </c>
      <c r="V1" s="172" t="s">
        <v>27</v>
      </c>
      <c r="W1" s="172" t="s">
        <v>27</v>
      </c>
      <c r="X1" s="172" t="s">
        <v>27</v>
      </c>
      <c r="Y1" s="172" t="s">
        <v>27</v>
      </c>
      <c r="Z1" s="172" t="s">
        <v>27</v>
      </c>
      <c r="AA1" s="172" t="s">
        <v>27</v>
      </c>
      <c r="AB1" s="172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0" t="s">
        <v>478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73" t="s">
        <v>477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9" t="s">
        <v>458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9" t="s">
        <v>395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9" t="s">
        <v>595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73" t="s">
        <v>364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321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8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8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8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8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8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8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8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8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8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8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8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8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8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8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8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8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8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9" t="s">
        <v>296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9" t="s">
        <v>278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9" t="s">
        <v>264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8" t="s">
        <v>247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234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228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9" t="s">
        <v>218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9" t="s">
        <v>235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0" t="s">
        <v>181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173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9" t="s">
        <v>143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139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73" t="s">
        <v>123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74" t="s">
        <v>105</v>
      </c>
      <c r="B1" s="174" t="s">
        <v>27</v>
      </c>
      <c r="C1" s="174" t="s">
        <v>27</v>
      </c>
      <c r="D1" s="174" t="s">
        <v>27</v>
      </c>
      <c r="E1" s="174" t="s">
        <v>27</v>
      </c>
      <c r="F1" s="174" t="s">
        <v>27</v>
      </c>
      <c r="G1" s="174" t="s">
        <v>27</v>
      </c>
      <c r="H1" s="174" t="s">
        <v>27</v>
      </c>
      <c r="I1" s="174" t="s">
        <v>27</v>
      </c>
      <c r="J1" s="174" t="s">
        <v>27</v>
      </c>
      <c r="K1" s="174" t="s">
        <v>27</v>
      </c>
      <c r="L1" s="174" t="s">
        <v>27</v>
      </c>
      <c r="M1" s="174" t="s">
        <v>27</v>
      </c>
      <c r="N1" s="174" t="s">
        <v>27</v>
      </c>
      <c r="O1" s="174" t="s">
        <v>27</v>
      </c>
      <c r="P1" s="174" t="s">
        <v>27</v>
      </c>
      <c r="Q1" s="174" t="s">
        <v>27</v>
      </c>
      <c r="R1" s="174" t="s">
        <v>27</v>
      </c>
      <c r="S1" s="174" t="s">
        <v>27</v>
      </c>
      <c r="T1" s="174" t="s">
        <v>27</v>
      </c>
      <c r="U1" s="174" t="s">
        <v>27</v>
      </c>
      <c r="V1" s="174" t="s">
        <v>27</v>
      </c>
      <c r="W1" s="174" t="s">
        <v>27</v>
      </c>
      <c r="X1" s="174" t="s">
        <v>27</v>
      </c>
      <c r="Y1" s="174" t="s">
        <v>27</v>
      </c>
      <c r="Z1" s="174" t="s">
        <v>27</v>
      </c>
      <c r="AA1" s="174" t="s">
        <v>27</v>
      </c>
      <c r="AB1" s="1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75" t="s">
        <v>80</v>
      </c>
      <c r="B1" s="175" t="s">
        <v>27</v>
      </c>
      <c r="C1" s="175" t="s">
        <v>27</v>
      </c>
      <c r="D1" s="175" t="s">
        <v>27</v>
      </c>
      <c r="E1" s="175" t="s">
        <v>27</v>
      </c>
      <c r="F1" s="175" t="s">
        <v>27</v>
      </c>
      <c r="G1" s="175" t="s">
        <v>27</v>
      </c>
      <c r="H1" s="175" t="s">
        <v>27</v>
      </c>
      <c r="I1" s="175" t="s">
        <v>27</v>
      </c>
      <c r="J1" s="175" t="s">
        <v>27</v>
      </c>
      <c r="K1" s="175" t="s">
        <v>27</v>
      </c>
      <c r="L1" s="175" t="s">
        <v>27</v>
      </c>
      <c r="M1" s="175" t="s">
        <v>27</v>
      </c>
      <c r="N1" s="175" t="s">
        <v>27</v>
      </c>
      <c r="O1" s="175" t="s">
        <v>27</v>
      </c>
      <c r="P1" s="175" t="s">
        <v>27</v>
      </c>
      <c r="Q1" s="175" t="s">
        <v>27</v>
      </c>
      <c r="R1" s="175" t="s">
        <v>27</v>
      </c>
      <c r="S1" s="175" t="s">
        <v>27</v>
      </c>
      <c r="T1" s="175" t="s">
        <v>27</v>
      </c>
      <c r="U1" s="175" t="s">
        <v>27</v>
      </c>
      <c r="V1" s="175" t="s">
        <v>27</v>
      </c>
      <c r="W1" s="175" t="s">
        <v>27</v>
      </c>
      <c r="X1" s="175" t="s">
        <v>27</v>
      </c>
      <c r="Y1" s="175" t="s">
        <v>27</v>
      </c>
      <c r="Z1" s="175" t="s">
        <v>27</v>
      </c>
      <c r="AA1" s="175" t="s">
        <v>27</v>
      </c>
      <c r="AB1" s="1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Tolecaixas 1264</vt:lpstr>
      <vt:lpstr>RM Embalagens 1263 P</vt:lpstr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2026-10-07T17:56:57Z</cp:lastPrinted>
  <dcterms:created xsi:type="dcterms:W3CDTF">2026-07-02T17:42:15Z</dcterms:created>
  <dcterms:modified xsi:type="dcterms:W3CDTF">2026-10-07T18:38:34Z</dcterms:modified>
</cp:coreProperties>
</file>