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7E87694-D54C-41D2-8C87-58343E1A99B9}" xr6:coauthVersionLast="47" xr6:coauthVersionMax="47" xr10:uidLastSave="{00000000-0000-0000-0000-000000000000}"/>
  <bookViews>
    <workbookView xWindow="-21720" yWindow="-120" windowWidth="21840" windowHeight="13020" firstSheet="1" activeTab="4" xr2:uid="{00000000-000D-0000-FFFF-FFFF00000000}"/>
  </bookViews>
  <sheets>
    <sheet name="FORBOX 1220" sheetId="163" r:id="rId1"/>
    <sheet name="HARMONY EMBALAGENS 1217" sheetId="162" r:id="rId2"/>
    <sheet name="Z4A EMBALAGENS LTDA 1216" sheetId="161" r:id="rId3"/>
    <sheet name="Tolecaixas 1215" sheetId="160" r:id="rId4"/>
    <sheet name="ABAPEL 1213" sheetId="159" r:id="rId5"/>
    <sheet name="IPE - PCBOX 1212" sheetId="158" r:id="rId6"/>
    <sheet name="Z4A EMBALAGENS LTDA 1210 P" sheetId="157" r:id="rId7"/>
    <sheet name="RM Embalagens 1209 P" sheetId="156" r:id="rId8"/>
    <sheet name="IPE - PC BOX 1203P" sheetId="154" r:id="rId9"/>
    <sheet name="ABAPEL 1201" sheetId="153" r:id="rId10"/>
    <sheet name="HARMONY EMBALAGENS 1200" sheetId="152" r:id="rId11"/>
    <sheet name="HARMONY EMBALAGENS 1199 P" sheetId="151" r:id="rId12"/>
    <sheet name="FAVINCO EMBALAGENS 1197 P" sheetId="150" r:id="rId13"/>
    <sheet name="ABAPEL 1196" sheetId="149" r:id="rId14"/>
    <sheet name="CARPELL LTDA 1195 P" sheetId="147" r:id="rId15"/>
    <sheet name="Renovapel 1192 P" sheetId="146" r:id="rId16"/>
    <sheet name="DR EMBALAGENS 1189  P" sheetId="144" r:id="rId17"/>
    <sheet name="FAVINCO EMBALAGENS 1188 R" sheetId="143" r:id="rId18"/>
    <sheet name="PCBOX - IPE 1187 P" sheetId="142" r:id="rId19"/>
    <sheet name="RM Embalagens 1184 P" sheetId="141" r:id="rId20"/>
    <sheet name="CARTOMIL EMBALAGENS LTDA 1183 P" sheetId="140" r:id="rId21"/>
    <sheet name="Z4A EMBALAGENS LTDA 1182P" sheetId="139" r:id="rId22"/>
    <sheet name="HARMONY EMBALAGENS 1180 P" sheetId="137" r:id="rId23"/>
    <sheet name="RM Embalagens 1179 P" sheetId="136" r:id="rId24"/>
    <sheet name="Tolecaixas 1181 P" sheetId="138" r:id="rId25"/>
    <sheet name="ABAPEL 1178 P" sheetId="135" r:id="rId26"/>
    <sheet name="FAVINCO EMBALAGENS 1177 P" sheetId="134" r:id="rId27"/>
    <sheet name="IPE EMBALAGENS 1176 P" sheetId="133" r:id="rId28"/>
    <sheet name="PCBOX EMBALAGENS 1175 P" sheetId="132" r:id="rId29"/>
    <sheet name="ABAPEL 1174 P" sheetId="131" r:id="rId30"/>
    <sheet name="PCBOX EMBALAGENS 1171 P" sheetId="127" r:id="rId31"/>
    <sheet name="HARMONY EMBALAGENS 1169 P" sheetId="125" r:id="rId32"/>
    <sheet name="DR EMBALAGEM 1167 P" sheetId="124" r:id="rId33"/>
    <sheet name="Z4A EMBALAGENS  1166 P" sheetId="123" r:id="rId34"/>
    <sheet name="RM Embalagens 1165 P" sheetId="122" r:id="rId35"/>
    <sheet name="Carpel 1158 P" sheetId="119" r:id="rId36"/>
    <sheet name="ABAPEL 1155 P" sheetId="118" r:id="rId37"/>
    <sheet name="IPE - PCBOX 1154 P" sheetId="117" r:id="rId38"/>
    <sheet name="ABAPEL 1143 P" sheetId="109" r:id="rId39"/>
    <sheet name="HARMONY EMBALAGENS 1138 P" sheetId="102" r:id="rId40"/>
    <sheet name="ABAPEL 1127 P" sheetId="97" r:id="rId41"/>
    <sheet name="ABAPEL 1105 P" sheetId="85" r:id="rId42"/>
    <sheet name="IVAIR SILVA 1122 P" sheetId="91" r:id="rId43"/>
    <sheet name="RENOVAPEL 1115 P" sheetId="88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59" l="1"/>
  <c r="H11" i="159"/>
  <c r="H20" i="152"/>
  <c r="P20" i="152"/>
  <c r="H12" i="158"/>
  <c r="P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<sst xmlns="http://schemas.openxmlformats.org/spreadsheetml/2006/main" count="8049" uniqueCount="841">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</sst>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6"/>
  <sheetViews>
    <sheetView workbookViewId="0">
      <selection activeCell="X21" sqref="X21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6.21875" style="108" customWidth="1"/>
    <col min="4" max="4" width="11.77734375" style="108" hidden="1" customWidth="1"/>
    <col min="5" max="5" width="9" style="108" customWidth="1"/>
    <col min="6" max="6" width="7.33203125" style="108" customWidth="1"/>
    <col min="7" max="7" width="4.5546875" style="108" customWidth="1"/>
    <col min="8" max="8" width="5.88671875" style="108" customWidth="1"/>
    <col min="9" max="10" width="6.6640625" style="108" customWidth="1"/>
    <col min="11" max="11" width="1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33203125" style="108" customWidth="1"/>
    <col min="18" max="18" width="4.77734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2" width="8.109375" style="108" customWidth="1"/>
    <col min="23" max="24" width="7.5546875" style="108" customWidth="1"/>
    <col min="25" max="26" width="7.109375" style="108" customWidth="1"/>
    <col min="27" max="27" width="4.2187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830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825</v>
      </c>
      <c r="C3" s="116" t="s">
        <v>45</v>
      </c>
      <c r="D3" s="116" t="s">
        <v>824</v>
      </c>
      <c r="E3" s="116" t="s">
        <v>27</v>
      </c>
      <c r="F3" s="116">
        <v>262670</v>
      </c>
      <c r="G3" s="116" t="s">
        <v>823</v>
      </c>
      <c r="H3" s="116">
        <v>1050</v>
      </c>
      <c r="I3" s="117">
        <v>0.56899999999999995</v>
      </c>
      <c r="J3" s="117">
        <v>1.33</v>
      </c>
      <c r="K3" s="116" t="s">
        <v>829</v>
      </c>
      <c r="L3" s="113">
        <v>794.60799999999995</v>
      </c>
      <c r="M3" s="115">
        <v>698.3</v>
      </c>
      <c r="N3" s="112">
        <v>9.7000000000000003E-2</v>
      </c>
      <c r="O3" s="114">
        <v>5.82</v>
      </c>
      <c r="P3" s="111">
        <v>451.3</v>
      </c>
      <c r="Q3" s="111">
        <v>2</v>
      </c>
      <c r="R3" s="111">
        <v>1200</v>
      </c>
      <c r="S3" s="113">
        <v>1.1379999999999999</v>
      </c>
      <c r="T3" s="111">
        <v>62</v>
      </c>
      <c r="U3" s="112">
        <v>5.1700000000000003E-2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30</v>
      </c>
      <c r="AB3" s="111" t="s">
        <v>828</v>
      </c>
    </row>
    <row r="4" spans="1:28" x14ac:dyDescent="0.3">
      <c r="A4" s="116">
        <v>2</v>
      </c>
      <c r="B4" s="118" t="s">
        <v>825</v>
      </c>
      <c r="C4" s="116" t="s">
        <v>45</v>
      </c>
      <c r="D4" s="116" t="s">
        <v>824</v>
      </c>
      <c r="E4" s="116" t="s">
        <v>27</v>
      </c>
      <c r="F4" s="116">
        <v>262669</v>
      </c>
      <c r="G4" s="116" t="s">
        <v>823</v>
      </c>
      <c r="H4" s="116">
        <v>3100</v>
      </c>
      <c r="I4" s="117">
        <v>1.119</v>
      </c>
      <c r="J4" s="117">
        <v>1.67</v>
      </c>
      <c r="K4" s="116" t="s">
        <v>827</v>
      </c>
      <c r="L4" s="113">
        <v>5793.0630000000001</v>
      </c>
      <c r="M4" s="115">
        <v>5177</v>
      </c>
      <c r="N4" s="112">
        <v>1.4380999999999999</v>
      </c>
      <c r="O4" s="114">
        <v>86.28</v>
      </c>
      <c r="P4" s="111">
        <v>3290.5</v>
      </c>
      <c r="Q4" s="111">
        <v>1</v>
      </c>
      <c r="R4" s="111">
        <v>1150</v>
      </c>
      <c r="S4" s="113">
        <v>1.119</v>
      </c>
      <c r="T4" s="111">
        <v>31</v>
      </c>
      <c r="U4" s="112">
        <v>2.7E-2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71</v>
      </c>
      <c r="AB4" s="111" t="s">
        <v>826</v>
      </c>
    </row>
    <row r="5" spans="1:28" x14ac:dyDescent="0.3">
      <c r="A5" s="116">
        <v>3</v>
      </c>
      <c r="B5" s="118" t="s">
        <v>825</v>
      </c>
      <c r="C5" s="116" t="s">
        <v>45</v>
      </c>
      <c r="D5" s="116" t="s">
        <v>824</v>
      </c>
      <c r="E5" s="116" t="s">
        <v>27</v>
      </c>
      <c r="F5" s="116">
        <v>262668</v>
      </c>
      <c r="G5" s="116" t="s">
        <v>823</v>
      </c>
      <c r="H5" s="116">
        <v>4200</v>
      </c>
      <c r="I5" s="117">
        <v>0.879</v>
      </c>
      <c r="J5" s="117">
        <v>1.48</v>
      </c>
      <c r="K5" s="116" t="s">
        <v>822</v>
      </c>
      <c r="L5" s="113">
        <v>5463.8639999999996</v>
      </c>
      <c r="M5" s="115">
        <v>6216</v>
      </c>
      <c r="N5" s="112">
        <v>1.7266999999999999</v>
      </c>
      <c r="O5" s="114">
        <v>103.6</v>
      </c>
      <c r="P5" s="111">
        <v>3103.5</v>
      </c>
      <c r="Q5" s="111">
        <v>1</v>
      </c>
      <c r="R5" s="111">
        <v>900</v>
      </c>
      <c r="S5" s="113">
        <v>0.879</v>
      </c>
      <c r="T5" s="111">
        <v>21</v>
      </c>
      <c r="U5" s="112">
        <v>2.3300000000000001E-2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821</v>
      </c>
      <c r="AB5" s="111" t="s">
        <v>820</v>
      </c>
    </row>
    <row r="6" spans="1:28" x14ac:dyDescent="0.3">
      <c r="A6" s="110" t="s">
        <v>27</v>
      </c>
      <c r="B6" s="110" t="s">
        <v>27</v>
      </c>
      <c r="C6" s="110" t="s">
        <v>27</v>
      </c>
      <c r="D6" s="110" t="s">
        <v>27</v>
      </c>
      <c r="E6" s="110" t="s">
        <v>27</v>
      </c>
      <c r="F6" s="110" t="s">
        <v>27</v>
      </c>
      <c r="G6" s="110" t="s">
        <v>27</v>
      </c>
      <c r="H6" s="110">
        <v>8350</v>
      </c>
      <c r="I6" s="110" t="s">
        <v>27</v>
      </c>
      <c r="J6" s="110" t="s">
        <v>27</v>
      </c>
      <c r="K6" s="110" t="s">
        <v>27</v>
      </c>
      <c r="L6" s="109" t="s">
        <v>27</v>
      </c>
      <c r="M6" s="109" t="s">
        <v>27</v>
      </c>
      <c r="N6" s="109" t="s">
        <v>27</v>
      </c>
      <c r="O6" s="109" t="s">
        <v>27</v>
      </c>
      <c r="P6" s="109">
        <v>6845.3</v>
      </c>
      <c r="Q6" s="109" t="s">
        <v>27</v>
      </c>
      <c r="R6" s="109" t="s">
        <v>27</v>
      </c>
      <c r="S6" s="109" t="s">
        <v>27</v>
      </c>
      <c r="T6" s="109" t="s">
        <v>27</v>
      </c>
      <c r="U6" s="109" t="s">
        <v>27</v>
      </c>
      <c r="V6" s="109" t="s">
        <v>27</v>
      </c>
      <c r="W6" s="109" t="s">
        <v>27</v>
      </c>
      <c r="X6" s="109" t="s">
        <v>27</v>
      </c>
      <c r="Y6" s="109" t="s">
        <v>27</v>
      </c>
      <c r="Z6" s="109" t="s">
        <v>27</v>
      </c>
      <c r="AA6" s="109" t="s">
        <v>27</v>
      </c>
      <c r="AB6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20" t="s">
        <v>816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803</v>
      </c>
      <c r="E3" s="150" t="s">
        <v>27</v>
      </c>
      <c r="F3" s="150">
        <v>262658</v>
      </c>
      <c r="G3" s="150" t="s">
        <v>802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803</v>
      </c>
      <c r="E4" s="150" t="s">
        <v>27</v>
      </c>
      <c r="F4" s="150">
        <v>262656</v>
      </c>
      <c r="G4" s="150" t="s">
        <v>802</v>
      </c>
      <c r="H4" s="150">
        <v>1000</v>
      </c>
      <c r="I4" s="152">
        <v>0.76200000000000001</v>
      </c>
      <c r="J4" s="152">
        <v>0.69299999999999995</v>
      </c>
      <c r="K4" s="150" t="s">
        <v>815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814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803</v>
      </c>
      <c r="E5" s="150" t="s">
        <v>27</v>
      </c>
      <c r="F5" s="150">
        <v>262651</v>
      </c>
      <c r="G5" s="150" t="s">
        <v>802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813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803</v>
      </c>
      <c r="E6" s="150" t="s">
        <v>27</v>
      </c>
      <c r="F6" s="150">
        <v>262653</v>
      </c>
      <c r="G6" s="150" t="s">
        <v>802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812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803</v>
      </c>
      <c r="E7" s="150" t="s">
        <v>27</v>
      </c>
      <c r="F7" s="150">
        <v>262654</v>
      </c>
      <c r="G7" s="150" t="s">
        <v>802</v>
      </c>
      <c r="H7" s="150">
        <v>600</v>
      </c>
      <c r="I7" s="152">
        <v>0.66400000000000003</v>
      </c>
      <c r="J7" s="152">
        <v>1.2490000000000001</v>
      </c>
      <c r="K7" s="150" t="s">
        <v>811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810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803</v>
      </c>
      <c r="E8" s="150" t="s">
        <v>27</v>
      </c>
      <c r="F8" s="150">
        <v>262657</v>
      </c>
      <c r="G8" s="150" t="s">
        <v>802</v>
      </c>
      <c r="H8" s="150">
        <v>600</v>
      </c>
      <c r="I8" s="152">
        <v>1.1519999999999999</v>
      </c>
      <c r="J8" s="152">
        <v>0.69299999999999995</v>
      </c>
      <c r="K8" s="150" t="s">
        <v>809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808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803</v>
      </c>
      <c r="E9" s="150" t="s">
        <v>27</v>
      </c>
      <c r="F9" s="150">
        <v>262655</v>
      </c>
      <c r="G9" s="150" t="s">
        <v>802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807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803</v>
      </c>
      <c r="E10" s="150" t="s">
        <v>27</v>
      </c>
      <c r="F10" s="150">
        <v>262652</v>
      </c>
      <c r="G10" s="150" t="s">
        <v>802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806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803</v>
      </c>
      <c r="E11" s="150" t="s">
        <v>27</v>
      </c>
      <c r="F11" s="150">
        <v>262660</v>
      </c>
      <c r="G11" s="150" t="s">
        <v>802</v>
      </c>
      <c r="H11" s="150">
        <v>1500</v>
      </c>
      <c r="I11" s="152">
        <v>0.42399999999999999</v>
      </c>
      <c r="J11" s="152">
        <v>0.78900000000000003</v>
      </c>
      <c r="K11" s="150" t="s">
        <v>805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804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803</v>
      </c>
      <c r="E12" s="150" t="s">
        <v>27</v>
      </c>
      <c r="F12" s="150">
        <v>262659</v>
      </c>
      <c r="G12" s="150" t="s">
        <v>802</v>
      </c>
      <c r="H12" s="150">
        <v>3000</v>
      </c>
      <c r="I12" s="152">
        <v>0.36799999999999999</v>
      </c>
      <c r="J12" s="152">
        <v>0.72899999999999998</v>
      </c>
      <c r="K12" s="150" t="s">
        <v>801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800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20" t="s">
        <v>799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795</v>
      </c>
      <c r="E3" s="116" t="s">
        <v>27</v>
      </c>
      <c r="F3" s="116">
        <v>262649</v>
      </c>
      <c r="G3" s="116" t="s">
        <v>798</v>
      </c>
      <c r="H3" s="116">
        <v>2600</v>
      </c>
      <c r="I3" s="117">
        <v>0.49199999999999999</v>
      </c>
      <c r="J3" s="117">
        <v>1.2629999999999999</v>
      </c>
      <c r="K3" s="116" t="s">
        <v>797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796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795</v>
      </c>
      <c r="E4" s="116" t="s">
        <v>27</v>
      </c>
      <c r="F4" s="116">
        <v>262650</v>
      </c>
      <c r="G4" s="116" t="s">
        <v>794</v>
      </c>
      <c r="H4" s="116">
        <v>2300</v>
      </c>
      <c r="I4" s="117">
        <v>0.45700000000000002</v>
      </c>
      <c r="J4" s="117">
        <v>1.393</v>
      </c>
      <c r="K4" s="116" t="s">
        <v>793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792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791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770</v>
      </c>
      <c r="E3" s="116" t="s">
        <v>27</v>
      </c>
      <c r="F3" s="116">
        <v>262645</v>
      </c>
      <c r="G3" s="116" t="s">
        <v>787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770</v>
      </c>
      <c r="E4" s="116" t="s">
        <v>27</v>
      </c>
      <c r="F4" s="116">
        <v>262644</v>
      </c>
      <c r="G4" s="116" t="s">
        <v>787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789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770</v>
      </c>
      <c r="E5" s="116" t="s">
        <v>27</v>
      </c>
      <c r="F5" s="116">
        <v>262646</v>
      </c>
      <c r="G5" s="116" t="s">
        <v>787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788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770</v>
      </c>
      <c r="E6" s="116" t="s">
        <v>27</v>
      </c>
      <c r="F6" s="116">
        <v>262647</v>
      </c>
      <c r="G6" s="116" t="s">
        <v>787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770</v>
      </c>
      <c r="E7" s="116" t="s">
        <v>27</v>
      </c>
      <c r="F7" s="116">
        <v>262648</v>
      </c>
      <c r="G7" s="116" t="s">
        <v>787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tabSelected="1" workbookViewId="0">
      <selection activeCell="S17" sqref="S17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784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803</v>
      </c>
      <c r="E3" s="133" t="s">
        <v>27</v>
      </c>
      <c r="F3" s="133">
        <v>262674</v>
      </c>
      <c r="G3" s="133" t="s">
        <v>832</v>
      </c>
      <c r="H3" s="133">
        <v>400</v>
      </c>
      <c r="I3" s="135">
        <v>1.3720000000000001</v>
      </c>
      <c r="J3" s="135">
        <v>2.38</v>
      </c>
      <c r="K3" s="133" t="s">
        <v>836</v>
      </c>
      <c r="L3" s="135">
        <v>1306.144</v>
      </c>
      <c r="M3" s="136">
        <v>952</v>
      </c>
      <c r="N3" s="137">
        <v>0.26440000000000002</v>
      </c>
      <c r="O3" s="138">
        <v>15.87</v>
      </c>
      <c r="P3" s="133">
        <v>702.7</v>
      </c>
      <c r="Q3" s="133">
        <v>1</v>
      </c>
      <c r="R3" s="133">
        <v>1400</v>
      </c>
      <c r="S3" s="135">
        <v>1.3720000000000001</v>
      </c>
      <c r="T3" s="133">
        <v>28</v>
      </c>
      <c r="U3" s="137">
        <v>0.02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835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33" t="s">
        <v>803</v>
      </c>
      <c r="E4" s="133" t="s">
        <v>27</v>
      </c>
      <c r="F4" s="133">
        <v>262672</v>
      </c>
      <c r="G4" s="133" t="s">
        <v>832</v>
      </c>
      <c r="H4" s="133">
        <v>400</v>
      </c>
      <c r="I4" s="135">
        <v>1.1519999999999999</v>
      </c>
      <c r="J4" s="135">
        <v>2.34</v>
      </c>
      <c r="K4" s="133" t="s">
        <v>834</v>
      </c>
      <c r="L4" s="135">
        <v>1078.2719999999999</v>
      </c>
      <c r="M4" s="136">
        <v>936</v>
      </c>
      <c r="N4" s="137">
        <v>0.26</v>
      </c>
      <c r="O4" s="138">
        <v>15.6</v>
      </c>
      <c r="P4" s="133">
        <v>580.1</v>
      </c>
      <c r="Q4" s="133">
        <v>1</v>
      </c>
      <c r="R4" s="133">
        <v>1200</v>
      </c>
      <c r="S4" s="135">
        <v>1.1519999999999999</v>
      </c>
      <c r="T4" s="133">
        <v>48</v>
      </c>
      <c r="U4" s="137">
        <v>0.04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 t="s">
        <v>30</v>
      </c>
      <c r="AB4" s="133" t="s">
        <v>833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803</v>
      </c>
      <c r="E5" s="133" t="s">
        <v>27</v>
      </c>
      <c r="F5" s="133">
        <v>262671</v>
      </c>
      <c r="G5" s="133" t="s">
        <v>832</v>
      </c>
      <c r="H5" s="133">
        <v>400</v>
      </c>
      <c r="I5" s="135">
        <v>1.3520000000000001</v>
      </c>
      <c r="J5" s="135">
        <v>2.339</v>
      </c>
      <c r="K5" s="133" t="s">
        <v>831</v>
      </c>
      <c r="L5" s="135">
        <v>1264.931</v>
      </c>
      <c r="M5" s="136">
        <v>467.8</v>
      </c>
      <c r="N5" s="137">
        <v>6.5000000000000002E-2</v>
      </c>
      <c r="O5" s="138">
        <v>3.9</v>
      </c>
      <c r="P5" s="133">
        <v>680.5</v>
      </c>
      <c r="Q5" s="133">
        <v>2</v>
      </c>
      <c r="R5" s="133">
        <v>1200</v>
      </c>
      <c r="S5" s="135">
        <v>2.7040000000000002</v>
      </c>
      <c r="T5" s="133">
        <v>-1504</v>
      </c>
      <c r="U5" s="137">
        <v>-1.2533000000000001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30</v>
      </c>
      <c r="AB5" s="133" t="s">
        <v>828</v>
      </c>
    </row>
    <row r="6" spans="1:28" s="156" customFormat="1" ht="25.05" customHeight="1" x14ac:dyDescent="0.3">
      <c r="A6" s="150">
        <v>1</v>
      </c>
      <c r="B6" s="151" t="s">
        <v>63</v>
      </c>
      <c r="C6" s="150" t="s">
        <v>65</v>
      </c>
      <c r="D6" s="150" t="s">
        <v>770</v>
      </c>
      <c r="E6" s="150" t="s">
        <v>27</v>
      </c>
      <c r="F6" s="150">
        <v>262640</v>
      </c>
      <c r="G6" s="150" t="s">
        <v>779</v>
      </c>
      <c r="H6" s="150">
        <v>800</v>
      </c>
      <c r="I6" s="152">
        <v>0.73199999999999998</v>
      </c>
      <c r="J6" s="152">
        <v>1.6739999999999999</v>
      </c>
      <c r="K6" s="150" t="s">
        <v>783</v>
      </c>
      <c r="L6" s="152">
        <v>980.29399999999998</v>
      </c>
      <c r="M6" s="153">
        <v>669.6</v>
      </c>
      <c r="N6" s="154">
        <v>9.2999999999999999E-2</v>
      </c>
      <c r="O6" s="155">
        <v>5.58</v>
      </c>
      <c r="P6" s="150">
        <v>317.60000000000002</v>
      </c>
      <c r="Q6" s="150">
        <v>2</v>
      </c>
      <c r="R6" s="150">
        <v>1500</v>
      </c>
      <c r="S6" s="152">
        <v>1.464</v>
      </c>
      <c r="T6" s="150">
        <v>36</v>
      </c>
      <c r="U6" s="154">
        <v>2.4E-2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782</v>
      </c>
    </row>
    <row r="7" spans="1:28" s="156" customFormat="1" ht="25.05" customHeight="1" x14ac:dyDescent="0.3">
      <c r="A7" s="150">
        <v>2</v>
      </c>
      <c r="B7" s="151" t="s">
        <v>63</v>
      </c>
      <c r="C7" s="150" t="s">
        <v>65</v>
      </c>
      <c r="D7" s="150" t="s">
        <v>770</v>
      </c>
      <c r="E7" s="150" t="s">
        <v>27</v>
      </c>
      <c r="F7" s="150">
        <v>262641</v>
      </c>
      <c r="G7" s="150" t="s">
        <v>779</v>
      </c>
      <c r="H7" s="150">
        <v>1150</v>
      </c>
      <c r="I7" s="152">
        <v>0.54700000000000004</v>
      </c>
      <c r="J7" s="152">
        <v>1.44</v>
      </c>
      <c r="K7" s="150" t="s">
        <v>781</v>
      </c>
      <c r="L7" s="152">
        <v>905.83199999999999</v>
      </c>
      <c r="M7" s="153">
        <v>828</v>
      </c>
      <c r="N7" s="154">
        <v>0.115</v>
      </c>
      <c r="O7" s="155">
        <v>6.9</v>
      </c>
      <c r="P7" s="150">
        <v>293.5</v>
      </c>
      <c r="Q7" s="150">
        <v>2</v>
      </c>
      <c r="R7" s="150">
        <v>1150</v>
      </c>
      <c r="S7" s="152">
        <v>1.0940000000000001</v>
      </c>
      <c r="T7" s="150">
        <v>56</v>
      </c>
      <c r="U7" s="154">
        <v>4.87E-2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780</v>
      </c>
    </row>
    <row r="8" spans="1:28" s="38" customFormat="1" ht="25.05" customHeight="1" x14ac:dyDescent="0.3">
      <c r="A8" s="133">
        <v>4</v>
      </c>
      <c r="B8" s="134" t="s">
        <v>63</v>
      </c>
      <c r="C8" s="133" t="s">
        <v>36</v>
      </c>
      <c r="D8" s="133" t="s">
        <v>803</v>
      </c>
      <c r="E8" s="133" t="s">
        <v>27</v>
      </c>
      <c r="F8" s="133">
        <v>262673</v>
      </c>
      <c r="G8" s="133" t="s">
        <v>832</v>
      </c>
      <c r="H8" s="133">
        <v>1000</v>
      </c>
      <c r="I8" s="135">
        <v>0.76</v>
      </c>
      <c r="J8" s="135">
        <v>1.0900000000000001</v>
      </c>
      <c r="K8" s="133" t="s">
        <v>34</v>
      </c>
      <c r="L8" s="135">
        <v>828.4</v>
      </c>
      <c r="M8" s="136">
        <v>545</v>
      </c>
      <c r="N8" s="137">
        <v>7.5700000000000003E-2</v>
      </c>
      <c r="O8" s="138">
        <v>4.54</v>
      </c>
      <c r="P8" s="133">
        <v>260.89999999999998</v>
      </c>
      <c r="Q8" s="133">
        <v>2</v>
      </c>
      <c r="R8" s="133">
        <v>1550</v>
      </c>
      <c r="S8" s="135">
        <v>1.52</v>
      </c>
      <c r="T8" s="133">
        <v>30</v>
      </c>
      <c r="U8" s="137">
        <v>1.9400000000000001E-2</v>
      </c>
      <c r="V8" s="133" t="s">
        <v>28</v>
      </c>
      <c r="W8" s="133" t="s">
        <v>28</v>
      </c>
      <c r="X8" s="133" t="s">
        <v>28</v>
      </c>
      <c r="Y8" s="133" t="s">
        <v>27</v>
      </c>
      <c r="Z8" s="133" t="s">
        <v>27</v>
      </c>
      <c r="AA8" s="133" t="s">
        <v>33</v>
      </c>
      <c r="AB8" s="133" t="s">
        <v>837</v>
      </c>
    </row>
    <row r="9" spans="1:28" s="38" customFormat="1" ht="25.05" customHeight="1" x14ac:dyDescent="0.3">
      <c r="A9" s="133">
        <v>5</v>
      </c>
      <c r="B9" s="134" t="s">
        <v>63</v>
      </c>
      <c r="C9" s="133" t="s">
        <v>36</v>
      </c>
      <c r="D9" s="133" t="s">
        <v>824</v>
      </c>
      <c r="E9" s="133" t="s">
        <v>27</v>
      </c>
      <c r="F9" s="133">
        <v>262675</v>
      </c>
      <c r="G9" s="133" t="s">
        <v>838</v>
      </c>
      <c r="H9" s="133">
        <v>1350</v>
      </c>
      <c r="I9" s="135">
        <v>0.59199999999999997</v>
      </c>
      <c r="J9" s="135">
        <v>1.619</v>
      </c>
      <c r="K9" s="133" t="s">
        <v>839</v>
      </c>
      <c r="L9" s="135">
        <v>1293.905</v>
      </c>
      <c r="M9" s="136">
        <v>1092.8</v>
      </c>
      <c r="N9" s="137">
        <v>0.15179999999999999</v>
      </c>
      <c r="O9" s="138">
        <v>9.11</v>
      </c>
      <c r="P9" s="133">
        <v>407.6</v>
      </c>
      <c r="Q9" s="133">
        <v>2</v>
      </c>
      <c r="R9" s="133">
        <v>1250</v>
      </c>
      <c r="S9" s="135">
        <v>1.1839999999999999</v>
      </c>
      <c r="T9" s="133">
        <v>66</v>
      </c>
      <c r="U9" s="137">
        <v>5.28E-2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840</v>
      </c>
    </row>
    <row r="10" spans="1:28" s="156" customFormat="1" ht="25.05" customHeight="1" x14ac:dyDescent="0.3">
      <c r="A10" s="150">
        <v>3</v>
      </c>
      <c r="B10" s="151" t="s">
        <v>63</v>
      </c>
      <c r="C10" s="150" t="s">
        <v>36</v>
      </c>
      <c r="D10" s="150" t="s">
        <v>770</v>
      </c>
      <c r="E10" s="150" t="s">
        <v>27</v>
      </c>
      <c r="F10" s="150">
        <v>262642</v>
      </c>
      <c r="G10" s="150" t="s">
        <v>779</v>
      </c>
      <c r="H10" s="150">
        <v>1000</v>
      </c>
      <c r="I10" s="152">
        <v>0.58099999999999996</v>
      </c>
      <c r="J10" s="152">
        <v>1.58</v>
      </c>
      <c r="K10" s="150" t="s">
        <v>778</v>
      </c>
      <c r="L10" s="152">
        <v>917.98</v>
      </c>
      <c r="M10" s="153">
        <v>790</v>
      </c>
      <c r="N10" s="154">
        <v>0.10970000000000001</v>
      </c>
      <c r="O10" s="155">
        <v>6.58</v>
      </c>
      <c r="P10" s="150">
        <v>289.2</v>
      </c>
      <c r="Q10" s="150">
        <v>2</v>
      </c>
      <c r="R10" s="150">
        <v>1200</v>
      </c>
      <c r="S10" s="152">
        <v>1.1619999999999999</v>
      </c>
      <c r="T10" s="150">
        <v>38</v>
      </c>
      <c r="U10" s="154">
        <v>3.1699999999999999E-2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33</v>
      </c>
      <c r="AB10" s="150" t="s">
        <v>777</v>
      </c>
    </row>
    <row r="11" spans="1:28" s="156" customForma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f>SUM(H3:H10)</f>
        <v>6500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f>SUM(P3:P10)</f>
        <v>3532.1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workbookViewId="0">
      <selection activeCell="K17" sqref="K17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20" t="s">
        <v>776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1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817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1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818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1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819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770</v>
      </c>
      <c r="E6" s="116" t="s">
        <v>27</v>
      </c>
      <c r="F6" s="116">
        <v>262639</v>
      </c>
      <c r="G6" s="116" t="s">
        <v>775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774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770</v>
      </c>
      <c r="E7" s="116" t="s">
        <v>27</v>
      </c>
      <c r="F7" s="116">
        <v>262637</v>
      </c>
      <c r="G7" s="116" t="s">
        <v>773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772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770</v>
      </c>
      <c r="E8" s="116" t="s">
        <v>27</v>
      </c>
      <c r="F8" s="116">
        <v>262635</v>
      </c>
      <c r="G8" s="116" t="s">
        <v>771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770</v>
      </c>
      <c r="E9" s="116" t="s">
        <v>27</v>
      </c>
      <c r="F9" s="116">
        <v>262636</v>
      </c>
      <c r="G9" s="116" t="s">
        <v>771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770</v>
      </c>
      <c r="E10" s="116" t="s">
        <v>27</v>
      </c>
      <c r="F10" s="116">
        <v>262638</v>
      </c>
      <c r="G10" s="116" t="s">
        <v>769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21" t="s">
        <v>766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sqref="A1:AB1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786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786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786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786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786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786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786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786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786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786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2" t="s">
        <v>723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3" t="s">
        <v>710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3" t="s">
        <v>702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5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5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5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6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7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8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9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10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11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12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13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14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15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16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17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18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sheetPr>
    <pageSetUpPr fitToPage="1"/>
  </sheetPr>
  <dimension ref="A1:AB4"/>
  <sheetViews>
    <sheetView workbookViewId="0">
      <selection sqref="A1:AB5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21" t="s">
        <v>681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665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2" t="s">
        <v>592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4" t="s">
        <v>554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2" t="s">
        <v>539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sheetPr>
    <pageSetUpPr fitToPage="1"/>
  </sheetPr>
  <dimension ref="A1:AB4"/>
  <sheetViews>
    <sheetView workbookViewId="0">
      <selection activeCell="S17" sqref="S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3" width="7.44140625" style="1" customWidth="1"/>
    <col min="24" max="24" width="7.33203125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2" t="s">
        <v>535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5" t="s">
        <v>523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6" t="s">
        <v>512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2" t="s">
        <v>496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2" t="s">
        <v>486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475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2" t="s">
        <v>454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2" t="s">
        <v>440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2" t="s">
        <v>403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7" t="s">
        <v>380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6" t="s">
        <v>332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2" t="s">
        <v>329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324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6" t="s">
        <v>281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2" t="s">
        <v>258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2" t="s">
        <v>240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2" t="s">
        <v>202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192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8" t="s">
        <v>155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2" t="s">
        <v>79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2" t="s">
        <v>134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9" t="s">
        <v>109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 t="s">
        <v>27</v>
      </c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 t="s">
        <v>27</v>
      </c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44</vt:i4>
      </vt:variant>
    </vt:vector>
  </HeadingPairs>
  <TitlesOfParts>
    <vt:vector size="44" baseType="lpstr">
      <vt:lpstr>FORBOX 1220</vt:lpstr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IPE - PC BOX 1203P</vt:lpstr>
      <vt:lpstr>ABAPEL 1201</vt:lpstr>
      <vt:lpstr>HARMONY EMBALAGENS 1200</vt:lpstr>
      <vt:lpstr>HARMONY EMBALAGENS 1199 P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1182P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2026-09-22T12:11:32Z</cp:lastPrinted>
  <dcterms:created xsi:type="dcterms:W3CDTF">2026-07-02T17:42:15Z</dcterms:created>
  <dcterms:modified xsi:type="dcterms:W3CDTF">2026-09-22T14:12:54Z</dcterms:modified>
</cp:coreProperties>
</file>