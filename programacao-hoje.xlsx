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FEB0BF5-E898-4592-8F2A-59F8B989CADD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PCBOX EMBALAGENS 1316" sheetId="222" r:id="rId1"/>
    <sheet name="HARMONY EMBALAGENS 1315 P" sheetId="221" r:id="rId2"/>
    <sheet name="FAVINCO EMBALAGENS 1314" sheetId="220" r:id="rId3"/>
    <sheet name="CAIXAS  KRAFT 1312" sheetId="219" r:id="rId4"/>
    <sheet name="ABAPEL EMBALAGENS 1308 P" sheetId="215" r:id="rId5"/>
    <sheet name="CARPEL 1307 P" sheetId="214" r:id="rId6"/>
    <sheet name="RENOVAPEL 1306 P" sheetId="213" r:id="rId7"/>
    <sheet name="INTERNACIONAL - SEDAMED 1304 P" sheetId="212" r:id="rId8"/>
    <sheet name="RM EMBALAGENS 1303" sheetId="211" r:id="rId9"/>
    <sheet name="IPE EMBALAGENS 1302 P" sheetId="210" r:id="rId10"/>
    <sheet name="HARMONY EMBALAGENS 1301 P" sheetId="209" r:id="rId11"/>
    <sheet name="RENOVAPEL 1297 P" sheetId="208" r:id="rId12"/>
    <sheet name="FORBOX 1289" sheetId="205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13" l="1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<sst xmlns="http://schemas.openxmlformats.org/spreadsheetml/2006/main" count="2710" uniqueCount="281">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</sst>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dimension ref="A1:AC6"/>
  <sheetViews>
    <sheetView tabSelected="1" workbookViewId="0">
      <selection activeCell="F16" sqref="F16"/>
    </sheetView>
  </sheetViews>
  <sheetFormatPr defaultRowHeight="14.4" x14ac:dyDescent="0.3"/>
  <cols>
    <col min="1" max="1" width="9.7773437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77734375" style="4" customWidth="1"/>
    <col min="6" max="6" width="7.77734375" style="4" customWidth="1"/>
    <col min="7" max="7" width="10.77734375" style="4" customWidth="1"/>
    <col min="8" max="8" width="9.77734375" style="4" customWidth="1"/>
    <col min="9" max="9" width="13.77734375" style="4" customWidth="1"/>
    <col min="10" max="10" width="11.77734375" style="4" customWidth="1"/>
    <col min="11" max="11" width="22.77734375" style="4" customWidth="1"/>
    <col min="12" max="12" width="11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8" width="8.77734375" style="4" customWidth="1"/>
    <col min="19" max="19" width="13.77734375" style="4" customWidth="1"/>
    <col min="20" max="20" width="11.77734375" style="4" customWidth="1"/>
    <col min="21" max="21" width="11.77734375" style="4" hidden="1" customWidth="1"/>
    <col min="22" max="22" width="8.77734375" style="4" hidden="1" customWidth="1"/>
    <col min="23" max="27" width="11.77734375" style="4" customWidth="1"/>
    <col min="28" max="28" width="10.77734375" style="4" customWidth="1"/>
    <col min="29" max="29" width="16.77734375" style="4" customWidth="1"/>
    <col min="30" max="16384" width="8.88671875" style="4"/>
  </cols>
  <sheetData>
    <row r="1" spans="1:29" ht="18" customHeight="1" x14ac:dyDescent="0.35">
      <c r="A1" s="56" t="s">
        <v>280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99</v>
      </c>
      <c r="C3" s="49" t="s">
        <v>41</v>
      </c>
      <c r="D3" s="49" t="s">
        <v>250</v>
      </c>
      <c r="E3" s="49">
        <v>263129</v>
      </c>
      <c r="F3" s="49" t="s">
        <v>276</v>
      </c>
      <c r="G3" s="49">
        <v>500</v>
      </c>
      <c r="H3" s="50">
        <v>1.494</v>
      </c>
      <c r="I3" s="50">
        <v>2.5630000000000002</v>
      </c>
      <c r="J3" s="49" t="s">
        <v>26</v>
      </c>
      <c r="K3" s="49" t="s">
        <v>279</v>
      </c>
      <c r="L3" s="49" t="s">
        <v>26</v>
      </c>
      <c r="M3" s="46">
        <v>1914.5609999999999</v>
      </c>
      <c r="N3" s="48">
        <v>1281.5</v>
      </c>
      <c r="O3" s="45">
        <v>0.35599999999999998</v>
      </c>
      <c r="P3" s="47">
        <v>21.36</v>
      </c>
      <c r="Q3" s="44">
        <v>1087.5</v>
      </c>
      <c r="R3" s="44">
        <v>1</v>
      </c>
      <c r="S3" s="44">
        <v>1550</v>
      </c>
      <c r="T3" s="46">
        <v>1.494</v>
      </c>
      <c r="U3" s="44">
        <v>56</v>
      </c>
      <c r="V3" s="45">
        <v>3.61E-2</v>
      </c>
      <c r="W3" s="44" t="s">
        <v>33</v>
      </c>
      <c r="X3" s="44" t="s">
        <v>38</v>
      </c>
      <c r="Y3" s="44" t="s">
        <v>33</v>
      </c>
      <c r="Z3" s="44" t="s">
        <v>33</v>
      </c>
      <c r="AA3" s="44" t="s">
        <v>33</v>
      </c>
      <c r="AB3" s="44" t="s">
        <v>29</v>
      </c>
      <c r="AC3" s="44" t="s">
        <v>66</v>
      </c>
    </row>
    <row r="4" spans="1:29" x14ac:dyDescent="0.3">
      <c r="A4" s="49">
        <v>2</v>
      </c>
      <c r="B4" s="51" t="s">
        <v>99</v>
      </c>
      <c r="C4" s="49" t="s">
        <v>41</v>
      </c>
      <c r="D4" s="49" t="s">
        <v>250</v>
      </c>
      <c r="E4" s="49">
        <v>263128</v>
      </c>
      <c r="F4" s="49" t="s">
        <v>276</v>
      </c>
      <c r="G4" s="49">
        <v>500</v>
      </c>
      <c r="H4" s="50">
        <v>1.444</v>
      </c>
      <c r="I4" s="50">
        <v>2.383</v>
      </c>
      <c r="J4" s="49" t="s">
        <v>26</v>
      </c>
      <c r="K4" s="49" t="s">
        <v>278</v>
      </c>
      <c r="L4" s="49" t="s">
        <v>26</v>
      </c>
      <c r="M4" s="46">
        <v>1720.5260000000001</v>
      </c>
      <c r="N4" s="48">
        <v>1191.5</v>
      </c>
      <c r="O4" s="45">
        <v>0.33100000000000002</v>
      </c>
      <c r="P4" s="47">
        <v>19.86</v>
      </c>
      <c r="Q4" s="44">
        <v>977.3</v>
      </c>
      <c r="R4" s="44">
        <v>1</v>
      </c>
      <c r="S4" s="44">
        <v>1500</v>
      </c>
      <c r="T4" s="46">
        <v>1.444</v>
      </c>
      <c r="U4" s="44">
        <v>56</v>
      </c>
      <c r="V4" s="45">
        <v>3.73E-2</v>
      </c>
      <c r="W4" s="44" t="s">
        <v>33</v>
      </c>
      <c r="X4" s="44" t="s">
        <v>38</v>
      </c>
      <c r="Y4" s="44" t="s">
        <v>33</v>
      </c>
      <c r="Z4" s="44" t="s">
        <v>33</v>
      </c>
      <c r="AA4" s="44" t="s">
        <v>33</v>
      </c>
      <c r="AB4" s="44" t="s">
        <v>29</v>
      </c>
      <c r="AC4" s="44" t="s">
        <v>277</v>
      </c>
    </row>
    <row r="5" spans="1:29" x14ac:dyDescent="0.3">
      <c r="A5" s="49">
        <v>3</v>
      </c>
      <c r="B5" s="51" t="s">
        <v>99</v>
      </c>
      <c r="C5" s="49" t="s">
        <v>41</v>
      </c>
      <c r="D5" s="49" t="s">
        <v>250</v>
      </c>
      <c r="E5" s="49">
        <v>263127</v>
      </c>
      <c r="F5" s="49" t="s">
        <v>276</v>
      </c>
      <c r="G5" s="49">
        <v>500</v>
      </c>
      <c r="H5" s="50">
        <v>1.0880000000000001</v>
      </c>
      <c r="I5" s="50">
        <v>2.343</v>
      </c>
      <c r="J5" s="49" t="s">
        <v>26</v>
      </c>
      <c r="K5" s="49" t="s">
        <v>275</v>
      </c>
      <c r="L5" s="49" t="s">
        <v>26</v>
      </c>
      <c r="M5" s="46">
        <v>1274.5920000000001</v>
      </c>
      <c r="N5" s="48">
        <v>1171.5</v>
      </c>
      <c r="O5" s="45">
        <v>0.32540000000000002</v>
      </c>
      <c r="P5" s="47">
        <v>19.52</v>
      </c>
      <c r="Q5" s="44">
        <v>724</v>
      </c>
      <c r="R5" s="44">
        <v>1</v>
      </c>
      <c r="S5" s="44">
        <v>1150</v>
      </c>
      <c r="T5" s="46">
        <v>1.0880000000000001</v>
      </c>
      <c r="U5" s="44">
        <v>62</v>
      </c>
      <c r="V5" s="45">
        <v>5.3900000000000003E-2</v>
      </c>
      <c r="W5" s="44" t="s">
        <v>33</v>
      </c>
      <c r="X5" s="44" t="s">
        <v>38</v>
      </c>
      <c r="Y5" s="44" t="s">
        <v>33</v>
      </c>
      <c r="Z5" s="44" t="s">
        <v>33</v>
      </c>
      <c r="AA5" s="44" t="s">
        <v>33</v>
      </c>
      <c r="AB5" s="44" t="s">
        <v>29</v>
      </c>
      <c r="AC5" s="44" t="s">
        <v>274</v>
      </c>
    </row>
    <row r="6" spans="1:29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1500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2788.7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sqref="A1:AC4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8" t="s">
        <v>273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workbookViewId="0">
      <selection activeCell="AX22" sqref="AX22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6" t="s">
        <v>271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 x14ac:dyDescent="0.3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 x14ac:dyDescent="0.3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 x14ac:dyDescent="0.3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 x14ac:dyDescent="0.3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3"/>
      <c r="B4" s="64" t="s">
        <v>122</v>
      </c>
      <c r="C4" s="63" t="s">
        <v>78</v>
      </c>
      <c r="D4" s="63" t="s">
        <v>188</v>
      </c>
      <c r="E4" s="63">
        <v>263083</v>
      </c>
      <c r="F4" s="63" t="s">
        <v>196</v>
      </c>
      <c r="G4" s="63">
        <v>200</v>
      </c>
      <c r="H4" s="65">
        <v>0.502</v>
      </c>
      <c r="I4" s="65">
        <v>1.2350000000000001</v>
      </c>
      <c r="J4" s="63" t="s">
        <v>26</v>
      </c>
      <c r="K4" s="63" t="s">
        <v>202</v>
      </c>
      <c r="L4" s="63" t="s">
        <v>26</v>
      </c>
      <c r="M4" s="65">
        <v>123.994</v>
      </c>
      <c r="N4" s="66">
        <v>82.3</v>
      </c>
      <c r="O4" s="67">
        <v>7.6E-3</v>
      </c>
      <c r="P4" s="68">
        <v>0.46</v>
      </c>
      <c r="Q4" s="63">
        <v>58.3</v>
      </c>
      <c r="R4" s="63">
        <v>3</v>
      </c>
      <c r="S4" s="63">
        <v>1550</v>
      </c>
      <c r="T4" s="65">
        <v>1.506</v>
      </c>
      <c r="U4" s="63">
        <v>44</v>
      </c>
      <c r="V4" s="67">
        <v>2.8400000000000002E-2</v>
      </c>
      <c r="W4" s="63" t="s">
        <v>77</v>
      </c>
      <c r="X4" s="63" t="s">
        <v>39</v>
      </c>
      <c r="Y4" s="63" t="s">
        <v>77</v>
      </c>
      <c r="Z4" s="63" t="s">
        <v>26</v>
      </c>
      <c r="AA4" s="63" t="s">
        <v>26</v>
      </c>
      <c r="AB4" s="63" t="s">
        <v>37</v>
      </c>
      <c r="AC4" s="63" t="s">
        <v>201</v>
      </c>
    </row>
    <row r="5" spans="1:29" s="12" customFormat="1" ht="25.05" customHeight="1" x14ac:dyDescent="0.3">
      <c r="A5" s="63"/>
      <c r="B5" s="64" t="s">
        <v>122</v>
      </c>
      <c r="C5" s="63" t="s">
        <v>78</v>
      </c>
      <c r="D5" s="63" t="s">
        <v>188</v>
      </c>
      <c r="E5" s="63">
        <v>263086</v>
      </c>
      <c r="F5" s="63" t="s">
        <v>196</v>
      </c>
      <c r="G5" s="63">
        <v>200</v>
      </c>
      <c r="H5" s="65">
        <v>0.69199999999999995</v>
      </c>
      <c r="I5" s="65">
        <v>1.835</v>
      </c>
      <c r="J5" s="63" t="s">
        <v>26</v>
      </c>
      <c r="K5" s="63" t="s">
        <v>200</v>
      </c>
      <c r="L5" s="63" t="s">
        <v>26</v>
      </c>
      <c r="M5" s="65">
        <v>253.964</v>
      </c>
      <c r="N5" s="66">
        <v>183.5</v>
      </c>
      <c r="O5" s="67">
        <v>2.5499999999999998E-2</v>
      </c>
      <c r="P5" s="68">
        <v>1.53</v>
      </c>
      <c r="Q5" s="63">
        <v>119.4</v>
      </c>
      <c r="R5" s="63">
        <v>2</v>
      </c>
      <c r="S5" s="63">
        <v>1450</v>
      </c>
      <c r="T5" s="65">
        <v>1.3839999999999999</v>
      </c>
      <c r="U5" s="63">
        <v>66</v>
      </c>
      <c r="V5" s="67">
        <v>4.5499999999999999E-2</v>
      </c>
      <c r="W5" s="63" t="s">
        <v>77</v>
      </c>
      <c r="X5" s="63" t="s">
        <v>39</v>
      </c>
      <c r="Y5" s="63" t="s">
        <v>77</v>
      </c>
      <c r="Z5" s="63" t="s">
        <v>26</v>
      </c>
      <c r="AA5" s="63" t="s">
        <v>26</v>
      </c>
      <c r="AB5" s="63" t="s">
        <v>37</v>
      </c>
      <c r="AC5" s="63" t="s">
        <v>199</v>
      </c>
    </row>
    <row r="6" spans="1:29" s="12" customFormat="1" ht="25.05" customHeight="1" x14ac:dyDescent="0.3">
      <c r="A6" s="63"/>
      <c r="B6" s="64" t="s">
        <v>122</v>
      </c>
      <c r="C6" s="63" t="s">
        <v>78</v>
      </c>
      <c r="D6" s="63" t="s">
        <v>188</v>
      </c>
      <c r="E6" s="63">
        <v>263085</v>
      </c>
      <c r="F6" s="63" t="s">
        <v>196</v>
      </c>
      <c r="G6" s="63">
        <v>200</v>
      </c>
      <c r="H6" s="65">
        <v>0.30199999999999999</v>
      </c>
      <c r="I6" s="65">
        <v>0.73499999999999999</v>
      </c>
      <c r="J6" s="63" t="s">
        <v>26</v>
      </c>
      <c r="K6" s="63" t="s">
        <v>198</v>
      </c>
      <c r="L6" s="63" t="s">
        <v>26</v>
      </c>
      <c r="M6" s="65">
        <v>44.393999999999998</v>
      </c>
      <c r="N6" s="66">
        <v>36.799999999999997</v>
      </c>
      <c r="O6" s="67">
        <v>2.5999999999999999E-3</v>
      </c>
      <c r="P6" s="68">
        <v>0.15</v>
      </c>
      <c r="Q6" s="63">
        <v>20.9</v>
      </c>
      <c r="R6" s="63">
        <v>4</v>
      </c>
      <c r="S6" s="63">
        <v>1250</v>
      </c>
      <c r="T6" s="65">
        <v>1.208</v>
      </c>
      <c r="U6" s="63">
        <v>42</v>
      </c>
      <c r="V6" s="67">
        <v>3.3599999999999998E-2</v>
      </c>
      <c r="W6" s="63" t="s">
        <v>77</v>
      </c>
      <c r="X6" s="63" t="s">
        <v>39</v>
      </c>
      <c r="Y6" s="63" t="s">
        <v>77</v>
      </c>
      <c r="Z6" s="63" t="s">
        <v>26</v>
      </c>
      <c r="AA6" s="63" t="s">
        <v>26</v>
      </c>
      <c r="AB6" s="63" t="s">
        <v>37</v>
      </c>
      <c r="AC6" s="63" t="s">
        <v>197</v>
      </c>
    </row>
    <row r="7" spans="1:29" s="12" customFormat="1" ht="25.05" customHeight="1" x14ac:dyDescent="0.3">
      <c r="A7" s="63"/>
      <c r="B7" s="64" t="s">
        <v>122</v>
      </c>
      <c r="C7" s="63" t="s">
        <v>78</v>
      </c>
      <c r="D7" s="63" t="s">
        <v>188</v>
      </c>
      <c r="E7" s="63">
        <v>263084</v>
      </c>
      <c r="F7" s="63" t="s">
        <v>196</v>
      </c>
      <c r="G7" s="63">
        <v>200</v>
      </c>
      <c r="H7" s="65">
        <v>0.85199999999999998</v>
      </c>
      <c r="I7" s="65">
        <v>1.5349999999999999</v>
      </c>
      <c r="J7" s="63" t="s">
        <v>26</v>
      </c>
      <c r="K7" s="63" t="s">
        <v>195</v>
      </c>
      <c r="L7" s="63" t="s">
        <v>26</v>
      </c>
      <c r="M7" s="65">
        <v>261.56400000000002</v>
      </c>
      <c r="N7" s="66">
        <v>307</v>
      </c>
      <c r="O7" s="67">
        <v>8.5300000000000001E-2</v>
      </c>
      <c r="P7" s="68">
        <v>5.12</v>
      </c>
      <c r="Q7" s="63">
        <v>122.9</v>
      </c>
      <c r="R7" s="63">
        <v>1</v>
      </c>
      <c r="S7" s="63">
        <v>900</v>
      </c>
      <c r="T7" s="65">
        <v>0.85199999999999998</v>
      </c>
      <c r="U7" s="63">
        <v>48</v>
      </c>
      <c r="V7" s="67">
        <v>5.33E-2</v>
      </c>
      <c r="W7" s="63" t="s">
        <v>77</v>
      </c>
      <c r="X7" s="63" t="s">
        <v>39</v>
      </c>
      <c r="Y7" s="63" t="s">
        <v>77</v>
      </c>
      <c r="Z7" s="63" t="s">
        <v>26</v>
      </c>
      <c r="AA7" s="63" t="s">
        <v>26</v>
      </c>
      <c r="AB7" s="63" t="s">
        <v>37</v>
      </c>
      <c r="AC7" s="63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9" t="s">
        <v>26</v>
      </c>
      <c r="B9" s="69" t="s">
        <v>26</v>
      </c>
      <c r="C9" s="69" t="s">
        <v>26</v>
      </c>
      <c r="D9" s="69" t="s">
        <v>26</v>
      </c>
      <c r="E9" s="69" t="s">
        <v>26</v>
      </c>
      <c r="F9" s="69" t="s">
        <v>26</v>
      </c>
      <c r="G9" s="69">
        <f>SUM(G3:G8)</f>
        <v>1300</v>
      </c>
      <c r="H9" s="69" t="s">
        <v>26</v>
      </c>
      <c r="I9" s="69" t="s">
        <v>26</v>
      </c>
      <c r="J9" s="69" t="s">
        <v>26</v>
      </c>
      <c r="K9" s="69" t="s">
        <v>26</v>
      </c>
      <c r="L9" s="69" t="s">
        <v>26</v>
      </c>
      <c r="M9" s="69" t="s">
        <v>26</v>
      </c>
      <c r="N9" s="69" t="s">
        <v>26</v>
      </c>
      <c r="O9" s="69" t="s">
        <v>26</v>
      </c>
      <c r="P9" s="69" t="s">
        <v>26</v>
      </c>
      <c r="Q9" s="69">
        <f>SUM(Q3:Q8)</f>
        <v>485.9</v>
      </c>
      <c r="R9" s="69" t="s">
        <v>26</v>
      </c>
      <c r="S9" s="69" t="s">
        <v>26</v>
      </c>
      <c r="T9" s="69" t="s">
        <v>26</v>
      </c>
      <c r="U9" s="69" t="s">
        <v>26</v>
      </c>
      <c r="V9" s="69" t="s">
        <v>26</v>
      </c>
      <c r="W9" s="69" t="s">
        <v>26</v>
      </c>
      <c r="X9" s="69" t="s">
        <v>26</v>
      </c>
      <c r="Y9" s="69" t="s">
        <v>26</v>
      </c>
      <c r="Z9" s="69" t="s">
        <v>26</v>
      </c>
      <c r="AA9" s="69" t="s">
        <v>26</v>
      </c>
      <c r="AB9" s="69" t="s">
        <v>26</v>
      </c>
      <c r="AC9" s="69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Q5" sqref="Q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PCBOX EMBALAGENS 1316</vt:lpstr>
      <vt:lpstr>HARMONY EMBALAGENS 1315 P</vt:lpstr>
      <vt:lpstr>FAVINCO EMBALAGENS 1314</vt:lpstr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2026-10-22T19:11:17Z</cp:lastPrinted>
  <dcterms:created xsi:type="dcterms:W3CDTF">2026-07-02T17:42:15Z</dcterms:created>
  <dcterms:modified xsi:type="dcterms:W3CDTF">2026-10-22T20:24:24Z</dcterms:modified>
</cp:coreProperties>
</file>