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618A3EC6-12C6-489D-A0C4-59CA12924440}" xr6:coauthVersionLast="47" xr6:coauthVersionMax="47" xr10:uidLastSave="{00000000-0000-0000-0000-000000000000}"/>
  <bookViews>
    <workbookView xWindow="-38510" yWindow="-10830" windowWidth="38620" windowHeight="21100" firstSheet="3" activeTab="9" xr2:uid="{00000000-000D-0000-FFFF-FFFF00000000}"/>
  </bookViews>
  <sheets>
    <sheet name="PCBOX  - IPE 1266 P" sheetId="191" r:id="rId1"/>
    <sheet name="Tolecaixas 1264" sheetId="190" r:id="rId2"/>
    <sheet name="RM Embalagens 1263 P" sheetId="189" r:id="rId3"/>
    <sheet name="HARMONY EMBALAGENS 1262 P" sheetId="188" r:id="rId4"/>
    <sheet name="HARMONY EMBALAGENS 1260" sheetId="187" r:id="rId5"/>
    <sheet name="CARTOMIL EMBALAGENS LTDA 1258 P" sheetId="185" r:id="rId6"/>
    <sheet name="CARPEL 1257 P" sheetId="184" r:id="rId7"/>
    <sheet name="FAVINCO EMBALAGENS 1256 P" sheetId="183" r:id="rId8"/>
    <sheet name="RR STELLA 1253" sheetId="181" r:id="rId9"/>
    <sheet name="FAVINCO EMBALAGENS 1252 P" sheetId="180" r:id="rId10"/>
    <sheet name="DR EMBALAGENS 1250" sheetId="179" r:id="rId11"/>
    <sheet name="HARMONY EMBALAGENS 1249 P" sheetId="178" r:id="rId12"/>
    <sheet name="FAVINCO 1248 AMOSTRA" sheetId="177" r:id="rId13"/>
    <sheet name="ABAPEL 1246 P" sheetId="176" r:id="rId14"/>
    <sheet name="FAVINCO 1243 P" sheetId="175" r:id="rId15"/>
    <sheet name="Renovapel 1242 P" sheetId="174" r:id="rId16"/>
    <sheet name="Tole. DR EMB. VO CH S. M 1241 P" sheetId="173" r:id="rId17"/>
    <sheet name="FAVINCO 1239 P" sheetId="172" r:id="rId18"/>
    <sheet name="PCBOX EMBALAGENS 1233 P" sheetId="170" r:id="rId19"/>
    <sheet name="RM Embalagens 1232 P" sheetId="169" r:id="rId20"/>
    <sheet name="HARMONY EMBALAGENS 1231 P" sheetId="168" r:id="rId21"/>
    <sheet name="RM Embalagens P" sheetId="166" r:id="rId22"/>
    <sheet name="PCBOX EMBALAGENS LTDA 1222 P" sheetId="164" r:id="rId23"/>
    <sheet name="FORBOX 1220 P" sheetId="163" r:id="rId24"/>
    <sheet name="HARMONY EMBALAGENS 1217 P" sheetId="162" r:id="rId25"/>
    <sheet name="Z4A EMBALAGENS LTDA 1216" sheetId="161" r:id="rId26"/>
    <sheet name="ABAPEL 1213 P" sheetId="159" r:id="rId27"/>
    <sheet name="IPE - PCBOX 1212 P" sheetId="158" r:id="rId28"/>
    <sheet name="Z4A EMBALAGENS LTDA 1210 P" sheetId="157" r:id="rId29"/>
    <sheet name="RM Embalagens 1209 P" sheetId="156" r:id="rId30"/>
    <sheet name="ABAPEL 1201 P" sheetId="153" r:id="rId31"/>
    <sheet name="HARMONY EMBALAGENS 1200 P" sheetId="152" r:id="rId32"/>
    <sheet name="FAVINCO EMBALAGENS 1197 P" sheetId="150" r:id="rId33"/>
    <sheet name="ABAPEL 1196 P" sheetId="149" r:id="rId34"/>
    <sheet name="RM Embalagens 1184 P" sheetId="141" r:id="rId35"/>
    <sheet name="HARMONY EMBALAGENS 1180 P" sheetId="137" r:id="rId36"/>
    <sheet name="Carpel 1158 P" sheetId="119" r:id="rId3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7" i="191" l="1"/>
  <c r="Q17" i="191"/>
  <c r="P9" i="175"/>
  <c r="H9" i="175"/>
  <c r="Q8" i="180"/>
  <c r="G8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<sst xmlns="http://schemas.openxmlformats.org/spreadsheetml/2006/main" count="7092" uniqueCount="701">
  <si>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</si>
  <si>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</si>
  <si>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</si>
  <si>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</si>
  <si>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</si>
  <si>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</si>
  <si>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</si>
  <si>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</si>
  <si>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</si>
  <si>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</si>
  <si>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</si>
  <si>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</si>
  <si>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</si>
  <si>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</si>
  <si>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</si>
  <si>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</si>
  <si>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</si>
  <si>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</si>
  <si>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</si>
  <si>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</si>
  <si>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</si>
  <si>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</si>
  <si>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</si>
  <si>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</si>
  <si>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</si>
  <si>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</si>
  <si>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</si>
  <si>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</si>
  <si>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</si>
  <si>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</si>
  <si>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</si>
  <si>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</si>
  <si>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</si>
  <si>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</si>
  <si>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</si>
  <si>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</si>
  <si>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</si>
  <si>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</si>
  <si>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</si>
  <si>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</si>
  <si>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</si>
  <si>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</si>
  <si>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</si>
  <si>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</si>
  <si>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</si>
  <si>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</si>
  <si>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</si>
  <si>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</si>
  <si>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</si>
  <si>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</si>
  <si>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</si>
  <si>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</si>
  <si>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</si>
  <si>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</si>
  <si>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</si>
  <si>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</si>
  <si>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</si>
  <si>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</si>
  <si>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</si>
  <si>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</si>
  <si>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</si>
  <si>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</si>
  <si>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</si>
  <si>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</si>
  <si>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</si>
  <si>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</si>
  <si>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</si>
  <si>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</si>
  <si>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</si>
  <si>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</si>
  <si>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</si>
  <si>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</si>
  <si>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</si>
  <si>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</si>
  <si>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</si>
  <si>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</si>
  <si>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</si>
  <si>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</si>
  <si>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</si>
  <si>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</si>
  <si>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</si>
  <si>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</si>
  <si>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</si>
  <si>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</si>
  <si>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</si>
  <si>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</si>
  <si>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</si>
  <si>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</si>
  <si>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</si>
  <si>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</si>
  <si>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</si>
  <si>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</si>
  <si>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</si>
  <si>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</si>
  <si>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</si>
  <si>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</si>
  <si>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</si>
  <si>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</si>
  <si>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</si>
  <si>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</si>
  <si>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</si>
  <si>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</si>
  <si>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</si>
  <si>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</si>
  <si>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</si>
  <si>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</si>
  <si>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</si>
  <si>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</si>
  <si>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</si>
  <si>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</si>
  <si>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</si>
  <si>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</si>
  <si>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</si>
  <si>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</si>
  <si>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</si>
  <si>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</si>
  <si>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</si>
  <si>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</si>
  <si>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</si>
  <si>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</si>
  <si>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</si>
  <si>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</si>
  <si>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</si>
  <si>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</si>
  <si>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</si>
  <si>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</si>
  <si>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</si>
  <si>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</si>
  <si>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</si>
  <si>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</si>
  <si>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</si>
  <si>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</si>
  <si>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</si>
  <si>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</si>
  <si>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</si>
  <si>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</si>
  <si>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</si>
  <si>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</si>
  <si>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</si>
  <si>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</si>
  <si>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</si>
  <si>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</si>
  <si>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</si>
  <si>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</si>
  <si>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</si>
  <si>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</si>
  <si>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</si>
  <si>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</si>
  <si>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</si>
  <si>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</si>
  <si>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</si>
  <si>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</si>
  <si>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</si>
  <si>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</si>
  <si>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</si>
  <si>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</si>
  <si>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</si>
  <si>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</si>
  <si>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</si>
  <si>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</si>
  <si>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</si>
  <si>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</si>
  <si>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</si>
  <si>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</si>
  <si>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</si>
  <si>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</si>
  <si>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</si>
  <si>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</si>
  <si>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</si>
  <si>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</si>
  <si>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</si>
  <si>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</si>
  <si>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</si>
  <si>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</si>
  <si>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</si>
  <si>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</si>
  <si>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</si>
  <si>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</si>
  <si>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</si>
  <si>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</si>
  <si>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</si>
  <si>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</si>
  <si>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</si>
  <si>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</si>
  <si>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</si>
  <si>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</si>
  <si>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</si>
  <si>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</si>
  <si>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</si>
  <si>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</si>
  <si>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</si>
  <si>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</si>
  <si>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</si>
  <si>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</si>
  <si>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</si>
  <si>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</si>
  <si>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</si>
  <si>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</si>
  <si>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</si>
  <si>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</si>
  <si>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</si>
  <si>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</si>
  <si>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</si>
  <si>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</si>
  <si>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</si>
  <si>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</si>
  <si>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</si>
  <si>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</si>
  <si>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</si>
  <si>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</si>
  <si>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</si>
  <si>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</si>
  <si>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</si>
  <si>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</si>
  <si>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</si>
  <si>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</si>
  <si>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</si>
  <si>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</si>
  <si>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</si>
  <si>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</si>
  <si>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</si>
  <si>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</si>
  <si>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</si>
  <si>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</si>
  <si>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</si>
  <si>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</si>
  <si>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</si>
  <si>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</si>
  <si>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</si>
  <si>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</si>
  <si>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</si>
  <si>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</si>
  <si>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</si>
  <si>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</si>
  <si>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</si>
  <si>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</si>
  <si>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</si>
  <si>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</si>
  <si>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</si>
  <si>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</si>
  <si>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</si>
  <si>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</si>
  <si>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</si>
  <si>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</si>
  <si>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</si>
  <si>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</si>
  <si>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</si>
  <si>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</si>
  <si>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</si>
  <si>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</si>
  <si>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</si>
  <si>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</si>
  <si>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</si>
  <si>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</si>
  <si>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</si>
  <si>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</si>
  <si>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</si>
  <si>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</si>
  <si>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</si>
  <si>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</si>
  <si>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</si>
  <si>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</si>
  <si>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</si>
  <si>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</si>
  <si>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</si>
  <si>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</si>
  <si>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</si>
  <si>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</si>
  <si>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</si>
  <si>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</si>
  <si>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</si>
  <si>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</si>
  <si>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</si>
  <si>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</si>
  <si>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</si>
  <si>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</si>
  <si>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</si>
  <si>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</si>
  <si>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</si>
  <si>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</si>
  <si>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</si>
  <si>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</si>
  <si>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</si>
  <si>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</si>
  <si>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</si>
  <si>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</si>
  <si>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</si>
  <si>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</si>
  <si>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</si>
  <si>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</si>
  <si>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</si>
  <si>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</si>
  <si>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</si>
  <si>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</si>
  <si>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</si>
  <si>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</si>
  <si>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</si>
  <si>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</si>
  <si>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</si>
  <si>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</si>
  <si>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</si>
  <si>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</si>
  <si>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</si>
  <si>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</si>
  <si>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</si>
  <si>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</si>
  <si>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</si>
  <si>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</si>
  <si>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</si>
  <si>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</si>
  <si>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</si>
  <si>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</si>
  <si>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</si>
  <si>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</si>
  <si>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</si>
  <si>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</si>
  <si>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</si>
  <si>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</si>
  <si>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</si>
  <si>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</si>
  <si>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</si>
  <si>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</si>
  <si>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</si>
  <si>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</si>
  <si>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</si>
  <si>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</si>
  <si>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</si>
  <si>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</si>
  <si>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</si>
  <si>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</si>
  <si>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</si>
  <si>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</si>
  <si>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</si>
  <si>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</si>
  <si>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</si>
  <si>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</si>
  <si>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</si>
  <si>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</si>
  <si>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</si>
  <si>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</si>
  <si>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</si>
  <si>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</si>
  <si>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</si>
  <si>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</si>
  <si>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</si>
  <si>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</si>
  <si>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</si>
  <si>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</si>
  <si>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</si>
  <si>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</si>
  <si>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</si>
  <si>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</si>
  <si>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</si>
  <si>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</si>
  <si>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</si>
  <si>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</si>
  <si>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</si>
  <si>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</si>
  <si>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</si>
  <si>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</si>
  <si>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</si>
  <si>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</si>
  <si>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</si>
  <si>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</si>
  <si>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</si>
  <si>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</si>
  <si>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</si>
  <si>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</si>
  <si>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</si>
  <si>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</si>
  <si>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</si>
  <si>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</si>
  <si>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</si>
  <si>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</si>
  <si>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</si>
  <si>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</si>
  <si>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</si>
  <si>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</si>
  <si>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</si>
  <si>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</si>
  <si>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</si>
  <si>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</si>
  <si>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</si>
  <si>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</si>
  <si>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</si>
  <si>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</si>
  <si>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</si>
  <si>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</si>
  <si>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</si>
  <si>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</si>
  <si>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</si>
  <si>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</si>
  <si>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</si>
  <si>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</si>
  <si>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</si>
  <si>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</si>
  <si>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</si>
  <si>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</si>
  <si>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</si>
  <si>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</si>
  <si>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</si>
  <si>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</si>
  <si>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</si>
  <si>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</si>
  <si>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</si>
  <si>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</si>
  <si>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</si>
  <si>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</si>
  <si>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</si>
  <si>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</si>
  <si>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</si>
  <si>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</si>
  <si>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</si>
  <si>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</si>
  <si>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</si>
  <si>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</si>
  <si>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</si>
  <si>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</si>
  <si>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</si>
  <si>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</si>
  <si>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</si>
  <si>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</si>
  <si>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</si>
  <si>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</si>
  <si>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</si>
  <si>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</si>
  <si>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</si>
  <si>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</si>
  <si>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</si>
  <si>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</si>
  <si>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</si>
  <si>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</si>
  <si>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</si>
  <si>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</si>
  <si>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</si>
  <si>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</si>
  <si>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</si>
  <si>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</si>
  <si>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</si>
  <si>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</si>
  <si>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</si>
  <si>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</si>
  <si>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</si>
  <si>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</si>
  <si>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</si>
  <si>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</si>
  <si>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</si>
  <si>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</si>
  <si>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</si>
  <si>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</si>
  <si>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</si>
  <si>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</si>
  <si>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</si>
  <si>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</si>
  <si>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</si>
  <si>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</si>
  <si>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</si>
  <si>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</si>
  <si>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</si>
  <si>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</si>
  <si>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</si>
  <si>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</si>
  <si>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</si>
  <si>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</si>
  <si>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</si>
  <si>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</si>
  <si>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</si>
  <si>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</si>
  <si>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</si>
  <si>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</si>
  <si>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</si>
  <si>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</si>
  <si>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</si>
  <si>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</si>
  <si>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</si>
  <si>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</si>
  <si>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</si>
  <si>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</si>
  <si>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</si>
  <si>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</si>
  <si>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</si>
  <si>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</si>
  <si>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</si>
  <si>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</si>
  <si>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</si>
  <si>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</si>
  <si>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</si>
  <si>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</si>
  <si>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</si>
  <si>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</si>
  <si>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</si>
  <si>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</si>
  <si>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</si>
  <si>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</si>
  <si>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</si>
  <si>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</si>
  <si>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</si>
  <si>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</si>
  <si>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</si>
  <si>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</si>
  <si>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</si>
  <si>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</si>
  <si>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</si>
  <si>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</si>
  <si>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</si>
  <si>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</si>
  <si>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</si>
  <si>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</si>
  <si>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</si>
  <si>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</si>
  <si>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</si>
  <si>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</si>
  <si>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</si>
  <si>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</si>
  <si>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</si>
  <si>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</si>
  <si>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</si>
  <si>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</si>
  <si>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</si>
  <si>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</si>
  <si>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</si>
  <si>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</si>
  <si>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</si>
  <si>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</si>
  <si>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</si>
  <si>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</si>
  <si>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</si>
  <si>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</si>
  <si>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</si>
  <si>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</si>
  <si>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</si>
  <si>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</si>
  <si>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</si>
  <si>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</si>
  <si>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</si>
  <si>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</si>
  <si>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</si>
  <si>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</si>
  <si>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</si>
  <si>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</si>
  <si>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</si>
  <si>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</si>
  <si>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</si>
  <si>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</si>
  <si>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</si>
  <si>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</si>
  <si>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</si>
  <si>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</si>
  <si>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</si>
  <si>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</si>
  <si>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</si>
  <si>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</si>
  <si>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</si>
  <si>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</si>
  <si>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</si>
  <si>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</si>
  <si>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</si>
  <si>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</si>
  <si>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</si>
  <si>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</si>
  <si>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</si>
  <si>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</si>
  <si>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</si>
  <si>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</si>
  <si>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</si>
  <si>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</si>
  <si>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</si>
  <si>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</si>
  <si>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</si>
  <si>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</si>
  <si>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</si>
  <si>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</si>
  <si>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</si>
  <si>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</si>
  <si>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</si>
  <si>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</si>
  <si>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</si>
  <si>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</si>
  <si>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</si>
  <si>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</si>
  <si>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</si>
  <si>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</si>
  <si>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</si>
  <si>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</si>
  <si>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</si>
  <si>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</si>
  <si>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</si>
  <si>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</si>
  <si>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</si>
  <si>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</si>
  <si>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</si>
  <si>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</si>
  <si>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</si>
  <si>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</si>
  <si>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</si>
  <si>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</si>
  <si>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</si>
  <si>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</si>
  <si>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</si>
  <si>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</si>
  <si>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</si>
  <si>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</si>
  <si>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</si>
  <si>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</si>
  <si>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</si>
  <si>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</si>
  <si>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</si>
  <si>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</si>
  <si>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</si>
  <si>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</si>
  <si>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</si>
  <si>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</si>
  <si>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</si>
  <si>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</si>
  <si>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</si>
  <si>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</si>
  <si>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</si>
  <si>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</si>
  <si>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</si>
  <si>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</si>
  <si>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</si>
  <si>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</si>
  <si>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</si>
  <si>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</si>
  <si>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</si>
  <si>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</si>
  <si>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</si>
  <si>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</si>
  <si>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</si>
  <si>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</si>
  <si>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</si>
  <si>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</si>
  <si>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</si>
  <si>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</si>
  <si>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</si>
  <si>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</si>
  <si>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</si>
  <si>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</si>
  <si>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</si>
  <si>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</si>
  <si>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</si>
  <si>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</si>
  <si>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</si>
  <si>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</si>
  <si>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</si>
  <si>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</si>
  <si>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</si>
  <si>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</si>
  <si>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</si>
  <si>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</si>
  <si>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</si>
  <si>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</si>
  <si>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</si>
  <si>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</si>
  <si>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</si>
  <si>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</si>
  <si>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</si>
  <si>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</si>
  <si>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</si>
  <si>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</si>
  <si>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</si>
  <si>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</si>
  <si>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</si>
  <si>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</si>
  <si>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980x1370</t>
  </si>
  <si>
    <t>PROGRAMAÇÃO ONDULADEIRA - Tolecaixas Indústria e Comércio Ltda  —  OF: 001264</t>
  </si>
  <si>
    <t>086</t>
  </si>
  <si>
    <t>183x215x183</t>
  </si>
  <si>
    <t>1182x1926</t>
  </si>
  <si>
    <t>446x2340</t>
  </si>
  <si>
    <t>80x88x90x88x80</t>
  </si>
  <si>
    <t>1774</t>
  </si>
  <si>
    <t>24/09/2026</t>
  </si>
  <si>
    <t>903x1555</t>
  </si>
  <si>
    <t>1807</t>
  </si>
  <si>
    <t>956x1849</t>
  </si>
  <si>
    <t>1800</t>
  </si>
  <si>
    <t>1160x1832</t>
  </si>
  <si>
    <t>1292x1501</t>
  </si>
  <si>
    <t>349x574x349</t>
  </si>
  <si>
    <t>1762</t>
  </si>
  <si>
    <t>680x2070</t>
  </si>
  <si>
    <t>1781</t>
  </si>
  <si>
    <t>680x1885</t>
  </si>
  <si>
    <t>680x1715</t>
  </si>
  <si>
    <t>680x1405</t>
  </si>
  <si>
    <t>1320x2073</t>
  </si>
  <si>
    <t>1809</t>
  </si>
  <si>
    <t>1324x2146</t>
  </si>
  <si>
    <t>1806</t>
  </si>
  <si>
    <t>1379x2215</t>
  </si>
  <si>
    <t>253x853x253</t>
  </si>
  <si>
    <t>1799</t>
  </si>
  <si>
    <t>1158x1617</t>
  </si>
  <si>
    <t>334x470x334</t>
  </si>
  <si>
    <t>1736</t>
  </si>
  <si>
    <t>15/09/2026</t>
  </si>
  <si>
    <t>PROGRAMAÇÃO ONDULADEIRA - PCBOX EMBALAGENS LTDA - IPE EMBALAGENS LTDA  —  OF: 001266</t>
  </si>
  <si>
    <t>980x1880</t>
  </si>
  <si>
    <t>08/10/2026</t>
  </si>
  <si>
    <t>084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</si>
</sst>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7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b/>
      <sz val="13"/>
      <color rgb="FF0F1E2E"/>
      <name val="Calibri"/>
      <family val="2"/>
    </font>
    <font>
      <sz val="11"/>
      <color theme="1"/>
      <name val="Calibri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5">
    <xf numFmtId="0" fontId="0" fillId="0" borderId="0"/>
    <xf numFmtId="0" fontId="2" fillId="0" borderId="0"/>
    <xf numFmtId="0" fontId="4" fillId="0" borderId="0"/>
    <xf numFmtId="0" fontId="14" fillId="0" borderId="0"/>
    <xf numFmtId="0" fontId="26" fillId="0" borderId="0"/>
  </cellStyleXfs>
  <cellXfs count="203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0" fontId="12" fillId="3" borderId="1" xfId="3" applyFont="1" applyFill="1" applyBorder="1" applyAlignment="1">
      <alignment horizontal="center" vertical="center"/>
    </xf>
    <xf numFmtId="0" fontId="0" fillId="0" borderId="0" xfId="0"/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4" fillId="0" borderId="1" xfId="3" applyFill="1" applyBorder="1" applyAlignment="1">
      <alignment horizontal="center" vertical="center"/>
    </xf>
    <xf numFmtId="0" fontId="15" fillId="0" borderId="1" xfId="3" applyFont="1" applyFill="1" applyBorder="1" applyAlignment="1">
      <alignment horizontal="center" vertical="center"/>
    </xf>
    <xf numFmtId="164" fontId="14" fillId="0" borderId="1" xfId="3" applyNumberFormat="1" applyFill="1" applyBorder="1" applyAlignment="1">
      <alignment horizontal="center" vertical="center"/>
    </xf>
    <xf numFmtId="165" fontId="14" fillId="0" borderId="1" xfId="3" applyNumberFormat="1" applyFill="1" applyBorder="1" applyAlignment="1">
      <alignment horizontal="center" vertical="center"/>
    </xf>
    <xf numFmtId="166" fontId="14" fillId="0" borderId="1" xfId="3" applyNumberFormat="1" applyFill="1" applyBorder="1" applyAlignment="1">
      <alignment horizontal="center" vertical="center"/>
    </xf>
    <xf numFmtId="2" fontId="14" fillId="0" borderId="1" xfId="3" applyNumberFormat="1" applyFill="1" applyBorder="1" applyAlignment="1">
      <alignment horizontal="center" vertical="center"/>
    </xf>
    <xf numFmtId="0" fontId="14" fillId="0" borderId="0" xfId="3" applyFill="1"/>
    <xf numFmtId="14" fontId="14" fillId="0" borderId="1" xfId="3" applyNumberFormat="1" applyFill="1" applyBorder="1" applyAlignment="1">
      <alignment horizontal="center" vertical="center"/>
    </xf>
    <xf numFmtId="0" fontId="21" fillId="4" borderId="1" xfId="3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3" fillId="3" borderId="1" xfId="3" applyFont="1" applyFill="1" applyBorder="1" applyAlignment="1">
      <alignment horizontal="center" vertical="center"/>
    </xf>
    <xf numFmtId="0" fontId="24" fillId="3" borderId="1" xfId="3" applyFont="1" applyFill="1" applyBorder="1" applyAlignment="1">
      <alignment horizontal="center" vertical="center"/>
    </xf>
    <xf numFmtId="164" fontId="24" fillId="3" borderId="1" xfId="3" applyNumberFormat="1" applyFont="1" applyFill="1" applyBorder="1" applyAlignment="1">
      <alignment horizontal="center" vertical="center"/>
    </xf>
    <xf numFmtId="165" fontId="24" fillId="3" borderId="1" xfId="3" applyNumberFormat="1" applyFont="1" applyFill="1" applyBorder="1" applyAlignment="1">
      <alignment horizontal="center" vertical="center"/>
    </xf>
    <xf numFmtId="166" fontId="24" fillId="3" borderId="1" xfId="3" applyNumberFormat="1" applyFont="1" applyFill="1" applyBorder="1" applyAlignment="1">
      <alignment horizontal="center" vertical="center"/>
    </xf>
    <xf numFmtId="2" fontId="24" fillId="3" borderId="1" xfId="3" applyNumberFormat="1" applyFont="1" applyFill="1" applyBorder="1" applyAlignment="1">
      <alignment horizontal="center" vertical="center"/>
    </xf>
    <xf numFmtId="14" fontId="24" fillId="3" borderId="1" xfId="3" applyNumberFormat="1" applyFont="1" applyFill="1" applyBorder="1" applyAlignment="1">
      <alignment horizontal="center" vertical="center"/>
    </xf>
    <xf numFmtId="0" fontId="23" fillId="2" borderId="1" xfId="3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right"/>
    </xf>
    <xf numFmtId="0" fontId="3" fillId="2" borderId="1" xfId="1" applyFont="1" applyFill="1" applyBorder="1" applyAlignment="1">
      <alignment horizontal="left"/>
    </xf>
    <xf numFmtId="0" fontId="2" fillId="3" borderId="1" xfId="1" applyFill="1" applyBorder="1" applyAlignment="1">
      <alignment horizontal="right"/>
    </xf>
    <xf numFmtId="166" fontId="2" fillId="3" borderId="1" xfId="1" applyNumberFormat="1" applyFill="1" applyBorder="1" applyAlignment="1">
      <alignment horizontal="right"/>
    </xf>
    <xf numFmtId="164" fontId="2" fillId="3" borderId="1" xfId="1" applyNumberFormat="1" applyFill="1" applyBorder="1" applyAlignment="1">
      <alignment horizontal="right"/>
    </xf>
    <xf numFmtId="2" fontId="2" fillId="3" borderId="1" xfId="1" applyNumberFormat="1" applyFill="1" applyBorder="1" applyAlignment="1">
      <alignment horizontal="right"/>
    </xf>
    <xf numFmtId="165" fontId="2" fillId="3" borderId="1" xfId="1" applyNumberFormat="1" applyFill="1" applyBorder="1" applyAlignment="1">
      <alignment horizontal="right"/>
    </xf>
    <xf numFmtId="0" fontId="2" fillId="3" borderId="1" xfId="1" applyFill="1" applyBorder="1" applyAlignment="1">
      <alignment horizontal="left"/>
    </xf>
    <xf numFmtId="164" fontId="2" fillId="3" borderId="1" xfId="1" applyNumberFormat="1" applyFill="1" applyBorder="1" applyAlignment="1">
      <alignment horizontal="left"/>
    </xf>
    <xf numFmtId="0" fontId="3" fillId="3" borderId="1" xfId="1" applyFont="1" applyFill="1" applyBorder="1" applyAlignment="1">
      <alignment horizontal="left"/>
    </xf>
    <xf numFmtId="0" fontId="2" fillId="0" borderId="0" xfId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166" fontId="2" fillId="3" borderId="1" xfId="0" applyNumberFormat="1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8" fillId="3" borderId="1" xfId="3" applyFont="1" applyFill="1" applyBorder="1" applyAlignment="1">
      <alignment horizontal="center" vertical="center"/>
    </xf>
    <xf numFmtId="164" fontId="12" fillId="3" borderId="1" xfId="3" applyNumberFormat="1" applyFont="1" applyFill="1" applyBorder="1" applyAlignment="1">
      <alignment horizontal="center" vertical="center"/>
    </xf>
    <xf numFmtId="165" fontId="12" fillId="3" borderId="1" xfId="3" applyNumberFormat="1" applyFont="1" applyFill="1" applyBorder="1" applyAlignment="1">
      <alignment horizontal="center" vertical="center"/>
    </xf>
    <xf numFmtId="166" fontId="12" fillId="3" borderId="1" xfId="3" applyNumberFormat="1" applyFont="1" applyFill="1" applyBorder="1" applyAlignment="1">
      <alignment horizontal="center" vertical="center"/>
    </xf>
    <xf numFmtId="2" fontId="12" fillId="3" borderId="1" xfId="3" applyNumberFormat="1" applyFont="1" applyFill="1" applyBorder="1" applyAlignment="1">
      <alignment horizontal="center" vertical="center"/>
    </xf>
    <xf numFmtId="0" fontId="12" fillId="0" borderId="0" xfId="3" applyFont="1" applyAlignment="1">
      <alignment horizontal="center" vertical="center"/>
    </xf>
    <xf numFmtId="0" fontId="14" fillId="7" borderId="1" xfId="3" applyFill="1" applyBorder="1" applyAlignment="1">
      <alignment horizontal="center" vertical="center"/>
    </xf>
    <xf numFmtId="0" fontId="15" fillId="7" borderId="1" xfId="3" applyFont="1" applyFill="1" applyBorder="1" applyAlignment="1">
      <alignment horizontal="center" vertical="center"/>
    </xf>
    <xf numFmtId="164" fontId="14" fillId="7" borderId="1" xfId="3" applyNumberFormat="1" applyFill="1" applyBorder="1" applyAlignment="1">
      <alignment horizontal="center" vertical="center"/>
    </xf>
    <xf numFmtId="165" fontId="14" fillId="7" borderId="1" xfId="3" applyNumberFormat="1" applyFill="1" applyBorder="1" applyAlignment="1">
      <alignment horizontal="center" vertical="center"/>
    </xf>
    <xf numFmtId="166" fontId="14" fillId="7" borderId="1" xfId="3" applyNumberFormat="1" applyFill="1" applyBorder="1" applyAlignment="1">
      <alignment horizontal="center" vertical="center"/>
    </xf>
    <xf numFmtId="2" fontId="14" fillId="7" borderId="1" xfId="3" applyNumberFormat="1" applyFill="1" applyBorder="1" applyAlignment="1">
      <alignment horizontal="center" vertical="center"/>
    </xf>
    <xf numFmtId="0" fontId="14" fillId="7" borderId="0" xfId="3" applyFill="1"/>
    <xf numFmtId="164" fontId="22" fillId="0" borderId="0" xfId="0" applyNumberFormat="1" applyFont="1" applyAlignment="1">
      <alignment horizontal="center" vertical="center"/>
    </xf>
    <xf numFmtId="0" fontId="12" fillId="0" borderId="0" xfId="3" applyFont="1"/>
    <xf numFmtId="0" fontId="3" fillId="2" borderId="1" xfId="3" applyFont="1" applyFill="1" applyBorder="1" applyAlignment="1">
      <alignment horizontal="right"/>
    </xf>
    <xf numFmtId="0" fontId="3" fillId="2" borderId="1" xfId="3" applyFont="1" applyFill="1" applyBorder="1" applyAlignment="1">
      <alignment horizontal="left"/>
    </xf>
    <xf numFmtId="0" fontId="2" fillId="3" borderId="1" xfId="3" applyFont="1" applyFill="1" applyBorder="1" applyAlignment="1">
      <alignment horizontal="right"/>
    </xf>
    <xf numFmtId="166" fontId="2" fillId="3" borderId="1" xfId="3" applyNumberFormat="1" applyFont="1" applyFill="1" applyBorder="1" applyAlignment="1">
      <alignment horizontal="right"/>
    </xf>
    <xf numFmtId="164" fontId="2" fillId="3" borderId="1" xfId="3" applyNumberFormat="1" applyFont="1" applyFill="1" applyBorder="1" applyAlignment="1">
      <alignment horizontal="right"/>
    </xf>
    <xf numFmtId="2" fontId="2" fillId="3" borderId="1" xfId="3" applyNumberFormat="1" applyFont="1" applyFill="1" applyBorder="1" applyAlignment="1">
      <alignment horizontal="right"/>
    </xf>
    <xf numFmtId="165" fontId="2" fillId="3" borderId="1" xfId="3" applyNumberFormat="1" applyFont="1" applyFill="1" applyBorder="1" applyAlignment="1">
      <alignment horizontal="right"/>
    </xf>
    <xf numFmtId="0" fontId="2" fillId="3" borderId="1" xfId="3" applyFont="1" applyFill="1" applyBorder="1" applyAlignment="1">
      <alignment horizontal="left"/>
    </xf>
    <xf numFmtId="164" fontId="2" fillId="3" borderId="1" xfId="3" applyNumberFormat="1" applyFont="1" applyFill="1" applyBorder="1" applyAlignment="1">
      <alignment horizontal="left"/>
    </xf>
    <xf numFmtId="0" fontId="3" fillId="3" borderId="1" xfId="3" applyFont="1" applyFill="1" applyBorder="1" applyAlignment="1">
      <alignment horizontal="left"/>
    </xf>
    <xf numFmtId="0" fontId="1" fillId="4" borderId="1" xfId="3" applyFont="1" applyFill="1" applyBorder="1" applyAlignment="1">
      <alignment horizontal="center" vertical="center" wrapText="1"/>
    </xf>
    <xf numFmtId="0" fontId="14" fillId="6" borderId="1" xfId="3" applyFill="1" applyBorder="1" applyAlignment="1">
      <alignment horizontal="center" vertical="center"/>
    </xf>
    <xf numFmtId="0" fontId="15" fillId="6" borderId="1" xfId="3" applyFont="1" applyFill="1" applyBorder="1" applyAlignment="1">
      <alignment horizontal="center" vertical="center"/>
    </xf>
    <xf numFmtId="164" fontId="14" fillId="6" borderId="1" xfId="3" applyNumberFormat="1" applyFill="1" applyBorder="1" applyAlignment="1">
      <alignment horizontal="center" vertical="center"/>
    </xf>
    <xf numFmtId="165" fontId="14" fillId="6" borderId="1" xfId="3" applyNumberFormat="1" applyFill="1" applyBorder="1" applyAlignment="1">
      <alignment horizontal="center" vertical="center"/>
    </xf>
    <xf numFmtId="166" fontId="14" fillId="6" borderId="1" xfId="3" applyNumberFormat="1" applyFill="1" applyBorder="1" applyAlignment="1">
      <alignment horizontal="center" vertical="center"/>
    </xf>
    <xf numFmtId="2" fontId="14" fillId="6" borderId="1" xfId="3" applyNumberFormat="1" applyFill="1" applyBorder="1" applyAlignment="1">
      <alignment horizontal="center" vertical="center"/>
    </xf>
    <xf numFmtId="1" fontId="2" fillId="0" borderId="0" xfId="1" applyNumberFormat="1"/>
    <xf numFmtId="1" fontId="3" fillId="2" borderId="1" xfId="1" applyNumberFormat="1" applyFont="1" applyFill="1" applyBorder="1" applyAlignment="1">
      <alignment horizontal="left"/>
    </xf>
    <xf numFmtId="1" fontId="2" fillId="3" borderId="1" xfId="1" applyNumberFormat="1" applyFill="1" applyBorder="1" applyAlignment="1">
      <alignment horizontal="left"/>
    </xf>
    <xf numFmtId="1" fontId="1" fillId="4" borderId="1" xfId="1" applyNumberFormat="1" applyFont="1" applyFill="1" applyBorder="1" applyAlignment="1">
      <alignment horizontal="center" vertical="center" wrapText="1"/>
    </xf>
    <xf numFmtId="0" fontId="14" fillId="6" borderId="0" xfId="3" applyFill="1" applyAlignment="1">
      <alignment horizontal="center" vertical="center"/>
    </xf>
    <xf numFmtId="0" fontId="2" fillId="3" borderId="1" xfId="3" applyFont="1" applyFill="1" applyBorder="1" applyAlignment="1">
      <alignment horizontal="center" vertical="center"/>
    </xf>
    <xf numFmtId="0" fontId="3" fillId="3" borderId="1" xfId="3" applyFont="1" applyFill="1" applyBorder="1" applyAlignment="1">
      <alignment horizontal="center" vertical="center"/>
    </xf>
    <xf numFmtId="164" fontId="2" fillId="3" borderId="1" xfId="3" applyNumberFormat="1" applyFont="1" applyFill="1" applyBorder="1" applyAlignment="1">
      <alignment horizontal="center" vertical="center"/>
    </xf>
    <xf numFmtId="165" fontId="2" fillId="3" borderId="1" xfId="3" applyNumberFormat="1" applyFont="1" applyFill="1" applyBorder="1" applyAlignment="1">
      <alignment horizontal="center" vertical="center"/>
    </xf>
    <xf numFmtId="166" fontId="2" fillId="3" borderId="1" xfId="3" applyNumberFormat="1" applyFont="1" applyFill="1" applyBorder="1" applyAlignment="1">
      <alignment horizontal="center" vertical="center"/>
    </xf>
    <xf numFmtId="2" fontId="2" fillId="3" borderId="1" xfId="3" applyNumberFormat="1" applyFont="1" applyFill="1" applyBorder="1" applyAlignment="1">
      <alignment horizontal="center" vertical="center"/>
    </xf>
    <xf numFmtId="0" fontId="16" fillId="4" borderId="3" xfId="3" applyFont="1" applyFill="1" applyBorder="1" applyAlignment="1">
      <alignment horizontal="center" vertical="center" wrapText="1"/>
    </xf>
    <xf numFmtId="0" fontId="15" fillId="2" borderId="4" xfId="3" applyFont="1" applyFill="1" applyBorder="1" applyAlignment="1">
      <alignment horizontal="center" vertical="center"/>
    </xf>
    <xf numFmtId="0" fontId="14" fillId="6" borderId="2" xfId="3" applyFill="1" applyBorder="1" applyAlignment="1">
      <alignment horizontal="center" vertical="center"/>
    </xf>
    <xf numFmtId="0" fontId="15" fillId="6" borderId="2" xfId="3" applyFont="1" applyFill="1" applyBorder="1" applyAlignment="1">
      <alignment horizontal="center" vertical="center"/>
    </xf>
    <xf numFmtId="164" fontId="14" fillId="6" borderId="2" xfId="3" applyNumberFormat="1" applyFill="1" applyBorder="1" applyAlignment="1">
      <alignment horizontal="center" vertical="center"/>
    </xf>
    <xf numFmtId="165" fontId="14" fillId="6" borderId="2" xfId="3" applyNumberFormat="1" applyFill="1" applyBorder="1" applyAlignment="1">
      <alignment horizontal="center" vertical="center"/>
    </xf>
    <xf numFmtId="166" fontId="14" fillId="6" borderId="2" xfId="3" applyNumberFormat="1" applyFill="1" applyBorder="1" applyAlignment="1">
      <alignment horizontal="center" vertical="center"/>
    </xf>
    <xf numFmtId="2" fontId="14" fillId="6" borderId="2" xfId="3" applyNumberFormat="1" applyFill="1" applyBorder="1" applyAlignment="1">
      <alignment horizontal="center" vertical="center"/>
    </xf>
    <xf numFmtId="0" fontId="26" fillId="6" borderId="2" xfId="4" applyFill="1" applyBorder="1" applyAlignment="1">
      <alignment horizontal="center" vertical="center"/>
    </xf>
    <xf numFmtId="0" fontId="2" fillId="6" borderId="2" xfId="1" applyFill="1" applyBorder="1" applyAlignment="1">
      <alignment horizontal="center" vertical="center"/>
    </xf>
    <xf numFmtId="0" fontId="3" fillId="6" borderId="2" xfId="1" applyFont="1" applyFill="1" applyBorder="1" applyAlignment="1">
      <alignment horizontal="center" vertical="center"/>
    </xf>
    <xf numFmtId="164" fontId="2" fillId="6" borderId="2" xfId="1" applyNumberFormat="1" applyFill="1" applyBorder="1" applyAlignment="1">
      <alignment horizontal="center" vertical="center"/>
    </xf>
    <xf numFmtId="165" fontId="2" fillId="6" borderId="2" xfId="1" applyNumberFormat="1" applyFill="1" applyBorder="1" applyAlignment="1">
      <alignment horizontal="center" vertical="center"/>
    </xf>
    <xf numFmtId="166" fontId="2" fillId="6" borderId="2" xfId="1" applyNumberFormat="1" applyFill="1" applyBorder="1" applyAlignment="1">
      <alignment horizontal="center" vertical="center"/>
    </xf>
    <xf numFmtId="2" fontId="2" fillId="6" borderId="2" xfId="1" applyNumberFormat="1" applyFill="1" applyBorder="1" applyAlignment="1">
      <alignment horizontal="center" vertical="center"/>
    </xf>
    <xf numFmtId="0" fontId="6" fillId="0" borderId="0" xfId="3" applyFont="1"/>
    <xf numFmtId="0" fontId="25" fillId="0" borderId="0" xfId="1" applyFont="1"/>
    <xf numFmtId="0" fontId="17" fillId="0" borderId="0" xfId="3" applyFont="1"/>
    <xf numFmtId="0" fontId="6" fillId="0" borderId="0" xfId="1" applyFont="1"/>
    <xf numFmtId="0" fontId="6" fillId="0" borderId="0" xfId="1" applyFont="1" applyAlignment="1">
      <alignment vertical="center"/>
    </xf>
    <xf numFmtId="0" fontId="20" fillId="0" borderId="0" xfId="3" applyFont="1"/>
    <xf numFmtId="0" fontId="6" fillId="0" borderId="0" xfId="3" applyFont="1" applyAlignment="1">
      <alignment horizontal="center" vertical="center"/>
    </xf>
    <xf numFmtId="0" fontId="11" fillId="0" borderId="0" xfId="1" applyFont="1"/>
    <xf numFmtId="0" fontId="6" fillId="0" borderId="0" xfId="2" applyFont="1"/>
  </cellXfs>
  <cellStyles count="5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2BD0-01B8-40A4-86C4-0C407CD88084}">
  <sheetPr>
    <pageSetUpPr fitToPage="1"/>
  </sheetPr>
  <dimension ref="A1:AC17"/>
  <sheetViews>
    <sheetView workbookViewId="0">
      <selection sqref="A1:AC1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55468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6.33203125" style="33" customWidth="1"/>
    <col min="8" max="8" width="7.109375" style="33" customWidth="1"/>
    <col min="9" max="9" width="8.77734375" style="33" customWidth="1"/>
    <col min="10" max="10" width="8.109375" style="33" customWidth="1"/>
    <col min="11" max="11" width="17" style="33" customWidth="1"/>
    <col min="12" max="12" width="8.77734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77734375" style="33" customWidth="1"/>
    <col min="18" max="18" width="4.88671875" style="33" customWidth="1"/>
    <col min="19" max="19" width="7.21875" style="33" customWidth="1"/>
    <col min="20" max="20" width="6" style="33" customWidth="1"/>
    <col min="21" max="21" width="11.77734375" style="33" hidden="1" customWidth="1"/>
    <col min="22" max="22" width="8.77734375" style="33" hidden="1" customWidth="1"/>
    <col min="23" max="23" width="8" style="33" customWidth="1"/>
    <col min="24" max="25" width="7.5546875" style="33" customWidth="1"/>
    <col min="26" max="26" width="7.44140625" style="33" customWidth="1"/>
    <col min="27" max="27" width="7" style="33" customWidth="1"/>
    <col min="28" max="28" width="3.77734375" style="33" customWidth="1"/>
    <col min="29" max="29" width="11.21875" style="33" customWidth="1"/>
    <col min="30" max="16384" width="8.88671875" style="33"/>
  </cols>
  <sheetData>
    <row r="1" spans="1:29" ht="18" customHeight="1" x14ac:dyDescent="0.35">
      <c r="A1" s="194" t="s">
        <v>697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  <c r="AC1" s="194" t="s">
        <v>27</v>
      </c>
    </row>
    <row r="2" spans="1:29" ht="40.799999999999997" customHeight="1" x14ac:dyDescent="0.3">
      <c r="A2" s="179" t="s">
        <v>0</v>
      </c>
      <c r="B2" s="179" t="s">
        <v>36</v>
      </c>
      <c r="C2" s="179" t="s">
        <v>1</v>
      </c>
      <c r="D2" s="179" t="s">
        <v>2</v>
      </c>
      <c r="E2" s="179" t="s">
        <v>53</v>
      </c>
      <c r="F2" s="179" t="s">
        <v>4</v>
      </c>
      <c r="G2" s="179" t="s">
        <v>5</v>
      </c>
      <c r="H2" s="179" t="s">
        <v>6</v>
      </c>
      <c r="I2" s="179" t="s">
        <v>7</v>
      </c>
      <c r="J2" s="179" t="s">
        <v>27</v>
      </c>
      <c r="K2" s="179" t="s">
        <v>8</v>
      </c>
      <c r="L2" s="179" t="s">
        <v>27</v>
      </c>
      <c r="M2" s="179" t="s">
        <v>9</v>
      </c>
      <c r="N2" s="179" t="s">
        <v>10</v>
      </c>
      <c r="O2" s="179" t="s">
        <v>11</v>
      </c>
      <c r="P2" s="179" t="s">
        <v>12</v>
      </c>
      <c r="Q2" s="179" t="s">
        <v>13</v>
      </c>
      <c r="R2" s="179" t="s">
        <v>14</v>
      </c>
      <c r="S2" s="179" t="s">
        <v>15</v>
      </c>
      <c r="T2" s="179" t="s">
        <v>16</v>
      </c>
      <c r="U2" s="179" t="s">
        <v>17</v>
      </c>
      <c r="V2" s="179" t="s">
        <v>18</v>
      </c>
      <c r="W2" s="179" t="s">
        <v>19</v>
      </c>
      <c r="X2" s="179" t="s">
        <v>20</v>
      </c>
      <c r="Y2" s="179" t="s">
        <v>21</v>
      </c>
      <c r="Z2" s="179" t="s">
        <v>22</v>
      </c>
      <c r="AA2" s="179" t="s">
        <v>23</v>
      </c>
      <c r="AB2" s="179" t="s">
        <v>24</v>
      </c>
      <c r="AC2" s="179" t="s">
        <v>25</v>
      </c>
    </row>
    <row r="3" spans="1:29" s="172" customFormat="1" ht="25.05" customHeight="1" x14ac:dyDescent="0.3">
      <c r="A3" s="181">
        <v>1</v>
      </c>
      <c r="B3" s="182" t="s">
        <v>90</v>
      </c>
      <c r="C3" s="181" t="s">
        <v>44</v>
      </c>
      <c r="D3" s="181" t="s">
        <v>696</v>
      </c>
      <c r="E3" s="181">
        <v>262920</v>
      </c>
      <c r="F3" s="181" t="s">
        <v>695</v>
      </c>
      <c r="G3" s="181">
        <v>160</v>
      </c>
      <c r="H3" s="183">
        <v>1.1379999999999999</v>
      </c>
      <c r="I3" s="183">
        <v>1.597</v>
      </c>
      <c r="J3" s="181" t="s">
        <v>27</v>
      </c>
      <c r="K3" s="181" t="s">
        <v>694</v>
      </c>
      <c r="L3" s="181"/>
      <c r="M3" s="183">
        <v>290.78199999999998</v>
      </c>
      <c r="N3" s="184">
        <v>255.5</v>
      </c>
      <c r="O3" s="185">
        <v>7.0999999999999994E-2</v>
      </c>
      <c r="P3" s="186">
        <v>4.26</v>
      </c>
      <c r="Q3" s="181">
        <v>165.2</v>
      </c>
      <c r="R3" s="181">
        <v>1</v>
      </c>
      <c r="S3" s="181">
        <v>1200</v>
      </c>
      <c r="T3" s="183">
        <v>1.1379999999999999</v>
      </c>
      <c r="U3" s="181">
        <v>62</v>
      </c>
      <c r="V3" s="185">
        <v>5.1700000000000003E-2</v>
      </c>
      <c r="W3" s="181" t="s">
        <v>34</v>
      </c>
      <c r="X3" s="181" t="s">
        <v>39</v>
      </c>
      <c r="Y3" s="181" t="s">
        <v>34</v>
      </c>
      <c r="Z3" s="181" t="s">
        <v>34</v>
      </c>
      <c r="AA3" s="181" t="s">
        <v>34</v>
      </c>
      <c r="AB3" s="181" t="s">
        <v>38</v>
      </c>
      <c r="AC3" s="181" t="s">
        <v>693</v>
      </c>
    </row>
    <row r="4" spans="1:29" s="172" customFormat="1" ht="25.05" customHeight="1" x14ac:dyDescent="0.3">
      <c r="A4" s="187">
        <v>6</v>
      </c>
      <c r="B4" s="182" t="s">
        <v>92</v>
      </c>
      <c r="C4" s="181" t="s">
        <v>44</v>
      </c>
      <c r="D4" s="181" t="s">
        <v>222</v>
      </c>
      <c r="E4" s="181">
        <v>252635</v>
      </c>
      <c r="F4" s="181" t="s">
        <v>223</v>
      </c>
      <c r="G4" s="181">
        <v>5000</v>
      </c>
      <c r="H4" s="183">
        <v>0.55900000000000005</v>
      </c>
      <c r="I4" s="183">
        <v>1.389</v>
      </c>
      <c r="J4" s="183"/>
      <c r="K4" s="187" t="s">
        <v>33</v>
      </c>
      <c r="L4" s="183"/>
      <c r="M4" s="184">
        <v>3472.5</v>
      </c>
      <c r="N4" s="185">
        <v>0.48230000000000001</v>
      </c>
      <c r="O4" s="186">
        <v>28.94</v>
      </c>
      <c r="P4" s="186"/>
      <c r="Q4" s="181">
        <v>2205.1</v>
      </c>
      <c r="R4" s="181">
        <v>2</v>
      </c>
      <c r="S4" s="181">
        <v>1150</v>
      </c>
      <c r="T4" s="183">
        <v>1.1180000000000001</v>
      </c>
      <c r="U4" s="181">
        <v>32</v>
      </c>
      <c r="V4" s="185">
        <v>2.7799999999999998E-2</v>
      </c>
      <c r="W4" s="181" t="s">
        <v>34</v>
      </c>
      <c r="X4" s="181" t="s">
        <v>39</v>
      </c>
      <c r="Y4" s="181" t="s">
        <v>34</v>
      </c>
      <c r="Z4" s="181" t="s">
        <v>34</v>
      </c>
      <c r="AA4" s="181" t="s">
        <v>34</v>
      </c>
      <c r="AB4" s="181" t="s">
        <v>66</v>
      </c>
      <c r="AC4" s="181" t="s">
        <v>91</v>
      </c>
    </row>
    <row r="5" spans="1:29" s="172" customFormat="1" ht="25.05" customHeight="1" x14ac:dyDescent="0.3">
      <c r="A5" s="181">
        <v>2</v>
      </c>
      <c r="B5" s="182" t="s">
        <v>92</v>
      </c>
      <c r="C5" s="181" t="s">
        <v>35</v>
      </c>
      <c r="D5" s="181" t="s">
        <v>576</v>
      </c>
      <c r="E5" s="181">
        <v>262928</v>
      </c>
      <c r="F5" s="181" t="s">
        <v>692</v>
      </c>
      <c r="G5" s="181">
        <v>1000</v>
      </c>
      <c r="H5" s="183">
        <v>1.359</v>
      </c>
      <c r="I5" s="183">
        <v>2.1949999999999998</v>
      </c>
      <c r="J5" s="181" t="s">
        <v>27</v>
      </c>
      <c r="K5" s="181" t="s">
        <v>691</v>
      </c>
      <c r="L5" s="181"/>
      <c r="M5" s="183">
        <v>2983.0050000000001</v>
      </c>
      <c r="N5" s="184">
        <v>2195</v>
      </c>
      <c r="O5" s="185">
        <v>0.60970000000000002</v>
      </c>
      <c r="P5" s="186">
        <v>36.58</v>
      </c>
      <c r="Q5" s="181">
        <v>939.6</v>
      </c>
      <c r="R5" s="181">
        <v>1</v>
      </c>
      <c r="S5" s="181">
        <v>1400</v>
      </c>
      <c r="T5" s="183">
        <v>1.359</v>
      </c>
      <c r="U5" s="181">
        <v>41</v>
      </c>
      <c r="V5" s="185">
        <v>2.93E-2</v>
      </c>
      <c r="W5" s="181" t="s">
        <v>28</v>
      </c>
      <c r="X5" s="181" t="s">
        <v>28</v>
      </c>
      <c r="Y5" s="181" t="s">
        <v>28</v>
      </c>
      <c r="Z5" s="181" t="s">
        <v>27</v>
      </c>
      <c r="AA5" s="181" t="s">
        <v>27</v>
      </c>
      <c r="AB5" s="181" t="s">
        <v>30</v>
      </c>
      <c r="AC5" s="181" t="s">
        <v>690</v>
      </c>
    </row>
    <row r="6" spans="1:29" s="172" customFormat="1" ht="25.05" customHeight="1" x14ac:dyDescent="0.3">
      <c r="A6" s="181">
        <v>1</v>
      </c>
      <c r="B6" s="182" t="s">
        <v>92</v>
      </c>
      <c r="C6" s="181" t="s">
        <v>35</v>
      </c>
      <c r="D6" s="181" t="s">
        <v>599</v>
      </c>
      <c r="E6" s="181">
        <v>262884</v>
      </c>
      <c r="F6" s="181" t="s">
        <v>689</v>
      </c>
      <c r="G6" s="181">
        <v>200</v>
      </c>
      <c r="H6" s="183">
        <v>1.304</v>
      </c>
      <c r="I6" s="183">
        <v>2.1259999999999999</v>
      </c>
      <c r="J6" s="183"/>
      <c r="K6" s="181" t="s">
        <v>33</v>
      </c>
      <c r="L6" s="183"/>
      <c r="M6" s="184">
        <v>425.2</v>
      </c>
      <c r="N6" s="185">
        <v>0.1181</v>
      </c>
      <c r="O6" s="186">
        <v>7.09</v>
      </c>
      <c r="P6" s="186"/>
      <c r="Q6" s="181">
        <v>174.7</v>
      </c>
      <c r="R6" s="181">
        <v>1</v>
      </c>
      <c r="S6" s="181">
        <v>1350</v>
      </c>
      <c r="T6" s="183">
        <v>1.304</v>
      </c>
      <c r="U6" s="181">
        <v>46</v>
      </c>
      <c r="V6" s="185">
        <v>3.4099999999999998E-2</v>
      </c>
      <c r="W6" s="181" t="s">
        <v>28</v>
      </c>
      <c r="X6" s="181" t="s">
        <v>28</v>
      </c>
      <c r="Y6" s="181" t="s">
        <v>28</v>
      </c>
      <c r="Z6" s="181" t="s">
        <v>27</v>
      </c>
      <c r="AA6" s="181" t="s">
        <v>27</v>
      </c>
      <c r="AB6" s="181" t="s">
        <v>38</v>
      </c>
      <c r="AC6" s="181" t="s">
        <v>688</v>
      </c>
    </row>
    <row r="7" spans="1:29" s="172" customFormat="1" ht="25.05" customHeight="1" x14ac:dyDescent="0.3">
      <c r="A7" s="181">
        <v>3</v>
      </c>
      <c r="B7" s="182" t="s">
        <v>92</v>
      </c>
      <c r="C7" s="181" t="s">
        <v>35</v>
      </c>
      <c r="D7" s="181" t="s">
        <v>576</v>
      </c>
      <c r="E7" s="181">
        <v>262929</v>
      </c>
      <c r="F7" s="181" t="s">
        <v>687</v>
      </c>
      <c r="G7" s="181">
        <v>170</v>
      </c>
      <c r="H7" s="183">
        <v>1.3</v>
      </c>
      <c r="I7" s="183">
        <v>2.0529999999999999</v>
      </c>
      <c r="J7" s="181" t="s">
        <v>27</v>
      </c>
      <c r="K7" s="181" t="s">
        <v>33</v>
      </c>
      <c r="L7" s="181"/>
      <c r="M7" s="183">
        <v>453.71300000000002</v>
      </c>
      <c r="N7" s="184">
        <v>349</v>
      </c>
      <c r="O7" s="185">
        <v>9.69E-2</v>
      </c>
      <c r="P7" s="186">
        <v>5.82</v>
      </c>
      <c r="Q7" s="181">
        <v>142.9</v>
      </c>
      <c r="R7" s="181">
        <v>1</v>
      </c>
      <c r="S7" s="181">
        <v>1350</v>
      </c>
      <c r="T7" s="183">
        <v>1.3</v>
      </c>
      <c r="U7" s="181">
        <v>50</v>
      </c>
      <c r="V7" s="185">
        <v>3.6999999999999998E-2</v>
      </c>
      <c r="W7" s="181" t="s">
        <v>28</v>
      </c>
      <c r="X7" s="181" t="s">
        <v>28</v>
      </c>
      <c r="Y7" s="181" t="s">
        <v>28</v>
      </c>
      <c r="Z7" s="181" t="s">
        <v>27</v>
      </c>
      <c r="AA7" s="181" t="s">
        <v>27</v>
      </c>
      <c r="AB7" s="181" t="s">
        <v>38</v>
      </c>
      <c r="AC7" s="181" t="s">
        <v>686</v>
      </c>
    </row>
    <row r="8" spans="1:29" s="172" customFormat="1" ht="25.05" customHeight="1" x14ac:dyDescent="0.3">
      <c r="A8" s="181">
        <v>4</v>
      </c>
      <c r="B8" s="182" t="s">
        <v>90</v>
      </c>
      <c r="C8" s="181" t="s">
        <v>35</v>
      </c>
      <c r="D8" s="181" t="s">
        <v>443</v>
      </c>
      <c r="E8" s="181">
        <v>262924</v>
      </c>
      <c r="F8" s="181" t="s">
        <v>682</v>
      </c>
      <c r="G8" s="181">
        <v>600</v>
      </c>
      <c r="H8" s="183">
        <v>0.66</v>
      </c>
      <c r="I8" s="183">
        <v>1.385</v>
      </c>
      <c r="J8" s="181" t="s">
        <v>27</v>
      </c>
      <c r="K8" s="181" t="s">
        <v>33</v>
      </c>
      <c r="L8" s="181"/>
      <c r="M8" s="183">
        <v>548.46</v>
      </c>
      <c r="N8" s="184">
        <v>415.5</v>
      </c>
      <c r="O8" s="185">
        <v>5.7700000000000001E-2</v>
      </c>
      <c r="P8" s="186">
        <v>3.46</v>
      </c>
      <c r="Q8" s="181">
        <v>172.8</v>
      </c>
      <c r="R8" s="181">
        <v>2</v>
      </c>
      <c r="S8" s="181">
        <v>1350</v>
      </c>
      <c r="T8" s="183">
        <v>1.32</v>
      </c>
      <c r="U8" s="181">
        <v>30</v>
      </c>
      <c r="V8" s="185">
        <v>2.2200000000000001E-2</v>
      </c>
      <c r="W8" s="181" t="s">
        <v>28</v>
      </c>
      <c r="X8" s="181" t="s">
        <v>28</v>
      </c>
      <c r="Y8" s="181" t="s">
        <v>28</v>
      </c>
      <c r="Z8" s="181" t="s">
        <v>27</v>
      </c>
      <c r="AA8" s="181" t="s">
        <v>27</v>
      </c>
      <c r="AB8" s="181" t="s">
        <v>32</v>
      </c>
      <c r="AC8" s="181" t="s">
        <v>685</v>
      </c>
    </row>
    <row r="9" spans="1:29" s="172" customFormat="1" ht="25.05" customHeight="1" x14ac:dyDescent="0.3">
      <c r="A9" s="181">
        <v>5</v>
      </c>
      <c r="B9" s="182" t="s">
        <v>90</v>
      </c>
      <c r="C9" s="181" t="s">
        <v>35</v>
      </c>
      <c r="D9" s="181" t="s">
        <v>443</v>
      </c>
      <c r="E9" s="181">
        <v>262925</v>
      </c>
      <c r="F9" s="181" t="s">
        <v>682</v>
      </c>
      <c r="G9" s="181">
        <v>500</v>
      </c>
      <c r="H9" s="183">
        <v>0.66</v>
      </c>
      <c r="I9" s="183">
        <v>1.6950000000000001</v>
      </c>
      <c r="J9" s="181" t="s">
        <v>27</v>
      </c>
      <c r="K9" s="181" t="s">
        <v>33</v>
      </c>
      <c r="L9" s="181"/>
      <c r="M9" s="183">
        <v>559.35</v>
      </c>
      <c r="N9" s="184">
        <v>423.8</v>
      </c>
      <c r="O9" s="185">
        <v>5.8900000000000001E-2</v>
      </c>
      <c r="P9" s="186">
        <v>3.53</v>
      </c>
      <c r="Q9" s="181">
        <v>176.2</v>
      </c>
      <c r="R9" s="181">
        <v>2</v>
      </c>
      <c r="S9" s="181">
        <v>1350</v>
      </c>
      <c r="T9" s="183">
        <v>1.32</v>
      </c>
      <c r="U9" s="181">
        <v>30</v>
      </c>
      <c r="V9" s="185">
        <v>2.2200000000000001E-2</v>
      </c>
      <c r="W9" s="181" t="s">
        <v>28</v>
      </c>
      <c r="X9" s="181" t="s">
        <v>28</v>
      </c>
      <c r="Y9" s="181" t="s">
        <v>28</v>
      </c>
      <c r="Z9" s="181" t="s">
        <v>27</v>
      </c>
      <c r="AA9" s="181" t="s">
        <v>27</v>
      </c>
      <c r="AB9" s="181" t="s">
        <v>30</v>
      </c>
      <c r="AC9" s="181" t="s">
        <v>684</v>
      </c>
    </row>
    <row r="10" spans="1:29" s="172" customFormat="1" ht="25.05" customHeight="1" x14ac:dyDescent="0.3">
      <c r="A10" s="181">
        <v>6</v>
      </c>
      <c r="B10" s="182" t="s">
        <v>90</v>
      </c>
      <c r="C10" s="181" t="s">
        <v>35</v>
      </c>
      <c r="D10" s="181" t="s">
        <v>443</v>
      </c>
      <c r="E10" s="181">
        <v>262926</v>
      </c>
      <c r="F10" s="181" t="s">
        <v>682</v>
      </c>
      <c r="G10" s="181">
        <v>1000</v>
      </c>
      <c r="H10" s="183">
        <v>0.66</v>
      </c>
      <c r="I10" s="183">
        <v>1.865</v>
      </c>
      <c r="J10" s="181" t="s">
        <v>27</v>
      </c>
      <c r="K10" s="181" t="s">
        <v>33</v>
      </c>
      <c r="L10" s="181"/>
      <c r="M10" s="183">
        <v>1230.9000000000001</v>
      </c>
      <c r="N10" s="184">
        <v>932.5</v>
      </c>
      <c r="O10" s="185">
        <v>0.1295</v>
      </c>
      <c r="P10" s="186">
        <v>7.77</v>
      </c>
      <c r="Q10" s="181">
        <v>387.7</v>
      </c>
      <c r="R10" s="181">
        <v>2</v>
      </c>
      <c r="S10" s="181">
        <v>1350</v>
      </c>
      <c r="T10" s="183">
        <v>1.32</v>
      </c>
      <c r="U10" s="181">
        <v>30</v>
      </c>
      <c r="V10" s="185">
        <v>2.2200000000000001E-2</v>
      </c>
      <c r="W10" s="181" t="s">
        <v>28</v>
      </c>
      <c r="X10" s="181" t="s">
        <v>28</v>
      </c>
      <c r="Y10" s="181" t="s">
        <v>28</v>
      </c>
      <c r="Z10" s="181" t="s">
        <v>27</v>
      </c>
      <c r="AA10" s="181" t="s">
        <v>27</v>
      </c>
      <c r="AB10" s="181" t="s">
        <v>32</v>
      </c>
      <c r="AC10" s="181" t="s">
        <v>683</v>
      </c>
    </row>
    <row r="11" spans="1:29" s="172" customFormat="1" ht="25.05" customHeight="1" x14ac:dyDescent="0.3">
      <c r="A11" s="181">
        <v>7</v>
      </c>
      <c r="B11" s="182" t="s">
        <v>90</v>
      </c>
      <c r="C11" s="181" t="s">
        <v>35</v>
      </c>
      <c r="D11" s="181" t="s">
        <v>443</v>
      </c>
      <c r="E11" s="181">
        <v>262927</v>
      </c>
      <c r="F11" s="181" t="s">
        <v>682</v>
      </c>
      <c r="G11" s="181">
        <v>800</v>
      </c>
      <c r="H11" s="183">
        <v>0.66</v>
      </c>
      <c r="I11" s="183">
        <v>2.0499999999999998</v>
      </c>
      <c r="J11" s="181" t="s">
        <v>27</v>
      </c>
      <c r="K11" s="181" t="s">
        <v>33</v>
      </c>
      <c r="L11" s="181"/>
      <c r="M11" s="183">
        <v>1082.4000000000001</v>
      </c>
      <c r="N11" s="184">
        <v>820</v>
      </c>
      <c r="O11" s="185">
        <v>0.1139</v>
      </c>
      <c r="P11" s="186">
        <v>6.83</v>
      </c>
      <c r="Q11" s="181">
        <v>341</v>
      </c>
      <c r="R11" s="181">
        <v>2</v>
      </c>
      <c r="S11" s="181">
        <v>1350</v>
      </c>
      <c r="T11" s="183">
        <v>1.32</v>
      </c>
      <c r="U11" s="181">
        <v>30</v>
      </c>
      <c r="V11" s="185">
        <v>2.2200000000000001E-2</v>
      </c>
      <c r="W11" s="181" t="s">
        <v>28</v>
      </c>
      <c r="X11" s="181" t="s">
        <v>28</v>
      </c>
      <c r="Y11" s="181" t="s">
        <v>28</v>
      </c>
      <c r="Z11" s="181" t="s">
        <v>27</v>
      </c>
      <c r="AA11" s="181" t="s">
        <v>27</v>
      </c>
      <c r="AB11" s="181" t="s">
        <v>32</v>
      </c>
      <c r="AC11" s="181" t="s">
        <v>681</v>
      </c>
    </row>
    <row r="12" spans="1:29" s="172" customFormat="1" ht="25.05" customHeight="1" x14ac:dyDescent="0.3">
      <c r="A12" s="181">
        <v>8</v>
      </c>
      <c r="B12" s="182" t="s">
        <v>90</v>
      </c>
      <c r="C12" s="181" t="s">
        <v>35</v>
      </c>
      <c r="D12" s="181" t="s">
        <v>440</v>
      </c>
      <c r="E12" s="181">
        <v>262921</v>
      </c>
      <c r="F12" s="181" t="s">
        <v>680</v>
      </c>
      <c r="G12" s="181">
        <v>300</v>
      </c>
      <c r="H12" s="183">
        <v>1.272</v>
      </c>
      <c r="I12" s="183">
        <v>1.4810000000000001</v>
      </c>
      <c r="J12" s="181" t="s">
        <v>27</v>
      </c>
      <c r="K12" s="181" t="s">
        <v>679</v>
      </c>
      <c r="L12" s="181"/>
      <c r="M12" s="183">
        <v>565.15</v>
      </c>
      <c r="N12" s="184">
        <v>444.3</v>
      </c>
      <c r="O12" s="185">
        <v>0.1234</v>
      </c>
      <c r="P12" s="186">
        <v>7.41</v>
      </c>
      <c r="Q12" s="181">
        <v>178</v>
      </c>
      <c r="R12" s="181">
        <v>1</v>
      </c>
      <c r="S12" s="181">
        <v>1300</v>
      </c>
      <c r="T12" s="183">
        <v>1.272</v>
      </c>
      <c r="U12" s="181">
        <v>28</v>
      </c>
      <c r="V12" s="185">
        <v>2.1499999999999998E-2</v>
      </c>
      <c r="W12" s="181" t="s">
        <v>28</v>
      </c>
      <c r="X12" s="181" t="s">
        <v>28</v>
      </c>
      <c r="Y12" s="181" t="s">
        <v>28</v>
      </c>
      <c r="Z12" s="181" t="s">
        <v>27</v>
      </c>
      <c r="AA12" s="181" t="s">
        <v>27</v>
      </c>
      <c r="AB12" s="181" t="s">
        <v>38</v>
      </c>
      <c r="AC12" s="181" t="s">
        <v>678</v>
      </c>
    </row>
    <row r="13" spans="1:29" s="172" customFormat="1" ht="25.05" customHeight="1" x14ac:dyDescent="0.3">
      <c r="A13" s="181">
        <v>9</v>
      </c>
      <c r="B13" s="182" t="s">
        <v>90</v>
      </c>
      <c r="C13" s="181" t="s">
        <v>35</v>
      </c>
      <c r="D13" s="181" t="s">
        <v>672</v>
      </c>
      <c r="E13" s="181">
        <v>262923</v>
      </c>
      <c r="F13" s="181" t="s">
        <v>671</v>
      </c>
      <c r="G13" s="181">
        <v>250</v>
      </c>
      <c r="H13" s="183">
        <v>0.56999999999999995</v>
      </c>
      <c r="I13" s="183">
        <v>0.45300000000000001</v>
      </c>
      <c r="J13" s="181" t="s">
        <v>27</v>
      </c>
      <c r="K13" s="181" t="s">
        <v>33</v>
      </c>
      <c r="L13" s="181"/>
      <c r="M13" s="183">
        <v>64.552000000000007</v>
      </c>
      <c r="N13" s="184">
        <v>56.6</v>
      </c>
      <c r="O13" s="185">
        <v>7.9000000000000008E-3</v>
      </c>
      <c r="P13" s="186">
        <v>0.47</v>
      </c>
      <c r="Q13" s="181">
        <v>20.3</v>
      </c>
      <c r="R13" s="181">
        <v>2</v>
      </c>
      <c r="S13" s="181">
        <v>1200</v>
      </c>
      <c r="T13" s="183">
        <v>1.1399999999999999</v>
      </c>
      <c r="U13" s="181">
        <v>60</v>
      </c>
      <c r="V13" s="185">
        <v>0.05</v>
      </c>
      <c r="W13" s="181" t="s">
        <v>28</v>
      </c>
      <c r="X13" s="181" t="s">
        <v>28</v>
      </c>
      <c r="Y13" s="181" t="s">
        <v>28</v>
      </c>
      <c r="Z13" s="181" t="s">
        <v>27</v>
      </c>
      <c r="AA13" s="181" t="s">
        <v>27</v>
      </c>
      <c r="AB13" s="181" t="s">
        <v>38</v>
      </c>
      <c r="AC13" s="181" t="s">
        <v>677</v>
      </c>
    </row>
    <row r="14" spans="1:29" s="172" customFormat="1" ht="25.05" customHeight="1" x14ac:dyDescent="0.3">
      <c r="A14" s="188">
        <v>1</v>
      </c>
      <c r="B14" s="189" t="s">
        <v>92</v>
      </c>
      <c r="C14" s="188" t="s">
        <v>35</v>
      </c>
      <c r="D14" s="188" t="s">
        <v>586</v>
      </c>
      <c r="E14" s="188">
        <v>262870</v>
      </c>
      <c r="F14" s="188" t="s">
        <v>676</v>
      </c>
      <c r="G14" s="188">
        <v>200</v>
      </c>
      <c r="H14" s="190">
        <v>0.93600000000000005</v>
      </c>
      <c r="I14" s="190">
        <v>1.829</v>
      </c>
      <c r="J14" s="190"/>
      <c r="K14" s="188" t="s">
        <v>33</v>
      </c>
      <c r="L14" s="190"/>
      <c r="M14" s="191">
        <v>365.8</v>
      </c>
      <c r="N14" s="192">
        <v>0.1016</v>
      </c>
      <c r="O14" s="193">
        <v>6.1</v>
      </c>
      <c r="P14" s="193"/>
      <c r="Q14" s="188">
        <v>107.9</v>
      </c>
      <c r="R14" s="188">
        <v>1</v>
      </c>
      <c r="S14" s="188">
        <v>1000</v>
      </c>
      <c r="T14" s="190">
        <v>0.93600000000000005</v>
      </c>
      <c r="U14" s="188">
        <v>64</v>
      </c>
      <c r="V14" s="192">
        <v>6.4000000000000001E-2</v>
      </c>
      <c r="W14" s="188" t="s">
        <v>28</v>
      </c>
      <c r="X14" s="188" t="s">
        <v>28</v>
      </c>
      <c r="Y14" s="188" t="s">
        <v>28</v>
      </c>
      <c r="Z14" s="188" t="s">
        <v>27</v>
      </c>
      <c r="AA14" s="188" t="s">
        <v>27</v>
      </c>
      <c r="AB14" s="188" t="s">
        <v>38</v>
      </c>
      <c r="AC14" s="188" t="s">
        <v>675</v>
      </c>
    </row>
    <row r="15" spans="1:29" s="172" customFormat="1" ht="25.05" customHeight="1" x14ac:dyDescent="0.3">
      <c r="A15" s="181">
        <v>2</v>
      </c>
      <c r="B15" s="182" t="s">
        <v>92</v>
      </c>
      <c r="C15" s="181" t="s">
        <v>42</v>
      </c>
      <c r="D15" s="181" t="s">
        <v>599</v>
      </c>
      <c r="E15" s="181">
        <v>262885</v>
      </c>
      <c r="F15" s="181" t="s">
        <v>674</v>
      </c>
      <c r="G15" s="181">
        <v>200</v>
      </c>
      <c r="H15" s="183">
        <v>0.88300000000000001</v>
      </c>
      <c r="I15" s="183">
        <v>1.5349999999999999</v>
      </c>
      <c r="J15" s="183"/>
      <c r="K15" s="181" t="s">
        <v>33</v>
      </c>
      <c r="L15" s="183"/>
      <c r="M15" s="184">
        <v>307</v>
      </c>
      <c r="N15" s="185">
        <v>8.5300000000000001E-2</v>
      </c>
      <c r="O15" s="186">
        <v>5.12</v>
      </c>
      <c r="P15" s="186"/>
      <c r="Q15" s="181">
        <v>93.5</v>
      </c>
      <c r="R15" s="181">
        <v>1</v>
      </c>
      <c r="S15" s="181">
        <v>950</v>
      </c>
      <c r="T15" s="183">
        <v>0.88300000000000001</v>
      </c>
      <c r="U15" s="181">
        <v>67</v>
      </c>
      <c r="V15" s="185">
        <v>7.0499999999999993E-2</v>
      </c>
      <c r="W15" s="181" t="s">
        <v>29</v>
      </c>
      <c r="X15" s="181" t="s">
        <v>29</v>
      </c>
      <c r="Y15" s="181" t="s">
        <v>28</v>
      </c>
      <c r="Z15" s="181" t="s">
        <v>27</v>
      </c>
      <c r="AA15" s="181" t="s">
        <v>27</v>
      </c>
      <c r="AB15" s="181" t="s">
        <v>38</v>
      </c>
      <c r="AC15" s="181" t="s">
        <v>673</v>
      </c>
    </row>
    <row r="16" spans="1:29" s="172" customFormat="1" ht="25.05" customHeight="1" x14ac:dyDescent="0.3">
      <c r="A16" s="181">
        <v>10</v>
      </c>
      <c r="B16" s="182" t="s">
        <v>90</v>
      </c>
      <c r="C16" s="181" t="s">
        <v>35</v>
      </c>
      <c r="D16" s="181" t="s">
        <v>672</v>
      </c>
      <c r="E16" s="181">
        <v>262922</v>
      </c>
      <c r="F16" s="181" t="s">
        <v>671</v>
      </c>
      <c r="G16" s="181">
        <v>500</v>
      </c>
      <c r="H16" s="183">
        <v>0.42599999999999999</v>
      </c>
      <c r="I16" s="183">
        <v>2.3199999999999998</v>
      </c>
      <c r="J16" s="181" t="s">
        <v>27</v>
      </c>
      <c r="K16" s="181" t="s">
        <v>670</v>
      </c>
      <c r="L16" s="181"/>
      <c r="M16" s="183">
        <v>494.16</v>
      </c>
      <c r="N16" s="184">
        <v>580</v>
      </c>
      <c r="O16" s="185">
        <v>8.0600000000000005E-2</v>
      </c>
      <c r="P16" s="186">
        <v>4.83</v>
      </c>
      <c r="Q16" s="181">
        <v>155.69999999999999</v>
      </c>
      <c r="R16" s="181">
        <v>2</v>
      </c>
      <c r="S16" s="181">
        <v>900</v>
      </c>
      <c r="T16" s="183">
        <v>0.85199999999999998</v>
      </c>
      <c r="U16" s="181">
        <v>48</v>
      </c>
      <c r="V16" s="185">
        <v>5.33E-2</v>
      </c>
      <c r="W16" s="181" t="s">
        <v>28</v>
      </c>
      <c r="X16" s="181" t="s">
        <v>28</v>
      </c>
      <c r="Y16" s="181" t="s">
        <v>28</v>
      </c>
      <c r="Z16" s="181" t="s">
        <v>27</v>
      </c>
      <c r="AA16" s="181" t="s">
        <v>27</v>
      </c>
      <c r="AB16" s="181" t="s">
        <v>32</v>
      </c>
      <c r="AC16" s="181" t="s">
        <v>669</v>
      </c>
    </row>
    <row r="17" spans="1:29" s="51" customFormat="1" ht="25.05" customHeight="1" x14ac:dyDescent="0.3">
      <c r="A17" s="180" t="s">
        <v>27</v>
      </c>
      <c r="B17" s="180" t="s">
        <v>27</v>
      </c>
      <c r="C17" s="180" t="s">
        <v>27</v>
      </c>
      <c r="D17" s="180" t="s">
        <v>27</v>
      </c>
      <c r="E17" s="180" t="s">
        <v>27</v>
      </c>
      <c r="F17" s="180" t="s">
        <v>27</v>
      </c>
      <c r="G17" s="180">
        <f>SUM(G3:G16)</f>
        <v>10880</v>
      </c>
      <c r="H17" s="180" t="s">
        <v>27</v>
      </c>
      <c r="I17" s="180" t="s">
        <v>27</v>
      </c>
      <c r="J17" s="180" t="s">
        <v>27</v>
      </c>
      <c r="K17" s="180" t="s">
        <v>27</v>
      </c>
      <c r="L17" s="180" t="s">
        <v>27</v>
      </c>
      <c r="M17" s="180" t="s">
        <v>27</v>
      </c>
      <c r="N17" s="180" t="s">
        <v>27</v>
      </c>
      <c r="O17" s="180" t="s">
        <v>27</v>
      </c>
      <c r="P17" s="180" t="s">
        <v>27</v>
      </c>
      <c r="Q17" s="180">
        <f>SUM(Q3:Q16)</f>
        <v>5260.5999999999995</v>
      </c>
      <c r="R17" s="180" t="s">
        <v>27</v>
      </c>
      <c r="S17" s="180" t="s">
        <v>27</v>
      </c>
      <c r="T17" s="180" t="s">
        <v>27</v>
      </c>
      <c r="U17" s="180" t="s">
        <v>27</v>
      </c>
      <c r="V17" s="180" t="s">
        <v>27</v>
      </c>
      <c r="W17" s="180" t="s">
        <v>27</v>
      </c>
      <c r="X17" s="180" t="s">
        <v>27</v>
      </c>
      <c r="Y17" s="180" t="s">
        <v>27</v>
      </c>
      <c r="Z17" s="180" t="s">
        <v>27</v>
      </c>
      <c r="AA17" s="180" t="s">
        <v>27</v>
      </c>
      <c r="AB17" s="180" t="s">
        <v>27</v>
      </c>
      <c r="AC17" s="180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dimension ref="A1:AC9"/>
  <sheetViews>
    <sheetView workbookViewId="0">
      <selection activeCell="AI10" sqref="AI10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68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 x14ac:dyDescent="0.35">
      <c r="A1" s="195" t="s">
        <v>665</v>
      </c>
      <c r="B1" s="195" t="s">
        <v>27</v>
      </c>
      <c r="C1" s="195" t="s">
        <v>27</v>
      </c>
      <c r="D1" s="195" t="s">
        <v>27</v>
      </c>
      <c r="E1" s="195" t="s">
        <v>27</v>
      </c>
      <c r="F1" s="195" t="s">
        <v>27</v>
      </c>
      <c r="G1" s="195" t="s">
        <v>27</v>
      </c>
      <c r="H1" s="195" t="s">
        <v>27</v>
      </c>
      <c r="I1" s="195" t="s">
        <v>27</v>
      </c>
      <c r="J1" s="195" t="s">
        <v>27</v>
      </c>
      <c r="K1" s="195" t="s">
        <v>27</v>
      </c>
      <c r="L1" s="195" t="s">
        <v>27</v>
      </c>
      <c r="M1" s="195" t="s">
        <v>27</v>
      </c>
      <c r="N1" s="195" t="s">
        <v>27</v>
      </c>
      <c r="O1" s="195" t="s">
        <v>27</v>
      </c>
      <c r="P1" s="195" t="s">
        <v>27</v>
      </c>
      <c r="Q1" s="195" t="s">
        <v>27</v>
      </c>
      <c r="R1" s="195" t="s">
        <v>27</v>
      </c>
      <c r="S1" s="195" t="s">
        <v>27</v>
      </c>
      <c r="T1" s="195" t="s">
        <v>27</v>
      </c>
      <c r="U1" s="195" t="s">
        <v>27</v>
      </c>
      <c r="V1" s="195" t="s">
        <v>27</v>
      </c>
      <c r="W1" s="195" t="s">
        <v>27</v>
      </c>
      <c r="X1" s="195" t="s">
        <v>27</v>
      </c>
      <c r="Y1" s="195" t="s">
        <v>27</v>
      </c>
      <c r="Z1" s="195" t="s">
        <v>27</v>
      </c>
      <c r="AA1" s="195" t="s">
        <v>27</v>
      </c>
      <c r="AB1" s="195" t="s">
        <v>27</v>
      </c>
      <c r="AC1" s="195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71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107</v>
      </c>
      <c r="C3" s="126" t="s">
        <v>49</v>
      </c>
      <c r="D3" s="126" t="s">
        <v>661</v>
      </c>
      <c r="E3" s="126">
        <v>262917</v>
      </c>
      <c r="F3" s="170">
        <v>71026</v>
      </c>
      <c r="G3" s="126">
        <v>5086</v>
      </c>
      <c r="H3" s="127">
        <v>0.39</v>
      </c>
      <c r="I3" s="127">
        <v>0.71</v>
      </c>
      <c r="J3" s="126" t="s">
        <v>27</v>
      </c>
      <c r="K3" s="126" t="s">
        <v>33</v>
      </c>
      <c r="L3" s="126" t="s">
        <v>27</v>
      </c>
      <c r="M3" s="123">
        <v>1408.3130000000001</v>
      </c>
      <c r="N3" s="125">
        <v>902.8</v>
      </c>
      <c r="O3" s="122">
        <v>6.2700000000000006E-2</v>
      </c>
      <c r="P3" s="124">
        <v>3.76</v>
      </c>
      <c r="Q3" s="121">
        <v>500</v>
      </c>
      <c r="R3" s="121">
        <v>4</v>
      </c>
      <c r="S3" s="121">
        <v>1600</v>
      </c>
      <c r="T3" s="123">
        <v>1.56</v>
      </c>
      <c r="U3" s="121">
        <v>40</v>
      </c>
      <c r="V3" s="122">
        <v>2.5000000000000001E-2</v>
      </c>
      <c r="W3" s="121" t="s">
        <v>29</v>
      </c>
      <c r="X3" s="121" t="s">
        <v>28</v>
      </c>
      <c r="Y3" s="121" t="s">
        <v>29</v>
      </c>
      <c r="Z3" s="121" t="s">
        <v>27</v>
      </c>
      <c r="AA3" s="121" t="s">
        <v>27</v>
      </c>
      <c r="AB3" s="121" t="s">
        <v>32</v>
      </c>
      <c r="AC3" s="121" t="s">
        <v>108</v>
      </c>
    </row>
    <row r="4" spans="1:29" x14ac:dyDescent="0.3">
      <c r="A4" s="126">
        <v>2</v>
      </c>
      <c r="B4" s="128" t="s">
        <v>107</v>
      </c>
      <c r="C4" s="126" t="s">
        <v>55</v>
      </c>
      <c r="D4" s="126" t="s">
        <v>661</v>
      </c>
      <c r="E4" s="126">
        <v>262916</v>
      </c>
      <c r="F4" s="170">
        <v>71026</v>
      </c>
      <c r="G4" s="126">
        <v>1268</v>
      </c>
      <c r="H4" s="127">
        <v>0.48</v>
      </c>
      <c r="I4" s="127">
        <v>1.35</v>
      </c>
      <c r="J4" s="126" t="s">
        <v>27</v>
      </c>
      <c r="K4" s="126" t="s">
        <v>33</v>
      </c>
      <c r="L4" s="126" t="s">
        <v>27</v>
      </c>
      <c r="M4" s="123">
        <v>821.66399999999999</v>
      </c>
      <c r="N4" s="125">
        <v>570.6</v>
      </c>
      <c r="O4" s="122">
        <v>5.28E-2</v>
      </c>
      <c r="P4" s="124">
        <v>3.17</v>
      </c>
      <c r="Q4" s="121">
        <v>299.89999999999998</v>
      </c>
      <c r="R4" s="121">
        <v>3</v>
      </c>
      <c r="S4" s="121">
        <v>1500</v>
      </c>
      <c r="T4" s="123">
        <v>1.44</v>
      </c>
      <c r="U4" s="121">
        <v>60</v>
      </c>
      <c r="V4" s="122">
        <v>0.04</v>
      </c>
      <c r="W4" s="121" t="s">
        <v>37</v>
      </c>
      <c r="X4" s="121" t="s">
        <v>29</v>
      </c>
      <c r="Y4" s="121" t="s">
        <v>34</v>
      </c>
      <c r="Z4" s="121" t="s">
        <v>27</v>
      </c>
      <c r="AA4" s="121" t="s">
        <v>27</v>
      </c>
      <c r="AB4" s="121" t="s">
        <v>32</v>
      </c>
      <c r="AC4" s="121" t="s">
        <v>664</v>
      </c>
    </row>
    <row r="5" spans="1:29" x14ac:dyDescent="0.3">
      <c r="A5" s="126">
        <v>3</v>
      </c>
      <c r="B5" s="128" t="s">
        <v>107</v>
      </c>
      <c r="C5" s="126" t="s">
        <v>55</v>
      </c>
      <c r="D5" s="126" t="s">
        <v>661</v>
      </c>
      <c r="E5" s="126">
        <v>262914</v>
      </c>
      <c r="F5" s="170">
        <v>71026</v>
      </c>
      <c r="G5" s="126">
        <v>1378</v>
      </c>
      <c r="H5" s="127">
        <v>0.67</v>
      </c>
      <c r="I5" s="127">
        <v>0.89</v>
      </c>
      <c r="J5" s="126" t="s">
        <v>27</v>
      </c>
      <c r="K5" s="126" t="s">
        <v>33</v>
      </c>
      <c r="L5" s="126" t="s">
        <v>27</v>
      </c>
      <c r="M5" s="123">
        <v>821.70100000000002</v>
      </c>
      <c r="N5" s="125">
        <v>613.20000000000005</v>
      </c>
      <c r="O5" s="122">
        <v>8.5199999999999998E-2</v>
      </c>
      <c r="P5" s="124">
        <v>5.1100000000000003</v>
      </c>
      <c r="Q5" s="121">
        <v>299.89999999999998</v>
      </c>
      <c r="R5" s="121">
        <v>2</v>
      </c>
      <c r="S5" s="121">
        <v>1400</v>
      </c>
      <c r="T5" s="123">
        <v>1.34</v>
      </c>
      <c r="U5" s="121">
        <v>60</v>
      </c>
      <c r="V5" s="122">
        <v>4.2900000000000001E-2</v>
      </c>
      <c r="W5" s="121" t="s">
        <v>37</v>
      </c>
      <c r="X5" s="121" t="s">
        <v>29</v>
      </c>
      <c r="Y5" s="121" t="s">
        <v>34</v>
      </c>
      <c r="Z5" s="121" t="s">
        <v>27</v>
      </c>
      <c r="AA5" s="121" t="s">
        <v>27</v>
      </c>
      <c r="AB5" s="121" t="s">
        <v>32</v>
      </c>
      <c r="AC5" s="121" t="s">
        <v>663</v>
      </c>
    </row>
    <row r="6" spans="1:29" x14ac:dyDescent="0.3">
      <c r="A6" s="126">
        <v>4</v>
      </c>
      <c r="B6" s="128" t="s">
        <v>107</v>
      </c>
      <c r="C6" s="126" t="s">
        <v>55</v>
      </c>
      <c r="D6" s="126" t="s">
        <v>661</v>
      </c>
      <c r="E6" s="126">
        <v>262913</v>
      </c>
      <c r="F6" s="170">
        <v>71026</v>
      </c>
      <c r="G6" s="126">
        <v>1662</v>
      </c>
      <c r="H6" s="127">
        <v>0.43</v>
      </c>
      <c r="I6" s="127">
        <v>1.1499999999999999</v>
      </c>
      <c r="J6" s="126" t="s">
        <v>27</v>
      </c>
      <c r="K6" s="126" t="s">
        <v>33</v>
      </c>
      <c r="L6" s="126" t="s">
        <v>27</v>
      </c>
      <c r="M6" s="123">
        <v>821.85900000000004</v>
      </c>
      <c r="N6" s="125">
        <v>637.1</v>
      </c>
      <c r="O6" s="122">
        <v>5.8999999999999997E-2</v>
      </c>
      <c r="P6" s="124">
        <v>3.54</v>
      </c>
      <c r="Q6" s="121">
        <v>300</v>
      </c>
      <c r="R6" s="121">
        <v>3</v>
      </c>
      <c r="S6" s="121">
        <v>1350</v>
      </c>
      <c r="T6" s="123">
        <v>1.29</v>
      </c>
      <c r="U6" s="121">
        <v>60</v>
      </c>
      <c r="V6" s="122">
        <v>4.4400000000000002E-2</v>
      </c>
      <c r="W6" s="121" t="s">
        <v>37</v>
      </c>
      <c r="X6" s="121" t="s">
        <v>29</v>
      </c>
      <c r="Y6" s="121" t="s">
        <v>34</v>
      </c>
      <c r="Z6" s="121" t="s">
        <v>27</v>
      </c>
      <c r="AA6" s="121" t="s">
        <v>27</v>
      </c>
      <c r="AB6" s="121" t="s">
        <v>32</v>
      </c>
      <c r="AC6" s="121" t="s">
        <v>238</v>
      </c>
    </row>
    <row r="7" spans="1:29" x14ac:dyDescent="0.3">
      <c r="A7" s="126">
        <v>5</v>
      </c>
      <c r="B7" s="128" t="s">
        <v>107</v>
      </c>
      <c r="C7" s="126" t="s">
        <v>55</v>
      </c>
      <c r="D7" s="126" t="s">
        <v>661</v>
      </c>
      <c r="E7" s="126">
        <v>262915</v>
      </c>
      <c r="F7" s="170">
        <v>71026</v>
      </c>
      <c r="G7" s="126">
        <v>1287</v>
      </c>
      <c r="H7" s="127">
        <v>0.56999999999999995</v>
      </c>
      <c r="I7" s="127">
        <v>1.1200000000000001</v>
      </c>
      <c r="J7" s="126" t="s">
        <v>27</v>
      </c>
      <c r="K7" s="126" t="s">
        <v>33</v>
      </c>
      <c r="L7" s="126" t="s">
        <v>27</v>
      </c>
      <c r="M7" s="123">
        <v>821.62099999999998</v>
      </c>
      <c r="N7" s="125">
        <v>720.7</v>
      </c>
      <c r="O7" s="122">
        <v>0.10009999999999999</v>
      </c>
      <c r="P7" s="124">
        <v>6.01</v>
      </c>
      <c r="Q7" s="121">
        <v>299.89999999999998</v>
      </c>
      <c r="R7" s="121">
        <v>2</v>
      </c>
      <c r="S7" s="121">
        <v>1200</v>
      </c>
      <c r="T7" s="123">
        <v>1.1399999999999999</v>
      </c>
      <c r="U7" s="121">
        <v>60</v>
      </c>
      <c r="V7" s="122">
        <v>0.05</v>
      </c>
      <c r="W7" s="121" t="s">
        <v>37</v>
      </c>
      <c r="X7" s="121" t="s">
        <v>29</v>
      </c>
      <c r="Y7" s="121" t="s">
        <v>34</v>
      </c>
      <c r="Z7" s="121" t="s">
        <v>27</v>
      </c>
      <c r="AA7" s="121" t="s">
        <v>27</v>
      </c>
      <c r="AB7" s="121" t="s">
        <v>32</v>
      </c>
      <c r="AC7" s="121" t="s">
        <v>662</v>
      </c>
    </row>
    <row r="8" spans="1:29" x14ac:dyDescent="0.3">
      <c r="A8" s="126">
        <v>6</v>
      </c>
      <c r="B8" s="128" t="s">
        <v>107</v>
      </c>
      <c r="C8" s="126" t="s">
        <v>49</v>
      </c>
      <c r="D8" s="126" t="s">
        <v>661</v>
      </c>
      <c r="E8" s="126">
        <v>262918</v>
      </c>
      <c r="F8" s="170">
        <v>71026</v>
      </c>
      <c r="G8" s="126">
        <v>2764</v>
      </c>
      <c r="H8" s="127">
        <v>0.56000000000000005</v>
      </c>
      <c r="I8" s="127">
        <v>0.91</v>
      </c>
      <c r="J8" s="126" t="s">
        <v>27</v>
      </c>
      <c r="K8" s="126" t="s">
        <v>33</v>
      </c>
      <c r="L8" s="126" t="s">
        <v>27</v>
      </c>
      <c r="M8" s="123">
        <v>1408.5340000000001</v>
      </c>
      <c r="N8" s="125">
        <v>1257.5999999999999</v>
      </c>
      <c r="O8" s="122">
        <v>0.17469999999999999</v>
      </c>
      <c r="P8" s="124">
        <v>10.48</v>
      </c>
      <c r="Q8" s="121">
        <v>500</v>
      </c>
      <c r="R8" s="121">
        <v>2</v>
      </c>
      <c r="S8" s="121">
        <v>1150</v>
      </c>
      <c r="T8" s="123">
        <v>1.1200000000000001</v>
      </c>
      <c r="U8" s="121">
        <v>30</v>
      </c>
      <c r="V8" s="122">
        <v>2.6100000000000002E-2</v>
      </c>
      <c r="W8" s="121" t="s">
        <v>29</v>
      </c>
      <c r="X8" s="121" t="s">
        <v>28</v>
      </c>
      <c r="Y8" s="121" t="s">
        <v>29</v>
      </c>
      <c r="Z8" s="121" t="s">
        <v>27</v>
      </c>
      <c r="AA8" s="121" t="s">
        <v>27</v>
      </c>
      <c r="AB8" s="121" t="s">
        <v>32</v>
      </c>
      <c r="AC8" s="121" t="s">
        <v>106</v>
      </c>
    </row>
    <row r="9" spans="1:29" x14ac:dyDescent="0.3">
      <c r="A9" s="120" t="s">
        <v>27</v>
      </c>
      <c r="B9" s="120" t="s">
        <v>27</v>
      </c>
      <c r="C9" s="120" t="s">
        <v>27</v>
      </c>
      <c r="D9" s="120" t="s">
        <v>27</v>
      </c>
      <c r="E9" s="120" t="s">
        <v>27</v>
      </c>
      <c r="F9" s="169" t="s">
        <v>27</v>
      </c>
      <c r="G9" s="120">
        <v>13445</v>
      </c>
      <c r="H9" s="120" t="s">
        <v>27</v>
      </c>
      <c r="I9" s="120" t="s">
        <v>27</v>
      </c>
      <c r="J9" s="120" t="s">
        <v>27</v>
      </c>
      <c r="K9" s="120" t="s">
        <v>27</v>
      </c>
      <c r="L9" s="120" t="s">
        <v>27</v>
      </c>
      <c r="M9" s="119" t="s">
        <v>27</v>
      </c>
      <c r="N9" s="119" t="s">
        <v>27</v>
      </c>
      <c r="O9" s="119" t="s">
        <v>27</v>
      </c>
      <c r="P9" s="119" t="s">
        <v>27</v>
      </c>
      <c r="Q9" s="119">
        <v>2199.6999999999998</v>
      </c>
      <c r="R9" s="119" t="s">
        <v>27</v>
      </c>
      <c r="S9" s="119" t="s">
        <v>27</v>
      </c>
      <c r="T9" s="119" t="s">
        <v>27</v>
      </c>
      <c r="U9" s="119" t="s">
        <v>27</v>
      </c>
      <c r="V9" s="119" t="s">
        <v>27</v>
      </c>
      <c r="W9" s="119" t="s">
        <v>27</v>
      </c>
      <c r="X9" s="119" t="s">
        <v>27</v>
      </c>
      <c r="Y9" s="119" t="s">
        <v>27</v>
      </c>
      <c r="Z9" s="119" t="s">
        <v>27</v>
      </c>
      <c r="AA9" s="119" t="s">
        <v>27</v>
      </c>
      <c r="AB9" s="119" t="s">
        <v>27</v>
      </c>
      <c r="AC9" s="11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E27" sqref="AE2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194" t="s">
        <v>660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/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  <c r="AC1" s="194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 x14ac:dyDescent="0.3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 x14ac:dyDescent="0.3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 x14ac:dyDescent="0.3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 x14ac:dyDescent="0.3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 x14ac:dyDescent="0.3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 x14ac:dyDescent="0.3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workbookViewId="0">
      <selection sqref="A1:AD1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194" t="s">
        <v>645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/>
      <c r="L1" s="194" t="s">
        <v>27</v>
      </c>
      <c r="M1" s="194" t="s">
        <v>27</v>
      </c>
      <c r="N1" s="194" t="s">
        <v>27</v>
      </c>
      <c r="O1" s="194" t="s">
        <v>27</v>
      </c>
      <c r="P1" s="194"/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  <c r="AC1" s="194" t="s">
        <v>27</v>
      </c>
      <c r="AD1" s="194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 x14ac:dyDescent="0.3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dimension ref="A1:AB6"/>
  <sheetViews>
    <sheetView workbookViewId="0">
      <selection activeCell="V20" sqref="V20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0" width="6.6640625" style="33" customWidth="1"/>
    <col min="11" max="11" width="12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33203125" style="33" customWidth="1"/>
    <col min="18" max="18" width="5.3320312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3" width="8.6640625" style="33" customWidth="1"/>
    <col min="24" max="24" width="8.33203125" style="33" customWidth="1"/>
    <col min="25" max="25" width="8.109375" style="33" customWidth="1"/>
    <col min="26" max="26" width="7.21875" style="33" customWidth="1"/>
    <col min="27" max="27" width="4.3320312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196" t="s">
        <v>622</v>
      </c>
      <c r="B1" s="196" t="s">
        <v>27</v>
      </c>
      <c r="C1" s="196" t="s">
        <v>27</v>
      </c>
      <c r="D1" s="196" t="s">
        <v>27</v>
      </c>
      <c r="E1" s="196" t="s">
        <v>27</v>
      </c>
      <c r="F1" s="196" t="s">
        <v>27</v>
      </c>
      <c r="G1" s="196" t="s">
        <v>27</v>
      </c>
      <c r="H1" s="196" t="s">
        <v>27</v>
      </c>
      <c r="I1" s="196" t="s">
        <v>27</v>
      </c>
      <c r="J1" s="196" t="s">
        <v>27</v>
      </c>
      <c r="K1" s="196" t="s">
        <v>27</v>
      </c>
      <c r="L1" s="196" t="s">
        <v>27</v>
      </c>
      <c r="M1" s="196" t="s">
        <v>27</v>
      </c>
      <c r="N1" s="196" t="s">
        <v>27</v>
      </c>
      <c r="O1" s="196" t="s">
        <v>27</v>
      </c>
      <c r="P1" s="196" t="s">
        <v>27</v>
      </c>
      <c r="Q1" s="196" t="s">
        <v>27</v>
      </c>
      <c r="R1" s="196" t="s">
        <v>27</v>
      </c>
      <c r="S1" s="196" t="s">
        <v>27</v>
      </c>
      <c r="T1" s="196" t="s">
        <v>27</v>
      </c>
      <c r="U1" s="196" t="s">
        <v>27</v>
      </c>
      <c r="V1" s="196" t="s">
        <v>27</v>
      </c>
      <c r="W1" s="196" t="s">
        <v>27</v>
      </c>
      <c r="X1" s="196" t="s">
        <v>27</v>
      </c>
      <c r="Y1" s="196" t="s">
        <v>27</v>
      </c>
      <c r="Z1" s="196" t="s">
        <v>27</v>
      </c>
      <c r="AA1" s="196" t="s">
        <v>27</v>
      </c>
      <c r="AB1" s="196" t="s">
        <v>27</v>
      </c>
    </row>
    <row r="2" spans="1:28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5" t="s">
        <v>621</v>
      </c>
      <c r="L3" s="47">
        <v>359.38200000000001</v>
      </c>
      <c r="M3" s="48">
        <v>230.8</v>
      </c>
      <c r="N3" s="49">
        <v>2.1399999999999999E-2</v>
      </c>
      <c r="O3" s="50">
        <v>1.28</v>
      </c>
      <c r="P3" s="45">
        <v>193.3</v>
      </c>
      <c r="Q3" s="45">
        <v>3</v>
      </c>
      <c r="R3" s="45">
        <v>1600</v>
      </c>
      <c r="S3" s="47">
        <v>1.5569999999999999</v>
      </c>
      <c r="T3" s="45">
        <v>43</v>
      </c>
      <c r="U3" s="49">
        <v>2.69E-2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620</v>
      </c>
    </row>
    <row r="4" spans="1:28" s="51" customFormat="1" ht="25.05" customHeight="1" x14ac:dyDescent="0.3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5" t="s">
        <v>619</v>
      </c>
      <c r="L4" s="47">
        <v>1626.415</v>
      </c>
      <c r="M4" s="48">
        <v>1249.2</v>
      </c>
      <c r="N4" s="49">
        <v>0.1157</v>
      </c>
      <c r="O4" s="50">
        <v>6.94</v>
      </c>
      <c r="P4" s="45">
        <v>875</v>
      </c>
      <c r="Q4" s="45">
        <v>3</v>
      </c>
      <c r="R4" s="45">
        <v>1350</v>
      </c>
      <c r="S4" s="47">
        <v>1.302</v>
      </c>
      <c r="T4" s="45">
        <v>48</v>
      </c>
      <c r="U4" s="49">
        <v>3.56E-2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54</v>
      </c>
      <c r="AB4" s="45" t="s">
        <v>618</v>
      </c>
    </row>
    <row r="5" spans="1:28" s="51" customFormat="1" ht="25.05" customHeight="1" x14ac:dyDescent="0.3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5" t="s">
        <v>616</v>
      </c>
      <c r="L5" s="47">
        <v>805.62300000000005</v>
      </c>
      <c r="M5" s="48">
        <v>953.4</v>
      </c>
      <c r="N5" s="49">
        <v>0.26479999999999998</v>
      </c>
      <c r="O5" s="50">
        <v>15.89</v>
      </c>
      <c r="P5" s="45">
        <v>277.89999999999998</v>
      </c>
      <c r="Q5" s="45">
        <v>1</v>
      </c>
      <c r="R5" s="45">
        <v>900</v>
      </c>
      <c r="S5" s="47">
        <v>0.84499999999999997</v>
      </c>
      <c r="T5" s="45">
        <v>55</v>
      </c>
      <c r="U5" s="49">
        <v>6.1100000000000002E-2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615</v>
      </c>
    </row>
    <row r="6" spans="1:28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 t="s">
        <v>27</v>
      </c>
      <c r="L6" s="52" t="s">
        <v>27</v>
      </c>
      <c r="M6" s="52" t="s">
        <v>27</v>
      </c>
      <c r="N6" s="52" t="s">
        <v>27</v>
      </c>
      <c r="O6" s="52" t="s">
        <v>27</v>
      </c>
      <c r="P6" s="52">
        <v>1856.7</v>
      </c>
      <c r="Q6" s="52" t="s">
        <v>27</v>
      </c>
      <c r="R6" s="52" t="s">
        <v>27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194" t="s">
        <v>614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 x14ac:dyDescent="0.3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 x14ac:dyDescent="0.3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 x14ac:dyDescent="0.3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197" t="s">
        <v>606</v>
      </c>
      <c r="B1" s="197" t="s">
        <v>27</v>
      </c>
      <c r="C1" s="197" t="s">
        <v>27</v>
      </c>
      <c r="D1" s="197" t="s">
        <v>27</v>
      </c>
      <c r="E1" s="197" t="s">
        <v>27</v>
      </c>
      <c r="F1" s="197" t="s">
        <v>27</v>
      </c>
      <c r="G1" s="197" t="s">
        <v>27</v>
      </c>
      <c r="H1" s="197" t="s">
        <v>27</v>
      </c>
      <c r="I1" s="197" t="s">
        <v>27</v>
      </c>
      <c r="J1" s="197" t="s">
        <v>27</v>
      </c>
      <c r="K1" s="197" t="s">
        <v>27</v>
      </c>
      <c r="L1" s="197" t="s">
        <v>27</v>
      </c>
      <c r="M1" s="197" t="s">
        <v>27</v>
      </c>
      <c r="N1" s="197" t="s">
        <v>27</v>
      </c>
      <c r="O1" s="197" t="s">
        <v>27</v>
      </c>
      <c r="P1" s="197" t="s">
        <v>27</v>
      </c>
      <c r="Q1" s="197" t="s">
        <v>27</v>
      </c>
      <c r="R1" s="197" t="s">
        <v>27</v>
      </c>
      <c r="S1" s="197" t="s">
        <v>27</v>
      </c>
      <c r="T1" s="197" t="s">
        <v>27</v>
      </c>
      <c r="U1" s="197" t="s">
        <v>27</v>
      </c>
      <c r="V1" s="197" t="s">
        <v>27</v>
      </c>
      <c r="W1" s="197" t="s">
        <v>27</v>
      </c>
      <c r="X1" s="197" t="s">
        <v>27</v>
      </c>
      <c r="Y1" s="197" t="s">
        <v>27</v>
      </c>
      <c r="Z1" s="197" t="s">
        <v>27</v>
      </c>
      <c r="AA1" s="197" t="s">
        <v>27</v>
      </c>
      <c r="AB1" s="197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 x14ac:dyDescent="0.3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 x14ac:dyDescent="0.3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194" t="s">
        <v>595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dimension ref="A1:AB5"/>
  <sheetViews>
    <sheetView workbookViewId="0">
      <selection activeCell="K50" sqref="K5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6" style="1" customWidth="1"/>
    <col min="9" max="9" width="5.5546875" style="1" customWidth="1"/>
    <col min="10" max="10" width="6.109375" style="1" customWidth="1"/>
    <col min="11" max="11" width="7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4" style="1" customWidth="1"/>
    <col min="18" max="18" width="6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8.77734375" style="1" customWidth="1"/>
    <col min="23" max="23" width="8.109375" style="1" customWidth="1"/>
    <col min="24" max="24" width="7.33203125" style="1" customWidth="1"/>
    <col min="25" max="25" width="8" style="1" customWidth="1"/>
    <col min="26" max="26" width="8.44140625" style="1" customWidth="1"/>
    <col min="27" max="27" width="3.664062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195" t="s">
        <v>585</v>
      </c>
      <c r="B1" s="195" t="s">
        <v>27</v>
      </c>
      <c r="C1" s="195" t="s">
        <v>27</v>
      </c>
      <c r="D1" s="195" t="s">
        <v>27</v>
      </c>
      <c r="E1" s="195" t="s">
        <v>27</v>
      </c>
      <c r="F1" s="195" t="s">
        <v>27</v>
      </c>
      <c r="G1" s="195" t="s">
        <v>27</v>
      </c>
      <c r="H1" s="195" t="s">
        <v>27</v>
      </c>
      <c r="I1" s="195" t="s">
        <v>27</v>
      </c>
      <c r="J1" s="195" t="s">
        <v>27</v>
      </c>
      <c r="K1" s="195" t="s">
        <v>27</v>
      </c>
      <c r="L1" s="195" t="s">
        <v>27</v>
      </c>
      <c r="M1" s="195" t="s">
        <v>27</v>
      </c>
      <c r="N1" s="195" t="s">
        <v>27</v>
      </c>
      <c r="O1" s="195" t="s">
        <v>27</v>
      </c>
      <c r="P1" s="195" t="s">
        <v>27</v>
      </c>
      <c r="Q1" s="195" t="s">
        <v>27</v>
      </c>
      <c r="R1" s="195" t="s">
        <v>27</v>
      </c>
      <c r="S1" s="195" t="s">
        <v>27</v>
      </c>
      <c r="T1" s="195" t="s">
        <v>27</v>
      </c>
      <c r="U1" s="195" t="s">
        <v>27</v>
      </c>
      <c r="V1" s="195" t="s">
        <v>27</v>
      </c>
      <c r="W1" s="195" t="s">
        <v>27</v>
      </c>
      <c r="X1" s="195" t="s">
        <v>27</v>
      </c>
      <c r="Y1" s="195" t="s">
        <v>27</v>
      </c>
      <c r="Z1" s="195" t="s">
        <v>27</v>
      </c>
      <c r="AA1" s="195" t="s">
        <v>27</v>
      </c>
      <c r="AB1" s="195" t="s">
        <v>27</v>
      </c>
    </row>
    <row r="2" spans="1:28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582</v>
      </c>
      <c r="C3" s="126" t="s">
        <v>581</v>
      </c>
      <c r="D3" s="126" t="s">
        <v>576</v>
      </c>
      <c r="E3" s="126" t="s">
        <v>27</v>
      </c>
      <c r="F3" s="126">
        <v>262868</v>
      </c>
      <c r="G3" s="126" t="s">
        <v>584</v>
      </c>
      <c r="H3" s="126">
        <v>2000</v>
      </c>
      <c r="I3" s="127">
        <v>0.72</v>
      </c>
      <c r="J3" s="127">
        <v>0.72</v>
      </c>
      <c r="K3" s="126" t="s">
        <v>33</v>
      </c>
      <c r="L3" s="123">
        <v>1036.8</v>
      </c>
      <c r="M3" s="125">
        <v>720</v>
      </c>
      <c r="N3" s="122">
        <v>0.1</v>
      </c>
      <c r="O3" s="124">
        <v>6</v>
      </c>
      <c r="P3" s="121">
        <v>402.3</v>
      </c>
      <c r="Q3" s="121">
        <v>2</v>
      </c>
      <c r="R3" s="121">
        <v>1500</v>
      </c>
      <c r="S3" s="123">
        <v>1.44</v>
      </c>
      <c r="T3" s="121">
        <v>60</v>
      </c>
      <c r="U3" s="122">
        <v>0.04</v>
      </c>
      <c r="V3" s="121" t="s">
        <v>37</v>
      </c>
      <c r="W3" s="121" t="s">
        <v>29</v>
      </c>
      <c r="X3" s="121" t="s">
        <v>29</v>
      </c>
      <c r="Y3" s="121" t="s">
        <v>27</v>
      </c>
      <c r="Z3" s="121" t="s">
        <v>27</v>
      </c>
      <c r="AA3" s="121" t="s">
        <v>32</v>
      </c>
      <c r="AB3" s="121" t="s">
        <v>583</v>
      </c>
    </row>
    <row r="4" spans="1:28" x14ac:dyDescent="0.3">
      <c r="A4" s="126">
        <v>2</v>
      </c>
      <c r="B4" s="128" t="s">
        <v>582</v>
      </c>
      <c r="C4" s="126" t="s">
        <v>581</v>
      </c>
      <c r="D4" s="126" t="s">
        <v>576</v>
      </c>
      <c r="E4" s="126" t="s">
        <v>27</v>
      </c>
      <c r="F4" s="126">
        <v>262867</v>
      </c>
      <c r="G4" s="126" t="s">
        <v>580</v>
      </c>
      <c r="H4" s="126">
        <v>7000</v>
      </c>
      <c r="I4" s="127">
        <v>0.68</v>
      </c>
      <c r="J4" s="127">
        <v>1</v>
      </c>
      <c r="K4" s="126" t="s">
        <v>33</v>
      </c>
      <c r="L4" s="123">
        <v>4760</v>
      </c>
      <c r="M4" s="125">
        <v>3500</v>
      </c>
      <c r="N4" s="122">
        <v>0.48609999999999998</v>
      </c>
      <c r="O4" s="124">
        <v>29.17</v>
      </c>
      <c r="P4" s="121">
        <v>1846.9</v>
      </c>
      <c r="Q4" s="121">
        <v>2</v>
      </c>
      <c r="R4" s="121">
        <v>1400</v>
      </c>
      <c r="S4" s="123">
        <v>1.36</v>
      </c>
      <c r="T4" s="121">
        <v>40</v>
      </c>
      <c r="U4" s="122">
        <v>2.86E-2</v>
      </c>
      <c r="V4" s="121" t="s">
        <v>37</v>
      </c>
      <c r="W4" s="121" t="s">
        <v>29</v>
      </c>
      <c r="X4" s="121" t="s">
        <v>29</v>
      </c>
      <c r="Y4" s="121" t="s">
        <v>27</v>
      </c>
      <c r="Z4" s="121" t="s">
        <v>27</v>
      </c>
      <c r="AA4" s="121" t="s">
        <v>40</v>
      </c>
      <c r="AB4" s="121" t="s">
        <v>579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9000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2249.1999999999998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C8"/>
  <sheetViews>
    <sheetView tabSelected="1" zoomScale="220" zoomScaleNormal="220" workbookViewId="0">
      <selection activeCell="K11" sqref="K11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9" style="1" customWidth="1"/>
    <col min="6" max="6" width="4.44140625" style="1" customWidth="1"/>
    <col min="7" max="7" width="6.44140625" style="1" customWidth="1"/>
    <col min="8" max="8" width="7.77734375" style="1" customWidth="1"/>
    <col min="9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77734375" style="1" customWidth="1"/>
    <col min="17" max="17" width="6.6640625" style="1" customWidth="1"/>
    <col min="18" max="18" width="3.77734375" style="1" customWidth="1"/>
    <col min="19" max="19" width="6.21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.33203125" style="1" customWidth="1"/>
    <col min="24" max="24" width="7.44140625" style="1" customWidth="1"/>
    <col min="25" max="25" width="8" style="1" customWidth="1"/>
    <col min="26" max="26" width="7" style="1" customWidth="1"/>
    <col min="27" max="27" width="7.5546875" style="1" customWidth="1"/>
    <col min="28" max="28" width="4.6640625" style="1" customWidth="1"/>
    <col min="29" max="29" width="10.5546875" style="1" customWidth="1"/>
    <col min="30" max="16384" width="8.88671875" style="1"/>
  </cols>
  <sheetData>
    <row r="1" spans="1:29" ht="18" customHeight="1" x14ac:dyDescent="0.3">
      <c r="A1" s="198" t="s">
        <v>578</v>
      </c>
      <c r="B1" s="198" t="s">
        <v>27</v>
      </c>
      <c r="C1" s="198" t="s">
        <v>27</v>
      </c>
      <c r="D1" s="198" t="s">
        <v>27</v>
      </c>
      <c r="E1" s="198" t="s">
        <v>27</v>
      </c>
      <c r="F1" s="198" t="s">
        <v>27</v>
      </c>
      <c r="G1" s="198" t="s">
        <v>27</v>
      </c>
      <c r="H1" s="198" t="s">
        <v>27</v>
      </c>
      <c r="I1" s="198" t="s">
        <v>27</v>
      </c>
      <c r="J1" s="198"/>
      <c r="K1" s="198" t="s">
        <v>27</v>
      </c>
      <c r="L1" s="198" t="s">
        <v>27</v>
      </c>
      <c r="M1" s="198" t="s">
        <v>27</v>
      </c>
      <c r="N1" s="198" t="s">
        <v>27</v>
      </c>
      <c r="O1" s="198" t="s">
        <v>27</v>
      </c>
      <c r="P1" s="198"/>
      <c r="Q1" s="198" t="s">
        <v>27</v>
      </c>
      <c r="R1" s="198" t="s">
        <v>27</v>
      </c>
      <c r="S1" s="198" t="s">
        <v>27</v>
      </c>
      <c r="T1" s="198" t="s">
        <v>27</v>
      </c>
      <c r="U1" s="198" t="s">
        <v>27</v>
      </c>
      <c r="V1" s="198" t="s">
        <v>27</v>
      </c>
      <c r="W1" s="198" t="s">
        <v>27</v>
      </c>
      <c r="X1" s="198" t="s">
        <v>27</v>
      </c>
      <c r="Y1" s="198" t="s">
        <v>27</v>
      </c>
      <c r="Z1" s="198" t="s">
        <v>27</v>
      </c>
      <c r="AA1" s="198" t="s">
        <v>27</v>
      </c>
      <c r="AB1" s="198" t="s">
        <v>27</v>
      </c>
      <c r="AC1" s="198" t="s">
        <v>27</v>
      </c>
    </row>
    <row r="2" spans="1:29" ht="4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/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/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>
        <v>1</v>
      </c>
      <c r="B3" s="10" t="s">
        <v>93</v>
      </c>
      <c r="C3" s="5" t="s">
        <v>35</v>
      </c>
      <c r="D3" s="5" t="s">
        <v>576</v>
      </c>
      <c r="E3" s="5">
        <v>262865</v>
      </c>
      <c r="F3" s="5" t="s">
        <v>575</v>
      </c>
      <c r="G3" s="5">
        <v>1400</v>
      </c>
      <c r="H3" s="7">
        <v>0.44500000000000001</v>
      </c>
      <c r="I3" s="7">
        <v>0.83</v>
      </c>
      <c r="J3" s="7"/>
      <c r="K3" s="5" t="s">
        <v>577</v>
      </c>
      <c r="L3" s="7">
        <v>517.09</v>
      </c>
      <c r="M3" s="9">
        <v>387.3</v>
      </c>
      <c r="N3" s="6">
        <v>3.5900000000000001E-2</v>
      </c>
      <c r="O3" s="8">
        <v>2.15</v>
      </c>
      <c r="P3" s="8"/>
      <c r="Q3" s="5">
        <v>162.9</v>
      </c>
      <c r="R3" s="5">
        <v>3</v>
      </c>
      <c r="S3" s="5">
        <v>1400</v>
      </c>
      <c r="T3" s="7">
        <v>1.335</v>
      </c>
      <c r="U3" s="5">
        <v>65</v>
      </c>
      <c r="V3" s="6">
        <v>4.6399999999999997E-2</v>
      </c>
      <c r="W3" s="5" t="s">
        <v>28</v>
      </c>
      <c r="X3" s="5" t="s">
        <v>28</v>
      </c>
      <c r="Y3" s="5" t="s">
        <v>28</v>
      </c>
      <c r="Z3" s="5" t="s">
        <v>27</v>
      </c>
      <c r="AA3" s="5" t="s">
        <v>27</v>
      </c>
      <c r="AB3" s="5" t="s">
        <v>38</v>
      </c>
      <c r="AC3" s="5" t="s">
        <v>574</v>
      </c>
    </row>
    <row r="4" spans="1:29" s="98" customFormat="1" ht="25.05" customHeight="1" x14ac:dyDescent="0.3">
      <c r="A4" s="91">
        <v>1</v>
      </c>
      <c r="B4" s="92" t="s">
        <v>126</v>
      </c>
      <c r="C4" s="91" t="s">
        <v>35</v>
      </c>
      <c r="D4" s="91" t="s">
        <v>699</v>
      </c>
      <c r="E4" s="91">
        <v>262930</v>
      </c>
      <c r="F4" s="91" t="s">
        <v>700</v>
      </c>
      <c r="G4" s="91">
        <v>500</v>
      </c>
      <c r="H4" s="93">
        <v>0.62</v>
      </c>
      <c r="I4" s="93">
        <v>0.96</v>
      </c>
      <c r="J4" s="91" t="s">
        <v>27</v>
      </c>
      <c r="K4" s="91" t="s">
        <v>33</v>
      </c>
      <c r="L4" s="91" t="s">
        <v>27</v>
      </c>
      <c r="M4" s="93">
        <v>297.60000000000002</v>
      </c>
      <c r="N4" s="94">
        <v>240</v>
      </c>
      <c r="O4" s="95">
        <v>3.3300000000000003E-2</v>
      </c>
      <c r="P4" s="96"/>
      <c r="Q4" s="91">
        <v>93.7</v>
      </c>
      <c r="R4" s="91">
        <v>2</v>
      </c>
      <c r="S4" s="91">
        <v>1300</v>
      </c>
      <c r="T4" s="93">
        <v>1.24</v>
      </c>
      <c r="U4" s="91">
        <v>60</v>
      </c>
      <c r="V4" s="95">
        <v>4.6199999999999998E-2</v>
      </c>
      <c r="W4" s="91" t="s">
        <v>28</v>
      </c>
      <c r="X4" s="91" t="s">
        <v>28</v>
      </c>
      <c r="Y4" s="91" t="s">
        <v>28</v>
      </c>
      <c r="Z4" s="91" t="s">
        <v>27</v>
      </c>
      <c r="AA4" s="91" t="s">
        <v>27</v>
      </c>
      <c r="AB4" s="91" t="s">
        <v>38</v>
      </c>
      <c r="AC4" s="91" t="s">
        <v>698</v>
      </c>
    </row>
    <row r="5" spans="1:29" s="12" customFormat="1" ht="25.05" customHeight="1" x14ac:dyDescent="0.3">
      <c r="A5" s="5">
        <v>2</v>
      </c>
      <c r="B5" s="10" t="s">
        <v>93</v>
      </c>
      <c r="C5" s="5" t="s">
        <v>35</v>
      </c>
      <c r="D5" s="5" t="s">
        <v>576</v>
      </c>
      <c r="E5" s="5">
        <v>262866</v>
      </c>
      <c r="F5" s="5">
        <v>83</v>
      </c>
      <c r="G5" s="5">
        <v>1000</v>
      </c>
      <c r="H5" s="7">
        <v>0.63</v>
      </c>
      <c r="I5" s="7">
        <v>1</v>
      </c>
      <c r="J5" s="7"/>
      <c r="K5" s="5" t="s">
        <v>33</v>
      </c>
      <c r="L5" s="7">
        <v>630</v>
      </c>
      <c r="M5" s="9">
        <v>500</v>
      </c>
      <c r="N5" s="6">
        <v>6.9400000000000003E-2</v>
      </c>
      <c r="O5" s="8">
        <v>4.17</v>
      </c>
      <c r="P5" s="8"/>
      <c r="Q5" s="5">
        <v>198.4</v>
      </c>
      <c r="R5" s="5">
        <v>2</v>
      </c>
      <c r="S5" s="5">
        <v>1300</v>
      </c>
      <c r="T5" s="7">
        <v>1.26</v>
      </c>
      <c r="U5" s="5">
        <v>40</v>
      </c>
      <c r="V5" s="6">
        <v>3.0800000000000001E-2</v>
      </c>
      <c r="W5" s="5" t="s">
        <v>28</v>
      </c>
      <c r="X5" s="5" t="s">
        <v>28</v>
      </c>
      <c r="Y5" s="5" t="s">
        <v>28</v>
      </c>
      <c r="Z5" s="5" t="s">
        <v>27</v>
      </c>
      <c r="AA5" s="5" t="s">
        <v>27</v>
      </c>
      <c r="AB5" s="5" t="s">
        <v>38</v>
      </c>
      <c r="AC5" s="5" t="s">
        <v>574</v>
      </c>
    </row>
    <row r="6" spans="1:29" s="51" customFormat="1" ht="25.05" customHeight="1" x14ac:dyDescent="0.3">
      <c r="A6" s="5">
        <v>3</v>
      </c>
      <c r="B6" s="174" t="s">
        <v>126</v>
      </c>
      <c r="C6" s="173" t="s">
        <v>35</v>
      </c>
      <c r="D6" s="173"/>
      <c r="E6" s="173">
        <v>262919</v>
      </c>
      <c r="F6" s="173" t="s">
        <v>666</v>
      </c>
      <c r="G6" s="173">
        <v>4500</v>
      </c>
      <c r="H6" s="175">
        <v>0.58099999999999996</v>
      </c>
      <c r="I6" s="175">
        <v>1.9059999999999999</v>
      </c>
      <c r="J6" s="175"/>
      <c r="K6" s="173" t="s">
        <v>667</v>
      </c>
      <c r="L6" s="175"/>
      <c r="M6" s="176"/>
      <c r="N6" s="177"/>
      <c r="O6" s="178"/>
      <c r="P6" s="178"/>
      <c r="Q6" s="173">
        <v>1569.7</v>
      </c>
      <c r="R6" s="173">
        <v>2</v>
      </c>
      <c r="S6" s="173">
        <v>1200</v>
      </c>
      <c r="T6" s="175">
        <v>1.1619999999999999</v>
      </c>
      <c r="U6" s="173">
        <v>38</v>
      </c>
      <c r="V6" s="177">
        <v>3.1699999999999999E-2</v>
      </c>
      <c r="W6" s="173" t="s">
        <v>28</v>
      </c>
      <c r="X6" s="173" t="s">
        <v>28</v>
      </c>
      <c r="Y6" s="173" t="s">
        <v>28</v>
      </c>
      <c r="Z6" s="173" t="s">
        <v>27</v>
      </c>
      <c r="AA6" s="173" t="s">
        <v>27</v>
      </c>
      <c r="AB6" s="173" t="s">
        <v>40</v>
      </c>
      <c r="AC6" s="173" t="s">
        <v>668</v>
      </c>
    </row>
    <row r="7" spans="1:29" s="98" customFormat="1" ht="25.05" customHeight="1" x14ac:dyDescent="0.3">
      <c r="A7" s="5">
        <v>4</v>
      </c>
      <c r="B7" s="92" t="s">
        <v>126</v>
      </c>
      <c r="C7" s="91" t="s">
        <v>49</v>
      </c>
      <c r="D7" s="91" t="s">
        <v>599</v>
      </c>
      <c r="E7" s="91">
        <v>262890</v>
      </c>
      <c r="F7" s="91" t="s">
        <v>625</v>
      </c>
      <c r="G7" s="91">
        <v>1000</v>
      </c>
      <c r="H7" s="93">
        <v>0.55000000000000004</v>
      </c>
      <c r="I7" s="93">
        <v>1.45</v>
      </c>
      <c r="J7" s="93"/>
      <c r="K7" s="91" t="s">
        <v>623</v>
      </c>
      <c r="L7" s="93">
        <v>797.5</v>
      </c>
      <c r="M7" s="94">
        <v>725</v>
      </c>
      <c r="N7" s="95">
        <v>0.1007</v>
      </c>
      <c r="O7" s="96">
        <v>6.04</v>
      </c>
      <c r="P7" s="96"/>
      <c r="Q7" s="91">
        <v>283.10000000000002</v>
      </c>
      <c r="R7" s="91">
        <v>2</v>
      </c>
      <c r="S7" s="91">
        <v>1150</v>
      </c>
      <c r="T7" s="93">
        <v>1.1000000000000001</v>
      </c>
      <c r="U7" s="91">
        <v>50</v>
      </c>
      <c r="V7" s="95">
        <v>4.3499999999999997E-2</v>
      </c>
      <c r="W7" s="91" t="s">
        <v>29</v>
      </c>
      <c r="X7" s="91" t="s">
        <v>28</v>
      </c>
      <c r="Y7" s="91" t="s">
        <v>29</v>
      </c>
      <c r="Z7" s="91" t="s">
        <v>27</v>
      </c>
      <c r="AA7" s="91" t="s">
        <v>27</v>
      </c>
      <c r="AB7" s="91" t="s">
        <v>32</v>
      </c>
      <c r="AC7" s="91" t="s">
        <v>624</v>
      </c>
    </row>
    <row r="8" spans="1:29" s="129" customForma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>
        <f>SUM(G3:G7)</f>
        <v>8400</v>
      </c>
      <c r="H8" s="11" t="s">
        <v>27</v>
      </c>
      <c r="I8" s="11" t="s">
        <v>27</v>
      </c>
      <c r="J8" s="11"/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/>
      <c r="Q8" s="11">
        <f>SUM(Q3:Q7)</f>
        <v>2307.8000000000002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  <c r="AC8" s="11" t="s">
        <v>27</v>
      </c>
    </row>
  </sheetData>
  <mergeCells count="1">
    <mergeCell ref="A1:AC1"/>
  </mergeCells>
  <pageMargins left="0.511811024" right="0.511811024" top="1.39" bottom="0.78740157499999996" header="0.31496062000000002" footer="0.31496062000000002"/>
  <pageSetup paperSize="9" scale="93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E10" sqref="E10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97" t="s">
        <v>573</v>
      </c>
      <c r="B1" s="197" t="s">
        <v>27</v>
      </c>
      <c r="C1" s="197" t="s">
        <v>27</v>
      </c>
      <c r="D1" s="197" t="s">
        <v>27</v>
      </c>
      <c r="E1" s="197" t="s">
        <v>27</v>
      </c>
      <c r="F1" s="197" t="s">
        <v>27</v>
      </c>
      <c r="G1" s="197" t="s">
        <v>27</v>
      </c>
      <c r="H1" s="197" t="s">
        <v>27</v>
      </c>
      <c r="I1" s="197" t="s">
        <v>27</v>
      </c>
      <c r="J1" s="197" t="s">
        <v>27</v>
      </c>
      <c r="K1" s="197" t="s">
        <v>27</v>
      </c>
      <c r="L1" s="197" t="s">
        <v>27</v>
      </c>
      <c r="M1" s="197" t="s">
        <v>27</v>
      </c>
      <c r="N1" s="197" t="s">
        <v>27</v>
      </c>
      <c r="O1" s="197" t="s">
        <v>27</v>
      </c>
      <c r="P1" s="197" t="s">
        <v>27</v>
      </c>
      <c r="Q1" s="197" t="s">
        <v>27</v>
      </c>
      <c r="R1" s="197" t="s">
        <v>27</v>
      </c>
      <c r="S1" s="197" t="s">
        <v>27</v>
      </c>
      <c r="T1" s="197" t="s">
        <v>27</v>
      </c>
      <c r="U1" s="197" t="s">
        <v>27</v>
      </c>
      <c r="V1" s="197" t="s">
        <v>27</v>
      </c>
      <c r="W1" s="197" t="s">
        <v>27</v>
      </c>
      <c r="X1" s="197" t="s">
        <v>27</v>
      </c>
      <c r="Y1" s="197" t="s">
        <v>27</v>
      </c>
      <c r="Z1" s="197" t="s">
        <v>27</v>
      </c>
      <c r="AA1" s="197" t="s">
        <v>27</v>
      </c>
      <c r="AB1" s="197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194" t="s">
        <v>566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197" t="s">
        <v>528</v>
      </c>
      <c r="B1" s="197" t="s">
        <v>27</v>
      </c>
      <c r="C1" s="197" t="s">
        <v>27</v>
      </c>
      <c r="D1" s="197" t="s">
        <v>27</v>
      </c>
      <c r="E1" s="197" t="s">
        <v>27</v>
      </c>
      <c r="F1" s="197" t="s">
        <v>27</v>
      </c>
      <c r="G1" s="197" t="s">
        <v>27</v>
      </c>
      <c r="H1" s="197" t="s">
        <v>27</v>
      </c>
      <c r="I1" s="197" t="s">
        <v>27</v>
      </c>
      <c r="J1" s="197" t="s">
        <v>27</v>
      </c>
      <c r="K1" s="197" t="s">
        <v>27</v>
      </c>
      <c r="L1" s="197" t="s">
        <v>27</v>
      </c>
      <c r="M1" s="197" t="s">
        <v>27</v>
      </c>
      <c r="N1" s="197" t="s">
        <v>27</v>
      </c>
      <c r="O1" s="197" t="s">
        <v>27</v>
      </c>
      <c r="P1" s="197" t="s">
        <v>27</v>
      </c>
      <c r="Q1" s="197" t="s">
        <v>27</v>
      </c>
      <c r="R1" s="197" t="s">
        <v>27</v>
      </c>
      <c r="S1" s="197" t="s">
        <v>27</v>
      </c>
      <c r="T1" s="197" t="s">
        <v>27</v>
      </c>
      <c r="U1" s="197" t="s">
        <v>27</v>
      </c>
      <c r="V1" s="197" t="s">
        <v>27</v>
      </c>
      <c r="W1" s="197" t="s">
        <v>27</v>
      </c>
      <c r="X1" s="197" t="s">
        <v>27</v>
      </c>
      <c r="Y1" s="197" t="s">
        <v>27</v>
      </c>
      <c r="Z1" s="197" t="s">
        <v>27</v>
      </c>
      <c r="AA1" s="197" t="s">
        <v>27</v>
      </c>
      <c r="AB1" s="197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175" zoomScaleNormal="175" workbookViewId="0">
      <selection activeCell="S13" sqref="S13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197" t="s">
        <v>508</v>
      </c>
      <c r="B1" s="197" t="s">
        <v>27</v>
      </c>
      <c r="C1" s="197" t="s">
        <v>27</v>
      </c>
      <c r="D1" s="197" t="s">
        <v>27</v>
      </c>
      <c r="E1" s="197" t="s">
        <v>27</v>
      </c>
      <c r="F1" s="197" t="s">
        <v>27</v>
      </c>
      <c r="G1" s="197" t="s">
        <v>27</v>
      </c>
      <c r="H1" s="197" t="s">
        <v>27</v>
      </c>
      <c r="I1" s="197" t="s">
        <v>27</v>
      </c>
      <c r="J1" s="197" t="s">
        <v>27</v>
      </c>
      <c r="K1" s="197" t="s">
        <v>27</v>
      </c>
      <c r="L1" s="197" t="s">
        <v>27</v>
      </c>
      <c r="M1" s="197" t="s">
        <v>27</v>
      </c>
      <c r="N1" s="197" t="s">
        <v>27</v>
      </c>
      <c r="O1" s="197" t="s">
        <v>27</v>
      </c>
      <c r="P1" s="197" t="s">
        <v>27</v>
      </c>
      <c r="Q1" s="197" t="s">
        <v>27</v>
      </c>
      <c r="R1" s="197" t="s">
        <v>27</v>
      </c>
      <c r="S1" s="197" t="s">
        <v>27</v>
      </c>
      <c r="T1" s="197" t="s">
        <v>27</v>
      </c>
      <c r="U1" s="197" t="s">
        <v>27</v>
      </c>
      <c r="V1" s="197" t="s">
        <v>27</v>
      </c>
      <c r="W1" s="197" t="s">
        <v>27</v>
      </c>
      <c r="X1" s="197" t="s">
        <v>27</v>
      </c>
      <c r="Y1" s="197" t="s">
        <v>27</v>
      </c>
      <c r="Z1" s="197" t="s">
        <v>27</v>
      </c>
      <c r="AA1" s="197" t="s">
        <v>27</v>
      </c>
      <c r="AB1" s="197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465</v>
      </c>
      <c r="E3" s="5" t="s">
        <v>27</v>
      </c>
      <c r="F3" s="5">
        <v>262830</v>
      </c>
      <c r="G3" s="5" t="s">
        <v>503</v>
      </c>
      <c r="H3" s="5">
        <v>1100</v>
      </c>
      <c r="I3" s="7">
        <v>0.51700000000000002</v>
      </c>
      <c r="J3" s="7">
        <v>2.68</v>
      </c>
      <c r="K3" s="5" t="s">
        <v>507</v>
      </c>
      <c r="L3" s="7">
        <v>1524.116</v>
      </c>
      <c r="M3" s="9">
        <v>982.7</v>
      </c>
      <c r="N3" s="6">
        <v>9.0999999999999998E-2</v>
      </c>
      <c r="O3" s="8">
        <v>5.46</v>
      </c>
      <c r="P3" s="5">
        <v>820</v>
      </c>
      <c r="Q3" s="5">
        <v>3</v>
      </c>
      <c r="R3" s="5">
        <v>1600</v>
      </c>
      <c r="S3" s="7">
        <v>1.5509999999999999</v>
      </c>
      <c r="T3" s="5">
        <v>49</v>
      </c>
      <c r="U3" s="6">
        <v>3.0599999999999999E-2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506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465</v>
      </c>
      <c r="E4" s="5" t="s">
        <v>27</v>
      </c>
      <c r="F4" s="5">
        <v>262832</v>
      </c>
      <c r="G4" s="5" t="s">
        <v>503</v>
      </c>
      <c r="H4" s="5">
        <v>660</v>
      </c>
      <c r="I4" s="7">
        <v>0.91200000000000003</v>
      </c>
      <c r="J4" s="7">
        <v>2.1</v>
      </c>
      <c r="K4" s="5" t="s">
        <v>505</v>
      </c>
      <c r="L4" s="7">
        <v>1264.0319999999999</v>
      </c>
      <c r="M4" s="9">
        <v>1386</v>
      </c>
      <c r="N4" s="6">
        <v>0.38500000000000001</v>
      </c>
      <c r="O4" s="8">
        <v>23.1</v>
      </c>
      <c r="P4" s="5">
        <v>680</v>
      </c>
      <c r="Q4" s="5">
        <v>1</v>
      </c>
      <c r="R4" s="5">
        <v>950</v>
      </c>
      <c r="S4" s="7">
        <v>0.91200000000000003</v>
      </c>
      <c r="T4" s="5">
        <v>38</v>
      </c>
      <c r="U4" s="6">
        <v>0.04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31</v>
      </c>
      <c r="AB4" s="5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 x14ac:dyDescent="0.3">
      <c r="A6" s="91">
        <v>2</v>
      </c>
      <c r="B6" s="92" t="s">
        <v>58</v>
      </c>
      <c r="C6" s="91" t="s">
        <v>26</v>
      </c>
      <c r="D6" s="91" t="s">
        <v>576</v>
      </c>
      <c r="E6" s="91" t="s">
        <v>27</v>
      </c>
      <c r="F6" s="91">
        <v>262872</v>
      </c>
      <c r="G6" s="91" t="s">
        <v>589</v>
      </c>
      <c r="H6" s="91">
        <v>600</v>
      </c>
      <c r="I6" s="93">
        <v>0.86799999999999999</v>
      </c>
      <c r="J6" s="93">
        <v>1.32</v>
      </c>
      <c r="K6" s="91" t="s">
        <v>591</v>
      </c>
      <c r="L6" s="93">
        <v>687.45600000000002</v>
      </c>
      <c r="M6" s="94">
        <v>792</v>
      </c>
      <c r="N6" s="95">
        <v>0.22</v>
      </c>
      <c r="O6" s="96">
        <v>13.2</v>
      </c>
      <c r="P6" s="91">
        <v>369.9</v>
      </c>
      <c r="Q6" s="91">
        <v>1</v>
      </c>
      <c r="R6" s="91">
        <v>900</v>
      </c>
      <c r="S6" s="93">
        <v>0.86799999999999999</v>
      </c>
      <c r="T6" s="91">
        <v>32</v>
      </c>
      <c r="U6" s="95">
        <v>3.56E-2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31</v>
      </c>
      <c r="AB6" s="91" t="s">
        <v>590</v>
      </c>
    </row>
    <row r="7" spans="1:28" s="12" customFormat="1" ht="25.05" customHeight="1" x14ac:dyDescent="0.3">
      <c r="A7" s="5">
        <v>3</v>
      </c>
      <c r="B7" s="10" t="s">
        <v>58</v>
      </c>
      <c r="C7" s="5" t="s">
        <v>59</v>
      </c>
      <c r="D7" s="5" t="s">
        <v>465</v>
      </c>
      <c r="E7" s="5" t="s">
        <v>27</v>
      </c>
      <c r="F7" s="5">
        <v>262831</v>
      </c>
      <c r="G7" s="5" t="s">
        <v>503</v>
      </c>
      <c r="H7" s="5">
        <v>490</v>
      </c>
      <c r="I7" s="7">
        <v>1.0629999999999999</v>
      </c>
      <c r="J7" s="7">
        <v>1.93</v>
      </c>
      <c r="K7" s="5" t="s">
        <v>502</v>
      </c>
      <c r="L7" s="7">
        <v>1005.279</v>
      </c>
      <c r="M7" s="9">
        <v>945.7</v>
      </c>
      <c r="N7" s="6">
        <v>0.26269999999999999</v>
      </c>
      <c r="O7" s="8">
        <v>15.76</v>
      </c>
      <c r="P7" s="5">
        <v>325.7</v>
      </c>
      <c r="Q7" s="5">
        <v>1</v>
      </c>
      <c r="R7" s="5">
        <v>1100</v>
      </c>
      <c r="S7" s="7">
        <v>1.0629999999999999</v>
      </c>
      <c r="T7" s="5">
        <v>37</v>
      </c>
      <c r="U7" s="6">
        <v>3.3599999999999998E-2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199" t="s">
        <v>489</v>
      </c>
      <c r="B1" s="199" t="s">
        <v>27</v>
      </c>
      <c r="C1" s="199" t="s">
        <v>27</v>
      </c>
      <c r="D1" s="199" t="s">
        <v>27</v>
      </c>
      <c r="E1" s="199" t="s">
        <v>27</v>
      </c>
      <c r="F1" s="199" t="s">
        <v>27</v>
      </c>
      <c r="G1" s="199" t="s">
        <v>27</v>
      </c>
      <c r="H1" s="199" t="s">
        <v>27</v>
      </c>
      <c r="I1" s="199" t="s">
        <v>27</v>
      </c>
      <c r="J1" s="199" t="s">
        <v>27</v>
      </c>
      <c r="K1" s="199" t="s">
        <v>27</v>
      </c>
      <c r="L1" s="199" t="s">
        <v>27</v>
      </c>
      <c r="M1" s="199" t="s">
        <v>27</v>
      </c>
      <c r="N1" s="199" t="s">
        <v>27</v>
      </c>
      <c r="O1" s="199" t="s">
        <v>27</v>
      </c>
      <c r="P1" s="199" t="s">
        <v>27</v>
      </c>
      <c r="Q1" s="199" t="s">
        <v>27</v>
      </c>
      <c r="R1" s="199" t="s">
        <v>27</v>
      </c>
      <c r="S1" s="199" t="s">
        <v>27</v>
      </c>
      <c r="T1" s="199" t="s">
        <v>27</v>
      </c>
      <c r="U1" s="199" t="s">
        <v>27</v>
      </c>
      <c r="V1" s="199" t="s">
        <v>27</v>
      </c>
      <c r="W1" s="199" t="s">
        <v>27</v>
      </c>
      <c r="X1" s="199" t="s">
        <v>27</v>
      </c>
      <c r="Y1" s="199" t="s">
        <v>27</v>
      </c>
      <c r="Z1" s="199" t="s">
        <v>27</v>
      </c>
      <c r="AA1" s="199" t="s">
        <v>27</v>
      </c>
      <c r="AB1" s="199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 x14ac:dyDescent="0.3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 x14ac:dyDescent="0.3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 x14ac:dyDescent="0.3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197" t="s">
        <v>478</v>
      </c>
      <c r="B1" s="197" t="s">
        <v>27</v>
      </c>
      <c r="C1" s="197" t="s">
        <v>27</v>
      </c>
      <c r="D1" s="197" t="s">
        <v>27</v>
      </c>
      <c r="E1" s="197" t="s">
        <v>27</v>
      </c>
      <c r="F1" s="197" t="s">
        <v>27</v>
      </c>
      <c r="G1" s="197" t="s">
        <v>27</v>
      </c>
      <c r="H1" s="197" t="s">
        <v>27</v>
      </c>
      <c r="I1" s="197" t="s">
        <v>27</v>
      </c>
      <c r="J1" s="197" t="s">
        <v>27</v>
      </c>
      <c r="K1" s="197" t="s">
        <v>27</v>
      </c>
      <c r="L1" s="197" t="s">
        <v>27</v>
      </c>
      <c r="M1" s="197" t="s">
        <v>27</v>
      </c>
      <c r="N1" s="197" t="s">
        <v>27</v>
      </c>
      <c r="O1" s="197" t="s">
        <v>27</v>
      </c>
      <c r="P1" s="197" t="s">
        <v>27</v>
      </c>
      <c r="Q1" s="197" t="s">
        <v>27</v>
      </c>
      <c r="R1" s="197" t="s">
        <v>27</v>
      </c>
      <c r="S1" s="197" t="s">
        <v>27</v>
      </c>
      <c r="T1" s="197" t="s">
        <v>27</v>
      </c>
      <c r="U1" s="197" t="s">
        <v>27</v>
      </c>
      <c r="V1" s="197" t="s">
        <v>27</v>
      </c>
      <c r="W1" s="197" t="s">
        <v>27</v>
      </c>
      <c r="X1" s="197" t="s">
        <v>27</v>
      </c>
      <c r="Y1" s="197" t="s">
        <v>27</v>
      </c>
      <c r="Z1" s="197" t="s">
        <v>27</v>
      </c>
      <c r="AA1" s="197" t="s">
        <v>27</v>
      </c>
      <c r="AB1" s="197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200" t="s">
        <v>477</v>
      </c>
      <c r="B1" s="200" t="s">
        <v>27</v>
      </c>
      <c r="C1" s="200" t="s">
        <v>27</v>
      </c>
      <c r="D1" s="200" t="s">
        <v>27</v>
      </c>
      <c r="E1" s="200" t="s">
        <v>27</v>
      </c>
      <c r="F1" s="200" t="s">
        <v>27</v>
      </c>
      <c r="G1" s="200" t="s">
        <v>27</v>
      </c>
      <c r="H1" s="200" t="s">
        <v>27</v>
      </c>
      <c r="I1" s="200" t="s">
        <v>27</v>
      </c>
      <c r="J1" s="200" t="s">
        <v>27</v>
      </c>
      <c r="K1" s="200" t="s">
        <v>27</v>
      </c>
      <c r="L1" s="200" t="s">
        <v>27</v>
      </c>
      <c r="M1" s="200" t="s">
        <v>27</v>
      </c>
      <c r="N1" s="200" t="s">
        <v>27</v>
      </c>
      <c r="O1" s="200" t="s">
        <v>27</v>
      </c>
      <c r="P1" s="200" t="s">
        <v>27</v>
      </c>
      <c r="Q1" s="200" t="s">
        <v>27</v>
      </c>
      <c r="R1" s="200" t="s">
        <v>27</v>
      </c>
      <c r="S1" s="200" t="s">
        <v>27</v>
      </c>
      <c r="T1" s="200" t="s">
        <v>27</v>
      </c>
      <c r="U1" s="200" t="s">
        <v>27</v>
      </c>
      <c r="V1" s="200" t="s">
        <v>27</v>
      </c>
      <c r="W1" s="200" t="s">
        <v>27</v>
      </c>
      <c r="X1" s="200" t="s">
        <v>27</v>
      </c>
      <c r="Y1" s="200" t="s">
        <v>27</v>
      </c>
      <c r="Z1" s="200" t="s">
        <v>27</v>
      </c>
      <c r="AA1" s="200" t="s">
        <v>27</v>
      </c>
      <c r="AB1" s="200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194" t="s">
        <v>458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194" t="s">
        <v>395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194" t="s">
        <v>593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200" t="s">
        <v>364</v>
      </c>
      <c r="B1" s="200" t="s">
        <v>27</v>
      </c>
      <c r="C1" s="200" t="s">
        <v>27</v>
      </c>
      <c r="D1" s="200" t="s">
        <v>27</v>
      </c>
      <c r="E1" s="200" t="s">
        <v>27</v>
      </c>
      <c r="F1" s="200" t="s">
        <v>27</v>
      </c>
      <c r="G1" s="200" t="s">
        <v>27</v>
      </c>
      <c r="H1" s="200" t="s">
        <v>27</v>
      </c>
      <c r="I1" s="200" t="s">
        <v>27</v>
      </c>
      <c r="J1" s="200" t="s">
        <v>27</v>
      </c>
      <c r="K1" s="200" t="s">
        <v>27</v>
      </c>
      <c r="L1" s="200" t="s">
        <v>27</v>
      </c>
      <c r="M1" s="200" t="s">
        <v>27</v>
      </c>
      <c r="N1" s="200" t="s">
        <v>27</v>
      </c>
      <c r="O1" s="200" t="s">
        <v>27</v>
      </c>
      <c r="P1" s="200" t="s">
        <v>27</v>
      </c>
      <c r="Q1" s="200" t="s">
        <v>27</v>
      </c>
      <c r="R1" s="200" t="s">
        <v>27</v>
      </c>
      <c r="S1" s="200" t="s">
        <v>27</v>
      </c>
      <c r="T1" s="200" t="s">
        <v>27</v>
      </c>
      <c r="U1" s="200" t="s">
        <v>27</v>
      </c>
      <c r="V1" s="200" t="s">
        <v>27</v>
      </c>
      <c r="W1" s="200" t="s">
        <v>27</v>
      </c>
      <c r="X1" s="200" t="s">
        <v>27</v>
      </c>
      <c r="Y1" s="200" t="s">
        <v>27</v>
      </c>
      <c r="Z1" s="200" t="s">
        <v>27</v>
      </c>
      <c r="AA1" s="200" t="s">
        <v>27</v>
      </c>
      <c r="AB1" s="200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94" t="s">
        <v>321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72" customFormat="1" ht="25.05" customHeight="1" x14ac:dyDescent="0.3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72" customFormat="1" ht="25.05" customHeight="1" x14ac:dyDescent="0.3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72" customFormat="1" ht="25.05" customHeight="1" x14ac:dyDescent="0.3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72" customFormat="1" ht="25.05" customHeight="1" x14ac:dyDescent="0.3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72" customFormat="1" ht="25.05" customHeight="1" x14ac:dyDescent="0.3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72" customFormat="1" ht="25.05" customHeight="1" x14ac:dyDescent="0.3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72" customFormat="1" ht="25.05" customHeight="1" x14ac:dyDescent="0.3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72" customFormat="1" ht="25.05" customHeight="1" x14ac:dyDescent="0.3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72" customFormat="1" ht="25.05" customHeight="1" x14ac:dyDescent="0.3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72" customFormat="1" ht="25.05" customHeight="1" x14ac:dyDescent="0.3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72" customFormat="1" ht="25.05" customHeight="1" x14ac:dyDescent="0.3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72" customFormat="1" ht="25.05" customHeight="1" x14ac:dyDescent="0.3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72" customFormat="1" ht="25.05" customHeight="1" x14ac:dyDescent="0.3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72" customFormat="1" ht="25.05" customHeight="1" x14ac:dyDescent="0.3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72" customFormat="1" ht="25.05" customHeight="1" x14ac:dyDescent="0.3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72" customFormat="1" ht="25.05" customHeight="1" x14ac:dyDescent="0.3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72" customFormat="1" ht="25.05" customHeight="1" x14ac:dyDescent="0.3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194" t="s">
        <v>296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P10" sqref="P10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194" t="s">
        <v>278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194" t="s">
        <v>264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196" t="s">
        <v>247</v>
      </c>
      <c r="B1" s="196" t="s">
        <v>27</v>
      </c>
      <c r="C1" s="196" t="s">
        <v>27</v>
      </c>
      <c r="D1" s="196" t="s">
        <v>27</v>
      </c>
      <c r="E1" s="196" t="s">
        <v>27</v>
      </c>
      <c r="F1" s="196" t="s">
        <v>27</v>
      </c>
      <c r="G1" s="196" t="s">
        <v>27</v>
      </c>
      <c r="H1" s="196" t="s">
        <v>27</v>
      </c>
      <c r="I1" s="196" t="s">
        <v>27</v>
      </c>
      <c r="J1" s="196" t="s">
        <v>27</v>
      </c>
      <c r="K1" s="196" t="s">
        <v>27</v>
      </c>
      <c r="L1" s="196" t="s">
        <v>27</v>
      </c>
      <c r="M1" s="196" t="s">
        <v>27</v>
      </c>
      <c r="N1" s="196" t="s">
        <v>27</v>
      </c>
      <c r="O1" s="196" t="s">
        <v>27</v>
      </c>
      <c r="P1" s="196" t="s">
        <v>27</v>
      </c>
      <c r="Q1" s="196" t="s">
        <v>27</v>
      </c>
      <c r="R1" s="196" t="s">
        <v>27</v>
      </c>
      <c r="S1" s="196" t="s">
        <v>27</v>
      </c>
      <c r="T1" s="196" t="s">
        <v>27</v>
      </c>
      <c r="U1" s="196" t="s">
        <v>27</v>
      </c>
      <c r="V1" s="196" t="s">
        <v>27</v>
      </c>
      <c r="W1" s="196" t="s">
        <v>27</v>
      </c>
      <c r="X1" s="196" t="s">
        <v>27</v>
      </c>
      <c r="Y1" s="196" t="s">
        <v>27</v>
      </c>
      <c r="Z1" s="196" t="s">
        <v>27</v>
      </c>
      <c r="AA1" s="196" t="s">
        <v>27</v>
      </c>
      <c r="AB1" s="196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172" zoomScaleNormal="172" workbookViewId="0">
      <selection activeCell="S19" sqref="S19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94" t="s">
        <v>234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91">
        <v>6</v>
      </c>
      <c r="B8" s="92" t="s">
        <v>58</v>
      </c>
      <c r="C8" s="91" t="s">
        <v>26</v>
      </c>
      <c r="D8" s="91" t="s">
        <v>251</v>
      </c>
      <c r="E8" s="91" t="s">
        <v>27</v>
      </c>
      <c r="F8" s="91">
        <v>262770</v>
      </c>
      <c r="G8" s="91" t="s">
        <v>280</v>
      </c>
      <c r="H8" s="91">
        <v>400</v>
      </c>
      <c r="I8" s="93">
        <v>1.3720000000000001</v>
      </c>
      <c r="J8" s="93">
        <v>2.38</v>
      </c>
      <c r="K8" s="91" t="s">
        <v>284</v>
      </c>
      <c r="L8" s="93">
        <v>1306.144</v>
      </c>
      <c r="M8" s="94">
        <v>952</v>
      </c>
      <c r="N8" s="95">
        <v>0.26440000000000002</v>
      </c>
      <c r="O8" s="96">
        <v>15.87</v>
      </c>
      <c r="P8" s="91">
        <v>702.7</v>
      </c>
      <c r="Q8" s="91">
        <v>1</v>
      </c>
      <c r="R8" s="91">
        <v>1400</v>
      </c>
      <c r="S8" s="93">
        <v>1.3720000000000001</v>
      </c>
      <c r="T8" s="91">
        <v>28</v>
      </c>
      <c r="U8" s="95">
        <v>0.02</v>
      </c>
      <c r="V8" s="91" t="s">
        <v>28</v>
      </c>
      <c r="W8" s="91" t="s">
        <v>29</v>
      </c>
      <c r="X8" s="91" t="s">
        <v>28</v>
      </c>
      <c r="Y8" s="91" t="s">
        <v>28</v>
      </c>
      <c r="Z8" s="91" t="s">
        <v>28</v>
      </c>
      <c r="AA8" s="91" t="s">
        <v>30</v>
      </c>
      <c r="AB8" s="91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91">
        <v>11</v>
      </c>
      <c r="B13" s="92" t="s">
        <v>58</v>
      </c>
      <c r="C13" s="91" t="s">
        <v>59</v>
      </c>
      <c r="D13" s="91" t="s">
        <v>440</v>
      </c>
      <c r="E13" s="91" t="s">
        <v>27</v>
      </c>
      <c r="F13" s="91">
        <v>262773</v>
      </c>
      <c r="G13" s="91" t="s">
        <v>439</v>
      </c>
      <c r="H13" s="91">
        <v>930</v>
      </c>
      <c r="I13" s="93">
        <v>0.59199999999999997</v>
      </c>
      <c r="J13" s="93">
        <v>1.62</v>
      </c>
      <c r="K13" s="91" t="s">
        <v>324</v>
      </c>
      <c r="L13" s="93">
        <v>891.90700000000004</v>
      </c>
      <c r="M13" s="94">
        <v>753.3</v>
      </c>
      <c r="N13" s="95">
        <v>0.1046</v>
      </c>
      <c r="O13" s="96">
        <v>6.28</v>
      </c>
      <c r="P13" s="91">
        <v>289</v>
      </c>
      <c r="Q13" s="91">
        <v>2</v>
      </c>
      <c r="R13" s="91">
        <v>1250</v>
      </c>
      <c r="S13" s="93">
        <v>1.1839999999999999</v>
      </c>
      <c r="T13" s="91">
        <v>66</v>
      </c>
      <c r="U13" s="95">
        <v>5.28E-2</v>
      </c>
      <c r="V13" s="91" t="s">
        <v>28</v>
      </c>
      <c r="W13" s="91" t="s">
        <v>28</v>
      </c>
      <c r="X13" s="91" t="s">
        <v>28</v>
      </c>
      <c r="Y13" s="91" t="s">
        <v>27</v>
      </c>
      <c r="Z13" s="91" t="s">
        <v>27</v>
      </c>
      <c r="AA13" s="91" t="s">
        <v>30</v>
      </c>
      <c r="AB13" s="91" t="s">
        <v>325</v>
      </c>
    </row>
    <row r="14" spans="1:28" s="90" customFormat="1" ht="25.05" customHeight="1" x14ac:dyDescent="0.3">
      <c r="A14" s="91">
        <v>12</v>
      </c>
      <c r="B14" s="92" t="s">
        <v>58</v>
      </c>
      <c r="C14" s="91" t="s">
        <v>59</v>
      </c>
      <c r="D14" s="91" t="s">
        <v>222</v>
      </c>
      <c r="E14" s="91" t="s">
        <v>27</v>
      </c>
      <c r="F14" s="91">
        <v>262765</v>
      </c>
      <c r="G14" s="91" t="s">
        <v>231</v>
      </c>
      <c r="H14" s="91">
        <v>1150</v>
      </c>
      <c r="I14" s="93">
        <v>0.54700000000000004</v>
      </c>
      <c r="J14" s="93">
        <v>1.44</v>
      </c>
      <c r="K14" s="91" t="s">
        <v>233</v>
      </c>
      <c r="L14" s="93">
        <v>905.83199999999999</v>
      </c>
      <c r="M14" s="94">
        <v>828</v>
      </c>
      <c r="N14" s="95">
        <v>0.115</v>
      </c>
      <c r="O14" s="96">
        <v>6.9</v>
      </c>
      <c r="P14" s="91">
        <v>293.5</v>
      </c>
      <c r="Q14" s="91">
        <v>2</v>
      </c>
      <c r="R14" s="91">
        <v>1150</v>
      </c>
      <c r="S14" s="93">
        <v>1.0940000000000001</v>
      </c>
      <c r="T14" s="91">
        <v>56</v>
      </c>
      <c r="U14" s="95">
        <v>4.87E-2</v>
      </c>
      <c r="V14" s="91" t="s">
        <v>28</v>
      </c>
      <c r="W14" s="91" t="s">
        <v>28</v>
      </c>
      <c r="X14" s="91" t="s">
        <v>28</v>
      </c>
      <c r="Y14" s="91" t="s">
        <v>27</v>
      </c>
      <c r="Z14" s="91" t="s">
        <v>27</v>
      </c>
      <c r="AA14" s="91" t="s">
        <v>32</v>
      </c>
      <c r="AB14" s="91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91">
        <v>14</v>
      </c>
      <c r="B16" s="92" t="s">
        <v>58</v>
      </c>
      <c r="C16" s="91" t="s">
        <v>35</v>
      </c>
      <c r="D16" s="91" t="s">
        <v>272</v>
      </c>
      <c r="E16" s="91" t="s">
        <v>27</v>
      </c>
      <c r="F16" s="91">
        <v>262771</v>
      </c>
      <c r="G16" s="91" t="s">
        <v>286</v>
      </c>
      <c r="H16" s="91">
        <v>1350</v>
      </c>
      <c r="I16" s="93">
        <v>0.59199999999999997</v>
      </c>
      <c r="J16" s="93">
        <v>1.619</v>
      </c>
      <c r="K16" s="91" t="s">
        <v>287</v>
      </c>
      <c r="L16" s="93">
        <v>1293.905</v>
      </c>
      <c r="M16" s="94">
        <v>1092.8</v>
      </c>
      <c r="N16" s="95">
        <v>0.15179999999999999</v>
      </c>
      <c r="O16" s="96">
        <v>9.11</v>
      </c>
      <c r="P16" s="91">
        <v>407.6</v>
      </c>
      <c r="Q16" s="91">
        <v>2</v>
      </c>
      <c r="R16" s="91">
        <v>1250</v>
      </c>
      <c r="S16" s="93">
        <v>1.1839999999999999</v>
      </c>
      <c r="T16" s="91">
        <v>66</v>
      </c>
      <c r="U16" s="95">
        <v>5.28E-2</v>
      </c>
      <c r="V16" s="91" t="s">
        <v>28</v>
      </c>
      <c r="W16" s="91" t="s">
        <v>28</v>
      </c>
      <c r="X16" s="91" t="s">
        <v>28</v>
      </c>
      <c r="Y16" s="91" t="s">
        <v>27</v>
      </c>
      <c r="Z16" s="91" t="s">
        <v>27</v>
      </c>
      <c r="AA16" s="91" t="s">
        <v>31</v>
      </c>
      <c r="AB16" s="91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194" t="s">
        <v>228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194" t="s">
        <v>218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194" t="s">
        <v>235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197" t="s">
        <v>181</v>
      </c>
      <c r="B1" s="197" t="s">
        <v>27</v>
      </c>
      <c r="C1" s="197" t="s">
        <v>27</v>
      </c>
      <c r="D1" s="197" t="s">
        <v>27</v>
      </c>
      <c r="E1" s="197" t="s">
        <v>27</v>
      </c>
      <c r="F1" s="197" t="s">
        <v>27</v>
      </c>
      <c r="G1" s="197" t="s">
        <v>27</v>
      </c>
      <c r="H1" s="197" t="s">
        <v>27</v>
      </c>
      <c r="I1" s="197" t="s">
        <v>27</v>
      </c>
      <c r="J1" s="197" t="s">
        <v>27</v>
      </c>
      <c r="K1" s="197" t="s">
        <v>27</v>
      </c>
      <c r="L1" s="197" t="s">
        <v>27</v>
      </c>
      <c r="M1" s="197" t="s">
        <v>27</v>
      </c>
      <c r="N1" s="197" t="s">
        <v>27</v>
      </c>
      <c r="O1" s="197" t="s">
        <v>27</v>
      </c>
      <c r="P1" s="197" t="s">
        <v>27</v>
      </c>
      <c r="Q1" s="197" t="s">
        <v>27</v>
      </c>
      <c r="R1" s="197" t="s">
        <v>27</v>
      </c>
      <c r="S1" s="197" t="s">
        <v>27</v>
      </c>
      <c r="T1" s="197" t="s">
        <v>27</v>
      </c>
      <c r="U1" s="197" t="s">
        <v>27</v>
      </c>
      <c r="V1" s="197" t="s">
        <v>27</v>
      </c>
      <c r="W1" s="197" t="s">
        <v>27</v>
      </c>
      <c r="X1" s="197" t="s">
        <v>27</v>
      </c>
      <c r="Y1" s="197" t="s">
        <v>27</v>
      </c>
      <c r="Z1" s="197" t="s">
        <v>27</v>
      </c>
      <c r="AA1" s="197" t="s">
        <v>27</v>
      </c>
      <c r="AB1" s="197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97" t="s">
        <v>173</v>
      </c>
      <c r="B1" s="197" t="s">
        <v>27</v>
      </c>
      <c r="C1" s="197" t="s">
        <v>27</v>
      </c>
      <c r="D1" s="197" t="s">
        <v>27</v>
      </c>
      <c r="E1" s="197" t="s">
        <v>27</v>
      </c>
      <c r="F1" s="197" t="s">
        <v>27</v>
      </c>
      <c r="G1" s="197" t="s">
        <v>27</v>
      </c>
      <c r="H1" s="197" t="s">
        <v>27</v>
      </c>
      <c r="I1" s="197" t="s">
        <v>27</v>
      </c>
      <c r="J1" s="197" t="s">
        <v>27</v>
      </c>
      <c r="K1" s="197" t="s">
        <v>27</v>
      </c>
      <c r="L1" s="197" t="s">
        <v>27</v>
      </c>
      <c r="M1" s="197" t="s">
        <v>27</v>
      </c>
      <c r="N1" s="197" t="s">
        <v>27</v>
      </c>
      <c r="O1" s="197" t="s">
        <v>27</v>
      </c>
      <c r="P1" s="197" t="s">
        <v>27</v>
      </c>
      <c r="Q1" s="197" t="s">
        <v>27</v>
      </c>
      <c r="R1" s="197" t="s">
        <v>27</v>
      </c>
      <c r="S1" s="197" t="s">
        <v>27</v>
      </c>
      <c r="T1" s="197" t="s">
        <v>27</v>
      </c>
      <c r="U1" s="197" t="s">
        <v>27</v>
      </c>
      <c r="V1" s="197" t="s">
        <v>27</v>
      </c>
      <c r="W1" s="197" t="s">
        <v>27</v>
      </c>
      <c r="X1" s="197" t="s">
        <v>27</v>
      </c>
      <c r="Y1" s="197" t="s">
        <v>27</v>
      </c>
      <c r="Z1" s="197" t="s">
        <v>27</v>
      </c>
      <c r="AA1" s="197" t="s">
        <v>27</v>
      </c>
      <c r="AB1" s="197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194" t="s">
        <v>143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94" t="s">
        <v>139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200" t="s">
        <v>123</v>
      </c>
      <c r="B1" s="200" t="s">
        <v>27</v>
      </c>
      <c r="C1" s="200" t="s">
        <v>27</v>
      </c>
      <c r="D1" s="200" t="s">
        <v>27</v>
      </c>
      <c r="E1" s="200" t="s">
        <v>27</v>
      </c>
      <c r="F1" s="200" t="s">
        <v>27</v>
      </c>
      <c r="G1" s="200" t="s">
        <v>27</v>
      </c>
      <c r="H1" s="200" t="s">
        <v>27</v>
      </c>
      <c r="I1" s="200" t="s">
        <v>27</v>
      </c>
      <c r="J1" s="200" t="s">
        <v>27</v>
      </c>
      <c r="K1" s="200" t="s">
        <v>27</v>
      </c>
      <c r="L1" s="200" t="s">
        <v>27</v>
      </c>
      <c r="M1" s="200" t="s">
        <v>27</v>
      </c>
      <c r="N1" s="200" t="s">
        <v>27</v>
      </c>
      <c r="O1" s="200" t="s">
        <v>27</v>
      </c>
      <c r="P1" s="200" t="s">
        <v>27</v>
      </c>
      <c r="Q1" s="200" t="s">
        <v>27</v>
      </c>
      <c r="R1" s="200" t="s">
        <v>27</v>
      </c>
      <c r="S1" s="200" t="s">
        <v>27</v>
      </c>
      <c r="T1" s="200" t="s">
        <v>27</v>
      </c>
      <c r="U1" s="200" t="s">
        <v>27</v>
      </c>
      <c r="V1" s="200" t="s">
        <v>27</v>
      </c>
      <c r="W1" s="200" t="s">
        <v>27</v>
      </c>
      <c r="X1" s="200" t="s">
        <v>27</v>
      </c>
      <c r="Y1" s="200" t="s">
        <v>27</v>
      </c>
      <c r="Z1" s="200" t="s">
        <v>27</v>
      </c>
      <c r="AA1" s="200" t="s">
        <v>27</v>
      </c>
      <c r="AB1" s="200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201" t="s">
        <v>105</v>
      </c>
      <c r="B1" s="201" t="s">
        <v>27</v>
      </c>
      <c r="C1" s="201" t="s">
        <v>27</v>
      </c>
      <c r="D1" s="201" t="s">
        <v>27</v>
      </c>
      <c r="E1" s="201" t="s">
        <v>27</v>
      </c>
      <c r="F1" s="201" t="s">
        <v>27</v>
      </c>
      <c r="G1" s="201" t="s">
        <v>27</v>
      </c>
      <c r="H1" s="201" t="s">
        <v>27</v>
      </c>
      <c r="I1" s="201" t="s">
        <v>27</v>
      </c>
      <c r="J1" s="201" t="s">
        <v>27</v>
      </c>
      <c r="K1" s="201" t="s">
        <v>27</v>
      </c>
      <c r="L1" s="201" t="s">
        <v>27</v>
      </c>
      <c r="M1" s="201" t="s">
        <v>27</v>
      </c>
      <c r="N1" s="201" t="s">
        <v>27</v>
      </c>
      <c r="O1" s="201" t="s">
        <v>27</v>
      </c>
      <c r="P1" s="201" t="s">
        <v>27</v>
      </c>
      <c r="Q1" s="201" t="s">
        <v>27</v>
      </c>
      <c r="R1" s="201" t="s">
        <v>27</v>
      </c>
      <c r="S1" s="201" t="s">
        <v>27</v>
      </c>
      <c r="T1" s="201" t="s">
        <v>27</v>
      </c>
      <c r="U1" s="201" t="s">
        <v>27</v>
      </c>
      <c r="V1" s="201" t="s">
        <v>27</v>
      </c>
      <c r="W1" s="201" t="s">
        <v>27</v>
      </c>
      <c r="X1" s="201" t="s">
        <v>27</v>
      </c>
      <c r="Y1" s="201" t="s">
        <v>27</v>
      </c>
      <c r="Z1" s="201" t="s">
        <v>27</v>
      </c>
      <c r="AA1" s="201" t="s">
        <v>27</v>
      </c>
      <c r="AB1" s="201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202" t="s">
        <v>80</v>
      </c>
      <c r="B1" s="202" t="s">
        <v>27</v>
      </c>
      <c r="C1" s="202" t="s">
        <v>27</v>
      </c>
      <c r="D1" s="202" t="s">
        <v>27</v>
      </c>
      <c r="E1" s="202" t="s">
        <v>27</v>
      </c>
      <c r="F1" s="202" t="s">
        <v>27</v>
      </c>
      <c r="G1" s="202" t="s">
        <v>27</v>
      </c>
      <c r="H1" s="202" t="s">
        <v>27</v>
      </c>
      <c r="I1" s="202" t="s">
        <v>27</v>
      </c>
      <c r="J1" s="202" t="s">
        <v>27</v>
      </c>
      <c r="K1" s="202" t="s">
        <v>27</v>
      </c>
      <c r="L1" s="202" t="s">
        <v>27</v>
      </c>
      <c r="M1" s="202" t="s">
        <v>27</v>
      </c>
      <c r="N1" s="202" t="s">
        <v>27</v>
      </c>
      <c r="O1" s="202" t="s">
        <v>27</v>
      </c>
      <c r="P1" s="202" t="s">
        <v>27</v>
      </c>
      <c r="Q1" s="202" t="s">
        <v>27</v>
      </c>
      <c r="R1" s="202" t="s">
        <v>27</v>
      </c>
      <c r="S1" s="202" t="s">
        <v>27</v>
      </c>
      <c r="T1" s="202" t="s">
        <v>27</v>
      </c>
      <c r="U1" s="202" t="s">
        <v>27</v>
      </c>
      <c r="V1" s="202" t="s">
        <v>27</v>
      </c>
      <c r="W1" s="202" t="s">
        <v>27</v>
      </c>
      <c r="X1" s="202" t="s">
        <v>27</v>
      </c>
      <c r="Y1" s="202" t="s">
        <v>27</v>
      </c>
      <c r="Z1" s="202" t="s">
        <v>27</v>
      </c>
      <c r="AA1" s="202" t="s">
        <v>27</v>
      </c>
      <c r="AB1" s="202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37</vt:i4>
      </vt:variant>
    </vt:vector>
  </HeadingPairs>
  <TitlesOfParts>
    <vt:vector size="37" baseType="lpstr">
      <vt:lpstr>PCBOX  - IPE 1266 P</vt:lpstr>
      <vt:lpstr>Tolecaixas 1264</vt:lpstr>
      <vt:lpstr>RM Embalagens 1263 P</vt:lpstr>
      <vt:lpstr>HARMONY EMBALAGENS 1262 P</vt:lpstr>
      <vt:lpstr>HARMONY EMBALAGENS 1260</vt:lpstr>
      <vt:lpstr>CARTOMIL EMBALAGENS LTDA 1258 P</vt:lpstr>
      <vt:lpstr>CARPEL 1257 P</vt:lpstr>
      <vt:lpstr>FAVINCO EMBALAGENS 1256 P</vt:lpstr>
      <vt:lpstr>RR STELLA 1253</vt:lpstr>
      <vt:lpstr>FAVINCO EMBALAGENS 1252 P</vt:lpstr>
      <vt:lpstr>DR EMBALAGENS 1250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2026-10-08T11:29:34Z</cp:lastPrinted>
  <dcterms:created xsi:type="dcterms:W3CDTF">2026-07-02T17:42:15Z</dcterms:created>
  <dcterms:modified xsi:type="dcterms:W3CDTF">2026-10-08T11:33:54Z</dcterms:modified>
</cp:coreProperties>
</file>