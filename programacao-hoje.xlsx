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D2C5BA0-2D08-417D-A57A-D8A25569932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PCBOX EMBALAGENS 1339" sheetId="234" r:id="rId1"/>
    <sheet name="TOLECAIXAS 1337 P " sheetId="233" r:id="rId2"/>
    <sheet name="RM EMBALAGENS 1334" sheetId="232" r:id="rId3"/>
    <sheet name="ABAPEL EMBALAGENS 1333 P" sheetId="231" r:id="rId4"/>
    <sheet name="RENOVAPEL 1332 P" sheetId="230" r:id="rId5"/>
    <sheet name="DR EMBALAGENS 1331 P" sheetId="229" r:id="rId6"/>
    <sheet name="RM EMBALAGENS 1330 P" sheetId="228" r:id="rId7"/>
    <sheet name="FAVINCO EMBALAGENS 1329 P" sheetId="227" r:id="rId8"/>
    <sheet name="DR EMBALAGENS 1326 P" sheetId="226" r:id="rId9"/>
    <sheet name="HARMONY EMBALAGENS 1325 P" sheetId="225" r:id="rId10"/>
    <sheet name="HARMONY EMBALAGENS 1320 P" sheetId="224" r:id="rId11"/>
    <sheet name="FORBOX 1319 P" sheetId="223" r:id="rId12"/>
    <sheet name="PCBOX EMBALAGENS 1316 P" sheetId="222" r:id="rId13"/>
    <sheet name="FAVINCO EMBALAGENS 1314 P" sheetId="220" r:id="rId14"/>
    <sheet name="ABAPEL EMBALAGENS 1308 P" sheetId="215" r:id="rId15"/>
    <sheet name="RENOVAPEL 1306 P" sheetId="213" r:id="rId16"/>
    <sheet name="INTERNACIONAL - SEDAMED 1304 P" sheetId="212" r:id="rId17"/>
    <sheet name="RM EMBALAGENS 1303 P" sheetId="211" r:id="rId18"/>
    <sheet name="HARMONY EMBALAGENS 1301 P" sheetId="209" r:id="rId19"/>
    <sheet name="HARMONY EMBALAGENS 1285 P" sheetId="202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34" l="1"/>
  <c r="G7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<sst xmlns="http://schemas.openxmlformats.org/spreadsheetml/2006/main" count="3809" uniqueCount="394">
  <si>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</si>
  <si>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</si>
  <si>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</si>
  <si>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</si>
  <si>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</si>
  <si>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</si>
  <si>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</si>
  <si>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</si>
  <si>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</si>
  <si>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</si>
  <si>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</si>
  <si>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</si>
  <si>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</si>
  <si>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</si>
  <si>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</si>
  <si>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</si>
  <si>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</si>
  <si>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</si>
  <si>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</si>
  <si>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</si>
  <si>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</si>
  <si>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</si>
  <si>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</si>
  <si>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</si>
  <si>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</si>
  <si>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</si>
  <si>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</si>
  <si>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</si>
  <si>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</si>
  <si>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</si>
  <si>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</si>
  <si>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</si>
  <si>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</si>
  <si>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</si>
  <si>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</si>
  <si>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</si>
  <si>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</si>
  <si>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</si>
  <si>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</si>
  <si>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</si>
  <si>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</si>
  <si>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</si>
  <si>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</si>
  <si>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</si>
  <si>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</si>
  <si>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</si>
  <si>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</si>
  <si>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</si>
  <si>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</si>
  <si>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</si>
  <si>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</si>
  <si>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</si>
  <si>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</si>
  <si>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</si>
  <si>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</si>
  <si>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</si>
  <si>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</si>
  <si>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</si>
  <si>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</si>
  <si>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</si>
  <si>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</si>
  <si>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</si>
  <si>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</si>
  <si>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</si>
  <si>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</si>
  <si>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</si>
  <si>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</si>
  <si>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</si>
  <si>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</si>
  <si>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</si>
  <si>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</si>
  <si>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</si>
  <si>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</si>
  <si>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</si>
  <si>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</si>
  <si>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</si>
  <si>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</si>
  <si>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</si>
  <si>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</si>
  <si>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</si>
  <si>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</si>
  <si>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</si>
  <si>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</si>
  <si>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</si>
  <si>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</si>
  <si>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</si>
  <si>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</si>
  <si>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</si>
  <si>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</si>
  <si>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</si>
  <si>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</si>
  <si>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</si>
  <si>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</si>
  <si>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</si>
  <si>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</si>
  <si>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</si>
  <si>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</si>
  <si>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</si>
  <si>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</si>
  <si>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</si>
  <si>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</si>
  <si>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</si>
  <si>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</si>
  <si>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</si>
  <si>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</si>
  <si>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</si>
  <si>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</si>
  <si>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</si>
  <si>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</si>
  <si>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</si>
  <si>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</si>
  <si>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</si>
  <si>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</si>
  <si>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</si>
  <si>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</si>
  <si>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</si>
  <si>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</si>
  <si>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</si>
  <si>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</si>
  <si>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</si>
  <si>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</si>
  <si>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</si>
  <si>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</si>
  <si>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</si>
  <si>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</si>
  <si>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</si>
  <si>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</si>
  <si>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</si>
  <si>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</si>
  <si>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</si>
  <si>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</si>
  <si>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</si>
  <si>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</si>
  <si>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</si>
  <si>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</si>
  <si>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</si>
  <si>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</si>
  <si>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</si>
  <si>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</si>
  <si>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</si>
  <si>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</si>
  <si>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</si>
  <si>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</si>
  <si>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</si>
  <si>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</si>
  <si>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</si>
  <si>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</si>
  <si>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</si>
  <si>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</si>
  <si>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</si>
  <si>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</si>
  <si>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</si>
  <si>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</si>
  <si>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</si>
  <si>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</si>
  <si>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</si>
  <si>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</si>
  <si>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</si>
  <si>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</si>
  <si>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</si>
  <si>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</si>
  <si>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</si>
  <si>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</si>
  <si>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</si>
  <si>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</si>
  <si>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</si>
  <si>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</si>
  <si>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</si>
  <si>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</si>
  <si>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</si>
  <si>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</si>
  <si>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</si>
  <si>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</si>
  <si>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</si>
  <si>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</si>
  <si>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</si>
  <si>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</si>
  <si>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</si>
  <si>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</si>
  <si>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</si>
  <si>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</si>
  <si>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</si>
  <si>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</si>
  <si>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</si>
  <si>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</si>
  <si>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</si>
  <si>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</si>
  <si>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</si>
  <si>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</si>
  <si>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</si>
  <si>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</si>
  <si>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</si>
  <si>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</si>
  <si>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</si>
  <si>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</si>
  <si>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</si>
  <si>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</si>
  <si>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</si>
  <si>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</si>
  <si>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</si>
  <si>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</si>
  <si>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</si>
  <si>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</si>
  <si>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</si>
  <si>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</si>
  <si>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</si>
  <si>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</si>
  <si>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</si>
  <si>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</si>
  <si>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</si>
  <si>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</si>
  <si>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</si>
  <si>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</si>
  <si>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</si>
  <si>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</si>
  <si>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</si>
  <si>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</si>
  <si>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</si>
  <si>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</si>
  <si>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</si>
  <si>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</si>
  <si>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</si>
  <si>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</si>
  <si>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</si>
  <si>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</si>
  <si>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</si>
  <si>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</si>
  <si>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</si>
  <si>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</si>
  <si>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</si>
  <si>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</si>
  <si>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</si>
  <si>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</si>
  <si>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</si>
  <si>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</si>
  <si>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</si>
  <si>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</si>
  <si>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</si>
  <si>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</si>
  <si>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</si>
  <si>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</si>
  <si>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</si>
  <si>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</si>
  <si>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</si>
  <si>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</si>
  <si>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</si>
  <si>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</si>
  <si>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</si>
  <si>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</si>
  <si>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</si>
  <si>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</si>
  <si>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</si>
  <si>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</si>
  <si>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</si>
  <si>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</si>
  <si>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</si>
  <si>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</si>
  <si>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</si>
  <si>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</si>
  <si>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</si>
  <si>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</si>
  <si>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</si>
  <si>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</si>
  <si>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</si>
  <si>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</si>
  <si>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</si>
  <si>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</si>
  <si>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</si>
  <si>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</si>
  <si>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</si>
  <si>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</si>
  <si>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</si>
  <si>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</si>
  <si>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</si>
  <si>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</si>
  <si>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</si>
  <si>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</si>
  <si>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</si>
  <si>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</si>
  <si>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</si>
  <si>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</si>
  <si>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</si>
  <si>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</si>
  <si>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</si>
  <si>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</si>
  <si>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</si>
  <si>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</si>
  <si>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</si>
  <si>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</si>
  <si>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</si>
  <si>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</si>
  <si>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</si>
  <si>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</si>
  <si>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</si>
  <si>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</si>
  <si>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</si>
  <si>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</si>
  <si>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</si>
  <si>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</si>
  <si>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</si>
  <si>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</si>
  <si>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</si>
  <si>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</si>
  <si>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</si>
  <si>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</si>
  <si>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</si>
  <si>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</si>
  <si>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</si>
  <si>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</si>
  <si>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</si>
  <si>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</si>
  <si>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</si>
  <si>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</si>
  <si>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</si>
  <si>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</si>
  <si>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</si>
  <si>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</si>
  <si>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</si>
  <si>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</si>
  <si>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</si>
  <si>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</si>
  <si>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</si>
  <si>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</si>
  <si>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</si>
  <si>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</si>
  <si>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</si>
  <si>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</si>
  <si>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</si>
  <si>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</si>
  <si>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</si>
  <si>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</si>
  <si>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</si>
  <si>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</si>
  <si>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</si>
  <si>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</si>
  <si>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</si>
  <si>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</si>
  <si>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</si>
  <si>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</si>
  <si>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</si>
  <si>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</si>
  <si>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</si>
  <si>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</si>
  <si>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</si>
  <si>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</si>
  <si>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</si>
  <si>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</si>
  <si>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</si>
  <si>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</si>
  <si>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</si>
  <si>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</si>
  <si>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</si>
  <si>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</si>
  <si>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</si>
  <si>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</si>
  <si>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</si>
  <si>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</si>
  <si>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</si>
  <si>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</si>
  <si>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</si>
  <si>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</si>
  <si>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</si>
  <si>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</si>
  <si>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</si>
  <si>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</si>
  <si>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</si>
  <si>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</si>
  <si>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</si>
  <si>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</si>
  <si>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</si>
  <si>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</si>
  <si>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</si>
  <si>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</si>
  <si>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</si>
  <si>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</si>
  <si>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</si>
  <si>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</si>
  <si>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</si>
  <si>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</si>
  <si>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</si>
  <si>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</si>
  <si>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</si>
  <si>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</si>
  <si>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</si>
  <si>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</si>
  <si>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</si>
  <si>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</si>
  <si>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</si>
  <si>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</si>
  <si>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</si>
  <si>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</si>
  <si>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</si>
  <si>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</si>
  <si>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1612x1820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</si>
</sst>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94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right"/>
    </xf>
    <xf numFmtId="166" fontId="9" fillId="3" borderId="1" xfId="0" applyNumberFormat="1" applyFont="1" applyFill="1" applyBorder="1" applyAlignment="1">
      <alignment horizontal="right"/>
    </xf>
    <xf numFmtId="164" fontId="9" fillId="3" borderId="1" xfId="0" applyNumberFormat="1" applyFont="1" applyFill="1" applyBorder="1" applyAlignment="1">
      <alignment horizontal="right"/>
    </xf>
    <xf numFmtId="2" fontId="9" fillId="3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0" fontId="9" fillId="3" borderId="1" xfId="0" applyFont="1" applyFill="1" applyBorder="1" applyAlignment="1">
      <alignment horizontal="left"/>
    </xf>
    <xf numFmtId="164" fontId="9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164" fontId="16" fillId="3" borderId="1" xfId="0" applyNumberFormat="1" applyFont="1" applyFill="1" applyBorder="1" applyAlignment="1">
      <alignment horizontal="left"/>
    </xf>
    <xf numFmtId="164" fontId="16" fillId="3" borderId="1" xfId="0" applyNumberFormat="1" applyFont="1" applyFill="1" applyBorder="1" applyAlignment="1">
      <alignment horizontal="right"/>
    </xf>
    <xf numFmtId="165" fontId="16" fillId="3" borderId="1" xfId="0" applyNumberFormat="1" applyFont="1" applyFill="1" applyBorder="1" applyAlignment="1">
      <alignment horizontal="right"/>
    </xf>
    <xf numFmtId="166" fontId="16" fillId="3" borderId="1" xfId="0" applyNumberFormat="1" applyFont="1" applyFill="1" applyBorder="1" applyAlignment="1">
      <alignment horizontal="right"/>
    </xf>
    <xf numFmtId="2" fontId="16" fillId="3" borderId="1" xfId="0" applyNumberFormat="1" applyFont="1" applyFill="1" applyBorder="1" applyAlignment="1">
      <alignment horizontal="right"/>
    </xf>
    <xf numFmtId="0" fontId="16" fillId="3" borderId="1" xfId="0" applyFont="1" applyFill="1" applyBorder="1" applyAlignment="1">
      <alignment horizontal="right"/>
    </xf>
    <xf numFmtId="0" fontId="16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7"/>
  <sheetViews>
    <sheetView tabSelected="1" workbookViewId="0">
      <selection activeCell="R20" sqref="R20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5.7773437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80</v>
      </c>
      <c r="C3" s="64" t="s">
        <v>34</v>
      </c>
      <c r="D3" s="64" t="s">
        <v>318</v>
      </c>
      <c r="E3" s="64">
        <v>263223</v>
      </c>
      <c r="F3" s="64" t="s">
        <v>388</v>
      </c>
      <c r="G3" s="64">
        <v>800</v>
      </c>
      <c r="H3" s="65">
        <v>1</v>
      </c>
      <c r="I3" s="65">
        <v>3.4</v>
      </c>
      <c r="J3" s="64" t="s">
        <v>26</v>
      </c>
      <c r="K3" s="64" t="s">
        <v>32</v>
      </c>
      <c r="L3" s="64" t="s">
        <v>26</v>
      </c>
      <c r="M3" s="61">
        <v>2720</v>
      </c>
      <c r="N3" s="63">
        <v>2720</v>
      </c>
      <c r="O3" s="60">
        <v>0.75560000000000005</v>
      </c>
      <c r="P3" s="62">
        <v>45.33</v>
      </c>
      <c r="Q3" s="59">
        <v>870.4</v>
      </c>
      <c r="R3" s="59">
        <v>1</v>
      </c>
      <c r="S3" s="59">
        <v>1050</v>
      </c>
      <c r="T3" s="61">
        <v>1</v>
      </c>
      <c r="U3" s="59">
        <v>50</v>
      </c>
      <c r="V3" s="60">
        <v>4.7600000000000003E-2</v>
      </c>
      <c r="W3" s="59" t="s">
        <v>27</v>
      </c>
      <c r="X3" s="59" t="s">
        <v>27</v>
      </c>
      <c r="Y3" s="59" t="s">
        <v>27</v>
      </c>
      <c r="Z3" s="59" t="s">
        <v>26</v>
      </c>
      <c r="AA3" s="59" t="s">
        <v>26</v>
      </c>
      <c r="AB3" s="59" t="s">
        <v>31</v>
      </c>
      <c r="AC3" s="59" t="s">
        <v>387</v>
      </c>
    </row>
    <row r="4" spans="1:29" s="93" customFormat="1" x14ac:dyDescent="0.3">
      <c r="A4" s="85">
        <v>1</v>
      </c>
      <c r="B4" s="86" t="s">
        <v>107</v>
      </c>
      <c r="C4" s="85" t="s">
        <v>34</v>
      </c>
      <c r="D4" s="85" t="s">
        <v>318</v>
      </c>
      <c r="E4" s="85">
        <v>263224</v>
      </c>
      <c r="F4" s="85" t="s">
        <v>391</v>
      </c>
      <c r="G4" s="85">
        <v>300</v>
      </c>
      <c r="H4" s="87">
        <v>1.5920000000000001</v>
      </c>
      <c r="I4" s="87">
        <v>1.8</v>
      </c>
      <c r="J4" s="85" t="s">
        <v>26</v>
      </c>
      <c r="K4" s="85" t="s">
        <v>32</v>
      </c>
      <c r="L4" s="85" t="s">
        <v>26</v>
      </c>
      <c r="M4" s="88">
        <v>859.68</v>
      </c>
      <c r="N4" s="89">
        <v>540</v>
      </c>
      <c r="O4" s="90">
        <v>0.15</v>
      </c>
      <c r="P4" s="91">
        <v>9</v>
      </c>
      <c r="Q4" s="92">
        <v>275.10000000000002</v>
      </c>
      <c r="R4" s="92">
        <v>1</v>
      </c>
      <c r="S4" s="92">
        <v>1600</v>
      </c>
      <c r="T4" s="88">
        <v>1.5920000000000001</v>
      </c>
      <c r="U4" s="92">
        <v>8</v>
      </c>
      <c r="V4" s="90">
        <v>5.0000000000000001E-3</v>
      </c>
      <c r="W4" s="92" t="s">
        <v>27</v>
      </c>
      <c r="X4" s="92" t="s">
        <v>27</v>
      </c>
      <c r="Y4" s="92" t="s">
        <v>27</v>
      </c>
      <c r="Z4" s="92" t="s">
        <v>26</v>
      </c>
      <c r="AA4" s="92" t="s">
        <v>26</v>
      </c>
      <c r="AB4" s="92" t="s">
        <v>36</v>
      </c>
      <c r="AC4" s="92" t="s">
        <v>393</v>
      </c>
    </row>
    <row r="5" spans="1:29" x14ac:dyDescent="0.3">
      <c r="A5" s="82">
        <v>2</v>
      </c>
      <c r="B5" s="84" t="s">
        <v>107</v>
      </c>
      <c r="C5" s="82" t="s">
        <v>34</v>
      </c>
      <c r="D5" s="82" t="s">
        <v>318</v>
      </c>
      <c r="E5" s="82">
        <v>263225</v>
      </c>
      <c r="F5" s="82" t="s">
        <v>391</v>
      </c>
      <c r="G5" s="82">
        <v>1250</v>
      </c>
      <c r="H5" s="83">
        <v>0.55600000000000005</v>
      </c>
      <c r="I5" s="83">
        <v>0.95799999999999996</v>
      </c>
      <c r="J5" s="82" t="s">
        <v>26</v>
      </c>
      <c r="K5" s="82" t="s">
        <v>32</v>
      </c>
      <c r="L5" s="82" t="s">
        <v>26</v>
      </c>
      <c r="M5" s="79">
        <v>665.81</v>
      </c>
      <c r="N5" s="81">
        <v>598.79999999999995</v>
      </c>
      <c r="O5" s="78">
        <v>8.3199999999999996E-2</v>
      </c>
      <c r="P5" s="80">
        <v>4.99</v>
      </c>
      <c r="Q5" s="77">
        <v>213.1</v>
      </c>
      <c r="R5" s="77">
        <v>2</v>
      </c>
      <c r="S5" s="77">
        <v>1150</v>
      </c>
      <c r="T5" s="79">
        <v>1.1120000000000001</v>
      </c>
      <c r="U5" s="77">
        <v>38</v>
      </c>
      <c r="V5" s="78">
        <v>3.3000000000000002E-2</v>
      </c>
      <c r="W5" s="77" t="s">
        <v>27</v>
      </c>
      <c r="X5" s="77" t="s">
        <v>27</v>
      </c>
      <c r="Y5" s="77" t="s">
        <v>27</v>
      </c>
      <c r="Z5" s="77" t="s">
        <v>26</v>
      </c>
      <c r="AA5" s="77" t="s">
        <v>26</v>
      </c>
      <c r="AB5" s="77" t="s">
        <v>36</v>
      </c>
      <c r="AC5" s="77" t="s">
        <v>392</v>
      </c>
    </row>
    <row r="6" spans="1:29" x14ac:dyDescent="0.3">
      <c r="A6" s="82">
        <v>3</v>
      </c>
      <c r="B6" s="84" t="s">
        <v>107</v>
      </c>
      <c r="C6" s="82" t="s">
        <v>34</v>
      </c>
      <c r="D6" s="82" t="s">
        <v>318</v>
      </c>
      <c r="E6" s="82">
        <v>263226</v>
      </c>
      <c r="F6" s="82" t="s">
        <v>391</v>
      </c>
      <c r="G6" s="82">
        <v>300</v>
      </c>
      <c r="H6" s="83">
        <v>0.93300000000000005</v>
      </c>
      <c r="I6" s="83">
        <v>1.778</v>
      </c>
      <c r="J6" s="82" t="s">
        <v>26</v>
      </c>
      <c r="K6" s="82" t="s">
        <v>32</v>
      </c>
      <c r="L6" s="82" t="s">
        <v>26</v>
      </c>
      <c r="M6" s="79">
        <v>497.66199999999998</v>
      </c>
      <c r="N6" s="81">
        <v>533.4</v>
      </c>
      <c r="O6" s="78">
        <v>0.1482</v>
      </c>
      <c r="P6" s="80">
        <v>8.89</v>
      </c>
      <c r="Q6" s="77">
        <v>159.30000000000001</v>
      </c>
      <c r="R6" s="77">
        <v>1</v>
      </c>
      <c r="S6" s="77">
        <v>1000</v>
      </c>
      <c r="T6" s="79">
        <v>0.93300000000000005</v>
      </c>
      <c r="U6" s="77">
        <v>67</v>
      </c>
      <c r="V6" s="78">
        <v>6.7000000000000004E-2</v>
      </c>
      <c r="W6" s="77" t="s">
        <v>27</v>
      </c>
      <c r="X6" s="77" t="s">
        <v>27</v>
      </c>
      <c r="Y6" s="77" t="s">
        <v>27</v>
      </c>
      <c r="Z6" s="77" t="s">
        <v>26</v>
      </c>
      <c r="AA6" s="77" t="s">
        <v>26</v>
      </c>
      <c r="AB6" s="77" t="s">
        <v>36</v>
      </c>
      <c r="AC6" s="77" t="s">
        <v>390</v>
      </c>
    </row>
    <row r="7" spans="1:29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f>SUM(G3:G6)</f>
        <v>2650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f>SUM(Q3:Q6)</f>
        <v>1517.8999999999999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1" t="s">
        <v>160</v>
      </c>
      <c r="C4" s="71" t="s">
        <v>25</v>
      </c>
      <c r="D4" s="71" t="s">
        <v>313</v>
      </c>
      <c r="E4" s="72">
        <v>263222</v>
      </c>
      <c r="F4" s="71" t="s">
        <v>380</v>
      </c>
      <c r="G4" s="72">
        <v>850</v>
      </c>
      <c r="H4" s="73">
        <v>0.64200000000000002</v>
      </c>
      <c r="I4" s="73">
        <v>2.081</v>
      </c>
      <c r="J4" s="13"/>
      <c r="K4" s="71" t="s">
        <v>385</v>
      </c>
      <c r="L4" s="13"/>
      <c r="M4" s="73">
        <v>1135.6020000000001</v>
      </c>
      <c r="N4" s="74">
        <v>884.4</v>
      </c>
      <c r="O4" s="75">
        <v>0.12280000000000001</v>
      </c>
      <c r="P4" s="76">
        <v>7.37</v>
      </c>
      <c r="Q4" s="72">
        <v>611</v>
      </c>
      <c r="R4" s="72">
        <v>2</v>
      </c>
      <c r="S4" s="72">
        <v>1350</v>
      </c>
      <c r="T4" s="73">
        <v>1.284</v>
      </c>
      <c r="U4" s="72">
        <v>66</v>
      </c>
      <c r="V4" s="75">
        <v>4.8899999999999999E-2</v>
      </c>
      <c r="W4" s="71" t="s">
        <v>27</v>
      </c>
      <c r="X4" s="71" t="s">
        <v>28</v>
      </c>
      <c r="Y4" s="71" t="s">
        <v>27</v>
      </c>
      <c r="Z4" s="71" t="s">
        <v>27</v>
      </c>
      <c r="AA4" s="71" t="s">
        <v>27</v>
      </c>
      <c r="AB4" s="71" t="s">
        <v>41</v>
      </c>
      <c r="AC4" s="71" t="s">
        <v>386</v>
      </c>
    </row>
    <row r="5" spans="1:29" s="11" customFormat="1" ht="25.05" customHeight="1" x14ac:dyDescent="0.3">
      <c r="A5" s="13"/>
      <c r="B5" s="71" t="s">
        <v>160</v>
      </c>
      <c r="C5" s="71" t="s">
        <v>25</v>
      </c>
      <c r="D5" s="71" t="s">
        <v>313</v>
      </c>
      <c r="E5" s="72">
        <v>263221</v>
      </c>
      <c r="F5" s="71" t="s">
        <v>380</v>
      </c>
      <c r="G5" s="72">
        <v>650</v>
      </c>
      <c r="H5" s="73">
        <v>0.61799999999999999</v>
      </c>
      <c r="I5" s="73">
        <v>1.45</v>
      </c>
      <c r="J5" s="13"/>
      <c r="K5" s="71" t="s">
        <v>383</v>
      </c>
      <c r="L5" s="13"/>
      <c r="M5" s="73">
        <v>582.46500000000003</v>
      </c>
      <c r="N5" s="74">
        <v>471.3</v>
      </c>
      <c r="O5" s="75">
        <v>6.5500000000000003E-2</v>
      </c>
      <c r="P5" s="76">
        <v>3.93</v>
      </c>
      <c r="Q5" s="72">
        <v>313.39999999999998</v>
      </c>
      <c r="R5" s="72">
        <v>2</v>
      </c>
      <c r="S5" s="72">
        <v>1300</v>
      </c>
      <c r="T5" s="73">
        <v>1.236</v>
      </c>
      <c r="U5" s="72">
        <v>64</v>
      </c>
      <c r="V5" s="75">
        <v>4.9200000000000001E-2</v>
      </c>
      <c r="W5" s="71" t="s">
        <v>27</v>
      </c>
      <c r="X5" s="71" t="s">
        <v>28</v>
      </c>
      <c r="Y5" s="71" t="s">
        <v>27</v>
      </c>
      <c r="Z5" s="71" t="s">
        <v>27</v>
      </c>
      <c r="AA5" s="71" t="s">
        <v>27</v>
      </c>
      <c r="AB5" s="71" t="s">
        <v>30</v>
      </c>
      <c r="AC5" s="71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1" t="s">
        <v>160</v>
      </c>
      <c r="C13" s="71" t="s">
        <v>34</v>
      </c>
      <c r="D13" s="71" t="s">
        <v>313</v>
      </c>
      <c r="E13" s="72">
        <v>263220</v>
      </c>
      <c r="F13" s="71" t="s">
        <v>380</v>
      </c>
      <c r="G13" s="72">
        <v>1750</v>
      </c>
      <c r="H13" s="73">
        <v>0.59199999999999997</v>
      </c>
      <c r="I13" s="73">
        <v>1.62</v>
      </c>
      <c r="J13" s="13"/>
      <c r="K13" s="71" t="s">
        <v>381</v>
      </c>
      <c r="L13" s="13"/>
      <c r="M13" s="73">
        <v>1678.32</v>
      </c>
      <c r="N13" s="74">
        <v>1417.5</v>
      </c>
      <c r="O13" s="75">
        <v>0.19689999999999999</v>
      </c>
      <c r="P13" s="76">
        <v>11.81</v>
      </c>
      <c r="Q13" s="72">
        <v>537.1</v>
      </c>
      <c r="R13" s="72">
        <v>2</v>
      </c>
      <c r="S13" s="72">
        <v>1250</v>
      </c>
      <c r="T13" s="73">
        <v>1.1839999999999999</v>
      </c>
      <c r="U13" s="72">
        <v>66</v>
      </c>
      <c r="V13" s="75">
        <v>5.28E-2</v>
      </c>
      <c r="W13" s="71" t="s">
        <v>27</v>
      </c>
      <c r="X13" s="71" t="s">
        <v>27</v>
      </c>
      <c r="Y13" s="71" t="s">
        <v>27</v>
      </c>
      <c r="Z13" s="14"/>
      <c r="AA13" s="14"/>
      <c r="AB13" s="71" t="s">
        <v>41</v>
      </c>
      <c r="AC13" s="71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8" t="s">
        <v>337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AH11" sqref="AH11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14" t="s">
        <v>372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14" t="s">
        <v>372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370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371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287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2026-10-28T19:50:33Z</cp:lastPrinted>
  <dcterms:created xsi:type="dcterms:W3CDTF">2026-07-02T17:42:15Z</dcterms:created>
  <dcterms:modified xsi:type="dcterms:W3CDTF">2026-10-28T20:11:13Z</dcterms:modified>
</cp:coreProperties>
</file>