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CCD6D7A-5294-4E4D-ABF3-9A25BF761622}" xr6:coauthVersionLast="47" xr6:coauthVersionMax="47" xr10:uidLastSave="{00000000-0000-0000-0000-000000000000}"/>
  <bookViews>
    <workbookView xWindow="-21720" yWindow="-120" windowWidth="21840" windowHeight="13020" activeTab="2" xr2:uid="{00000000-000D-0000-FFFF-FFFF00000000}"/>
  </bookViews>
  <sheets>
    <sheet name="FAVINCO 1229" sheetId="167" r:id="rId1"/>
    <sheet name="RM Embalagens P" sheetId="166" r:id="rId2"/>
    <sheet name="PCBOX EMBALAGENS LTDA 1222" sheetId="164" r:id="rId3"/>
    <sheet name="FORBOX 1220" sheetId="163" r:id="rId4"/>
    <sheet name="HARMONY EMBALAGENS 1217 P" sheetId="162" r:id="rId5"/>
    <sheet name="Z4A EMBALAGENS LTDA 1216" sheetId="161" r:id="rId6"/>
    <sheet name="Tolecaixas 1215" sheetId="160" r:id="rId7"/>
    <sheet name="ABAPEL 1213" sheetId="159" r:id="rId8"/>
    <sheet name="IPE - PCBOX 1212 P" sheetId="158" r:id="rId9"/>
    <sheet name="Z4A EMBALAGENS LTDA 1210 P" sheetId="157" r:id="rId10"/>
    <sheet name="RM Embalagens 1209 P" sheetId="156" r:id="rId11"/>
    <sheet name="ABAPEL 1201 P" sheetId="153" r:id="rId12"/>
    <sheet name="HARMONY EMBALAGENS 1200 P" sheetId="152" r:id="rId13"/>
    <sheet name="FAVINCO EMBALAGENS 1197 P" sheetId="150" r:id="rId14"/>
    <sheet name="ABAPEL 1196 P" sheetId="149" r:id="rId15"/>
    <sheet name="RM Embalagens 1184 P" sheetId="141" r:id="rId16"/>
    <sheet name="HARMONY EMBALAGENS 1180 P" sheetId="137" r:id="rId17"/>
    <sheet name="Carpel 1158 P" sheetId="1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1" i="164" l="1"/>
  <c r="H11" i="164"/>
  <c r="P12" i="159"/>
  <c r="H12" i="159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<sst xmlns="http://schemas.openxmlformats.org/spreadsheetml/2006/main" count="3209" uniqueCount="335">
  <si>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</si>
  <si>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</si>
  <si>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</si>
  <si>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</si>
  <si>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</si>
  <si>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</si>
  <si>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</si>
  <si>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</si>
  <si>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</si>
  <si>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</si>
  <si>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</si>
  <si>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</si>
  <si>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</si>
  <si>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</si>
  <si>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</si>
  <si>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</si>
  <si>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</si>
  <si>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</si>
  <si>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</si>
  <si>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</si>
  <si>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</si>
  <si>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</si>
  <si>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</si>
  <si>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</si>
  <si>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</si>
  <si>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</si>
  <si>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</si>
  <si>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</si>
  <si>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</si>
  <si>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</si>
  <si>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</si>
  <si>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</si>
  <si>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</si>
  <si>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</si>
  <si>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</si>
  <si>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</si>
  <si>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</si>
  <si>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</si>
  <si>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</si>
  <si>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</si>
  <si>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</si>
  <si>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</si>
  <si>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</si>
  <si>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</si>
  <si>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</si>
  <si>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</si>
  <si>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</si>
  <si>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</si>
  <si>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</si>
  <si>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</si>
  <si>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</si>
  <si>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</si>
  <si>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</si>
  <si>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</si>
  <si>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</si>
  <si>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</si>
  <si>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</si>
  <si>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</si>
  <si>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</si>
  <si>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</si>
  <si>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</si>
  <si>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</si>
  <si>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</si>
  <si>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</si>
  <si>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</si>
  <si>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</si>
  <si>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</si>
  <si>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</si>
  <si>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</si>
  <si>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</si>
  <si>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</si>
  <si>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</si>
  <si>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</si>
  <si>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</si>
  <si>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</si>
  <si>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</si>
  <si>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</si>
  <si>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</si>
  <si>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</si>
  <si>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</si>
  <si>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</si>
  <si>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</si>
  <si>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</si>
  <si>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</si>
  <si>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</si>
  <si>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</si>
  <si>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</si>
  <si>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</si>
  <si>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</si>
  <si>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</si>
  <si>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</si>
  <si>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</si>
  <si>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</si>
  <si>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</si>
  <si>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</si>
  <si>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</si>
  <si>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</si>
  <si>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</si>
  <si>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</si>
  <si>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</si>
  <si>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</si>
  <si>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</si>
  <si>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</si>
  <si>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</si>
  <si>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</si>
  <si>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</si>
  <si>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</si>
  <si>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</si>
  <si>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</si>
  <si>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</si>
  <si>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</si>
  <si>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</si>
  <si>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</si>
  <si>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</si>
  <si>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</si>
  <si>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</si>
  <si>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</si>
  <si>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</si>
  <si>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</si>
  <si>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</si>
  <si>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</si>
  <si>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</si>
  <si>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</si>
  <si>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</si>
  <si>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</si>
  <si>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</si>
  <si>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</si>
  <si>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</si>
  <si>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</si>
  <si>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</si>
  <si>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</si>
  <si>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</si>
  <si>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</si>
  <si>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</si>
  <si>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</si>
  <si>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</si>
  <si>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</si>
  <si>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</si>
  <si>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</si>
  <si>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</si>
  <si>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</si>
  <si>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</si>
  <si>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</si>
  <si>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</si>
  <si>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</si>
  <si>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</si>
  <si>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</si>
  <si>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</si>
  <si>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</si>
  <si>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</si>
  <si>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</si>
  <si>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</si>
  <si>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</si>
  <si>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</si>
  <si>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</si>
  <si>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</si>
  <si>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</si>
  <si>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</si>
  <si>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</si>
  <si>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</si>
  <si>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</si>
  <si>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</si>
  <si>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</si>
  <si>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</si>
  <si>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</si>
  <si>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</si>
  <si>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</si>
  <si>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</si>
  <si>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</si>
  <si>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</si>
  <si>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</si>
  <si>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</si>
  <si>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</si>
  <si>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</si>
  <si>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</si>
  <si>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</si>
  <si>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</si>
  <si>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</si>
  <si>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</si>
  <si>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</si>
  <si>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</si>
  <si>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</si>
  <si>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</si>
  <si>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</si>
  <si>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</si>
  <si>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</si>
  <si>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</si>
  <si>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</si>
  <si>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</si>
  <si>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</si>
  <si>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</si>
  <si>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</si>
  <si>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</si>
  <si>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</si>
  <si>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</si>
  <si>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</si>
  <si>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</si>
  <si>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</si>
  <si>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</si>
  <si>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</si>
  <si>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</si>
  <si>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</si>
  <si>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</si>
  <si>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</si>
  <si>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</si>
  <si>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</si>
  <si>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</si>
  <si>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</si>
  <si>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</si>
  <si>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</si>
  <si>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</si>
  <si>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</si>
  <si>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</si>
  <si>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</si>
  <si>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</si>
  <si>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</si>
  <si>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</si>
  <si>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</si>
  <si>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</si>
  <si>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</si>
  <si>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</si>
  <si>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</si>
  <si>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</si>
  <si>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</si>
  <si>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</si>
  <si>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</si>
  <si>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</si>
  <si>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</si>
  <si>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</si>
  <si>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</si>
  <si>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</si>
  <si>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</si>
  <si>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</si>
  <si>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</si>
  <si>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</si>
  <si>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</si>
  <si>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</si>
  <si>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</si>
  <si>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</si>
  <si>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</si>
  <si>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</si>
  <si>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</si>
  <si>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</si>
  <si>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</si>
  <si>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</si>
  <si>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</si>
  <si>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</si>
  <si>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</si>
  <si>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</si>
  <si>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</si>
  <si>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</si>
  <si>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</si>
  <si>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</si>
  <si>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</si>
  <si>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</si>
  <si>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</si>
  <si>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</si>
  <si>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</si>
  <si>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</si>
  <si>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</si>
  <si>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</si>
  <si>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</si>
  <si>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</si>
  <si>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</si>
  <si>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</si>
  <si>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</si>
  <si>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</si>
  <si>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</si>
  <si>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</si>
  <si>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</si>
  <si>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</si>
  <si>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</si>
  <si>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</si>
  <si>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</si>
  <si>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</si>
  <si>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</si>
  <si>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</si>
  <si>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</si>
  <si>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</si>
  <si>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</si>
  <si>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</si>
  <si>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</si>
  <si>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</si>
  <si>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</si>
  <si>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</si>
  <si>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</si>
  <si>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</si>
  <si>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</si>
  <si>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</si>
  <si>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</si>
  <si>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</si>
  <si>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</si>
  <si>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</si>
  <si>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</si>
  <si>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</si>
  <si>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</si>
  <si>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</si>
  <si>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</si>
  <si>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</si>
  <si>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</si>
  <si>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</si>
  <si>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</si>
  <si>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</si>
  <si>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</si>
  <si>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</si>
  <si>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</si>
  <si>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</si>
  <si>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</si>
  <si>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</si>
  <si>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</si>
  <si>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</si>
  <si>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</si>
  <si>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</si>
  <si>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</si>
  <si>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</si>
  <si>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</si>
  <si>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</si>
  <si>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</si>
  <si>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</si>
  <si>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</si>
  <si>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</si>
  <si>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</si>
  <si>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</si>
  <si>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</si>
  <si>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</si>
  <si>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</si>
  <si>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</si>
  <si>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</si>
  <si>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</si>
  <si>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</si>
  <si>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075</t>
  </si>
  <si>
    <t>24/09/2026</t>
  </si>
  <si>
    <t>817x1507</t>
  </si>
  <si>
    <t>PROGRAMAÇÃO ONDULADEIRA - FAVINCO  —  OF: 001229</t>
  </si>
  <si>
    <t>870x1427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</si>
</sst>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3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14" fontId="14" fillId="3" borderId="1" xfId="0" applyNumberFormat="1" applyFont="1" applyFill="1" applyBorder="1" applyAlignment="1">
      <alignment horizontal="center" vertical="center"/>
    </xf>
    <xf numFmtId="0" fontId="6" fillId="0" borderId="0" xfId="3" applyFont="1"/>
    <xf numFmtId="0" fontId="17" fillId="0" borderId="0" xfId="3" applyFont="1"/>
    <xf numFmtId="0" fontId="6" fillId="0" borderId="0" xfId="1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1B2D-99FA-47E1-921A-0764410641DC}">
  <dimension ref="A1:AB4"/>
  <sheetViews>
    <sheetView workbookViewId="0">
      <selection activeCell="H23" sqref="H23"/>
    </sheetView>
  </sheetViews>
  <sheetFormatPr defaultRowHeight="14.4" x14ac:dyDescent="0.3"/>
  <cols>
    <col min="1" max="1" width="4.77734375" style="34" customWidth="1"/>
    <col min="2" max="2" width="20.77734375" style="34" customWidth="1"/>
    <col min="3" max="3" width="5.77734375" style="34" customWidth="1"/>
    <col min="4" max="4" width="11.77734375" style="34" hidden="1" customWidth="1"/>
    <col min="5" max="5" width="9" style="34" customWidth="1"/>
    <col min="6" max="6" width="6.77734375" style="34" customWidth="1"/>
    <col min="7" max="7" width="4.5546875" style="34" customWidth="1"/>
    <col min="8" max="8" width="5.109375" style="34" customWidth="1"/>
    <col min="9" max="9" width="6.5546875" style="34" customWidth="1"/>
    <col min="10" max="10" width="6.33203125" style="34" customWidth="1"/>
    <col min="11" max="11" width="10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5546875" style="34" customWidth="1"/>
    <col min="17" max="17" width="3.33203125" style="34" customWidth="1"/>
    <col min="18" max="18" width="5.109375" style="34" customWidth="1"/>
    <col min="19" max="19" width="5.88671875" style="34" customWidth="1"/>
    <col min="20" max="20" width="11.77734375" style="34" hidden="1" customWidth="1"/>
    <col min="21" max="21" width="8.77734375" style="34" hidden="1" customWidth="1"/>
    <col min="22" max="22" width="6.44140625" style="34" customWidth="1"/>
    <col min="23" max="23" width="8.21875" style="34" customWidth="1"/>
    <col min="24" max="24" width="8.5546875" style="34" customWidth="1"/>
    <col min="25" max="25" width="10.44140625" style="34" customWidth="1"/>
    <col min="26" max="26" width="10.109375" style="34" customWidth="1"/>
    <col min="27" max="27" width="4.5546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333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5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126</v>
      </c>
      <c r="C3" s="42" t="s">
        <v>35</v>
      </c>
      <c r="D3" s="42" t="s">
        <v>331</v>
      </c>
      <c r="E3" s="42" t="s">
        <v>27</v>
      </c>
      <c r="F3" s="42">
        <v>262704</v>
      </c>
      <c r="G3" s="42" t="s">
        <v>330</v>
      </c>
      <c r="H3" s="42">
        <v>4000</v>
      </c>
      <c r="I3" s="43">
        <v>0.27900000000000003</v>
      </c>
      <c r="J3" s="43">
        <v>1.002</v>
      </c>
      <c r="K3" s="42" t="s">
        <v>188</v>
      </c>
      <c r="L3" s="39">
        <v>1118.232</v>
      </c>
      <c r="M3" s="41">
        <v>1336</v>
      </c>
      <c r="N3" s="38">
        <v>0.1237</v>
      </c>
      <c r="O3" s="40">
        <v>7.42</v>
      </c>
      <c r="P3" s="37">
        <v>352.2</v>
      </c>
      <c r="Q3" s="37">
        <v>3</v>
      </c>
      <c r="R3" s="37">
        <v>900</v>
      </c>
      <c r="S3" s="39">
        <v>0.83699999999999997</v>
      </c>
      <c r="T3" s="37">
        <v>63</v>
      </c>
      <c r="U3" s="38">
        <v>7.0000000000000007E-2</v>
      </c>
      <c r="V3" s="37" t="s">
        <v>28</v>
      </c>
      <c r="W3" s="37" t="s">
        <v>28</v>
      </c>
      <c r="X3" s="37" t="s">
        <v>28</v>
      </c>
      <c r="Y3" s="37" t="s">
        <v>27</v>
      </c>
      <c r="Z3" s="37" t="s">
        <v>27</v>
      </c>
      <c r="AA3" s="37" t="s">
        <v>32</v>
      </c>
      <c r="AB3" s="37" t="s">
        <v>189</v>
      </c>
    </row>
    <row r="4" spans="1:28" x14ac:dyDescent="0.3">
      <c r="A4" s="36" t="s">
        <v>27</v>
      </c>
      <c r="B4" s="36" t="s">
        <v>27</v>
      </c>
      <c r="C4" s="36" t="s">
        <v>27</v>
      </c>
      <c r="D4" s="36" t="s">
        <v>27</v>
      </c>
      <c r="E4" s="36" t="s">
        <v>27</v>
      </c>
      <c r="F4" s="36" t="s">
        <v>27</v>
      </c>
      <c r="G4" s="36" t="s">
        <v>27</v>
      </c>
      <c r="H4" s="36">
        <v>4000</v>
      </c>
      <c r="I4" s="36" t="s">
        <v>27</v>
      </c>
      <c r="J4" s="36" t="s">
        <v>27</v>
      </c>
      <c r="K4" s="36" t="s">
        <v>27</v>
      </c>
      <c r="L4" s="35" t="s">
        <v>27</v>
      </c>
      <c r="M4" s="35" t="s">
        <v>27</v>
      </c>
      <c r="N4" s="35" t="s">
        <v>27</v>
      </c>
      <c r="O4" s="35" t="s">
        <v>27</v>
      </c>
      <c r="P4" s="35">
        <v>352.2</v>
      </c>
      <c r="Q4" s="35" t="s">
        <v>27</v>
      </c>
      <c r="R4" s="35" t="s">
        <v>27</v>
      </c>
      <c r="S4" s="35" t="s">
        <v>27</v>
      </c>
      <c r="T4" s="35" t="s">
        <v>27</v>
      </c>
      <c r="U4" s="35" t="s">
        <v>27</v>
      </c>
      <c r="V4" s="35" t="s">
        <v>27</v>
      </c>
      <c r="W4" s="35" t="s">
        <v>27</v>
      </c>
      <c r="X4" s="35" t="s">
        <v>27</v>
      </c>
      <c r="Y4" s="35" t="s">
        <v>27</v>
      </c>
      <c r="Z4" s="35" t="s">
        <v>27</v>
      </c>
      <c r="AA4" s="35" t="s">
        <v>27</v>
      </c>
      <c r="AB4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323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308</v>
      </c>
      <c r="C3" s="52" t="s">
        <v>26</v>
      </c>
      <c r="D3" s="52" t="s">
        <v>307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322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321</v>
      </c>
    </row>
    <row r="4" spans="1:28" s="58" customFormat="1" ht="25.05" customHeight="1" x14ac:dyDescent="0.3">
      <c r="A4" s="52">
        <v>2</v>
      </c>
      <c r="B4" s="53" t="s">
        <v>308</v>
      </c>
      <c r="C4" s="52" t="s">
        <v>26</v>
      </c>
      <c r="D4" s="52" t="s">
        <v>307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308</v>
      </c>
      <c r="C5" s="52" t="s">
        <v>26</v>
      </c>
      <c r="D5" s="52" t="s">
        <v>307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320</v>
      </c>
    </row>
    <row r="6" spans="1:28" s="58" customFormat="1" ht="25.05" customHeight="1" x14ac:dyDescent="0.3">
      <c r="A6" s="52">
        <v>4</v>
      </c>
      <c r="B6" s="53" t="s">
        <v>308</v>
      </c>
      <c r="C6" s="52" t="s">
        <v>26</v>
      </c>
      <c r="D6" s="52" t="s">
        <v>307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319</v>
      </c>
    </row>
    <row r="7" spans="1:28" s="58" customFormat="1" ht="25.05" customHeight="1" x14ac:dyDescent="0.3">
      <c r="A7" s="52">
        <v>5</v>
      </c>
      <c r="B7" s="53" t="s">
        <v>308</v>
      </c>
      <c r="C7" s="52" t="s">
        <v>26</v>
      </c>
      <c r="D7" s="52" t="s">
        <v>307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318</v>
      </c>
    </row>
    <row r="8" spans="1:28" s="58" customFormat="1" ht="25.05" customHeight="1" x14ac:dyDescent="0.3">
      <c r="A8" s="52">
        <v>6</v>
      </c>
      <c r="B8" s="53" t="s">
        <v>308</v>
      </c>
      <c r="C8" s="52" t="s">
        <v>26</v>
      </c>
      <c r="D8" s="52" t="s">
        <v>307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317</v>
      </c>
    </row>
    <row r="9" spans="1:28" s="58" customFormat="1" ht="25.05" customHeight="1" x14ac:dyDescent="0.3">
      <c r="A9" s="52">
        <v>7</v>
      </c>
      <c r="B9" s="53" t="s">
        <v>308</v>
      </c>
      <c r="C9" s="52" t="s">
        <v>26</v>
      </c>
      <c r="D9" s="52" t="s">
        <v>307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308</v>
      </c>
      <c r="C10" s="52" t="s">
        <v>26</v>
      </c>
      <c r="D10" s="52" t="s">
        <v>307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308</v>
      </c>
      <c r="C11" s="52" t="s">
        <v>44</v>
      </c>
      <c r="D11" s="52" t="s">
        <v>307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316</v>
      </c>
    </row>
    <row r="12" spans="1:28" s="58" customFormat="1" ht="25.05" customHeight="1" x14ac:dyDescent="0.3">
      <c r="A12" s="52">
        <v>10</v>
      </c>
      <c r="B12" s="53" t="s">
        <v>308</v>
      </c>
      <c r="C12" s="52" t="s">
        <v>35</v>
      </c>
      <c r="D12" s="52" t="s">
        <v>307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315</v>
      </c>
    </row>
    <row r="13" spans="1:28" s="58" customFormat="1" ht="25.05" customHeight="1" x14ac:dyDescent="0.3">
      <c r="A13" s="52">
        <v>11</v>
      </c>
      <c r="B13" s="53" t="s">
        <v>308</v>
      </c>
      <c r="C13" s="52" t="s">
        <v>81</v>
      </c>
      <c r="D13" s="52" t="s">
        <v>307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308</v>
      </c>
      <c r="C14" s="52" t="s">
        <v>35</v>
      </c>
      <c r="D14" s="52" t="s">
        <v>307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314</v>
      </c>
    </row>
    <row r="15" spans="1:28" s="58" customFormat="1" ht="25.05" customHeight="1" x14ac:dyDescent="0.3">
      <c r="A15" s="52">
        <v>13</v>
      </c>
      <c r="B15" s="53" t="s">
        <v>308</v>
      </c>
      <c r="C15" s="52" t="s">
        <v>35</v>
      </c>
      <c r="D15" s="52" t="s">
        <v>307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313</v>
      </c>
    </row>
    <row r="16" spans="1:28" s="58" customFormat="1" ht="25.05" customHeight="1" x14ac:dyDescent="0.3">
      <c r="A16" s="52">
        <v>14</v>
      </c>
      <c r="B16" s="53" t="s">
        <v>308</v>
      </c>
      <c r="C16" s="52" t="s">
        <v>35</v>
      </c>
      <c r="D16" s="52" t="s">
        <v>307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312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311</v>
      </c>
    </row>
    <row r="17" spans="1:28" s="58" customFormat="1" ht="25.05" customHeight="1" x14ac:dyDescent="0.3">
      <c r="A17" s="52">
        <v>15</v>
      </c>
      <c r="B17" s="53" t="s">
        <v>308</v>
      </c>
      <c r="C17" s="52" t="s">
        <v>81</v>
      </c>
      <c r="D17" s="52" t="s">
        <v>307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310</v>
      </c>
    </row>
    <row r="18" spans="1:28" s="58" customFormat="1" ht="25.05" customHeight="1" x14ac:dyDescent="0.3">
      <c r="A18" s="52">
        <v>16</v>
      </c>
      <c r="B18" s="53" t="s">
        <v>308</v>
      </c>
      <c r="C18" s="52" t="s">
        <v>35</v>
      </c>
      <c r="D18" s="52" t="s">
        <v>307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309</v>
      </c>
    </row>
    <row r="19" spans="1:28" s="58" customFormat="1" ht="25.05" customHeight="1" x14ac:dyDescent="0.3">
      <c r="A19" s="52">
        <v>17</v>
      </c>
      <c r="B19" s="53" t="s">
        <v>308</v>
      </c>
      <c r="C19" s="52" t="s">
        <v>35</v>
      </c>
      <c r="D19" s="52" t="s">
        <v>307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306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305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tabSelected="1" workbookViewId="0">
      <selection activeCell="G17" sqref="G17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298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46288</v>
      </c>
      <c r="F3" s="92">
        <v>262703</v>
      </c>
      <c r="G3" s="92">
        <v>1767</v>
      </c>
      <c r="H3" s="92">
        <v>200</v>
      </c>
      <c r="I3" s="92">
        <v>1.151</v>
      </c>
      <c r="J3" s="92">
        <v>1.819</v>
      </c>
      <c r="K3" s="92" t="s">
        <v>33</v>
      </c>
      <c r="L3" s="92">
        <v>418.73399999999998</v>
      </c>
      <c r="M3" s="92">
        <v>363.8</v>
      </c>
      <c r="N3" s="92">
        <v>0.1011</v>
      </c>
      <c r="O3" s="92">
        <v>6.06</v>
      </c>
      <c r="P3" s="92">
        <v>237.8</v>
      </c>
      <c r="Q3" s="92">
        <v>1</v>
      </c>
      <c r="R3" s="92">
        <v>1200</v>
      </c>
      <c r="S3" s="92">
        <v>1.151</v>
      </c>
      <c r="T3" s="92">
        <v>49</v>
      </c>
      <c r="U3" s="92">
        <v>4.0800000000000003E-2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2</v>
      </c>
      <c r="AB3" s="92" t="s">
        <v>329</v>
      </c>
    </row>
    <row r="4" spans="1:28" s="58" customFormat="1" ht="25.05" customHeight="1" x14ac:dyDescent="0.3">
      <c r="A4" s="92">
        <v>2</v>
      </c>
      <c r="B4" s="53" t="s">
        <v>90</v>
      </c>
      <c r="C4" s="52" t="s">
        <v>26</v>
      </c>
      <c r="D4" s="52" t="s">
        <v>274</v>
      </c>
      <c r="E4" s="52" t="s">
        <v>27</v>
      </c>
      <c r="F4" s="52">
        <v>262676</v>
      </c>
      <c r="G4" s="52" t="s">
        <v>297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296</v>
      </c>
    </row>
    <row r="5" spans="1:28" s="58" customFormat="1" ht="25.05" customHeight="1" x14ac:dyDescent="0.3">
      <c r="A5" s="92">
        <v>3</v>
      </c>
      <c r="B5" s="53" t="s">
        <v>90</v>
      </c>
      <c r="C5" s="52" t="s">
        <v>35</v>
      </c>
      <c r="D5" s="52" t="s">
        <v>274</v>
      </c>
      <c r="E5" s="52" t="s">
        <v>27</v>
      </c>
      <c r="F5" s="52">
        <v>262678</v>
      </c>
      <c r="G5" s="52" t="s">
        <v>294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295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328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35</v>
      </c>
      <c r="D7" s="52" t="s">
        <v>274</v>
      </c>
      <c r="E7" s="52" t="s">
        <v>27</v>
      </c>
      <c r="F7" s="52">
        <v>262679</v>
      </c>
      <c r="G7" s="52" t="s">
        <v>294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293</v>
      </c>
    </row>
    <row r="8" spans="1:28" s="58" customFormat="1" ht="25.05" customHeight="1" x14ac:dyDescent="0.3">
      <c r="A8" s="92">
        <v>6</v>
      </c>
      <c r="B8" s="53" t="s">
        <v>90</v>
      </c>
      <c r="C8" s="52" t="s">
        <v>35</v>
      </c>
      <c r="D8" s="68">
        <v>46289</v>
      </c>
      <c r="E8" s="52"/>
      <c r="F8" s="52">
        <v>262706</v>
      </c>
      <c r="G8" s="52">
        <v>1770</v>
      </c>
      <c r="H8" s="52">
        <v>220</v>
      </c>
      <c r="I8" s="54">
        <v>0.85</v>
      </c>
      <c r="J8" s="54">
        <v>1.407</v>
      </c>
      <c r="K8" s="52" t="s">
        <v>33</v>
      </c>
      <c r="L8" s="54">
        <v>263.10899999999998</v>
      </c>
      <c r="M8" s="55">
        <v>309.5</v>
      </c>
      <c r="N8" s="56">
        <v>8.5999999999999993E-2</v>
      </c>
      <c r="O8" s="57">
        <v>5.16</v>
      </c>
      <c r="P8" s="52">
        <v>82.9</v>
      </c>
      <c r="Q8" s="52">
        <v>1</v>
      </c>
      <c r="R8" s="52">
        <v>900</v>
      </c>
      <c r="S8" s="54">
        <v>0.85</v>
      </c>
      <c r="T8" s="52">
        <v>50</v>
      </c>
      <c r="U8" s="56">
        <v>5.5599999999999997E-2</v>
      </c>
      <c r="V8" s="52" t="s">
        <v>28</v>
      </c>
      <c r="W8" s="52" t="s">
        <v>28</v>
      </c>
      <c r="X8" s="52" t="s">
        <v>28</v>
      </c>
      <c r="Y8" s="52"/>
      <c r="Z8" s="52"/>
      <c r="AA8" s="52">
        <v>1</v>
      </c>
      <c r="AB8" s="52" t="s">
        <v>334</v>
      </c>
    </row>
    <row r="9" spans="1:28" s="58" customFormat="1" ht="25.05" customHeight="1" x14ac:dyDescent="0.3">
      <c r="A9" s="92">
        <v>7</v>
      </c>
      <c r="B9" s="53" t="s">
        <v>90</v>
      </c>
      <c r="C9" s="52" t="s">
        <v>42</v>
      </c>
      <c r="D9" s="52" t="s">
        <v>274</v>
      </c>
      <c r="E9" s="52" t="s">
        <v>27</v>
      </c>
      <c r="F9" s="52">
        <v>262677</v>
      </c>
      <c r="G9" s="52" t="s">
        <v>292</v>
      </c>
      <c r="H9" s="52">
        <v>1000</v>
      </c>
      <c r="I9" s="54">
        <v>0.8</v>
      </c>
      <c r="J9" s="54">
        <v>1.171</v>
      </c>
      <c r="K9" s="52" t="s">
        <v>33</v>
      </c>
      <c r="L9" s="54">
        <v>936.8</v>
      </c>
      <c r="M9" s="55">
        <v>1171</v>
      </c>
      <c r="N9" s="56">
        <v>0.32529999999999998</v>
      </c>
      <c r="O9" s="57">
        <v>19.52</v>
      </c>
      <c r="P9" s="52">
        <v>323.2</v>
      </c>
      <c r="Q9" s="52">
        <v>1</v>
      </c>
      <c r="R9" s="52">
        <v>850</v>
      </c>
      <c r="S9" s="54">
        <v>0.8</v>
      </c>
      <c r="T9" s="52">
        <v>50</v>
      </c>
      <c r="U9" s="56">
        <v>5.8799999999999998E-2</v>
      </c>
      <c r="V9" s="52" t="s">
        <v>29</v>
      </c>
      <c r="W9" s="52" t="s">
        <v>29</v>
      </c>
      <c r="X9" s="52" t="s">
        <v>28</v>
      </c>
      <c r="Y9" s="52" t="s">
        <v>27</v>
      </c>
      <c r="Z9" s="52" t="s">
        <v>27</v>
      </c>
      <c r="AA9" s="52" t="s">
        <v>32</v>
      </c>
      <c r="AB9" s="52" t="s">
        <v>291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35</v>
      </c>
      <c r="D10" s="68">
        <v>46288</v>
      </c>
      <c r="E10" s="52"/>
      <c r="F10" s="52">
        <v>262705</v>
      </c>
      <c r="G10" s="52">
        <v>1768</v>
      </c>
      <c r="H10" s="52">
        <v>200</v>
      </c>
      <c r="I10" s="54">
        <v>0.79700000000000004</v>
      </c>
      <c r="J10" s="54">
        <v>1.4870000000000001</v>
      </c>
      <c r="K10" s="52" t="s">
        <v>33</v>
      </c>
      <c r="L10" s="54">
        <v>237.02799999999999</v>
      </c>
      <c r="M10" s="55">
        <v>297.39999999999998</v>
      </c>
      <c r="N10" s="56">
        <v>8.2600000000000007E-2</v>
      </c>
      <c r="O10" s="57">
        <v>4.96</v>
      </c>
      <c r="P10" s="52">
        <v>74.7</v>
      </c>
      <c r="Q10" s="52">
        <v>1</v>
      </c>
      <c r="R10" s="52">
        <v>850</v>
      </c>
      <c r="S10" s="54">
        <v>0.79700000000000004</v>
      </c>
      <c r="T10" s="52">
        <v>53</v>
      </c>
      <c r="U10" s="56">
        <v>6.2399999999999997E-2</v>
      </c>
      <c r="V10" s="52" t="s">
        <v>28</v>
      </c>
      <c r="W10" s="52" t="s">
        <v>28</v>
      </c>
      <c r="X10" s="52" t="s">
        <v>28</v>
      </c>
      <c r="Y10" s="52"/>
      <c r="Z10" s="52"/>
      <c r="AA10" s="52">
        <v>1</v>
      </c>
      <c r="AB10" s="52" t="s">
        <v>332</v>
      </c>
    </row>
    <row r="11" spans="1:28" s="58" customFormat="1" ht="25.05" customHeight="1" x14ac:dyDescent="0.3">
      <c r="A11" s="59" t="s">
        <v>27</v>
      </c>
      <c r="B11" s="59" t="s">
        <v>27</v>
      </c>
      <c r="C11" s="59" t="s">
        <v>27</v>
      </c>
      <c r="D11" s="59" t="s">
        <v>27</v>
      </c>
      <c r="E11" s="59" t="s">
        <v>27</v>
      </c>
      <c r="F11" s="59" t="s">
        <v>27</v>
      </c>
      <c r="G11" s="59" t="s">
        <v>27</v>
      </c>
      <c r="H11" s="59">
        <f>SUM(H3:H10)</f>
        <v>3220</v>
      </c>
      <c r="I11" s="59" t="s">
        <v>27</v>
      </c>
      <c r="J11" s="59" t="s">
        <v>27</v>
      </c>
      <c r="K11" s="59" t="s">
        <v>27</v>
      </c>
      <c r="L11" s="59" t="s">
        <v>27</v>
      </c>
      <c r="M11" s="59" t="s">
        <v>27</v>
      </c>
      <c r="N11" s="59" t="s">
        <v>27</v>
      </c>
      <c r="O11" s="59" t="s">
        <v>27</v>
      </c>
      <c r="P11" s="59">
        <f>SUM(P3:P10)</f>
        <v>1449.7</v>
      </c>
      <c r="Q11" s="59" t="s">
        <v>27</v>
      </c>
      <c r="R11" s="59" t="s">
        <v>27</v>
      </c>
      <c r="S11" s="59" t="s">
        <v>27</v>
      </c>
      <c r="T11" s="59" t="s">
        <v>27</v>
      </c>
      <c r="U11" s="59" t="s">
        <v>27</v>
      </c>
      <c r="V11" s="59" t="s">
        <v>27</v>
      </c>
      <c r="W11" s="59" t="s">
        <v>27</v>
      </c>
      <c r="X11" s="59" t="s">
        <v>27</v>
      </c>
      <c r="Y11" s="59" t="s">
        <v>27</v>
      </c>
      <c r="Z11" s="59" t="s">
        <v>27</v>
      </c>
      <c r="AA11" s="59" t="s">
        <v>27</v>
      </c>
      <c r="AB11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8" t="s">
        <v>280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275</v>
      </c>
      <c r="C3" s="42" t="s">
        <v>44</v>
      </c>
      <c r="D3" s="42" t="s">
        <v>274</v>
      </c>
      <c r="E3" s="42" t="s">
        <v>27</v>
      </c>
      <c r="F3" s="42">
        <v>262670</v>
      </c>
      <c r="G3" s="42" t="s">
        <v>273</v>
      </c>
      <c r="H3" s="42">
        <v>1050</v>
      </c>
      <c r="I3" s="43">
        <v>0.56899999999999995</v>
      </c>
      <c r="J3" s="43">
        <v>1.33</v>
      </c>
      <c r="K3" s="42" t="s">
        <v>279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278</v>
      </c>
    </row>
    <row r="4" spans="1:28" x14ac:dyDescent="0.3">
      <c r="A4" s="42">
        <v>2</v>
      </c>
      <c r="B4" s="44" t="s">
        <v>275</v>
      </c>
      <c r="C4" s="42" t="s">
        <v>44</v>
      </c>
      <c r="D4" s="42" t="s">
        <v>274</v>
      </c>
      <c r="E4" s="42" t="s">
        <v>27</v>
      </c>
      <c r="F4" s="42">
        <v>262669</v>
      </c>
      <c r="G4" s="42" t="s">
        <v>273</v>
      </c>
      <c r="H4" s="42">
        <v>3100</v>
      </c>
      <c r="I4" s="43">
        <v>1.119</v>
      </c>
      <c r="J4" s="43">
        <v>1.67</v>
      </c>
      <c r="K4" s="42" t="s">
        <v>277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276</v>
      </c>
    </row>
    <row r="5" spans="1:28" x14ac:dyDescent="0.3">
      <c r="A5" s="42">
        <v>3</v>
      </c>
      <c r="B5" s="44" t="s">
        <v>275</v>
      </c>
      <c r="C5" s="42" t="s">
        <v>44</v>
      </c>
      <c r="D5" s="42" t="s">
        <v>274</v>
      </c>
      <c r="E5" s="42" t="s">
        <v>27</v>
      </c>
      <c r="F5" s="42">
        <v>262668</v>
      </c>
      <c r="G5" s="42" t="s">
        <v>273</v>
      </c>
      <c r="H5" s="42">
        <v>4200</v>
      </c>
      <c r="I5" s="43">
        <v>0.879</v>
      </c>
      <c r="J5" s="43">
        <v>1.48</v>
      </c>
      <c r="K5" s="42" t="s">
        <v>272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271</v>
      </c>
      <c r="AB5" s="37" t="s">
        <v>270</v>
      </c>
    </row>
    <row r="6" spans="1:28" x14ac:dyDescent="0.3">
      <c r="A6" s="42">
        <v>4</v>
      </c>
      <c r="B6" s="44" t="s">
        <v>299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300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10" workbookViewId="0">
      <selection activeCell="I14" sqref="I14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7" t="s">
        <v>266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253</v>
      </c>
      <c r="E3" s="52" t="s">
        <v>27</v>
      </c>
      <c r="F3" s="52">
        <v>262658</v>
      </c>
      <c r="G3" s="52" t="s">
        <v>252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253</v>
      </c>
      <c r="E4" s="52" t="s">
        <v>27</v>
      </c>
      <c r="F4" s="52">
        <v>262656</v>
      </c>
      <c r="G4" s="52" t="s">
        <v>252</v>
      </c>
      <c r="H4" s="52">
        <v>1000</v>
      </c>
      <c r="I4" s="54">
        <v>0.76200000000000001</v>
      </c>
      <c r="J4" s="54">
        <v>0.69299999999999995</v>
      </c>
      <c r="K4" s="52" t="s">
        <v>265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264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253</v>
      </c>
      <c r="E5" s="52" t="s">
        <v>27</v>
      </c>
      <c r="F5" s="52">
        <v>262651</v>
      </c>
      <c r="G5" s="52" t="s">
        <v>252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263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253</v>
      </c>
      <c r="E6" s="52" t="s">
        <v>27</v>
      </c>
      <c r="F6" s="52">
        <v>262653</v>
      </c>
      <c r="G6" s="52" t="s">
        <v>252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262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253</v>
      </c>
      <c r="E7" s="52" t="s">
        <v>27</v>
      </c>
      <c r="F7" s="52">
        <v>262654</v>
      </c>
      <c r="G7" s="52" t="s">
        <v>252</v>
      </c>
      <c r="H7" s="52">
        <v>600</v>
      </c>
      <c r="I7" s="54">
        <v>0.66400000000000003</v>
      </c>
      <c r="J7" s="54">
        <v>1.2490000000000001</v>
      </c>
      <c r="K7" s="52" t="s">
        <v>261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260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253</v>
      </c>
      <c r="E8" s="52" t="s">
        <v>27</v>
      </c>
      <c r="F8" s="52">
        <v>262657</v>
      </c>
      <c r="G8" s="52" t="s">
        <v>252</v>
      </c>
      <c r="H8" s="52">
        <v>600</v>
      </c>
      <c r="I8" s="54">
        <v>1.1519999999999999</v>
      </c>
      <c r="J8" s="54">
        <v>0.69299999999999995</v>
      </c>
      <c r="K8" s="52" t="s">
        <v>259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258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253</v>
      </c>
      <c r="E9" s="52" t="s">
        <v>27</v>
      </c>
      <c r="F9" s="52">
        <v>262655</v>
      </c>
      <c r="G9" s="52" t="s">
        <v>252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257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253</v>
      </c>
      <c r="E10" s="52" t="s">
        <v>27</v>
      </c>
      <c r="F10" s="52">
        <v>262652</v>
      </c>
      <c r="G10" s="52" t="s">
        <v>252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256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253</v>
      </c>
      <c r="E11" s="52" t="s">
        <v>27</v>
      </c>
      <c r="F11" s="52">
        <v>262660</v>
      </c>
      <c r="G11" s="52" t="s">
        <v>252</v>
      </c>
      <c r="H11" s="52">
        <v>1500</v>
      </c>
      <c r="I11" s="54">
        <v>0.42399999999999999</v>
      </c>
      <c r="J11" s="54">
        <v>0.78900000000000003</v>
      </c>
      <c r="K11" s="52" t="s">
        <v>255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254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253</v>
      </c>
      <c r="E12" s="52" t="s">
        <v>27</v>
      </c>
      <c r="F12" s="52">
        <v>262659</v>
      </c>
      <c r="G12" s="52" t="s">
        <v>252</v>
      </c>
      <c r="H12" s="52">
        <v>3000</v>
      </c>
      <c r="I12" s="54">
        <v>0.36799999999999999</v>
      </c>
      <c r="J12" s="54">
        <v>0.72899999999999998</v>
      </c>
      <c r="K12" s="52" t="s">
        <v>251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250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8" t="s">
        <v>249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245</v>
      </c>
      <c r="E3" s="42" t="s">
        <v>27</v>
      </c>
      <c r="F3" s="42">
        <v>262649</v>
      </c>
      <c r="G3" s="42" t="s">
        <v>248</v>
      </c>
      <c r="H3" s="42">
        <v>2600</v>
      </c>
      <c r="I3" s="43">
        <v>0.49199999999999999</v>
      </c>
      <c r="J3" s="43">
        <v>1.2629999999999999</v>
      </c>
      <c r="K3" s="42" t="s">
        <v>247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246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245</v>
      </c>
      <c r="E4" s="42" t="s">
        <v>27</v>
      </c>
      <c r="F4" s="42">
        <v>262650</v>
      </c>
      <c r="G4" s="42" t="s">
        <v>244</v>
      </c>
      <c r="H4" s="42">
        <v>2300</v>
      </c>
      <c r="I4" s="43">
        <v>0.45700000000000002</v>
      </c>
      <c r="J4" s="43">
        <v>1.393</v>
      </c>
      <c r="K4" s="42" t="s">
        <v>243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242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241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237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240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237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239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237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238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237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237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2"/>
  <sheetViews>
    <sheetView workbookViewId="0">
      <selection activeCell="W16" sqref="W16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234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253</v>
      </c>
      <c r="E3" s="46" t="s">
        <v>27</v>
      </c>
      <c r="F3" s="46">
        <v>262674</v>
      </c>
      <c r="G3" s="46" t="s">
        <v>282</v>
      </c>
      <c r="H3" s="46">
        <v>400</v>
      </c>
      <c r="I3" s="48">
        <v>1.3720000000000001</v>
      </c>
      <c r="J3" s="48">
        <v>2.38</v>
      </c>
      <c r="K3" s="46" t="s">
        <v>286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285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253</v>
      </c>
      <c r="E4" s="46" t="s">
        <v>27</v>
      </c>
      <c r="F4" s="46">
        <v>262672</v>
      </c>
      <c r="G4" s="46" t="s">
        <v>282</v>
      </c>
      <c r="H4" s="46">
        <v>400</v>
      </c>
      <c r="I4" s="48">
        <v>1.1519999999999999</v>
      </c>
      <c r="J4" s="48">
        <v>2.34</v>
      </c>
      <c r="K4" s="46" t="s">
        <v>284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283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253</v>
      </c>
      <c r="E5" s="46" t="s">
        <v>27</v>
      </c>
      <c r="F5" s="46">
        <v>262671</v>
      </c>
      <c r="G5" s="46" t="s">
        <v>282</v>
      </c>
      <c r="H5" s="46">
        <v>400</v>
      </c>
      <c r="I5" s="48">
        <v>1.3520000000000001</v>
      </c>
      <c r="J5" s="48">
        <v>2.339</v>
      </c>
      <c r="K5" s="46" t="s">
        <v>281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278</v>
      </c>
    </row>
    <row r="6" spans="1:28" s="13" customFormat="1" ht="25.05" customHeight="1" x14ac:dyDescent="0.3">
      <c r="A6" s="46">
        <v>4</v>
      </c>
      <c r="B6" s="47" t="s">
        <v>58</v>
      </c>
      <c r="C6" s="46" t="s">
        <v>59</v>
      </c>
      <c r="D6" s="96">
        <v>46287</v>
      </c>
      <c r="E6" s="46"/>
      <c r="F6" s="46">
        <v>262701</v>
      </c>
      <c r="G6" s="46">
        <v>8263</v>
      </c>
      <c r="H6" s="46">
        <v>930</v>
      </c>
      <c r="I6" s="48">
        <v>0.59199999999999997</v>
      </c>
      <c r="J6" s="48">
        <v>1.62</v>
      </c>
      <c r="K6" s="46" t="s">
        <v>326</v>
      </c>
      <c r="L6" s="48">
        <v>891.90700000000004</v>
      </c>
      <c r="M6" s="49">
        <v>753.3</v>
      </c>
      <c r="N6" s="50">
        <v>0.1046</v>
      </c>
      <c r="O6" s="51">
        <v>6.28</v>
      </c>
      <c r="P6" s="46">
        <v>289</v>
      </c>
      <c r="Q6" s="46">
        <v>2</v>
      </c>
      <c r="R6" s="46">
        <v>1250</v>
      </c>
      <c r="S6" s="48">
        <v>1.1839999999999999</v>
      </c>
      <c r="T6" s="46">
        <v>66</v>
      </c>
      <c r="U6" s="50">
        <v>5.28E-2</v>
      </c>
      <c r="V6" s="46" t="s">
        <v>28</v>
      </c>
      <c r="W6" s="46" t="s">
        <v>28</v>
      </c>
      <c r="X6" s="46" t="s">
        <v>28</v>
      </c>
      <c r="Y6" s="46"/>
      <c r="Z6" s="46"/>
      <c r="AA6" s="46">
        <v>3</v>
      </c>
      <c r="AB6" s="46" t="s">
        <v>327</v>
      </c>
    </row>
    <row r="7" spans="1:28" s="58" customFormat="1" ht="25.05" customHeight="1" x14ac:dyDescent="0.3">
      <c r="A7" s="46">
        <v>6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262641</v>
      </c>
      <c r="G7" s="52" t="s">
        <v>231</v>
      </c>
      <c r="H7" s="52">
        <v>1150</v>
      </c>
      <c r="I7" s="54">
        <v>0.54700000000000004</v>
      </c>
      <c r="J7" s="54">
        <v>1.44</v>
      </c>
      <c r="K7" s="52" t="s">
        <v>233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232</v>
      </c>
    </row>
    <row r="8" spans="1:28" s="58" customFormat="1" ht="25.05" customHeight="1" x14ac:dyDescent="0.3">
      <c r="A8" s="46">
        <v>7</v>
      </c>
      <c r="B8" s="53" t="s">
        <v>58</v>
      </c>
      <c r="C8" s="52" t="s">
        <v>59</v>
      </c>
      <c r="D8" s="68">
        <v>46287</v>
      </c>
      <c r="E8" s="52"/>
      <c r="F8" s="52">
        <v>262700</v>
      </c>
      <c r="G8" s="52">
        <v>8263</v>
      </c>
      <c r="H8" s="52">
        <v>9500</v>
      </c>
      <c r="I8" s="54">
        <v>0.32200000000000001</v>
      </c>
      <c r="J8" s="54">
        <v>0.94</v>
      </c>
      <c r="K8" s="52" t="s">
        <v>324</v>
      </c>
      <c r="L8" s="54">
        <v>2875.46</v>
      </c>
      <c r="M8" s="55">
        <v>4465</v>
      </c>
      <c r="N8" s="56">
        <v>0.62009999999999998</v>
      </c>
      <c r="O8" s="57">
        <v>37.21</v>
      </c>
      <c r="P8" s="52">
        <v>931.6</v>
      </c>
      <c r="Q8" s="52">
        <v>2</v>
      </c>
      <c r="R8" s="52">
        <v>700</v>
      </c>
      <c r="S8" s="54">
        <v>0.64400000000000002</v>
      </c>
      <c r="T8" s="52">
        <v>56</v>
      </c>
      <c r="U8" s="56">
        <v>0.08</v>
      </c>
      <c r="V8" s="52" t="s">
        <v>28</v>
      </c>
      <c r="W8" s="52" t="s">
        <v>28</v>
      </c>
      <c r="X8" s="52" t="s">
        <v>28</v>
      </c>
      <c r="Y8" s="52"/>
      <c r="Z8" s="52"/>
      <c r="AA8" s="52">
        <v>5</v>
      </c>
      <c r="AB8" s="52" t="s">
        <v>325</v>
      </c>
    </row>
    <row r="9" spans="1:28" s="13" customFormat="1" ht="25.05" customHeight="1" x14ac:dyDescent="0.3">
      <c r="A9" s="46">
        <v>8</v>
      </c>
      <c r="B9" s="47" t="s">
        <v>58</v>
      </c>
      <c r="C9" s="46" t="s">
        <v>35</v>
      </c>
      <c r="D9" s="46" t="s">
        <v>253</v>
      </c>
      <c r="E9" s="46" t="s">
        <v>27</v>
      </c>
      <c r="F9" s="46">
        <v>262673</v>
      </c>
      <c r="G9" s="46" t="s">
        <v>282</v>
      </c>
      <c r="H9" s="46">
        <v>1000</v>
      </c>
      <c r="I9" s="48">
        <v>0.76</v>
      </c>
      <c r="J9" s="48">
        <v>1.0900000000000001</v>
      </c>
      <c r="K9" s="46" t="s">
        <v>33</v>
      </c>
      <c r="L9" s="48">
        <v>828.4</v>
      </c>
      <c r="M9" s="49">
        <v>545</v>
      </c>
      <c r="N9" s="50">
        <v>7.5700000000000003E-2</v>
      </c>
      <c r="O9" s="51">
        <v>4.54</v>
      </c>
      <c r="P9" s="46">
        <v>260.89999999999998</v>
      </c>
      <c r="Q9" s="46">
        <v>2</v>
      </c>
      <c r="R9" s="46">
        <v>1550</v>
      </c>
      <c r="S9" s="48">
        <v>1.52</v>
      </c>
      <c r="T9" s="46">
        <v>30</v>
      </c>
      <c r="U9" s="50">
        <v>1.9400000000000001E-2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32</v>
      </c>
      <c r="AB9" s="46" t="s">
        <v>287</v>
      </c>
    </row>
    <row r="10" spans="1:28" s="13" customFormat="1" ht="25.05" customHeight="1" x14ac:dyDescent="0.3">
      <c r="A10" s="46">
        <v>9</v>
      </c>
      <c r="B10" s="47" t="s">
        <v>58</v>
      </c>
      <c r="C10" s="46" t="s">
        <v>35</v>
      </c>
      <c r="D10" s="46" t="s">
        <v>274</v>
      </c>
      <c r="E10" s="46" t="s">
        <v>27</v>
      </c>
      <c r="F10" s="46">
        <v>262675</v>
      </c>
      <c r="G10" s="46" t="s">
        <v>288</v>
      </c>
      <c r="H10" s="46">
        <v>1350</v>
      </c>
      <c r="I10" s="48">
        <v>0.59199999999999997</v>
      </c>
      <c r="J10" s="48">
        <v>1.619</v>
      </c>
      <c r="K10" s="46" t="s">
        <v>289</v>
      </c>
      <c r="L10" s="48">
        <v>1293.905</v>
      </c>
      <c r="M10" s="49">
        <v>1092.8</v>
      </c>
      <c r="N10" s="50">
        <v>0.15179999999999999</v>
      </c>
      <c r="O10" s="51">
        <v>9.11</v>
      </c>
      <c r="P10" s="46">
        <v>407.6</v>
      </c>
      <c r="Q10" s="46">
        <v>2</v>
      </c>
      <c r="R10" s="46">
        <v>1250</v>
      </c>
      <c r="S10" s="48">
        <v>1.1839999999999999</v>
      </c>
      <c r="T10" s="46">
        <v>66</v>
      </c>
      <c r="U10" s="50">
        <v>5.28E-2</v>
      </c>
      <c r="V10" s="46" t="s">
        <v>28</v>
      </c>
      <c r="W10" s="46" t="s">
        <v>28</v>
      </c>
      <c r="X10" s="46" t="s">
        <v>28</v>
      </c>
      <c r="Y10" s="46" t="s">
        <v>27</v>
      </c>
      <c r="Z10" s="46" t="s">
        <v>27</v>
      </c>
      <c r="AA10" s="46" t="s">
        <v>31</v>
      </c>
      <c r="AB10" s="46" t="s">
        <v>290</v>
      </c>
    </row>
    <row r="11" spans="1:28" s="58" customFormat="1" ht="25.05" customHeight="1" x14ac:dyDescent="0.3">
      <c r="A11" s="46">
        <v>10</v>
      </c>
      <c r="B11" s="53" t="s">
        <v>58</v>
      </c>
      <c r="C11" s="52" t="s">
        <v>35</v>
      </c>
      <c r="D11" s="52" t="s">
        <v>222</v>
      </c>
      <c r="E11" s="52" t="s">
        <v>27</v>
      </c>
      <c r="F11" s="52">
        <v>262642</v>
      </c>
      <c r="G11" s="52" t="s">
        <v>231</v>
      </c>
      <c r="H11" s="52">
        <v>1000</v>
      </c>
      <c r="I11" s="54">
        <v>0.58099999999999996</v>
      </c>
      <c r="J11" s="54">
        <v>1.58</v>
      </c>
      <c r="K11" s="52" t="s">
        <v>230</v>
      </c>
      <c r="L11" s="54">
        <v>917.98</v>
      </c>
      <c r="M11" s="55">
        <v>790</v>
      </c>
      <c r="N11" s="56">
        <v>0.10970000000000001</v>
      </c>
      <c r="O11" s="57">
        <v>6.58</v>
      </c>
      <c r="P11" s="52">
        <v>289.2</v>
      </c>
      <c r="Q11" s="52">
        <v>2</v>
      </c>
      <c r="R11" s="52">
        <v>1200</v>
      </c>
      <c r="S11" s="54">
        <v>1.1619999999999999</v>
      </c>
      <c r="T11" s="52">
        <v>38</v>
      </c>
      <c r="U11" s="56">
        <v>3.1699999999999999E-2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32</v>
      </c>
      <c r="AB11" s="52" t="s">
        <v>229</v>
      </c>
    </row>
    <row r="12" spans="1:28" s="58" customForma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16130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4435.1000000000004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7" t="s">
        <v>228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46283</v>
      </c>
      <c r="F3" s="92">
        <v>262665</v>
      </c>
      <c r="G3" s="92">
        <v>1749</v>
      </c>
      <c r="H3" s="92">
        <v>500</v>
      </c>
      <c r="I3" s="92">
        <v>1.494</v>
      </c>
      <c r="J3" s="92">
        <v>2.5630000000000002</v>
      </c>
      <c r="K3" s="92" t="s">
        <v>33</v>
      </c>
      <c r="L3" s="92">
        <v>1914.5609999999999</v>
      </c>
      <c r="M3" s="92">
        <v>1281.5</v>
      </c>
      <c r="N3" s="92">
        <v>0.35599999999999998</v>
      </c>
      <c r="O3" s="92">
        <v>21.36</v>
      </c>
      <c r="P3" s="92">
        <v>1087.5</v>
      </c>
      <c r="Q3" s="92">
        <v>1</v>
      </c>
      <c r="R3" s="92">
        <v>1550</v>
      </c>
      <c r="S3" s="92">
        <v>1.494</v>
      </c>
      <c r="T3" s="92">
        <v>56</v>
      </c>
      <c r="U3" s="92">
        <v>3.61E-2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3</v>
      </c>
      <c r="AB3" s="92" t="s">
        <v>267</v>
      </c>
    </row>
    <row r="4" spans="1:28" s="92" customFormat="1" ht="25.05" customHeight="1" x14ac:dyDescent="0.3">
      <c r="A4" s="92">
        <v>2</v>
      </c>
      <c r="B4" s="92" t="s">
        <v>90</v>
      </c>
      <c r="C4" s="92" t="s">
        <v>44</v>
      </c>
      <c r="D4" s="93">
        <v>46283</v>
      </c>
      <c r="F4" s="92">
        <v>262666</v>
      </c>
      <c r="G4" s="92">
        <v>1749</v>
      </c>
      <c r="H4" s="92">
        <v>500</v>
      </c>
      <c r="I4" s="92">
        <v>1.444</v>
      </c>
      <c r="J4" s="92">
        <v>2.383</v>
      </c>
      <c r="K4" s="92" t="s">
        <v>33</v>
      </c>
      <c r="L4" s="92">
        <v>1720.5260000000001</v>
      </c>
      <c r="M4" s="92">
        <v>1191.5</v>
      </c>
      <c r="N4" s="92">
        <v>0.33100000000000002</v>
      </c>
      <c r="O4" s="92">
        <v>19.86</v>
      </c>
      <c r="P4" s="92">
        <v>977.3</v>
      </c>
      <c r="Q4" s="92">
        <v>1</v>
      </c>
      <c r="R4" s="92">
        <v>1500</v>
      </c>
      <c r="S4" s="92">
        <v>1.444</v>
      </c>
      <c r="T4" s="92">
        <v>56</v>
      </c>
      <c r="U4" s="92">
        <v>3.73E-2</v>
      </c>
      <c r="V4" s="92" t="s">
        <v>34</v>
      </c>
      <c r="W4" s="92" t="s">
        <v>39</v>
      </c>
      <c r="X4" s="92" t="s">
        <v>34</v>
      </c>
      <c r="Y4" s="92" t="s">
        <v>34</v>
      </c>
      <c r="Z4" s="92" t="s">
        <v>34</v>
      </c>
      <c r="AA4" s="92">
        <v>3</v>
      </c>
      <c r="AB4" s="92" t="s">
        <v>268</v>
      </c>
    </row>
    <row r="5" spans="1:28" s="92" customFormat="1" ht="25.05" customHeight="1" x14ac:dyDescent="0.3">
      <c r="A5" s="92">
        <v>3</v>
      </c>
      <c r="B5" s="92" t="s">
        <v>90</v>
      </c>
      <c r="C5" s="92" t="s">
        <v>44</v>
      </c>
      <c r="D5" s="93">
        <v>46283</v>
      </c>
      <c r="F5" s="92">
        <v>262667</v>
      </c>
      <c r="G5" s="92">
        <v>1751</v>
      </c>
      <c r="H5" s="92">
        <v>400</v>
      </c>
      <c r="I5" s="92">
        <v>1.3879999999999999</v>
      </c>
      <c r="J5" s="92">
        <v>1.5029999999999999</v>
      </c>
      <c r="K5" s="92" t="s">
        <v>33</v>
      </c>
      <c r="L5" s="92">
        <v>834.46600000000001</v>
      </c>
      <c r="M5" s="92">
        <v>601.20000000000005</v>
      </c>
      <c r="N5" s="92">
        <v>0.16700000000000001</v>
      </c>
      <c r="O5" s="92">
        <v>10.02</v>
      </c>
      <c r="P5" s="92">
        <v>474</v>
      </c>
      <c r="Q5" s="92">
        <v>1</v>
      </c>
      <c r="R5" s="92">
        <v>1450</v>
      </c>
      <c r="S5" s="92">
        <v>1.3879999999999999</v>
      </c>
      <c r="T5" s="92">
        <v>62</v>
      </c>
      <c r="U5" s="92">
        <v>4.2799999999999998E-2</v>
      </c>
      <c r="V5" s="92" t="s">
        <v>34</v>
      </c>
      <c r="W5" s="92" t="s">
        <v>39</v>
      </c>
      <c r="X5" s="92" t="s">
        <v>34</v>
      </c>
      <c r="Y5" s="92" t="s">
        <v>34</v>
      </c>
      <c r="Z5" s="92" t="s">
        <v>34</v>
      </c>
      <c r="AA5" s="92">
        <v>3</v>
      </c>
      <c r="AB5" s="92" t="s">
        <v>269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2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2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2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2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2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2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2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2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2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4414062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7" t="s">
        <v>218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7" t="s">
        <v>235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236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236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236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236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236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236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236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236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236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236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9" t="s">
        <v>181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94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9" t="s">
        <v>173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4" customWidth="1"/>
    <col min="2" max="2" width="20.77734375" style="34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7" t="s">
        <v>143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139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95">
        <v>46288</v>
      </c>
      <c r="E3" s="69"/>
      <c r="F3" s="69">
        <v>262682</v>
      </c>
      <c r="G3" s="69" t="s">
        <v>303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304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100" t="s">
        <v>123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1" t="s">
        <v>105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2" t="s">
        <v>80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FAVINCO 1229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2026-09-24T14:48:41Z</cp:lastPrinted>
  <dcterms:created xsi:type="dcterms:W3CDTF">2026-07-02T17:42:15Z</dcterms:created>
  <dcterms:modified xsi:type="dcterms:W3CDTF">2026-09-25T14:22:05Z</dcterms:modified>
</cp:coreProperties>
</file>