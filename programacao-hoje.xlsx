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E75F655-49FE-48F2-8584-74CA0A963EC8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HARMONY EMBALAGENS 1315 P" sheetId="221" r:id="rId4"/>
    <sheet name="FAVINCO EMBALAGENS 1314 P" sheetId="220" r:id="rId5"/>
    <sheet name="CAIXAS  KRAFT 1312 P" sheetId="219" r:id="rId6"/>
    <sheet name="ABAPEL EMBALAGENS 1308 P" sheetId="215" r:id="rId7"/>
    <sheet name="CARPEL 1307 P" sheetId="214" r:id="rId8"/>
    <sheet name="RENOVAPEL 1306 P" sheetId="213" r:id="rId9"/>
    <sheet name="INTERNACIONAL - SEDAMED 1304 P" sheetId="212" r:id="rId10"/>
    <sheet name="RM EMBALAGENS 1303" sheetId="211" r:id="rId11"/>
    <sheet name="IPE EMBALAGENS 1302 P" sheetId="210" r:id="rId12"/>
    <sheet name="HARMONY EMBALAGENS 1301 P" sheetId="209" r:id="rId13"/>
    <sheet name="RENOVAPEL 1297 P" sheetId="208" r:id="rId14"/>
    <sheet name="HARMONY EMBALAGENS 1285 P" sheetId="202" r:id="rId15"/>
    <sheet name="PCBOX  - IPE 1266 P" sheetId="218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1" i="220" l="1"/>
  <c r="G11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<sst xmlns="http://schemas.openxmlformats.org/spreadsheetml/2006/main" count="3008" uniqueCount="316">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</sst>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8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A34" sqref="AA34"/>
    </sheetView>
  </sheetViews>
  <sheetFormatPr defaultRowHeight="14.4" x14ac:dyDescent="0.3"/>
  <cols>
    <col min="1" max="1" width="4.2187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7.77734375" style="4" customWidth="1"/>
    <col min="7" max="7" width="6.88671875" style="4" customWidth="1"/>
    <col min="8" max="8" width="6.6640625" style="4" customWidth="1"/>
    <col min="9" max="9" width="7" style="4" customWidth="1"/>
    <col min="10" max="10" width="8.33203125" style="4" customWidth="1"/>
    <col min="11" max="11" width="12.88671875" style="4" customWidth="1"/>
    <col min="12" max="12" width="8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7773437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8.6640625" style="4" customWidth="1"/>
    <col min="24" max="24" width="7.77734375" style="4" customWidth="1"/>
    <col min="25" max="25" width="7.33203125" style="4" customWidth="1"/>
    <col min="26" max="26" width="7.88671875" style="4" customWidth="1"/>
    <col min="27" max="27" width="7.77734375" style="4" customWidth="1"/>
    <col min="28" max="28" width="4" style="4" customWidth="1"/>
    <col min="29" max="29" width="9.44140625" style="4" customWidth="1"/>
    <col min="30" max="16384" width="8.88671875" style="4"/>
  </cols>
  <sheetData>
    <row r="1" spans="1:29" ht="18" customHeight="1" x14ac:dyDescent="0.35">
      <c r="A1" s="59" t="s">
        <v>313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8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12" customFormat="1" ht="25.05" customHeight="1" x14ac:dyDescent="0.3">
      <c r="A3" s="51">
        <v>1</v>
      </c>
      <c r="B3" s="52" t="s">
        <v>50</v>
      </c>
      <c r="C3" s="51" t="s">
        <v>25</v>
      </c>
      <c r="D3" s="51" t="s">
        <v>295</v>
      </c>
      <c r="E3" s="51">
        <v>263144</v>
      </c>
      <c r="F3" s="51" t="s">
        <v>294</v>
      </c>
      <c r="G3" s="51">
        <v>200</v>
      </c>
      <c r="H3" s="53">
        <v>0.624</v>
      </c>
      <c r="I3" s="53">
        <v>1.5189999999999999</v>
      </c>
      <c r="J3" s="51" t="s">
        <v>26</v>
      </c>
      <c r="K3" s="51" t="s">
        <v>312</v>
      </c>
      <c r="L3" s="51" t="s">
        <v>26</v>
      </c>
      <c r="M3" s="53">
        <v>189.571</v>
      </c>
      <c r="N3" s="54">
        <v>151.9</v>
      </c>
      <c r="O3" s="55">
        <v>2.1100000000000001E-2</v>
      </c>
      <c r="P3" s="56">
        <v>1.27</v>
      </c>
      <c r="Q3" s="51">
        <v>102</v>
      </c>
      <c r="R3" s="51">
        <v>2</v>
      </c>
      <c r="S3" s="51">
        <v>1300</v>
      </c>
      <c r="T3" s="53">
        <v>1.248</v>
      </c>
      <c r="U3" s="51">
        <v>52</v>
      </c>
      <c r="V3" s="55">
        <v>0.04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31</v>
      </c>
      <c r="AC3" s="51" t="s">
        <v>311</v>
      </c>
    </row>
    <row r="4" spans="1:29" s="12" customFormat="1" ht="25.05" customHeight="1" x14ac:dyDescent="0.3">
      <c r="A4" s="51">
        <v>2</v>
      </c>
      <c r="B4" s="52" t="s">
        <v>50</v>
      </c>
      <c r="C4" s="51" t="s">
        <v>48</v>
      </c>
      <c r="D4" s="51" t="s">
        <v>295</v>
      </c>
      <c r="E4" s="51">
        <v>263139</v>
      </c>
      <c r="F4" s="51" t="s">
        <v>300</v>
      </c>
      <c r="G4" s="51">
        <v>600</v>
      </c>
      <c r="H4" s="53">
        <v>1.236</v>
      </c>
      <c r="I4" s="53">
        <v>2.5910000000000002</v>
      </c>
      <c r="J4" s="51" t="s">
        <v>26</v>
      </c>
      <c r="K4" s="51" t="s">
        <v>310</v>
      </c>
      <c r="L4" s="51" t="s">
        <v>26</v>
      </c>
      <c r="M4" s="53">
        <v>1921.4860000000001</v>
      </c>
      <c r="N4" s="54">
        <v>1554.6</v>
      </c>
      <c r="O4" s="55">
        <v>0.43180000000000002</v>
      </c>
      <c r="P4" s="56">
        <v>25.91</v>
      </c>
      <c r="Q4" s="51">
        <v>1214.4000000000001</v>
      </c>
      <c r="R4" s="51">
        <v>1</v>
      </c>
      <c r="S4" s="51">
        <v>1300</v>
      </c>
      <c r="T4" s="53">
        <v>1.236</v>
      </c>
      <c r="U4" s="51">
        <v>64</v>
      </c>
      <c r="V4" s="55">
        <v>4.9200000000000001E-2</v>
      </c>
      <c r="W4" s="51" t="s">
        <v>28</v>
      </c>
      <c r="X4" s="51" t="s">
        <v>38</v>
      </c>
      <c r="Y4" s="51" t="s">
        <v>27</v>
      </c>
      <c r="Z4" s="51" t="s">
        <v>27</v>
      </c>
      <c r="AA4" s="51" t="s">
        <v>28</v>
      </c>
      <c r="AB4" s="51" t="s">
        <v>30</v>
      </c>
      <c r="AC4" s="51" t="s">
        <v>309</v>
      </c>
    </row>
    <row r="5" spans="1:29" s="12" customFormat="1" ht="25.05" customHeight="1" x14ac:dyDescent="0.3">
      <c r="A5" s="51">
        <v>3</v>
      </c>
      <c r="B5" s="52" t="s">
        <v>50</v>
      </c>
      <c r="C5" s="51" t="s">
        <v>25</v>
      </c>
      <c r="D5" s="51" t="s">
        <v>295</v>
      </c>
      <c r="E5" s="51">
        <v>263142</v>
      </c>
      <c r="F5" s="51" t="s">
        <v>294</v>
      </c>
      <c r="G5" s="51">
        <v>250</v>
      </c>
      <c r="H5" s="53">
        <v>0.60399999999999998</v>
      </c>
      <c r="I5" s="53">
        <v>1.419</v>
      </c>
      <c r="J5" s="51" t="s">
        <v>26</v>
      </c>
      <c r="K5" s="51" t="s">
        <v>308</v>
      </c>
      <c r="L5" s="51" t="s">
        <v>26</v>
      </c>
      <c r="M5" s="53">
        <v>214.26900000000001</v>
      </c>
      <c r="N5" s="54">
        <v>177.4</v>
      </c>
      <c r="O5" s="55">
        <v>2.46E-2</v>
      </c>
      <c r="P5" s="56">
        <v>1.48</v>
      </c>
      <c r="Q5" s="51">
        <v>115.3</v>
      </c>
      <c r="R5" s="51">
        <v>2</v>
      </c>
      <c r="S5" s="51">
        <v>1250</v>
      </c>
      <c r="T5" s="53">
        <v>1.208</v>
      </c>
      <c r="U5" s="51">
        <v>42</v>
      </c>
      <c r="V5" s="55">
        <v>3.3599999999999998E-2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307</v>
      </c>
    </row>
    <row r="6" spans="1:29" s="12" customFormat="1" ht="25.05" customHeight="1" x14ac:dyDescent="0.3">
      <c r="A6" s="51">
        <v>4</v>
      </c>
      <c r="B6" s="52" t="s">
        <v>50</v>
      </c>
      <c r="C6" s="51" t="s">
        <v>48</v>
      </c>
      <c r="D6" s="51" t="s">
        <v>295</v>
      </c>
      <c r="E6" s="51">
        <v>263138</v>
      </c>
      <c r="F6" s="51" t="s">
        <v>300</v>
      </c>
      <c r="G6" s="51">
        <v>1200</v>
      </c>
      <c r="H6" s="53">
        <v>1.196</v>
      </c>
      <c r="I6" s="53">
        <v>1.6910000000000001</v>
      </c>
      <c r="J6" s="51" t="s">
        <v>26</v>
      </c>
      <c r="K6" s="51" t="s">
        <v>306</v>
      </c>
      <c r="L6" s="51" t="s">
        <v>26</v>
      </c>
      <c r="M6" s="53">
        <v>2426.9229999999998</v>
      </c>
      <c r="N6" s="54">
        <v>2029.2</v>
      </c>
      <c r="O6" s="55">
        <v>0.56369999999999998</v>
      </c>
      <c r="P6" s="56">
        <v>33.82</v>
      </c>
      <c r="Q6" s="51">
        <v>1533.8</v>
      </c>
      <c r="R6" s="51">
        <v>1</v>
      </c>
      <c r="S6" s="51">
        <v>1250</v>
      </c>
      <c r="T6" s="53">
        <v>1.196</v>
      </c>
      <c r="U6" s="51">
        <v>54</v>
      </c>
      <c r="V6" s="55">
        <v>4.3200000000000002E-2</v>
      </c>
      <c r="W6" s="51" t="s">
        <v>28</v>
      </c>
      <c r="X6" s="51" t="s">
        <v>38</v>
      </c>
      <c r="Y6" s="51" t="s">
        <v>27</v>
      </c>
      <c r="Z6" s="51" t="s">
        <v>27</v>
      </c>
      <c r="AA6" s="51" t="s">
        <v>28</v>
      </c>
      <c r="AB6" s="51" t="s">
        <v>46</v>
      </c>
      <c r="AC6" s="51" t="s">
        <v>305</v>
      </c>
    </row>
    <row r="7" spans="1:29" s="12" customFormat="1" ht="25.05" customHeight="1" x14ac:dyDescent="0.3">
      <c r="A7" s="51">
        <v>5</v>
      </c>
      <c r="B7" s="52" t="s">
        <v>50</v>
      </c>
      <c r="C7" s="51" t="s">
        <v>48</v>
      </c>
      <c r="D7" s="51" t="s">
        <v>295</v>
      </c>
      <c r="E7" s="51">
        <v>263141</v>
      </c>
      <c r="F7" s="51" t="s">
        <v>300</v>
      </c>
      <c r="G7" s="51">
        <v>600</v>
      </c>
      <c r="H7" s="53">
        <v>1.1359999999999999</v>
      </c>
      <c r="I7" s="53">
        <v>2.431</v>
      </c>
      <c r="J7" s="51" t="s">
        <v>26</v>
      </c>
      <c r="K7" s="51" t="s">
        <v>304</v>
      </c>
      <c r="L7" s="51" t="s">
        <v>26</v>
      </c>
      <c r="M7" s="53">
        <v>1656.97</v>
      </c>
      <c r="N7" s="54">
        <v>1458.6</v>
      </c>
      <c r="O7" s="55">
        <v>0.4052</v>
      </c>
      <c r="P7" s="56">
        <v>24.31</v>
      </c>
      <c r="Q7" s="51">
        <v>1047.2</v>
      </c>
      <c r="R7" s="51">
        <v>1</v>
      </c>
      <c r="S7" s="51">
        <v>1200</v>
      </c>
      <c r="T7" s="53">
        <v>1.1359999999999999</v>
      </c>
      <c r="U7" s="51">
        <v>64</v>
      </c>
      <c r="V7" s="55">
        <v>5.33E-2</v>
      </c>
      <c r="W7" s="51" t="s">
        <v>28</v>
      </c>
      <c r="X7" s="51" t="s">
        <v>38</v>
      </c>
      <c r="Y7" s="51" t="s">
        <v>27</v>
      </c>
      <c r="Z7" s="51" t="s">
        <v>27</v>
      </c>
      <c r="AA7" s="51" t="s">
        <v>28</v>
      </c>
      <c r="AB7" s="51" t="s">
        <v>30</v>
      </c>
      <c r="AC7" s="51" t="s">
        <v>303</v>
      </c>
    </row>
    <row r="8" spans="1:29" s="12" customFormat="1" ht="25.05" customHeight="1" x14ac:dyDescent="0.3">
      <c r="A8" s="51">
        <v>6</v>
      </c>
      <c r="B8" s="52" t="s">
        <v>50</v>
      </c>
      <c r="C8" s="51" t="s">
        <v>25</v>
      </c>
      <c r="D8" s="51" t="s">
        <v>295</v>
      </c>
      <c r="E8" s="51">
        <v>263146</v>
      </c>
      <c r="F8" s="51" t="s">
        <v>294</v>
      </c>
      <c r="G8" s="51">
        <v>250</v>
      </c>
      <c r="H8" s="53">
        <v>1.0840000000000001</v>
      </c>
      <c r="I8" s="53">
        <v>2.0590000000000002</v>
      </c>
      <c r="J8" s="51" t="s">
        <v>26</v>
      </c>
      <c r="K8" s="51" t="s">
        <v>302</v>
      </c>
      <c r="L8" s="51" t="s">
        <v>26</v>
      </c>
      <c r="M8" s="53">
        <v>557.98900000000003</v>
      </c>
      <c r="N8" s="54">
        <v>514.79999999999995</v>
      </c>
      <c r="O8" s="55">
        <v>0.14299999999999999</v>
      </c>
      <c r="P8" s="56">
        <v>8.58</v>
      </c>
      <c r="Q8" s="51">
        <v>300.2</v>
      </c>
      <c r="R8" s="51">
        <v>1</v>
      </c>
      <c r="S8" s="51">
        <v>1150</v>
      </c>
      <c r="T8" s="53">
        <v>1.0840000000000001</v>
      </c>
      <c r="U8" s="51">
        <v>66</v>
      </c>
      <c r="V8" s="55">
        <v>5.74E-2</v>
      </c>
      <c r="W8" s="51" t="s">
        <v>27</v>
      </c>
      <c r="X8" s="51" t="s">
        <v>28</v>
      </c>
      <c r="Y8" s="51" t="s">
        <v>27</v>
      </c>
      <c r="Z8" s="51" t="s">
        <v>27</v>
      </c>
      <c r="AA8" s="51" t="s">
        <v>27</v>
      </c>
      <c r="AB8" s="51" t="s">
        <v>31</v>
      </c>
      <c r="AC8" s="51" t="s">
        <v>301</v>
      </c>
    </row>
    <row r="9" spans="1:29" s="12" customFormat="1" ht="25.05" customHeight="1" x14ac:dyDescent="0.3">
      <c r="A9" s="51">
        <v>7</v>
      </c>
      <c r="B9" s="52" t="s">
        <v>50</v>
      </c>
      <c r="C9" s="51" t="s">
        <v>78</v>
      </c>
      <c r="D9" s="51" t="s">
        <v>295</v>
      </c>
      <c r="E9" s="51">
        <v>263140</v>
      </c>
      <c r="F9" s="51" t="s">
        <v>300</v>
      </c>
      <c r="G9" s="51">
        <v>500</v>
      </c>
      <c r="H9" s="53">
        <v>0.98599999999999999</v>
      </c>
      <c r="I9" s="53">
        <v>2.371</v>
      </c>
      <c r="J9" s="51" t="s">
        <v>26</v>
      </c>
      <c r="K9" s="51" t="s">
        <v>299</v>
      </c>
      <c r="L9" s="51" t="s">
        <v>26</v>
      </c>
      <c r="M9" s="53">
        <v>1168.903</v>
      </c>
      <c r="N9" s="54">
        <v>1185.5</v>
      </c>
      <c r="O9" s="55">
        <v>0.32929999999999998</v>
      </c>
      <c r="P9" s="56">
        <v>19.760000000000002</v>
      </c>
      <c r="Q9" s="51">
        <v>549.4</v>
      </c>
      <c r="R9" s="51">
        <v>1</v>
      </c>
      <c r="S9" s="51">
        <v>1050</v>
      </c>
      <c r="T9" s="53">
        <v>0.98599999999999999</v>
      </c>
      <c r="U9" s="51">
        <v>64</v>
      </c>
      <c r="V9" s="55">
        <v>6.0999999999999999E-2</v>
      </c>
      <c r="W9" s="51" t="s">
        <v>77</v>
      </c>
      <c r="X9" s="51" t="s">
        <v>39</v>
      </c>
      <c r="Y9" s="51" t="s">
        <v>77</v>
      </c>
      <c r="Z9" s="51" t="s">
        <v>26</v>
      </c>
      <c r="AA9" s="51" t="s">
        <v>26</v>
      </c>
      <c r="AB9" s="51" t="s">
        <v>29</v>
      </c>
      <c r="AC9" s="51" t="s">
        <v>298</v>
      </c>
    </row>
    <row r="10" spans="1:29" s="12" customFormat="1" ht="25.05" customHeight="1" x14ac:dyDescent="0.3">
      <c r="A10" s="51">
        <v>8</v>
      </c>
      <c r="B10" s="52" t="s">
        <v>50</v>
      </c>
      <c r="C10" s="51" t="s">
        <v>34</v>
      </c>
      <c r="D10" s="51" t="s">
        <v>295</v>
      </c>
      <c r="E10" s="51">
        <v>263143</v>
      </c>
      <c r="F10" s="51" t="s">
        <v>294</v>
      </c>
      <c r="G10" s="51">
        <v>5000</v>
      </c>
      <c r="H10" s="53">
        <v>0.5</v>
      </c>
      <c r="I10" s="53">
        <v>0.81</v>
      </c>
      <c r="J10" s="51" t="s">
        <v>26</v>
      </c>
      <c r="K10" s="51" t="s">
        <v>32</v>
      </c>
      <c r="L10" s="51" t="s">
        <v>26</v>
      </c>
      <c r="M10" s="53">
        <v>2025</v>
      </c>
      <c r="N10" s="54">
        <v>1350</v>
      </c>
      <c r="O10" s="55">
        <v>0.125</v>
      </c>
      <c r="P10" s="56">
        <v>7.5</v>
      </c>
      <c r="Q10" s="51">
        <v>648</v>
      </c>
      <c r="R10" s="51">
        <v>3</v>
      </c>
      <c r="S10" s="51">
        <v>1550</v>
      </c>
      <c r="T10" s="53">
        <v>1.5</v>
      </c>
      <c r="U10" s="51">
        <v>50</v>
      </c>
      <c r="V10" s="55">
        <v>3.2300000000000002E-2</v>
      </c>
      <c r="W10" s="51" t="s">
        <v>27</v>
      </c>
      <c r="X10" s="51" t="s">
        <v>27</v>
      </c>
      <c r="Y10" s="51" t="s">
        <v>27</v>
      </c>
      <c r="Z10" s="51" t="s">
        <v>26</v>
      </c>
      <c r="AA10" s="51" t="s">
        <v>26</v>
      </c>
      <c r="AB10" s="51" t="s">
        <v>30</v>
      </c>
      <c r="AC10" s="51" t="s">
        <v>297</v>
      </c>
    </row>
    <row r="11" spans="1:29" s="12" customFormat="1" ht="25.05" customHeight="1" x14ac:dyDescent="0.3">
      <c r="A11" s="51">
        <v>9</v>
      </c>
      <c r="B11" s="52" t="s">
        <v>50</v>
      </c>
      <c r="C11" s="51" t="s">
        <v>34</v>
      </c>
      <c r="D11" s="51" t="s">
        <v>295</v>
      </c>
      <c r="E11" s="51">
        <v>263147</v>
      </c>
      <c r="F11" s="51" t="s">
        <v>294</v>
      </c>
      <c r="G11" s="51">
        <v>1100</v>
      </c>
      <c r="H11" s="53">
        <v>0.40200000000000002</v>
      </c>
      <c r="I11" s="53">
        <v>1.1930000000000001</v>
      </c>
      <c r="J11" s="51" t="s">
        <v>26</v>
      </c>
      <c r="K11" s="51" t="s">
        <v>109</v>
      </c>
      <c r="L11" s="51" t="s">
        <v>26</v>
      </c>
      <c r="M11" s="53">
        <v>527.54499999999996</v>
      </c>
      <c r="N11" s="54">
        <v>437.4</v>
      </c>
      <c r="O11" s="55">
        <v>4.0500000000000001E-2</v>
      </c>
      <c r="P11" s="56">
        <v>2.4300000000000002</v>
      </c>
      <c r="Q11" s="51">
        <v>168.8</v>
      </c>
      <c r="R11" s="51">
        <v>3</v>
      </c>
      <c r="S11" s="51">
        <v>1250</v>
      </c>
      <c r="T11" s="53">
        <v>1.206</v>
      </c>
      <c r="U11" s="51">
        <v>44</v>
      </c>
      <c r="V11" s="55">
        <v>3.5200000000000002E-2</v>
      </c>
      <c r="W11" s="51" t="s">
        <v>27</v>
      </c>
      <c r="X11" s="51" t="s">
        <v>27</v>
      </c>
      <c r="Y11" s="51" t="s">
        <v>27</v>
      </c>
      <c r="Z11" s="51" t="s">
        <v>26</v>
      </c>
      <c r="AA11" s="51" t="s">
        <v>26</v>
      </c>
      <c r="AB11" s="51" t="s">
        <v>31</v>
      </c>
      <c r="AC11" s="51" t="s">
        <v>296</v>
      </c>
    </row>
    <row r="12" spans="1:29" s="12" customFormat="1" ht="25.05" customHeight="1" x14ac:dyDescent="0.3">
      <c r="A12" s="51">
        <v>10</v>
      </c>
      <c r="B12" s="52" t="s">
        <v>50</v>
      </c>
      <c r="C12" s="51" t="s">
        <v>43</v>
      </c>
      <c r="D12" s="51" t="s">
        <v>295</v>
      </c>
      <c r="E12" s="51">
        <v>263145</v>
      </c>
      <c r="F12" s="51" t="s">
        <v>294</v>
      </c>
      <c r="G12" s="51">
        <v>1200</v>
      </c>
      <c r="H12" s="53">
        <v>0.83</v>
      </c>
      <c r="I12" s="53">
        <v>0.63</v>
      </c>
      <c r="J12" s="51" t="s">
        <v>26</v>
      </c>
      <c r="K12" s="51" t="s">
        <v>32</v>
      </c>
      <c r="L12" s="51" t="s">
        <v>26</v>
      </c>
      <c r="M12" s="53">
        <v>627.48</v>
      </c>
      <c r="N12" s="54">
        <v>756</v>
      </c>
      <c r="O12" s="55">
        <v>0.21</v>
      </c>
      <c r="P12" s="56">
        <v>12.6</v>
      </c>
      <c r="Q12" s="51">
        <v>222.8</v>
      </c>
      <c r="R12" s="51">
        <v>1</v>
      </c>
      <c r="S12" s="51">
        <v>850</v>
      </c>
      <c r="T12" s="53">
        <v>0.83</v>
      </c>
      <c r="U12" s="51">
        <v>20</v>
      </c>
      <c r="V12" s="55">
        <v>2.35E-2</v>
      </c>
      <c r="W12" s="51" t="s">
        <v>28</v>
      </c>
      <c r="X12" s="51" t="s">
        <v>27</v>
      </c>
      <c r="Y12" s="51" t="s">
        <v>28</v>
      </c>
      <c r="Z12" s="51" t="s">
        <v>26</v>
      </c>
      <c r="AA12" s="51" t="s">
        <v>26</v>
      </c>
      <c r="AB12" s="51" t="s">
        <v>37</v>
      </c>
      <c r="AC12" s="51" t="s">
        <v>293</v>
      </c>
    </row>
    <row r="13" spans="1:29" s="12" customFormat="1" ht="25.05" customHeight="1" x14ac:dyDescent="0.3">
      <c r="A13" s="57" t="s">
        <v>26</v>
      </c>
      <c r="B13" s="57" t="s">
        <v>26</v>
      </c>
      <c r="C13" s="57" t="s">
        <v>26</v>
      </c>
      <c r="D13" s="57" t="s">
        <v>26</v>
      </c>
      <c r="E13" s="57" t="s">
        <v>26</v>
      </c>
      <c r="F13" s="57" t="s">
        <v>26</v>
      </c>
      <c r="G13" s="57">
        <v>10900</v>
      </c>
      <c r="H13" s="57" t="s">
        <v>26</v>
      </c>
      <c r="I13" s="57" t="s">
        <v>26</v>
      </c>
      <c r="J13" s="57" t="s">
        <v>26</v>
      </c>
      <c r="K13" s="57" t="s">
        <v>26</v>
      </c>
      <c r="L13" s="57" t="s">
        <v>26</v>
      </c>
      <c r="M13" s="57" t="s">
        <v>26</v>
      </c>
      <c r="N13" s="57" t="s">
        <v>26</v>
      </c>
      <c r="O13" s="57" t="s">
        <v>26</v>
      </c>
      <c r="P13" s="57" t="s">
        <v>26</v>
      </c>
      <c r="Q13" s="57">
        <v>5901.8</v>
      </c>
      <c r="R13" s="57" t="s">
        <v>26</v>
      </c>
      <c r="S13" s="57" t="s">
        <v>26</v>
      </c>
      <c r="T13" s="57" t="s">
        <v>26</v>
      </c>
      <c r="U13" s="57" t="s">
        <v>26</v>
      </c>
      <c r="V13" s="57" t="s">
        <v>26</v>
      </c>
      <c r="W13" s="57" t="s">
        <v>26</v>
      </c>
      <c r="X13" s="57" t="s">
        <v>26</v>
      </c>
      <c r="Y13" s="57" t="s">
        <v>26</v>
      </c>
      <c r="Z13" s="57" t="s">
        <v>26</v>
      </c>
      <c r="AA13" s="57" t="s">
        <v>26</v>
      </c>
      <c r="AB13" s="57" t="s">
        <v>26</v>
      </c>
      <c r="AC13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M10" sqref="AM10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1" t="s">
        <v>292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42" customHeight="1" x14ac:dyDescent="0.3">
      <c r="A2" s="80" t="s">
        <v>0</v>
      </c>
      <c r="B2" s="80" t="s">
        <v>35</v>
      </c>
      <c r="C2" s="80" t="s">
        <v>1</v>
      </c>
      <c r="D2" s="80" t="s">
        <v>2</v>
      </c>
      <c r="E2" s="80" t="s">
        <v>45</v>
      </c>
      <c r="F2" s="80" t="s">
        <v>3</v>
      </c>
      <c r="G2" s="80" t="s">
        <v>4</v>
      </c>
      <c r="H2" s="80" t="s">
        <v>5</v>
      </c>
      <c r="I2" s="80" t="s">
        <v>6</v>
      </c>
      <c r="J2" s="80" t="s">
        <v>26</v>
      </c>
      <c r="K2" s="80" t="s">
        <v>7</v>
      </c>
      <c r="L2" s="80" t="s">
        <v>26</v>
      </c>
      <c r="M2" s="80" t="s">
        <v>8</v>
      </c>
      <c r="N2" s="80" t="s">
        <v>9</v>
      </c>
      <c r="O2" s="80" t="s">
        <v>10</v>
      </c>
      <c r="P2" s="80" t="s">
        <v>11</v>
      </c>
      <c r="Q2" s="80" t="s">
        <v>12</v>
      </c>
      <c r="R2" s="80" t="s">
        <v>13</v>
      </c>
      <c r="S2" s="80" t="s">
        <v>14</v>
      </c>
      <c r="T2" s="80" t="s">
        <v>15</v>
      </c>
      <c r="U2" s="80" t="s">
        <v>16</v>
      </c>
      <c r="V2" s="80" t="s">
        <v>17</v>
      </c>
      <c r="W2" s="80" t="s">
        <v>18</v>
      </c>
      <c r="X2" s="80" t="s">
        <v>19</v>
      </c>
      <c r="Y2" s="80" t="s">
        <v>20</v>
      </c>
      <c r="Z2" s="80" t="s">
        <v>21</v>
      </c>
      <c r="AA2" s="80" t="s">
        <v>22</v>
      </c>
      <c r="AB2" s="80" t="s">
        <v>23</v>
      </c>
      <c r="AC2" s="80" t="s">
        <v>24</v>
      </c>
    </row>
    <row r="3" spans="1:29" s="2" customFormat="1" ht="25.05" customHeight="1" x14ac:dyDescent="0.3">
      <c r="A3" s="67"/>
      <c r="B3" s="72" t="s">
        <v>125</v>
      </c>
      <c r="C3" s="67" t="s">
        <v>41</v>
      </c>
      <c r="D3" s="67" t="s">
        <v>98</v>
      </c>
      <c r="E3" s="67">
        <v>263136</v>
      </c>
      <c r="F3" s="67" t="s">
        <v>290</v>
      </c>
      <c r="G3" s="67">
        <v>400</v>
      </c>
      <c r="H3" s="69">
        <v>1.24</v>
      </c>
      <c r="I3" s="69">
        <v>1.45</v>
      </c>
      <c r="J3" s="67" t="s">
        <v>26</v>
      </c>
      <c r="K3" s="67" t="s">
        <v>32</v>
      </c>
      <c r="L3" s="67" t="s">
        <v>26</v>
      </c>
      <c r="M3" s="69">
        <v>719.2</v>
      </c>
      <c r="N3" s="71">
        <v>580</v>
      </c>
      <c r="O3" s="68">
        <v>0.16109999999999999</v>
      </c>
      <c r="P3" s="70">
        <v>9.67</v>
      </c>
      <c r="Q3" s="67">
        <v>408.5</v>
      </c>
      <c r="R3" s="67">
        <v>1</v>
      </c>
      <c r="S3" s="67">
        <v>1300</v>
      </c>
      <c r="T3" s="69">
        <v>1.24</v>
      </c>
      <c r="U3" s="67">
        <v>60</v>
      </c>
      <c r="V3" s="68">
        <v>4.6199999999999998E-2</v>
      </c>
      <c r="W3" s="67" t="s">
        <v>33</v>
      </c>
      <c r="X3" s="67" t="s">
        <v>38</v>
      </c>
      <c r="Y3" s="67" t="s">
        <v>33</v>
      </c>
      <c r="Z3" s="67" t="s">
        <v>33</v>
      </c>
      <c r="AA3" s="67" t="s">
        <v>33</v>
      </c>
      <c r="AB3" s="67" t="s">
        <v>29</v>
      </c>
      <c r="AC3" s="67" t="s">
        <v>291</v>
      </c>
    </row>
    <row r="4" spans="1:29" s="73" customFormat="1" ht="25.05" customHeight="1" x14ac:dyDescent="0.3">
      <c r="A4" s="74"/>
      <c r="B4" s="79" t="s">
        <v>125</v>
      </c>
      <c r="C4" s="74" t="s">
        <v>41</v>
      </c>
      <c r="D4" s="74" t="s">
        <v>98</v>
      </c>
      <c r="E4" s="74">
        <v>263009</v>
      </c>
      <c r="F4" s="74">
        <v>1410</v>
      </c>
      <c r="G4" s="74">
        <v>1395</v>
      </c>
      <c r="H4" s="76">
        <v>0.879</v>
      </c>
      <c r="I4" s="76">
        <v>1.48</v>
      </c>
      <c r="J4" s="74" t="s">
        <v>26</v>
      </c>
      <c r="K4" s="74" t="s">
        <v>68</v>
      </c>
      <c r="L4" s="74" t="s">
        <v>26</v>
      </c>
      <c r="M4" s="76">
        <v>1814.7829999999999</v>
      </c>
      <c r="N4" s="78">
        <v>2064.6</v>
      </c>
      <c r="O4" s="75">
        <v>0.57350000000000001</v>
      </c>
      <c r="P4" s="77">
        <v>34.409999999999997</v>
      </c>
      <c r="Q4" s="74">
        <v>1030.8</v>
      </c>
      <c r="R4" s="74">
        <v>1</v>
      </c>
      <c r="S4" s="74">
        <v>900</v>
      </c>
      <c r="T4" s="76">
        <v>0.879</v>
      </c>
      <c r="U4" s="74">
        <v>21</v>
      </c>
      <c r="V4" s="75">
        <v>2.3300000000000001E-2</v>
      </c>
      <c r="W4" s="74" t="s">
        <v>33</v>
      </c>
      <c r="X4" s="74" t="s">
        <v>38</v>
      </c>
      <c r="Y4" s="74" t="s">
        <v>33</v>
      </c>
      <c r="Z4" s="74" t="s">
        <v>33</v>
      </c>
      <c r="AA4" s="74" t="s">
        <v>33</v>
      </c>
      <c r="AB4" s="74" t="s">
        <v>44</v>
      </c>
      <c r="AC4" s="74" t="s">
        <v>67</v>
      </c>
    </row>
    <row r="5" spans="1:29" s="2" customFormat="1" ht="25.05" customHeight="1" x14ac:dyDescent="0.3">
      <c r="A5" s="67"/>
      <c r="B5" s="72" t="s">
        <v>125</v>
      </c>
      <c r="C5" s="67" t="s">
        <v>41</v>
      </c>
      <c r="D5" s="67" t="s">
        <v>98</v>
      </c>
      <c r="E5" s="67">
        <v>263135</v>
      </c>
      <c r="F5" s="67" t="s">
        <v>290</v>
      </c>
      <c r="G5" s="67">
        <v>770</v>
      </c>
      <c r="H5" s="69">
        <v>0.79900000000000004</v>
      </c>
      <c r="I5" s="69">
        <v>1.0900000000000001</v>
      </c>
      <c r="J5" s="67" t="s">
        <v>26</v>
      </c>
      <c r="K5" s="67" t="s">
        <v>124</v>
      </c>
      <c r="L5" s="67" t="s">
        <v>26</v>
      </c>
      <c r="M5" s="69">
        <v>670.601</v>
      </c>
      <c r="N5" s="71">
        <v>839.3</v>
      </c>
      <c r="O5" s="68">
        <v>0.2331</v>
      </c>
      <c r="P5" s="70">
        <v>13.99</v>
      </c>
      <c r="Q5" s="67">
        <v>380.9</v>
      </c>
      <c r="R5" s="67">
        <v>1</v>
      </c>
      <c r="S5" s="67">
        <v>850</v>
      </c>
      <c r="T5" s="69">
        <v>0.79900000000000004</v>
      </c>
      <c r="U5" s="67">
        <v>51</v>
      </c>
      <c r="V5" s="68">
        <v>0.06</v>
      </c>
      <c r="W5" s="67" t="s">
        <v>33</v>
      </c>
      <c r="X5" s="67" t="s">
        <v>38</v>
      </c>
      <c r="Y5" s="67" t="s">
        <v>33</v>
      </c>
      <c r="Z5" s="67" t="s">
        <v>33</v>
      </c>
      <c r="AA5" s="67" t="s">
        <v>33</v>
      </c>
      <c r="AB5" s="67" t="s">
        <v>31</v>
      </c>
      <c r="AC5" s="67" t="s">
        <v>123</v>
      </c>
    </row>
    <row r="6" spans="1:29" s="2" customFormat="1" ht="25.05" customHeight="1" x14ac:dyDescent="0.3">
      <c r="A6" s="67"/>
      <c r="B6" s="72" t="s">
        <v>125</v>
      </c>
      <c r="C6" s="67" t="s">
        <v>254</v>
      </c>
      <c r="D6" s="67" t="s">
        <v>98</v>
      </c>
      <c r="E6" s="67">
        <v>263137</v>
      </c>
      <c r="F6" s="67" t="s">
        <v>290</v>
      </c>
      <c r="G6" s="67">
        <v>3300</v>
      </c>
      <c r="H6" s="69">
        <v>0.53900000000000003</v>
      </c>
      <c r="I6" s="69">
        <v>1.05</v>
      </c>
      <c r="J6" s="67" t="s">
        <v>26</v>
      </c>
      <c r="K6" s="67" t="s">
        <v>289</v>
      </c>
      <c r="L6" s="67" t="s">
        <v>26</v>
      </c>
      <c r="M6" s="69">
        <v>1867.635</v>
      </c>
      <c r="N6" s="71">
        <v>1732.5</v>
      </c>
      <c r="O6" s="68">
        <v>0.24060000000000001</v>
      </c>
      <c r="P6" s="70">
        <v>14.44</v>
      </c>
      <c r="Q6" s="67">
        <v>763.9</v>
      </c>
      <c r="R6" s="67">
        <v>2</v>
      </c>
      <c r="S6" s="67">
        <v>1100</v>
      </c>
      <c r="T6" s="69">
        <v>1.0780000000000001</v>
      </c>
      <c r="U6" s="67">
        <v>22</v>
      </c>
      <c r="V6" s="68">
        <v>0.02</v>
      </c>
      <c r="W6" s="67" t="s">
        <v>38</v>
      </c>
      <c r="X6" s="67" t="s">
        <v>38</v>
      </c>
      <c r="Y6" s="67" t="s">
        <v>28</v>
      </c>
      <c r="Z6" s="67" t="s">
        <v>26</v>
      </c>
      <c r="AA6" s="67" t="s">
        <v>26</v>
      </c>
      <c r="AB6" s="67" t="s">
        <v>29</v>
      </c>
      <c r="AC6" s="67" t="s">
        <v>288</v>
      </c>
    </row>
    <row r="7" spans="1:29" s="2" customFormat="1" ht="25.05" customHeight="1" x14ac:dyDescent="0.3">
      <c r="A7" s="66" t="s">
        <v>26</v>
      </c>
      <c r="B7" s="66" t="s">
        <v>26</v>
      </c>
      <c r="C7" s="66" t="s">
        <v>26</v>
      </c>
      <c r="D7" s="66" t="s">
        <v>26</v>
      </c>
      <c r="E7" s="66" t="s">
        <v>26</v>
      </c>
      <c r="F7" s="66" t="s">
        <v>26</v>
      </c>
      <c r="G7" s="66">
        <f>SUM(G3:G6)</f>
        <v>5865</v>
      </c>
      <c r="H7" s="66" t="s">
        <v>26</v>
      </c>
      <c r="I7" s="66" t="s">
        <v>26</v>
      </c>
      <c r="J7" s="66" t="s">
        <v>26</v>
      </c>
      <c r="K7" s="66" t="s">
        <v>26</v>
      </c>
      <c r="L7" s="66" t="s">
        <v>26</v>
      </c>
      <c r="M7" s="66" t="s">
        <v>26</v>
      </c>
      <c r="N7" s="66" t="s">
        <v>26</v>
      </c>
      <c r="O7" s="66" t="s">
        <v>26</v>
      </c>
      <c r="P7" s="66" t="s">
        <v>26</v>
      </c>
      <c r="Q7" s="66">
        <f>SUM(Q3:Q6)</f>
        <v>2584.1</v>
      </c>
      <c r="R7" s="66" t="s">
        <v>26</v>
      </c>
      <c r="S7" s="66" t="s">
        <v>26</v>
      </c>
      <c r="T7" s="66" t="s">
        <v>26</v>
      </c>
      <c r="U7" s="66" t="s">
        <v>26</v>
      </c>
      <c r="V7" s="66" t="s">
        <v>26</v>
      </c>
      <c r="W7" s="66" t="s">
        <v>26</v>
      </c>
      <c r="X7" s="66" t="s">
        <v>26</v>
      </c>
      <c r="Y7" s="66" t="s">
        <v>26</v>
      </c>
      <c r="Z7" s="66" t="s">
        <v>26</v>
      </c>
      <c r="AA7" s="66" t="s">
        <v>26</v>
      </c>
      <c r="AB7" s="66" t="s">
        <v>26</v>
      </c>
      <c r="AC7" s="66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6"/>
  <sheetViews>
    <sheetView workbookViewId="0">
      <selection activeCell="AD24" sqref="AD24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9" t="s">
        <v>277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9" t="s">
        <v>270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1"/>
  <sheetViews>
    <sheetView tabSelected="1" workbookViewId="0">
      <selection activeCell="S20" sqref="S20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11.6640625" style="4" customWidth="1"/>
    <col min="30" max="16384" width="8.88671875" style="4"/>
  </cols>
  <sheetData>
    <row r="1" spans="1:29" ht="18" customHeight="1" x14ac:dyDescent="0.35">
      <c r="A1" s="59" t="s">
        <v>268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20" customFormat="1" ht="25.05" customHeight="1" x14ac:dyDescent="0.3">
      <c r="A3" s="51"/>
      <c r="B3" s="52" t="s">
        <v>264</v>
      </c>
      <c r="C3" s="51" t="s">
        <v>25</v>
      </c>
      <c r="D3" s="51" t="s">
        <v>247</v>
      </c>
      <c r="E3" s="51">
        <v>263124</v>
      </c>
      <c r="F3" s="51" t="s">
        <v>267</v>
      </c>
      <c r="G3" s="51">
        <v>300</v>
      </c>
      <c r="H3" s="53">
        <v>0.39800000000000002</v>
      </c>
      <c r="I3" s="53">
        <v>1.524</v>
      </c>
      <c r="J3" s="51" t="s">
        <v>26</v>
      </c>
      <c r="K3" s="51" t="s">
        <v>266</v>
      </c>
      <c r="L3" s="51" t="s">
        <v>26</v>
      </c>
      <c r="M3" s="53">
        <v>181.96600000000001</v>
      </c>
      <c r="N3" s="54">
        <v>152.4</v>
      </c>
      <c r="O3" s="55">
        <v>1.41E-2</v>
      </c>
      <c r="P3" s="56">
        <v>0.85</v>
      </c>
      <c r="Q3" s="51">
        <v>97.9</v>
      </c>
      <c r="R3" s="51">
        <v>3</v>
      </c>
      <c r="S3" s="51">
        <v>1250</v>
      </c>
      <c r="T3" s="53">
        <v>1.194</v>
      </c>
      <c r="U3" s="51">
        <v>56</v>
      </c>
      <c r="V3" s="55">
        <v>4.48E-2</v>
      </c>
      <c r="W3" s="51" t="s">
        <v>27</v>
      </c>
      <c r="X3" s="51" t="s">
        <v>28</v>
      </c>
      <c r="Y3" s="51" t="s">
        <v>27</v>
      </c>
      <c r="Z3" s="51" t="s">
        <v>27</v>
      </c>
      <c r="AA3" s="51" t="s">
        <v>27</v>
      </c>
      <c r="AB3" s="51" t="s">
        <v>37</v>
      </c>
      <c r="AC3" s="51" t="s">
        <v>265</v>
      </c>
    </row>
    <row r="4" spans="1:29" s="20" customFormat="1" ht="25.05" customHeight="1" x14ac:dyDescent="0.3">
      <c r="A4" s="14"/>
      <c r="B4" s="15" t="s">
        <v>264</v>
      </c>
      <c r="C4" s="15" t="s">
        <v>34</v>
      </c>
      <c r="D4" s="15" t="s">
        <v>247</v>
      </c>
      <c r="E4" s="14">
        <v>263131</v>
      </c>
      <c r="F4" s="15" t="s">
        <v>278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280</v>
      </c>
    </row>
    <row r="5" spans="1:29" s="20" customFormat="1" ht="25.05" customHeight="1" x14ac:dyDescent="0.3">
      <c r="A5" s="14"/>
      <c r="B5" s="15" t="s">
        <v>264</v>
      </c>
      <c r="C5" s="15" t="s">
        <v>34</v>
      </c>
      <c r="D5" s="15" t="s">
        <v>282</v>
      </c>
      <c r="E5" s="14">
        <v>263148</v>
      </c>
      <c r="F5" s="15" t="s">
        <v>314</v>
      </c>
      <c r="G5" s="14">
        <v>1000</v>
      </c>
      <c r="H5" s="16">
        <v>0.69</v>
      </c>
      <c r="I5" s="16">
        <v>1.08</v>
      </c>
      <c r="J5" s="14"/>
      <c r="K5" s="15" t="s">
        <v>32</v>
      </c>
      <c r="L5" s="14"/>
      <c r="M5" s="16">
        <v>745.2</v>
      </c>
      <c r="N5" s="17">
        <v>540</v>
      </c>
      <c r="O5" s="18">
        <v>7.4999999999999997E-2</v>
      </c>
      <c r="P5" s="19">
        <v>4.5</v>
      </c>
      <c r="Q5" s="14">
        <v>238.5</v>
      </c>
      <c r="R5" s="14">
        <v>2</v>
      </c>
      <c r="S5" s="14">
        <v>1400</v>
      </c>
      <c r="T5" s="16">
        <v>1.38</v>
      </c>
      <c r="U5" s="14">
        <v>20</v>
      </c>
      <c r="V5" s="18">
        <v>1.43E-2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315</v>
      </c>
    </row>
    <row r="6" spans="1:29" s="20" customFormat="1" ht="25.05" customHeight="1" x14ac:dyDescent="0.3">
      <c r="A6" s="14"/>
      <c r="B6" s="15" t="s">
        <v>264</v>
      </c>
      <c r="C6" s="15" t="s">
        <v>34</v>
      </c>
      <c r="D6" s="15" t="s">
        <v>282</v>
      </c>
      <c r="E6" s="14">
        <v>263134</v>
      </c>
      <c r="F6" s="15" t="s">
        <v>283</v>
      </c>
      <c r="G6" s="14">
        <v>1800</v>
      </c>
      <c r="H6" s="16">
        <v>0.309</v>
      </c>
      <c r="I6" s="16">
        <v>0.96199999999999997</v>
      </c>
      <c r="J6" s="14"/>
      <c r="K6" s="15" t="s">
        <v>286</v>
      </c>
      <c r="L6" s="14"/>
      <c r="M6" s="16">
        <v>535.06399999999996</v>
      </c>
      <c r="N6" s="17">
        <v>432.9</v>
      </c>
      <c r="O6" s="18">
        <v>3.0099999999999998E-2</v>
      </c>
      <c r="P6" s="19">
        <v>1.8</v>
      </c>
      <c r="Q6" s="14">
        <v>171.2</v>
      </c>
      <c r="R6" s="14">
        <v>4</v>
      </c>
      <c r="S6" s="14">
        <v>1300</v>
      </c>
      <c r="T6" s="16">
        <v>1.236</v>
      </c>
      <c r="U6" s="14">
        <v>64</v>
      </c>
      <c r="V6" s="18">
        <v>4.9200000000000001E-2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287</v>
      </c>
    </row>
    <row r="7" spans="1:29" s="20" customFormat="1" ht="25.05" customHeight="1" x14ac:dyDescent="0.3">
      <c r="A7" s="14"/>
      <c r="B7" s="15" t="s">
        <v>264</v>
      </c>
      <c r="C7" s="15" t="s">
        <v>34</v>
      </c>
      <c r="D7" s="15" t="s">
        <v>247</v>
      </c>
      <c r="E7" s="14">
        <v>263132</v>
      </c>
      <c r="F7" s="15" t="s">
        <v>278</v>
      </c>
      <c r="G7" s="14">
        <v>880</v>
      </c>
      <c r="H7" s="16">
        <v>0.63</v>
      </c>
      <c r="I7" s="16">
        <v>1</v>
      </c>
      <c r="J7" s="14"/>
      <c r="K7" s="15" t="s">
        <v>32</v>
      </c>
      <c r="L7" s="14"/>
      <c r="M7" s="16">
        <v>554.4</v>
      </c>
      <c r="N7" s="17">
        <v>440</v>
      </c>
      <c r="O7" s="18">
        <v>6.1100000000000002E-2</v>
      </c>
      <c r="P7" s="19">
        <v>3.67</v>
      </c>
      <c r="Q7" s="14">
        <v>177.4</v>
      </c>
      <c r="R7" s="14">
        <v>2</v>
      </c>
      <c r="S7" s="14">
        <v>1300</v>
      </c>
      <c r="T7" s="16">
        <v>1.26</v>
      </c>
      <c r="U7" s="14">
        <v>40</v>
      </c>
      <c r="V7" s="18">
        <v>3.0800000000000001E-2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37</v>
      </c>
      <c r="AC7" s="15" t="s">
        <v>281</v>
      </c>
    </row>
    <row r="8" spans="1:29" s="20" customFormat="1" ht="25.05" customHeight="1" x14ac:dyDescent="0.3">
      <c r="A8" s="14"/>
      <c r="B8" s="15" t="s">
        <v>264</v>
      </c>
      <c r="C8" s="15" t="s">
        <v>34</v>
      </c>
      <c r="D8" s="15" t="s">
        <v>282</v>
      </c>
      <c r="E8" s="14">
        <v>263133</v>
      </c>
      <c r="F8" s="15" t="s">
        <v>283</v>
      </c>
      <c r="G8" s="14">
        <v>1000</v>
      </c>
      <c r="H8" s="16">
        <v>0.40899999999999997</v>
      </c>
      <c r="I8" s="16">
        <v>1.262</v>
      </c>
      <c r="J8" s="14"/>
      <c r="K8" s="15" t="s">
        <v>284</v>
      </c>
      <c r="L8" s="14"/>
      <c r="M8" s="16">
        <v>516.15800000000002</v>
      </c>
      <c r="N8" s="17">
        <v>420.7</v>
      </c>
      <c r="O8" s="18">
        <v>3.9E-2</v>
      </c>
      <c r="P8" s="19">
        <v>2.34</v>
      </c>
      <c r="Q8" s="14">
        <v>165.2</v>
      </c>
      <c r="R8" s="14">
        <v>3</v>
      </c>
      <c r="S8" s="14">
        <v>1250</v>
      </c>
      <c r="T8" s="16">
        <v>1.2270000000000001</v>
      </c>
      <c r="U8" s="14">
        <v>23</v>
      </c>
      <c r="V8" s="18">
        <v>1.84E-2</v>
      </c>
      <c r="W8" s="15" t="s">
        <v>27</v>
      </c>
      <c r="X8" s="15" t="s">
        <v>27</v>
      </c>
      <c r="Y8" s="15" t="s">
        <v>27</v>
      </c>
      <c r="Z8" s="15"/>
      <c r="AA8" s="15"/>
      <c r="AB8" s="15" t="s">
        <v>31</v>
      </c>
      <c r="AC8" s="15" t="s">
        <v>285</v>
      </c>
    </row>
    <row r="9" spans="1:29" s="20" customFormat="1" ht="25.05" customHeight="1" x14ac:dyDescent="0.3">
      <c r="A9" s="14"/>
      <c r="B9" s="15" t="s">
        <v>264</v>
      </c>
      <c r="C9" s="15" t="s">
        <v>34</v>
      </c>
      <c r="D9" s="15" t="s">
        <v>247</v>
      </c>
      <c r="E9" s="14">
        <v>263130</v>
      </c>
      <c r="F9" s="15" t="s">
        <v>278</v>
      </c>
      <c r="G9" s="14">
        <v>1070</v>
      </c>
      <c r="H9" s="16">
        <v>0.6</v>
      </c>
      <c r="I9" s="16">
        <v>1.02</v>
      </c>
      <c r="J9" s="14"/>
      <c r="K9" s="15" t="s">
        <v>32</v>
      </c>
      <c r="L9" s="14"/>
      <c r="M9" s="16">
        <v>654.84</v>
      </c>
      <c r="N9" s="17">
        <v>545.70000000000005</v>
      </c>
      <c r="O9" s="18">
        <v>7.5800000000000006E-2</v>
      </c>
      <c r="P9" s="19">
        <v>4.55</v>
      </c>
      <c r="Q9" s="14">
        <v>209.5</v>
      </c>
      <c r="R9" s="14">
        <v>2</v>
      </c>
      <c r="S9" s="14">
        <v>1250</v>
      </c>
      <c r="T9" s="16">
        <v>1.2</v>
      </c>
      <c r="U9" s="14">
        <v>50</v>
      </c>
      <c r="V9" s="18">
        <v>0.04</v>
      </c>
      <c r="W9" s="15" t="s">
        <v>27</v>
      </c>
      <c r="X9" s="15" t="s">
        <v>27</v>
      </c>
      <c r="Y9" s="15" t="s">
        <v>27</v>
      </c>
      <c r="Z9" s="15"/>
      <c r="AA9" s="15"/>
      <c r="AB9" s="15" t="s">
        <v>37</v>
      </c>
      <c r="AC9" s="15" t="s">
        <v>279</v>
      </c>
    </row>
    <row r="10" spans="1:29" s="20" customFormat="1" ht="25.05" customHeight="1" x14ac:dyDescent="0.3">
      <c r="A10" s="51"/>
      <c r="B10" s="52" t="s">
        <v>264</v>
      </c>
      <c r="C10" s="51" t="s">
        <v>263</v>
      </c>
      <c r="D10" s="51" t="s">
        <v>247</v>
      </c>
      <c r="E10" s="51">
        <v>263125</v>
      </c>
      <c r="F10" s="51" t="s">
        <v>262</v>
      </c>
      <c r="G10" s="51">
        <v>3500</v>
      </c>
      <c r="H10" s="53">
        <v>0.30499999999999999</v>
      </c>
      <c r="I10" s="53">
        <v>0.88</v>
      </c>
      <c r="J10" s="51" t="s">
        <v>26</v>
      </c>
      <c r="K10" s="51" t="s">
        <v>261</v>
      </c>
      <c r="L10" s="51" t="s">
        <v>26</v>
      </c>
      <c r="M10" s="53">
        <v>939.4</v>
      </c>
      <c r="N10" s="54">
        <v>770</v>
      </c>
      <c r="O10" s="55">
        <v>5.3499999999999999E-2</v>
      </c>
      <c r="P10" s="56">
        <v>3.21</v>
      </c>
      <c r="Q10" s="51">
        <v>364.5</v>
      </c>
      <c r="R10" s="51">
        <v>4</v>
      </c>
      <c r="S10" s="51">
        <v>1250</v>
      </c>
      <c r="T10" s="53">
        <v>1.22</v>
      </c>
      <c r="U10" s="51">
        <v>30</v>
      </c>
      <c r="V10" s="55">
        <v>2.4E-2</v>
      </c>
      <c r="W10" s="51" t="s">
        <v>38</v>
      </c>
      <c r="X10" s="51" t="s">
        <v>28</v>
      </c>
      <c r="Y10" s="51" t="s">
        <v>28</v>
      </c>
      <c r="Z10" s="51" t="s">
        <v>26</v>
      </c>
      <c r="AA10" s="51" t="s">
        <v>26</v>
      </c>
      <c r="AB10" s="51" t="s">
        <v>31</v>
      </c>
      <c r="AC10" s="51" t="s">
        <v>260</v>
      </c>
    </row>
    <row r="11" spans="1:29" s="65" customFormat="1" ht="25.05" customHeight="1" x14ac:dyDescent="0.3">
      <c r="A11" s="63" t="s">
        <v>26</v>
      </c>
      <c r="B11" s="63" t="s">
        <v>26</v>
      </c>
      <c r="C11" s="63" t="s">
        <v>26</v>
      </c>
      <c r="D11" s="63" t="s">
        <v>26</v>
      </c>
      <c r="E11" s="63" t="s">
        <v>26</v>
      </c>
      <c r="F11" s="63" t="s">
        <v>26</v>
      </c>
      <c r="G11" s="63">
        <f>SUM(G3:G10)</f>
        <v>10560</v>
      </c>
      <c r="H11" s="63" t="s">
        <v>26</v>
      </c>
      <c r="I11" s="63" t="s">
        <v>26</v>
      </c>
      <c r="J11" s="63" t="s">
        <v>26</v>
      </c>
      <c r="K11" s="63" t="s">
        <v>26</v>
      </c>
      <c r="L11" s="63" t="s">
        <v>26</v>
      </c>
      <c r="M11" s="64" t="s">
        <v>26</v>
      </c>
      <c r="N11" s="64" t="s">
        <v>26</v>
      </c>
      <c r="O11" s="64" t="s">
        <v>26</v>
      </c>
      <c r="P11" s="64" t="s">
        <v>26</v>
      </c>
      <c r="Q11" s="64">
        <f>SUM(Q3:Q10)</f>
        <v>1647.1999999999998</v>
      </c>
      <c r="R11" s="64" t="s">
        <v>26</v>
      </c>
      <c r="S11" s="64" t="s">
        <v>26</v>
      </c>
      <c r="T11" s="64" t="s">
        <v>26</v>
      </c>
      <c r="U11" s="64" t="s">
        <v>26</v>
      </c>
      <c r="V11" s="64" t="s">
        <v>26</v>
      </c>
      <c r="W11" s="64" t="s">
        <v>26</v>
      </c>
      <c r="X11" s="64" t="s">
        <v>26</v>
      </c>
      <c r="Y11" s="64" t="s">
        <v>26</v>
      </c>
      <c r="Z11" s="64" t="s">
        <v>26</v>
      </c>
      <c r="AA11" s="64" t="s">
        <v>26</v>
      </c>
      <c r="AB11" s="64" t="s">
        <v>26</v>
      </c>
      <c r="AC11" s="64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9" t="s">
        <v>253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0" t="s">
        <v>238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1"/>
      <c r="B4" s="52" t="s">
        <v>231</v>
      </c>
      <c r="C4" s="51" t="s">
        <v>25</v>
      </c>
      <c r="D4" s="51" t="s">
        <v>144</v>
      </c>
      <c r="E4" s="51">
        <v>263109</v>
      </c>
      <c r="F4" s="51" t="s">
        <v>235</v>
      </c>
      <c r="G4" s="51">
        <v>1100</v>
      </c>
      <c r="H4" s="53">
        <v>0.58499999999999996</v>
      </c>
      <c r="I4" s="53">
        <v>1.268</v>
      </c>
      <c r="J4" s="51" t="s">
        <v>26</v>
      </c>
      <c r="K4" s="51" t="s">
        <v>237</v>
      </c>
      <c r="L4" s="51" t="s">
        <v>26</v>
      </c>
      <c r="M4" s="53">
        <v>815.95799999999997</v>
      </c>
      <c r="N4" s="54">
        <v>697.4</v>
      </c>
      <c r="O4" s="55">
        <v>9.69E-2</v>
      </c>
      <c r="P4" s="56">
        <v>5.81</v>
      </c>
      <c r="Q4" s="51">
        <v>439</v>
      </c>
      <c r="R4" s="51">
        <v>2</v>
      </c>
      <c r="S4" s="51">
        <v>1200</v>
      </c>
      <c r="T4" s="53">
        <v>1.17</v>
      </c>
      <c r="U4" s="51">
        <v>30</v>
      </c>
      <c r="V4" s="55">
        <v>2.5000000000000001E-2</v>
      </c>
      <c r="W4" s="51" t="s">
        <v>27</v>
      </c>
      <c r="X4" s="51" t="s">
        <v>28</v>
      </c>
      <c r="Y4" s="51" t="s">
        <v>27</v>
      </c>
      <c r="Z4" s="51" t="s">
        <v>27</v>
      </c>
      <c r="AA4" s="51" t="s">
        <v>27</v>
      </c>
      <c r="AB4" s="51" t="s">
        <v>29</v>
      </c>
      <c r="AC4" s="51" t="s">
        <v>236</v>
      </c>
    </row>
    <row r="5" spans="1:29" ht="25.05" customHeight="1" x14ac:dyDescent="0.3">
      <c r="A5" s="51"/>
      <c r="B5" s="52" t="s">
        <v>231</v>
      </c>
      <c r="C5" s="51" t="s">
        <v>25</v>
      </c>
      <c r="D5" s="51" t="s">
        <v>144</v>
      </c>
      <c r="E5" s="51">
        <v>263108</v>
      </c>
      <c r="F5" s="51" t="s">
        <v>235</v>
      </c>
      <c r="G5" s="51">
        <v>310</v>
      </c>
      <c r="H5" s="53">
        <v>0.878</v>
      </c>
      <c r="I5" s="53">
        <v>1.99</v>
      </c>
      <c r="J5" s="51" t="s">
        <v>26</v>
      </c>
      <c r="K5" s="51" t="s">
        <v>234</v>
      </c>
      <c r="L5" s="51" t="s">
        <v>26</v>
      </c>
      <c r="M5" s="53">
        <v>541.63800000000003</v>
      </c>
      <c r="N5" s="54">
        <v>616.9</v>
      </c>
      <c r="O5" s="55">
        <v>0.1714</v>
      </c>
      <c r="P5" s="56">
        <v>10.28</v>
      </c>
      <c r="Q5" s="51">
        <v>291.39999999999998</v>
      </c>
      <c r="R5" s="51">
        <v>1</v>
      </c>
      <c r="S5" s="51">
        <v>900</v>
      </c>
      <c r="T5" s="53">
        <v>0.878</v>
      </c>
      <c r="U5" s="51">
        <v>22</v>
      </c>
      <c r="V5" s="55">
        <v>2.4400000000000002E-2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233</v>
      </c>
    </row>
    <row r="6" spans="1:29" ht="25.05" customHeight="1" x14ac:dyDescent="0.3">
      <c r="A6" s="51"/>
      <c r="B6" s="52" t="s">
        <v>231</v>
      </c>
      <c r="C6" s="51" t="s">
        <v>49</v>
      </c>
      <c r="D6" s="51" t="s">
        <v>144</v>
      </c>
      <c r="E6" s="51">
        <v>263110</v>
      </c>
      <c r="F6" s="51" t="s">
        <v>230</v>
      </c>
      <c r="G6" s="51">
        <v>360</v>
      </c>
      <c r="H6" s="53">
        <v>1.546</v>
      </c>
      <c r="I6" s="53">
        <v>1.788</v>
      </c>
      <c r="J6" s="51" t="s">
        <v>26</v>
      </c>
      <c r="K6" s="51" t="s">
        <v>32</v>
      </c>
      <c r="L6" s="51" t="s">
        <v>26</v>
      </c>
      <c r="M6" s="53">
        <v>995.12900000000002</v>
      </c>
      <c r="N6" s="54">
        <v>643.70000000000005</v>
      </c>
      <c r="O6" s="55">
        <v>0.17879999999999999</v>
      </c>
      <c r="P6" s="56">
        <v>10.73</v>
      </c>
      <c r="Q6" s="51">
        <v>328.4</v>
      </c>
      <c r="R6" s="51">
        <v>1</v>
      </c>
      <c r="S6" s="51">
        <v>1600</v>
      </c>
      <c r="T6" s="53">
        <v>1.546</v>
      </c>
      <c r="U6" s="51">
        <v>54</v>
      </c>
      <c r="V6" s="55">
        <v>3.3799999999999997E-2</v>
      </c>
      <c r="W6" s="51" t="s">
        <v>27</v>
      </c>
      <c r="X6" s="51" t="s">
        <v>27</v>
      </c>
      <c r="Y6" s="51" t="s">
        <v>27</v>
      </c>
      <c r="Z6" s="51" t="s">
        <v>26</v>
      </c>
      <c r="AA6" s="51" t="s">
        <v>26</v>
      </c>
      <c r="AB6" s="51" t="s">
        <v>31</v>
      </c>
      <c r="AC6" s="51" t="s">
        <v>232</v>
      </c>
    </row>
    <row r="7" spans="1:29" ht="25.05" customHeight="1" x14ac:dyDescent="0.3">
      <c r="A7" s="51"/>
      <c r="B7" s="52" t="s">
        <v>231</v>
      </c>
      <c r="C7" s="51" t="s">
        <v>49</v>
      </c>
      <c r="D7" s="51" t="s">
        <v>144</v>
      </c>
      <c r="E7" s="51">
        <v>263111</v>
      </c>
      <c r="F7" s="51" t="s">
        <v>230</v>
      </c>
      <c r="G7" s="51">
        <v>440</v>
      </c>
      <c r="H7" s="53">
        <v>0.98199999999999998</v>
      </c>
      <c r="I7" s="53">
        <v>2.2599999999999998</v>
      </c>
      <c r="J7" s="51" t="s">
        <v>26</v>
      </c>
      <c r="K7" s="51" t="s">
        <v>229</v>
      </c>
      <c r="L7" s="51" t="s">
        <v>26</v>
      </c>
      <c r="M7" s="53">
        <v>976.50099999999998</v>
      </c>
      <c r="N7" s="54">
        <v>994.4</v>
      </c>
      <c r="O7" s="55">
        <v>0.2762</v>
      </c>
      <c r="P7" s="56">
        <v>16.57</v>
      </c>
      <c r="Q7" s="51">
        <v>322.2</v>
      </c>
      <c r="R7" s="51">
        <v>1</v>
      </c>
      <c r="S7" s="51">
        <v>1050</v>
      </c>
      <c r="T7" s="53">
        <v>0.98199999999999998</v>
      </c>
      <c r="U7" s="51">
        <v>68</v>
      </c>
      <c r="V7" s="55">
        <v>6.4799999999999996E-2</v>
      </c>
      <c r="W7" s="51" t="s">
        <v>27</v>
      </c>
      <c r="X7" s="51" t="s">
        <v>27</v>
      </c>
      <c r="Y7" s="51" t="s">
        <v>27</v>
      </c>
      <c r="Z7" s="51" t="s">
        <v>26</v>
      </c>
      <c r="AA7" s="51" t="s">
        <v>26</v>
      </c>
      <c r="AB7" s="51" t="s">
        <v>31</v>
      </c>
      <c r="AC7" s="51" t="s">
        <v>228</v>
      </c>
    </row>
    <row r="8" spans="1:29" ht="25.05" customHeight="1" x14ac:dyDescent="0.3">
      <c r="A8" s="50" t="s">
        <v>26</v>
      </c>
      <c r="B8" s="50" t="s">
        <v>26</v>
      </c>
      <c r="C8" s="50" t="s">
        <v>26</v>
      </c>
      <c r="D8" s="50" t="s">
        <v>26</v>
      </c>
      <c r="E8" s="50" t="s">
        <v>26</v>
      </c>
      <c r="F8" s="50" t="s">
        <v>26</v>
      </c>
      <c r="G8" s="50">
        <f>SUM(G3:G7)</f>
        <v>2910</v>
      </c>
      <c r="H8" s="50" t="s">
        <v>26</v>
      </c>
      <c r="I8" s="50" t="s">
        <v>26</v>
      </c>
      <c r="J8" s="50" t="s">
        <v>26</v>
      </c>
      <c r="K8" s="50" t="s">
        <v>26</v>
      </c>
      <c r="L8" s="50" t="s">
        <v>26</v>
      </c>
      <c r="M8" s="50" t="s">
        <v>26</v>
      </c>
      <c r="N8" s="50" t="s">
        <v>26</v>
      </c>
      <c r="O8" s="50" t="s">
        <v>26</v>
      </c>
      <c r="P8" s="50" t="s">
        <v>26</v>
      </c>
      <c r="Q8" s="50">
        <f>SUM(Q3:Q7)</f>
        <v>1799.3999999999999</v>
      </c>
      <c r="R8" s="50" t="s">
        <v>26</v>
      </c>
      <c r="S8" s="50" t="s">
        <v>26</v>
      </c>
      <c r="T8" s="50" t="s">
        <v>26</v>
      </c>
      <c r="U8" s="50" t="s">
        <v>26</v>
      </c>
      <c r="V8" s="50" t="s">
        <v>26</v>
      </c>
      <c r="W8" s="50" t="s">
        <v>26</v>
      </c>
      <c r="X8" s="50" t="s">
        <v>26</v>
      </c>
      <c r="Y8" s="50" t="s">
        <v>26</v>
      </c>
      <c r="Z8" s="50" t="s">
        <v>26</v>
      </c>
      <c r="AA8" s="50" t="s">
        <v>26</v>
      </c>
      <c r="AB8" s="50" t="s">
        <v>26</v>
      </c>
      <c r="AC8" s="50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9" t="s">
        <v>227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200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5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1"/>
      <c r="B4" s="52" t="s">
        <v>122</v>
      </c>
      <c r="C4" s="51" t="s">
        <v>78</v>
      </c>
      <c r="D4" s="51" t="s">
        <v>185</v>
      </c>
      <c r="E4" s="51">
        <v>263083</v>
      </c>
      <c r="F4" s="51" t="s">
        <v>193</v>
      </c>
      <c r="G4" s="51">
        <v>200</v>
      </c>
      <c r="H4" s="53">
        <v>0.502</v>
      </c>
      <c r="I4" s="53">
        <v>1.2350000000000001</v>
      </c>
      <c r="J4" s="51" t="s">
        <v>26</v>
      </c>
      <c r="K4" s="51" t="s">
        <v>199</v>
      </c>
      <c r="L4" s="51" t="s">
        <v>26</v>
      </c>
      <c r="M4" s="53">
        <v>123.994</v>
      </c>
      <c r="N4" s="54">
        <v>82.3</v>
      </c>
      <c r="O4" s="55">
        <v>7.6E-3</v>
      </c>
      <c r="P4" s="56">
        <v>0.46</v>
      </c>
      <c r="Q4" s="51">
        <v>58.3</v>
      </c>
      <c r="R4" s="51">
        <v>3</v>
      </c>
      <c r="S4" s="51">
        <v>1550</v>
      </c>
      <c r="T4" s="53">
        <v>1.506</v>
      </c>
      <c r="U4" s="51">
        <v>44</v>
      </c>
      <c r="V4" s="55">
        <v>2.8400000000000002E-2</v>
      </c>
      <c r="W4" s="51" t="s">
        <v>77</v>
      </c>
      <c r="X4" s="51" t="s">
        <v>39</v>
      </c>
      <c r="Y4" s="51" t="s">
        <v>77</v>
      </c>
      <c r="Z4" s="51" t="s">
        <v>26</v>
      </c>
      <c r="AA4" s="51" t="s">
        <v>26</v>
      </c>
      <c r="AB4" s="51" t="s">
        <v>37</v>
      </c>
      <c r="AC4" s="51" t="s">
        <v>198</v>
      </c>
    </row>
    <row r="5" spans="1:29" s="12" customFormat="1" ht="25.05" customHeight="1" x14ac:dyDescent="0.3">
      <c r="A5" s="51"/>
      <c r="B5" s="52" t="s">
        <v>122</v>
      </c>
      <c r="C5" s="51" t="s">
        <v>78</v>
      </c>
      <c r="D5" s="51" t="s">
        <v>185</v>
      </c>
      <c r="E5" s="51">
        <v>263086</v>
      </c>
      <c r="F5" s="51" t="s">
        <v>193</v>
      </c>
      <c r="G5" s="51">
        <v>200</v>
      </c>
      <c r="H5" s="53">
        <v>0.69199999999999995</v>
      </c>
      <c r="I5" s="53">
        <v>1.835</v>
      </c>
      <c r="J5" s="51" t="s">
        <v>26</v>
      </c>
      <c r="K5" s="51" t="s">
        <v>197</v>
      </c>
      <c r="L5" s="51" t="s">
        <v>26</v>
      </c>
      <c r="M5" s="53">
        <v>253.964</v>
      </c>
      <c r="N5" s="54">
        <v>183.5</v>
      </c>
      <c r="O5" s="55">
        <v>2.5499999999999998E-2</v>
      </c>
      <c r="P5" s="56">
        <v>1.53</v>
      </c>
      <c r="Q5" s="51">
        <v>119.4</v>
      </c>
      <c r="R5" s="51">
        <v>2</v>
      </c>
      <c r="S5" s="51">
        <v>1450</v>
      </c>
      <c r="T5" s="53">
        <v>1.3839999999999999</v>
      </c>
      <c r="U5" s="51">
        <v>66</v>
      </c>
      <c r="V5" s="55">
        <v>4.5499999999999999E-2</v>
      </c>
      <c r="W5" s="51" t="s">
        <v>77</v>
      </c>
      <c r="X5" s="51" t="s">
        <v>39</v>
      </c>
      <c r="Y5" s="51" t="s">
        <v>77</v>
      </c>
      <c r="Z5" s="51" t="s">
        <v>26</v>
      </c>
      <c r="AA5" s="51" t="s">
        <v>26</v>
      </c>
      <c r="AB5" s="51" t="s">
        <v>37</v>
      </c>
      <c r="AC5" s="51" t="s">
        <v>196</v>
      </c>
    </row>
    <row r="6" spans="1:29" s="12" customFormat="1" ht="25.05" customHeight="1" x14ac:dyDescent="0.3">
      <c r="A6" s="51"/>
      <c r="B6" s="52" t="s">
        <v>122</v>
      </c>
      <c r="C6" s="51" t="s">
        <v>78</v>
      </c>
      <c r="D6" s="51" t="s">
        <v>185</v>
      </c>
      <c r="E6" s="51">
        <v>263085</v>
      </c>
      <c r="F6" s="51" t="s">
        <v>193</v>
      </c>
      <c r="G6" s="51">
        <v>200</v>
      </c>
      <c r="H6" s="53">
        <v>0.30199999999999999</v>
      </c>
      <c r="I6" s="53">
        <v>0.73499999999999999</v>
      </c>
      <c r="J6" s="51" t="s">
        <v>26</v>
      </c>
      <c r="K6" s="51" t="s">
        <v>195</v>
      </c>
      <c r="L6" s="51" t="s">
        <v>26</v>
      </c>
      <c r="M6" s="53">
        <v>44.393999999999998</v>
      </c>
      <c r="N6" s="54">
        <v>36.799999999999997</v>
      </c>
      <c r="O6" s="55">
        <v>2.5999999999999999E-3</v>
      </c>
      <c r="P6" s="56">
        <v>0.15</v>
      </c>
      <c r="Q6" s="51">
        <v>20.9</v>
      </c>
      <c r="R6" s="51">
        <v>4</v>
      </c>
      <c r="S6" s="51">
        <v>1250</v>
      </c>
      <c r="T6" s="53">
        <v>1.208</v>
      </c>
      <c r="U6" s="51">
        <v>42</v>
      </c>
      <c r="V6" s="55">
        <v>3.3599999999999998E-2</v>
      </c>
      <c r="W6" s="51" t="s">
        <v>77</v>
      </c>
      <c r="X6" s="51" t="s">
        <v>39</v>
      </c>
      <c r="Y6" s="51" t="s">
        <v>77</v>
      </c>
      <c r="Z6" s="51" t="s">
        <v>26</v>
      </c>
      <c r="AA6" s="51" t="s">
        <v>26</v>
      </c>
      <c r="AB6" s="51" t="s">
        <v>37</v>
      </c>
      <c r="AC6" s="51" t="s">
        <v>194</v>
      </c>
    </row>
    <row r="7" spans="1:29" s="12" customFormat="1" ht="25.05" customHeight="1" x14ac:dyDescent="0.3">
      <c r="A7" s="51"/>
      <c r="B7" s="52" t="s">
        <v>122</v>
      </c>
      <c r="C7" s="51" t="s">
        <v>78</v>
      </c>
      <c r="D7" s="51" t="s">
        <v>185</v>
      </c>
      <c r="E7" s="51">
        <v>263084</v>
      </c>
      <c r="F7" s="51" t="s">
        <v>193</v>
      </c>
      <c r="G7" s="51">
        <v>200</v>
      </c>
      <c r="H7" s="53">
        <v>0.85199999999999998</v>
      </c>
      <c r="I7" s="53">
        <v>1.5349999999999999</v>
      </c>
      <c r="J7" s="51" t="s">
        <v>26</v>
      </c>
      <c r="K7" s="51" t="s">
        <v>192</v>
      </c>
      <c r="L7" s="51" t="s">
        <v>26</v>
      </c>
      <c r="M7" s="53">
        <v>261.56400000000002</v>
      </c>
      <c r="N7" s="54">
        <v>307</v>
      </c>
      <c r="O7" s="55">
        <v>8.5300000000000001E-2</v>
      </c>
      <c r="P7" s="56">
        <v>5.12</v>
      </c>
      <c r="Q7" s="51">
        <v>122.9</v>
      </c>
      <c r="R7" s="51">
        <v>1</v>
      </c>
      <c r="S7" s="51">
        <v>900</v>
      </c>
      <c r="T7" s="53">
        <v>0.85199999999999998</v>
      </c>
      <c r="U7" s="51">
        <v>48</v>
      </c>
      <c r="V7" s="55">
        <v>5.33E-2</v>
      </c>
      <c r="W7" s="51" t="s">
        <v>77</v>
      </c>
      <c r="X7" s="51" t="s">
        <v>39</v>
      </c>
      <c r="Y7" s="51" t="s">
        <v>77</v>
      </c>
      <c r="Z7" s="51" t="s">
        <v>26</v>
      </c>
      <c r="AA7" s="51" t="s">
        <v>26</v>
      </c>
      <c r="AB7" s="51" t="s">
        <v>37</v>
      </c>
      <c r="AC7" s="51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57" t="s">
        <v>26</v>
      </c>
      <c r="B9" s="57" t="s">
        <v>26</v>
      </c>
      <c r="C9" s="57" t="s">
        <v>26</v>
      </c>
      <c r="D9" s="57" t="s">
        <v>26</v>
      </c>
      <c r="E9" s="57" t="s">
        <v>26</v>
      </c>
      <c r="F9" s="57" t="s">
        <v>26</v>
      </c>
      <c r="G9" s="57">
        <f>SUM(G3:G8)</f>
        <v>1300</v>
      </c>
      <c r="H9" s="57" t="s">
        <v>26</v>
      </c>
      <c r="I9" s="57" t="s">
        <v>26</v>
      </c>
      <c r="J9" s="57" t="s">
        <v>26</v>
      </c>
      <c r="K9" s="57" t="s">
        <v>26</v>
      </c>
      <c r="L9" s="57" t="s">
        <v>26</v>
      </c>
      <c r="M9" s="57" t="s">
        <v>26</v>
      </c>
      <c r="N9" s="57" t="s">
        <v>26</v>
      </c>
      <c r="O9" s="57" t="s">
        <v>26</v>
      </c>
      <c r="P9" s="57" t="s">
        <v>26</v>
      </c>
      <c r="Q9" s="57">
        <f>SUM(Q3:Q8)</f>
        <v>485.9</v>
      </c>
      <c r="R9" s="57" t="s">
        <v>26</v>
      </c>
      <c r="S9" s="57" t="s">
        <v>26</v>
      </c>
      <c r="T9" s="57" t="s">
        <v>26</v>
      </c>
      <c r="U9" s="57" t="s">
        <v>26</v>
      </c>
      <c r="V9" s="57" t="s">
        <v>26</v>
      </c>
      <c r="W9" s="57" t="s">
        <v>26</v>
      </c>
      <c r="X9" s="57" t="s">
        <v>26</v>
      </c>
      <c r="Y9" s="57" t="s">
        <v>26</v>
      </c>
      <c r="Z9" s="57" t="s">
        <v>26</v>
      </c>
      <c r="AA9" s="57" t="s">
        <v>26</v>
      </c>
      <c r="AB9" s="57" t="s">
        <v>26</v>
      </c>
      <c r="AC9" s="57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9" t="s">
        <v>190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8" t="s">
        <v>183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1" t="s">
        <v>163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158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140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121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2" t="s">
        <v>95</v>
      </c>
      <c r="B1" s="62" t="s">
        <v>26</v>
      </c>
      <c r="C1" s="62" t="s">
        <v>26</v>
      </c>
      <c r="D1" s="62" t="s">
        <v>26</v>
      </c>
      <c r="E1" s="62" t="s">
        <v>26</v>
      </c>
      <c r="F1" s="62" t="s">
        <v>26</v>
      </c>
      <c r="G1" s="62" t="s">
        <v>26</v>
      </c>
      <c r="H1" s="62" t="s">
        <v>26</v>
      </c>
      <c r="I1" s="62" t="s">
        <v>26</v>
      </c>
      <c r="J1" s="62" t="s">
        <v>26</v>
      </c>
      <c r="K1" s="62" t="s">
        <v>26</v>
      </c>
      <c r="L1" s="62" t="s">
        <v>26</v>
      </c>
      <c r="M1" s="62" t="s">
        <v>26</v>
      </c>
      <c r="N1" s="62" t="s">
        <v>26</v>
      </c>
      <c r="O1" s="62" t="s">
        <v>26</v>
      </c>
      <c r="P1" s="62" t="s">
        <v>26</v>
      </c>
      <c r="Q1" s="62" t="s">
        <v>26</v>
      </c>
      <c r="R1" s="62" t="s">
        <v>26</v>
      </c>
      <c r="S1" s="62" t="s">
        <v>26</v>
      </c>
      <c r="T1" s="62" t="s">
        <v>26</v>
      </c>
      <c r="U1" s="62" t="s">
        <v>26</v>
      </c>
      <c r="V1" s="62" t="s">
        <v>26</v>
      </c>
      <c r="W1" s="62" t="s">
        <v>26</v>
      </c>
      <c r="X1" s="62" t="s">
        <v>26</v>
      </c>
      <c r="Y1" s="62" t="s">
        <v>26</v>
      </c>
      <c r="Z1" s="62" t="s">
        <v>26</v>
      </c>
      <c r="AA1" s="62" t="s">
        <v>26</v>
      </c>
      <c r="AB1" s="62" t="s">
        <v>26</v>
      </c>
      <c r="AC1" s="62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HARMONY EMBALAGENS 1320 P</vt:lpstr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2026-10-23T13:20:42Z</cp:lastPrinted>
  <dcterms:created xsi:type="dcterms:W3CDTF">2026-07-02T17:42:15Z</dcterms:created>
  <dcterms:modified xsi:type="dcterms:W3CDTF">2026-10-23T16:39:30Z</dcterms:modified>
</cp:coreProperties>
</file>