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717DC54-40DA-4F7E-A63D-3B779C25455A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Tolecaixas 1264" sheetId="190" r:id="rId1"/>
    <sheet name="RM Embalagens 1263" sheetId="189" r:id="rId2"/>
    <sheet name="HARMONY EMBALAGENS 1262 P" sheetId="188" r:id="rId3"/>
    <sheet name="HARMONY EMBALAGENS 1260" sheetId="187" r:id="rId4"/>
    <sheet name="IPE EMBALAGENS LTDA 1259" sheetId="186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<sst xmlns="http://schemas.openxmlformats.org/spreadsheetml/2006/main" count="6931" uniqueCount="673">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</sst>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9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tabSelected="1" workbookViewId="0">
      <selection activeCell="I52" sqref="I52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90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5.1093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85" t="s">
        <v>672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  <c r="AC1" s="185" t="s">
        <v>27</v>
      </c>
    </row>
    <row r="2" spans="1:29" ht="49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93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668</v>
      </c>
      <c r="E3" s="126">
        <v>262917</v>
      </c>
      <c r="F3" s="192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668</v>
      </c>
      <c r="E4" s="126">
        <v>262916</v>
      </c>
      <c r="F4" s="192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671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668</v>
      </c>
      <c r="E5" s="126">
        <v>262914</v>
      </c>
      <c r="F5" s="192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670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668</v>
      </c>
      <c r="E6" s="126">
        <v>262913</v>
      </c>
      <c r="F6" s="192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668</v>
      </c>
      <c r="E7" s="126">
        <v>262915</v>
      </c>
      <c r="F7" s="192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669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668</v>
      </c>
      <c r="E8" s="126">
        <v>262918</v>
      </c>
      <c r="F8" s="192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91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dimension ref="A1:AC11"/>
  <sheetViews>
    <sheetView workbookViewId="0">
      <selection activeCell="AE19" sqref="AE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82" t="s">
        <v>667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/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  <c r="AC1" s="182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x14ac:dyDescent="0.3">
      <c r="A3" s="45">
        <v>1</v>
      </c>
      <c r="B3" s="46" t="s">
        <v>366</v>
      </c>
      <c r="C3" s="45" t="s">
        <v>26</v>
      </c>
      <c r="D3" s="45" t="s">
        <v>588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666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665</v>
      </c>
    </row>
    <row r="4" spans="1:29" s="51" customFormat="1" x14ac:dyDescent="0.3">
      <c r="A4" s="45">
        <v>2</v>
      </c>
      <c r="B4" s="46" t="s">
        <v>366</v>
      </c>
      <c r="C4" s="45" t="s">
        <v>26</v>
      </c>
      <c r="D4" s="45" t="s">
        <v>588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664</v>
      </c>
    </row>
    <row r="5" spans="1:29" s="51" customFormat="1" x14ac:dyDescent="0.3">
      <c r="A5" s="45">
        <v>3</v>
      </c>
      <c r="B5" s="46" t="s">
        <v>366</v>
      </c>
      <c r="C5" s="45" t="s">
        <v>26</v>
      </c>
      <c r="D5" s="45" t="s">
        <v>588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663</v>
      </c>
    </row>
    <row r="6" spans="1:29" s="51" customFormat="1" x14ac:dyDescent="0.3">
      <c r="A6" s="45">
        <v>4</v>
      </c>
      <c r="B6" s="46" t="s">
        <v>366</v>
      </c>
      <c r="C6" s="45" t="s">
        <v>26</v>
      </c>
      <c r="D6" s="45" t="s">
        <v>588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662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661</v>
      </c>
    </row>
    <row r="7" spans="1:29" s="51" customFormat="1" x14ac:dyDescent="0.3">
      <c r="A7" s="45">
        <v>5</v>
      </c>
      <c r="B7" s="46" t="s">
        <v>366</v>
      </c>
      <c r="C7" s="45" t="s">
        <v>660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659</v>
      </c>
    </row>
    <row r="8" spans="1:29" s="51" customForma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658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657</v>
      </c>
    </row>
    <row r="9" spans="1:29" s="51" customForma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656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x14ac:dyDescent="0.3">
      <c r="A10" s="45">
        <v>8</v>
      </c>
      <c r="B10" s="46" t="s">
        <v>366</v>
      </c>
      <c r="C10" s="45" t="s">
        <v>655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654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653</v>
      </c>
    </row>
    <row r="11" spans="1:29" s="51" customForma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activeCell="R25" sqref="R25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83" t="s">
        <v>652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/>
      <c r="L1" s="183" t="s">
        <v>27</v>
      </c>
      <c r="M1" s="183" t="s">
        <v>27</v>
      </c>
      <c r="N1" s="183" t="s">
        <v>27</v>
      </c>
      <c r="O1" s="183" t="s">
        <v>27</v>
      </c>
      <c r="P1" s="183"/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  <c r="AC1" s="183" t="s">
        <v>27</v>
      </c>
      <c r="AD1" s="18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76"/>
      <c r="B3" s="177" t="s">
        <v>60</v>
      </c>
      <c r="C3" s="176" t="s">
        <v>26</v>
      </c>
      <c r="D3" s="176" t="s">
        <v>601</v>
      </c>
      <c r="E3" s="176" t="s">
        <v>27</v>
      </c>
      <c r="F3" s="176">
        <v>262903</v>
      </c>
      <c r="G3" s="176" t="s">
        <v>634</v>
      </c>
      <c r="H3" s="176">
        <v>2500</v>
      </c>
      <c r="I3" s="178">
        <v>0.49</v>
      </c>
      <c r="J3" s="178">
        <v>1.5489999999999999</v>
      </c>
      <c r="K3" s="178"/>
      <c r="L3" s="176" t="s">
        <v>33</v>
      </c>
      <c r="M3" s="178">
        <v>948.76199999999994</v>
      </c>
      <c r="N3" s="179">
        <v>645.4</v>
      </c>
      <c r="O3" s="180">
        <v>5.9799999999999999E-2</v>
      </c>
      <c r="P3" s="180"/>
      <c r="Q3" s="181">
        <v>3.59</v>
      </c>
      <c r="R3" s="176">
        <v>510.4</v>
      </c>
      <c r="S3" s="176">
        <v>3</v>
      </c>
      <c r="T3" s="176">
        <v>1500</v>
      </c>
      <c r="U3" s="178">
        <v>1.47</v>
      </c>
      <c r="V3" s="176">
        <v>30</v>
      </c>
      <c r="W3" s="180">
        <v>0.02</v>
      </c>
      <c r="X3" s="176" t="s">
        <v>28</v>
      </c>
      <c r="Y3" s="176" t="s">
        <v>29</v>
      </c>
      <c r="Z3" s="176" t="s">
        <v>28</v>
      </c>
      <c r="AA3" s="176" t="s">
        <v>28</v>
      </c>
      <c r="AB3" s="176" t="s">
        <v>28</v>
      </c>
      <c r="AC3" s="176" t="s">
        <v>31</v>
      </c>
      <c r="AD3" s="176" t="s">
        <v>172</v>
      </c>
    </row>
    <row r="4" spans="1:30" s="51" customFormat="1" ht="25.05" customHeight="1" x14ac:dyDescent="0.3">
      <c r="A4" s="176"/>
      <c r="B4" s="177" t="s">
        <v>60</v>
      </c>
      <c r="C4" s="176" t="s">
        <v>26</v>
      </c>
      <c r="D4" s="176" t="s">
        <v>601</v>
      </c>
      <c r="E4" s="176" t="s">
        <v>27</v>
      </c>
      <c r="F4" s="176">
        <v>262904</v>
      </c>
      <c r="G4" s="176" t="s">
        <v>634</v>
      </c>
      <c r="H4" s="176">
        <v>2500</v>
      </c>
      <c r="I4" s="178">
        <v>0.49</v>
      </c>
      <c r="J4" s="178">
        <v>1.36</v>
      </c>
      <c r="K4" s="178"/>
      <c r="L4" s="176" t="s">
        <v>33</v>
      </c>
      <c r="M4" s="178">
        <v>1666</v>
      </c>
      <c r="N4" s="179">
        <v>1133.3</v>
      </c>
      <c r="O4" s="180">
        <v>0.10489999999999999</v>
      </c>
      <c r="P4" s="180"/>
      <c r="Q4" s="181">
        <v>6.3</v>
      </c>
      <c r="R4" s="176">
        <v>896.3</v>
      </c>
      <c r="S4" s="176">
        <v>3</v>
      </c>
      <c r="T4" s="176">
        <v>1500</v>
      </c>
      <c r="U4" s="178">
        <v>1.47</v>
      </c>
      <c r="V4" s="176">
        <v>30</v>
      </c>
      <c r="W4" s="180">
        <v>0.02</v>
      </c>
      <c r="X4" s="176" t="s">
        <v>28</v>
      </c>
      <c r="Y4" s="176" t="s">
        <v>29</v>
      </c>
      <c r="Z4" s="176" t="s">
        <v>28</v>
      </c>
      <c r="AA4" s="176" t="s">
        <v>28</v>
      </c>
      <c r="AB4" s="176" t="s">
        <v>28</v>
      </c>
      <c r="AC4" s="176" t="s">
        <v>54</v>
      </c>
      <c r="AD4" s="176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82" t="s">
        <v>629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262889</v>
      </c>
      <c r="G4" s="45" t="s">
        <v>624</v>
      </c>
      <c r="H4" s="45">
        <v>2500</v>
      </c>
      <c r="I4" s="47">
        <v>0.434</v>
      </c>
      <c r="J4" s="47">
        <v>1.4990000000000001</v>
      </c>
      <c r="K4" s="45" t="s">
        <v>626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625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588</v>
      </c>
      <c r="E5" s="45" t="s">
        <v>27</v>
      </c>
      <c r="F5" s="45">
        <v>262886</v>
      </c>
      <c r="G5" s="45" t="s">
        <v>624</v>
      </c>
      <c r="H5" s="45">
        <v>600</v>
      </c>
      <c r="I5" s="47">
        <v>0.84499999999999997</v>
      </c>
      <c r="J5" s="47">
        <v>1.589</v>
      </c>
      <c r="K5" s="45" t="s">
        <v>623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622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82" t="s">
        <v>621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83" t="s">
        <v>616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4" t="s">
        <v>608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83" t="s">
        <v>597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5" t="s">
        <v>585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5" t="s">
        <v>578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62"/>
      <c r="B3" s="163" t="s">
        <v>93</v>
      </c>
      <c r="C3" s="162" t="s">
        <v>35</v>
      </c>
      <c r="D3" s="162" t="s">
        <v>576</v>
      </c>
      <c r="E3" s="162" t="s">
        <v>27</v>
      </c>
      <c r="F3" s="162">
        <v>262865</v>
      </c>
      <c r="G3" s="162" t="s">
        <v>575</v>
      </c>
      <c r="H3" s="162">
        <v>1400</v>
      </c>
      <c r="I3" s="164">
        <v>0.44500000000000001</v>
      </c>
      <c r="J3" s="164">
        <v>0.83</v>
      </c>
      <c r="K3" s="162" t="s">
        <v>577</v>
      </c>
      <c r="L3" s="164">
        <v>517.09</v>
      </c>
      <c r="M3" s="165">
        <v>387.3</v>
      </c>
      <c r="N3" s="166">
        <v>3.5900000000000001E-2</v>
      </c>
      <c r="O3" s="167">
        <v>2.15</v>
      </c>
      <c r="P3" s="162">
        <v>162.9</v>
      </c>
      <c r="Q3" s="162">
        <v>3</v>
      </c>
      <c r="R3" s="162">
        <v>1400</v>
      </c>
      <c r="S3" s="164">
        <v>1.335</v>
      </c>
      <c r="T3" s="162">
        <v>65</v>
      </c>
      <c r="U3" s="166">
        <v>4.6399999999999997E-2</v>
      </c>
      <c r="V3" s="162" t="s">
        <v>28</v>
      </c>
      <c r="W3" s="162" t="s">
        <v>28</v>
      </c>
      <c r="X3" s="162" t="s">
        <v>28</v>
      </c>
      <c r="Y3" s="162" t="s">
        <v>27</v>
      </c>
      <c r="Z3" s="162" t="s">
        <v>27</v>
      </c>
      <c r="AA3" s="162" t="s">
        <v>38</v>
      </c>
      <c r="AB3" s="162" t="s">
        <v>574</v>
      </c>
    </row>
    <row r="4" spans="1:28" s="129" customFormat="1" x14ac:dyDescent="0.3">
      <c r="A4" s="162"/>
      <c r="B4" s="163" t="s">
        <v>93</v>
      </c>
      <c r="C4" s="162" t="s">
        <v>35</v>
      </c>
      <c r="D4" s="162" t="s">
        <v>576</v>
      </c>
      <c r="E4" s="162" t="s">
        <v>27</v>
      </c>
      <c r="F4" s="162">
        <v>262866</v>
      </c>
      <c r="G4" s="162">
        <v>83</v>
      </c>
      <c r="H4" s="162">
        <v>1000</v>
      </c>
      <c r="I4" s="164">
        <v>0.63</v>
      </c>
      <c r="J4" s="164">
        <v>1</v>
      </c>
      <c r="K4" s="162" t="s">
        <v>33</v>
      </c>
      <c r="L4" s="164">
        <v>630</v>
      </c>
      <c r="M4" s="165">
        <v>500</v>
      </c>
      <c r="N4" s="166">
        <v>6.9400000000000003E-2</v>
      </c>
      <c r="O4" s="167">
        <v>4.17</v>
      </c>
      <c r="P4" s="162">
        <v>198.4</v>
      </c>
      <c r="Q4" s="162">
        <v>2</v>
      </c>
      <c r="R4" s="162">
        <v>1300</v>
      </c>
      <c r="S4" s="164">
        <v>1.26</v>
      </c>
      <c r="T4" s="162">
        <v>40</v>
      </c>
      <c r="U4" s="166">
        <v>3.0800000000000001E-2</v>
      </c>
      <c r="V4" s="162" t="s">
        <v>28</v>
      </c>
      <c r="W4" s="162" t="s">
        <v>28</v>
      </c>
      <c r="X4" s="162" t="s">
        <v>28</v>
      </c>
      <c r="Y4" s="162" t="s">
        <v>27</v>
      </c>
      <c r="Z4" s="162" t="s">
        <v>27</v>
      </c>
      <c r="AA4" s="162" t="s">
        <v>38</v>
      </c>
      <c r="AB4" s="162" t="s">
        <v>574</v>
      </c>
    </row>
    <row r="5" spans="1:28" s="174" customFormat="1" x14ac:dyDescent="0.3">
      <c r="A5" s="168"/>
      <c r="B5" s="169" t="s">
        <v>126</v>
      </c>
      <c r="C5" s="168" t="s">
        <v>49</v>
      </c>
      <c r="D5" s="168" t="s">
        <v>601</v>
      </c>
      <c r="E5" s="168" t="s">
        <v>27</v>
      </c>
      <c r="F5" s="168">
        <v>262890</v>
      </c>
      <c r="G5" s="168" t="s">
        <v>632</v>
      </c>
      <c r="H5" s="168">
        <v>1000</v>
      </c>
      <c r="I5" s="170">
        <v>0.55000000000000004</v>
      </c>
      <c r="J5" s="170">
        <v>1.45</v>
      </c>
      <c r="K5" s="168" t="s">
        <v>630</v>
      </c>
      <c r="L5" s="170">
        <v>797.5</v>
      </c>
      <c r="M5" s="171">
        <v>725</v>
      </c>
      <c r="N5" s="172">
        <v>0.1007</v>
      </c>
      <c r="O5" s="173">
        <v>6.04</v>
      </c>
      <c r="P5" s="168">
        <v>283.10000000000002</v>
      </c>
      <c r="Q5" s="168">
        <v>2</v>
      </c>
      <c r="R5" s="168">
        <v>1150</v>
      </c>
      <c r="S5" s="170">
        <v>1.1000000000000001</v>
      </c>
      <c r="T5" s="168">
        <v>50</v>
      </c>
      <c r="U5" s="172">
        <v>4.3499999999999997E-2</v>
      </c>
      <c r="V5" s="168" t="s">
        <v>29</v>
      </c>
      <c r="W5" s="168" t="s">
        <v>28</v>
      </c>
      <c r="X5" s="168" t="s">
        <v>29</v>
      </c>
      <c r="Y5" s="168" t="s">
        <v>27</v>
      </c>
      <c r="Z5" s="168" t="s">
        <v>27</v>
      </c>
      <c r="AA5" s="168" t="s">
        <v>32</v>
      </c>
      <c r="AB5" s="168" t="s">
        <v>631</v>
      </c>
    </row>
    <row r="6" spans="1:28" s="129" customFormat="1" x14ac:dyDescent="0.3">
      <c r="A6" s="175" t="s">
        <v>27</v>
      </c>
      <c r="B6" s="175" t="s">
        <v>27</v>
      </c>
      <c r="C6" s="175" t="s">
        <v>27</v>
      </c>
      <c r="D6" s="175" t="s">
        <v>27</v>
      </c>
      <c r="E6" s="175" t="s">
        <v>27</v>
      </c>
      <c r="F6" s="175" t="s">
        <v>27</v>
      </c>
      <c r="G6" s="175" t="s">
        <v>27</v>
      </c>
      <c r="H6" s="175">
        <f>SUM(H3:H5)</f>
        <v>3400</v>
      </c>
      <c r="I6" s="175" t="s">
        <v>27</v>
      </c>
      <c r="J6" s="175" t="s">
        <v>27</v>
      </c>
      <c r="K6" s="175" t="s">
        <v>27</v>
      </c>
      <c r="L6" s="175" t="s">
        <v>27</v>
      </c>
      <c r="M6" s="175" t="s">
        <v>27</v>
      </c>
      <c r="N6" s="175" t="s">
        <v>27</v>
      </c>
      <c r="O6" s="175" t="s">
        <v>27</v>
      </c>
      <c r="P6" s="175">
        <f>SUM(P3:P5)</f>
        <v>644.40000000000009</v>
      </c>
      <c r="Q6" s="175" t="s">
        <v>27</v>
      </c>
      <c r="R6" s="175" t="s">
        <v>27</v>
      </c>
      <c r="S6" s="175" t="s">
        <v>27</v>
      </c>
      <c r="T6" s="175" t="s">
        <v>27</v>
      </c>
      <c r="U6" s="175" t="s">
        <v>27</v>
      </c>
      <c r="V6" s="175" t="s">
        <v>27</v>
      </c>
      <c r="W6" s="175" t="s">
        <v>27</v>
      </c>
      <c r="X6" s="175" t="s">
        <v>27</v>
      </c>
      <c r="Y6" s="175" t="s">
        <v>27</v>
      </c>
      <c r="Z6" s="175" t="s">
        <v>27</v>
      </c>
      <c r="AA6" s="175" t="s">
        <v>27</v>
      </c>
      <c r="AB6" s="17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4" t="s">
        <v>573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83" t="s">
        <v>566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84" t="s">
        <v>528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84" t="s">
        <v>508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86" t="s">
        <v>489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84" t="s">
        <v>478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87" t="s">
        <v>477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 t="s">
        <v>27</v>
      </c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 t="s">
        <v>27</v>
      </c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83" t="s">
        <v>458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83" t="s">
        <v>395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83" t="s">
        <v>595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87" t="s">
        <v>364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 t="s">
        <v>27</v>
      </c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 t="s">
        <v>27</v>
      </c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3" t="s">
        <v>321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83" t="s">
        <v>296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83" t="s">
        <v>278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83" t="s">
        <v>264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82" t="s">
        <v>247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3" t="s">
        <v>234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83" t="s">
        <v>228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83" t="s">
        <v>218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83" t="s">
        <v>235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84" t="s">
        <v>181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4" t="s">
        <v>173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83" t="s">
        <v>143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3" t="s">
        <v>139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87" t="s">
        <v>123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 t="s">
        <v>27</v>
      </c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 t="s">
        <v>27</v>
      </c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8" t="s">
        <v>105</v>
      </c>
      <c r="B1" s="188" t="s">
        <v>27</v>
      </c>
      <c r="C1" s="188" t="s">
        <v>27</v>
      </c>
      <c r="D1" s="188" t="s">
        <v>27</v>
      </c>
      <c r="E1" s="188" t="s">
        <v>27</v>
      </c>
      <c r="F1" s="188" t="s">
        <v>27</v>
      </c>
      <c r="G1" s="188" t="s">
        <v>27</v>
      </c>
      <c r="H1" s="188" t="s">
        <v>27</v>
      </c>
      <c r="I1" s="188" t="s">
        <v>27</v>
      </c>
      <c r="J1" s="188" t="s">
        <v>27</v>
      </c>
      <c r="K1" s="188" t="s">
        <v>27</v>
      </c>
      <c r="L1" s="188" t="s">
        <v>27</v>
      </c>
      <c r="M1" s="188" t="s">
        <v>27</v>
      </c>
      <c r="N1" s="188" t="s">
        <v>27</v>
      </c>
      <c r="O1" s="188" t="s">
        <v>27</v>
      </c>
      <c r="P1" s="188" t="s">
        <v>27</v>
      </c>
      <c r="Q1" s="188" t="s">
        <v>27</v>
      </c>
      <c r="R1" s="188" t="s">
        <v>27</v>
      </c>
      <c r="S1" s="188" t="s">
        <v>27</v>
      </c>
      <c r="T1" s="188" t="s">
        <v>27</v>
      </c>
      <c r="U1" s="188" t="s">
        <v>27</v>
      </c>
      <c r="V1" s="188" t="s">
        <v>27</v>
      </c>
      <c r="W1" s="188" t="s">
        <v>27</v>
      </c>
      <c r="X1" s="188" t="s">
        <v>27</v>
      </c>
      <c r="Y1" s="188" t="s">
        <v>27</v>
      </c>
      <c r="Z1" s="188" t="s">
        <v>27</v>
      </c>
      <c r="AA1" s="188" t="s">
        <v>27</v>
      </c>
      <c r="AB1" s="18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9" t="s">
        <v>80</v>
      </c>
      <c r="B1" s="189" t="s">
        <v>27</v>
      </c>
      <c r="C1" s="189" t="s">
        <v>27</v>
      </c>
      <c r="D1" s="189" t="s">
        <v>27</v>
      </c>
      <c r="E1" s="189" t="s">
        <v>27</v>
      </c>
      <c r="F1" s="189" t="s">
        <v>27</v>
      </c>
      <c r="G1" s="189" t="s">
        <v>27</v>
      </c>
      <c r="H1" s="189" t="s">
        <v>27</v>
      </c>
      <c r="I1" s="189" t="s">
        <v>27</v>
      </c>
      <c r="J1" s="189" t="s">
        <v>27</v>
      </c>
      <c r="K1" s="189" t="s">
        <v>27</v>
      </c>
      <c r="L1" s="189" t="s">
        <v>27</v>
      </c>
      <c r="M1" s="189" t="s">
        <v>27</v>
      </c>
      <c r="N1" s="189" t="s">
        <v>27</v>
      </c>
      <c r="O1" s="189" t="s">
        <v>27</v>
      </c>
      <c r="P1" s="189" t="s">
        <v>27</v>
      </c>
      <c r="Q1" s="189" t="s">
        <v>27</v>
      </c>
      <c r="R1" s="189" t="s">
        <v>27</v>
      </c>
      <c r="S1" s="189" t="s">
        <v>27</v>
      </c>
      <c r="T1" s="189" t="s">
        <v>27</v>
      </c>
      <c r="U1" s="189" t="s">
        <v>27</v>
      </c>
      <c r="V1" s="189" t="s">
        <v>27</v>
      </c>
      <c r="W1" s="189" t="s">
        <v>27</v>
      </c>
      <c r="X1" s="189" t="s">
        <v>27</v>
      </c>
      <c r="Y1" s="189" t="s">
        <v>27</v>
      </c>
      <c r="Z1" s="189" t="s">
        <v>27</v>
      </c>
      <c r="AA1" s="189" t="s">
        <v>27</v>
      </c>
      <c r="AB1" s="18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Tolecaixas 1264</vt:lpstr>
      <vt:lpstr>RM Embalagens 1263</vt:lpstr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2026-10-07T12:09:26Z</cp:lastPrinted>
  <dcterms:created xsi:type="dcterms:W3CDTF">2026-07-02T17:42:15Z</dcterms:created>
  <dcterms:modified xsi:type="dcterms:W3CDTF">2026-10-07T14:27:05Z</dcterms:modified>
</cp:coreProperties>
</file>