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68ED1DE-B289-4BAA-A415-4CB257929616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RM EMBALAGENS 1303" sheetId="211" r:id="rId1"/>
    <sheet name="IPE EMBALAGENS 1302 P" sheetId="210" r:id="rId2"/>
    <sheet name="HARMONY EMBALAGENS 1301" sheetId="209" r:id="rId3"/>
    <sheet name="RENOVAPEL 1297 P" sheetId="208" r:id="rId4"/>
    <sheet name="FAVINCO EMBALAGENS 1293 P" sheetId="207" r:id="rId5"/>
    <sheet name="IPE - PCBOX 1291 P" sheetId="206" r:id="rId6"/>
    <sheet name="FORBOX 1289" sheetId="205" r:id="rId7"/>
    <sheet name="SÃO MIGUEL 1288 P" sheetId="204" r:id="rId8"/>
    <sheet name="RENOVAPEL 1286 P" sheetId="203" r:id="rId9"/>
    <sheet name="HARMONY EMBALAGENS 1285 P" sheetId="202" r:id="rId10"/>
    <sheet name="DR EMBALAGENS 1282 P" sheetId="201" r:id="rId11"/>
    <sheet name="J FER 1281 P" sheetId="200" r:id="rId12"/>
    <sheet name="VÔ CHICO 1280 P" sheetId="199" r:id="rId13"/>
    <sheet name="PCBOX EMBALAGENS 1278 P" sheetId="198" r:id="rId14"/>
    <sheet name="RM EMBALAGENS 1277 P" sheetId="197" r:id="rId15"/>
    <sheet name="RM Embalagens 1275 P" sheetId="196" r:id="rId16"/>
    <sheet name="FAVINCO EMBALAGENS 1273 P" sheetId="195" r:id="rId17"/>
    <sheet name="ABAPEL 1272 P" sheetId="194" r:id="rId18"/>
    <sheet name="RM Embalagens 1271 P" sheetId="193" r:id="rId19"/>
    <sheet name="IPE -PC BOX 1270 P" sheetId="192" r:id="rId20"/>
    <sheet name="PCBOX  - IPE 1266 P" sheetId="191" r:id="rId21"/>
    <sheet name="Tolecaixas 1264 P" sheetId="190" r:id="rId22"/>
    <sheet name="RM Embalagens 1263 P" sheetId="189" r:id="rId23"/>
    <sheet name="HARMONY EMBALAGENS 1262 P" sheetId="188" r:id="rId24"/>
    <sheet name="HARMONY EMBALAGENS 1260 P" sheetId="187" r:id="rId25"/>
    <sheet name="CARTOMIL EMBALAGENS LTDA 1258 P" sheetId="185" r:id="rId26"/>
    <sheet name="CARPEL 1257 P" sheetId="184" r:id="rId27"/>
    <sheet name="FAVINCO EMBALAGENS 1256 P" sheetId="183" r:id="rId28"/>
    <sheet name="RR STELLA 1253 P" sheetId="181" r:id="rId29"/>
    <sheet name="FAVINCO EMBALAGENS 1252 P" sheetId="180" r:id="rId30"/>
    <sheet name="DR EMBALAGENS 1250 P" sheetId="179" r:id="rId31"/>
    <sheet name="HARMONY EMBALAGENS 1249 P" sheetId="178" r:id="rId32"/>
    <sheet name="FAVINCO 1248 AMOSTRA" sheetId="177" r:id="rId33"/>
    <sheet name="ABAPEL 1246 P" sheetId="176" r:id="rId34"/>
    <sheet name="FAVINCO 1243 P" sheetId="175" r:id="rId35"/>
    <sheet name="Renovapel 1242 P" sheetId="174" r:id="rId36"/>
    <sheet name="Tole. DR EMB. VO CH S. M 1241 P" sheetId="173" r:id="rId37"/>
    <sheet name="FAVINCO 1239 P" sheetId="172" r:id="rId38"/>
    <sheet name="PCBOX EMBALAGENS 1233 P" sheetId="170" r:id="rId39"/>
    <sheet name="RM Embalagens 1232 P" sheetId="169" r:id="rId40"/>
    <sheet name="HARMONY EMBALAGENS 1231 P" sheetId="168" r:id="rId41"/>
    <sheet name="RM Embalagens P" sheetId="166" r:id="rId42"/>
    <sheet name="PCBOX EMBALAGENS LTDA 1222 P" sheetId="164" r:id="rId43"/>
    <sheet name="FORBOX 1220 P" sheetId="163" r:id="rId44"/>
    <sheet name="HARMONY EMBALAGENS 1217 P" sheetId="162" r:id="rId45"/>
    <sheet name="Z4A EMBALAGENS LTDA 1216" sheetId="161" r:id="rId46"/>
    <sheet name="ABAPEL 1213 P" sheetId="159" r:id="rId47"/>
    <sheet name="IPE - PCBOX 1212 P" sheetId="158" r:id="rId48"/>
    <sheet name="Z4A EMBALAGENS LTDA 1210 P" sheetId="157" r:id="rId49"/>
    <sheet name="RM Embalagens 1209 P" sheetId="156" r:id="rId50"/>
    <sheet name="ABAPEL 1201 P" sheetId="153" r:id="rId51"/>
    <sheet name="HARMONY EMBALAGENS 1200 P" sheetId="152" r:id="rId52"/>
    <sheet name="FAVINCO EMBALAGENS 1197 P" sheetId="150" r:id="rId53"/>
    <sheet name="ABAPEL 1196 P" sheetId="149" r:id="rId54"/>
    <sheet name="RM Embalagens 1184 P" sheetId="141" r:id="rId55"/>
    <sheet name="HARMONY EMBALAGENS 1180 P" sheetId="137" r:id="rId56"/>
    <sheet name="Carpel 1158 P" sheetId="119" r:id="rId57"/>
  </sheets>
  <definedNames>
    <definedName name="_xlnm.Print_Area" localSheetId="16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7" i="191"/>
  <c r="Q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<sst xmlns="http://schemas.openxmlformats.org/spreadsheetml/2006/main" count="10441" uniqueCount="889">
  <si>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</si>
  <si>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</si>
  <si>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</si>
  <si>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</si>
  <si>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</si>
  <si>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</si>
  <si>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</si>
  <si>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</si>
  <si>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</si>
  <si>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</si>
  <si>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</si>
  <si>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</si>
  <si>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</si>
  <si>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</si>
  <si>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</si>
  <si>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</si>
  <si>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</si>
  <si>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</si>
  <si>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</si>
  <si>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</si>
  <si>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</si>
  <si>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</si>
  <si>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</si>
  <si>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</si>
  <si>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</si>
  <si>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</si>
  <si>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</si>
  <si>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</si>
  <si>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</si>
  <si>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</si>
  <si>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</si>
  <si>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</si>
  <si>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</si>
  <si>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</si>
  <si>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</si>
  <si>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</si>
  <si>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</si>
  <si>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</si>
  <si>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</si>
  <si>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</si>
  <si>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</si>
  <si>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</si>
  <si>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</si>
  <si>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</si>
  <si>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</si>
  <si>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</si>
  <si>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</si>
  <si>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</si>
  <si>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</si>
  <si>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</si>
  <si>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</si>
  <si>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</si>
  <si>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</si>
  <si>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</si>
  <si>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</si>
  <si>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</si>
  <si>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</si>
  <si>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</si>
  <si>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</si>
  <si>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</si>
  <si>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</si>
  <si>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</si>
  <si>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</si>
  <si>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</si>
  <si>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</si>
  <si>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</si>
  <si>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</si>
  <si>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</si>
  <si>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</si>
  <si>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</si>
  <si>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</si>
  <si>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</si>
  <si>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</si>
  <si>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</si>
  <si>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</si>
  <si>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</si>
  <si>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</si>
  <si>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</si>
  <si>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</si>
  <si>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</si>
  <si>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</si>
  <si>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</si>
  <si>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</si>
  <si>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</si>
  <si>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</si>
  <si>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</si>
  <si>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</si>
  <si>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</si>
  <si>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</si>
  <si>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</si>
  <si>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</si>
  <si>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</si>
  <si>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</si>
  <si>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</si>
  <si>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</si>
  <si>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</si>
  <si>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</si>
  <si>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</si>
  <si>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</si>
  <si>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</si>
  <si>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</si>
  <si>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</si>
  <si>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</si>
  <si>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</si>
  <si>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</si>
  <si>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</si>
  <si>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</si>
  <si>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</si>
  <si>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</si>
  <si>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</si>
  <si>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</si>
  <si>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</si>
  <si>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</si>
  <si>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</si>
  <si>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</si>
  <si>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</si>
  <si>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</si>
  <si>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</si>
  <si>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</si>
  <si>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</si>
  <si>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</si>
  <si>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</si>
  <si>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</si>
  <si>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</si>
  <si>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</si>
  <si>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</si>
  <si>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</si>
  <si>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</si>
  <si>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</si>
  <si>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</si>
  <si>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</si>
  <si>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</si>
  <si>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</si>
  <si>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</si>
  <si>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</si>
  <si>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</si>
  <si>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</si>
  <si>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</si>
  <si>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</si>
  <si>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</si>
  <si>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</si>
  <si>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</si>
  <si>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</si>
  <si>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</si>
  <si>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</si>
  <si>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</si>
  <si>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</si>
  <si>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</si>
  <si>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</si>
  <si>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</si>
  <si>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</si>
  <si>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</si>
  <si>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</si>
  <si>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</si>
  <si>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</si>
  <si>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</si>
  <si>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</si>
  <si>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</si>
  <si>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</si>
  <si>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</si>
  <si>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</si>
  <si>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</si>
  <si>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</si>
  <si>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</si>
  <si>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</si>
  <si>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</si>
  <si>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</si>
  <si>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</si>
  <si>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</si>
  <si>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</si>
  <si>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</si>
  <si>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</si>
  <si>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</si>
  <si>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</si>
  <si>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</si>
  <si>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</si>
  <si>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</si>
  <si>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</si>
  <si>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</si>
  <si>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</si>
  <si>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</si>
  <si>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</si>
  <si>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</si>
  <si>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</si>
  <si>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</si>
  <si>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</si>
  <si>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</si>
  <si>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</si>
  <si>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</si>
  <si>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</si>
  <si>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</si>
  <si>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</si>
  <si>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</si>
  <si>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</si>
  <si>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</si>
  <si>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</si>
  <si>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</si>
  <si>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</si>
  <si>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</si>
  <si>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</si>
  <si>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</si>
  <si>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</si>
  <si>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</si>
  <si>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</si>
  <si>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</si>
  <si>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</si>
  <si>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</si>
  <si>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</si>
  <si>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</si>
  <si>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</si>
  <si>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</si>
  <si>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</si>
  <si>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</si>
  <si>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</si>
  <si>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</si>
  <si>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</si>
  <si>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</si>
  <si>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</si>
  <si>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</si>
  <si>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</si>
  <si>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</si>
  <si>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</si>
  <si>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</si>
  <si>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</si>
  <si>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</si>
  <si>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</si>
  <si>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</si>
  <si>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</si>
  <si>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</si>
  <si>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</si>
  <si>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</si>
  <si>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</si>
  <si>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</si>
  <si>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</si>
  <si>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</si>
  <si>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</si>
  <si>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</si>
  <si>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</si>
  <si>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</si>
  <si>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</si>
  <si>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</si>
  <si>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</si>
  <si>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</si>
  <si>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</si>
  <si>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</si>
  <si>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</si>
  <si>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</si>
  <si>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</si>
  <si>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</si>
  <si>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</si>
  <si>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</si>
  <si>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</si>
  <si>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</si>
  <si>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</si>
  <si>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</si>
  <si>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</si>
  <si>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</si>
  <si>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</si>
  <si>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</si>
  <si>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</si>
  <si>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</si>
  <si>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</si>
  <si>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</si>
  <si>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</si>
  <si>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</si>
  <si>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</si>
  <si>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</si>
  <si>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</si>
  <si>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</si>
  <si>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</si>
  <si>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</si>
  <si>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</si>
  <si>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</si>
  <si>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</si>
  <si>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</si>
  <si>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</si>
  <si>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</si>
  <si>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</si>
  <si>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</si>
  <si>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</si>
  <si>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</si>
  <si>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</si>
  <si>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</si>
  <si>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</si>
  <si>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</si>
  <si>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</si>
  <si>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</si>
  <si>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</si>
  <si>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</si>
  <si>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</si>
  <si>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</si>
  <si>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</si>
  <si>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</si>
  <si>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</si>
  <si>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</si>
  <si>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</si>
  <si>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</si>
  <si>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</si>
  <si>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</si>
  <si>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</si>
  <si>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</si>
  <si>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</si>
  <si>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</si>
  <si>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</si>
  <si>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</si>
  <si>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</si>
  <si>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</si>
  <si>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</si>
  <si>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</si>
  <si>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</si>
  <si>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</si>
  <si>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</si>
  <si>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</si>
  <si>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</si>
  <si>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</si>
  <si>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</si>
  <si>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</si>
  <si>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</si>
  <si>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</si>
  <si>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</si>
  <si>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</si>
  <si>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</si>
  <si>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</si>
  <si>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</si>
  <si>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</si>
  <si>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</si>
  <si>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</si>
  <si>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</si>
  <si>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</si>
  <si>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</si>
  <si>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</si>
  <si>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</si>
  <si>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</si>
  <si>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</si>
  <si>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</si>
  <si>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</si>
  <si>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</si>
  <si>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</si>
  <si>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</si>
  <si>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</si>
  <si>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</si>
  <si>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</si>
  <si>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</si>
  <si>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</si>
  <si>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</si>
  <si>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</si>
  <si>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</si>
  <si>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</si>
  <si>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</si>
  <si>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</si>
  <si>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</si>
  <si>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</si>
  <si>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</si>
  <si>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</si>
  <si>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</si>
  <si>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</si>
  <si>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</si>
  <si>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</si>
  <si>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</si>
  <si>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</si>
  <si>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</si>
  <si>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</si>
  <si>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</si>
  <si>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</si>
  <si>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</si>
  <si>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</si>
  <si>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</si>
  <si>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</si>
  <si>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</si>
  <si>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</si>
  <si>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</si>
  <si>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</si>
  <si>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</si>
  <si>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</si>
  <si>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</si>
  <si>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</si>
  <si>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</si>
  <si>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</si>
  <si>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</si>
  <si>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</si>
  <si>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</si>
  <si>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</si>
  <si>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</si>
  <si>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</si>
  <si>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</si>
  <si>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</si>
  <si>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</si>
  <si>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</si>
  <si>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</si>
  <si>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</si>
  <si>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</si>
  <si>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</si>
  <si>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</si>
  <si>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</si>
  <si>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</si>
  <si>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</si>
  <si>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</si>
  <si>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</si>
  <si>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</si>
  <si>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</si>
  <si>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</si>
  <si>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</si>
  <si>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</si>
  <si>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</si>
  <si>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</si>
  <si>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</si>
  <si>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</si>
  <si>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</si>
  <si>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</si>
  <si>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</si>
  <si>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</si>
  <si>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</si>
  <si>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</si>
  <si>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</si>
  <si>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</si>
  <si>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</si>
  <si>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</si>
  <si>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</si>
  <si>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</si>
  <si>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</si>
  <si>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</si>
  <si>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</si>
  <si>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</si>
  <si>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</si>
  <si>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</si>
  <si>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</si>
  <si>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</si>
  <si>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</si>
  <si>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</si>
  <si>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</si>
  <si>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</si>
  <si>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</si>
  <si>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</si>
  <si>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</si>
  <si>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</si>
  <si>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</si>
  <si>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</si>
  <si>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</si>
  <si>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</si>
  <si>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</si>
  <si>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</si>
  <si>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</si>
  <si>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</si>
  <si>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</si>
  <si>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</si>
  <si>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</si>
  <si>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</si>
  <si>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</si>
  <si>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</si>
  <si>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</si>
  <si>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</si>
  <si>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</si>
  <si>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</si>
  <si>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</si>
  <si>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</si>
  <si>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</si>
  <si>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</si>
  <si>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</si>
  <si>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</si>
  <si>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</si>
  <si>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</si>
  <si>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</si>
  <si>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</si>
  <si>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</si>
  <si>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</si>
  <si>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</si>
  <si>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</si>
  <si>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</si>
  <si>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</si>
  <si>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</si>
  <si>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</si>
  <si>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</si>
  <si>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</si>
  <si>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</si>
  <si>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</si>
  <si>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</si>
  <si>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</si>
  <si>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</si>
  <si>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</si>
  <si>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</si>
  <si>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</si>
  <si>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</si>
  <si>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</si>
  <si>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</si>
  <si>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</si>
  <si>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</si>
  <si>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</si>
  <si>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</si>
  <si>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</si>
  <si>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</si>
  <si>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</si>
  <si>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</si>
  <si>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</si>
  <si>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</si>
  <si>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</si>
  <si>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</si>
  <si>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</si>
  <si>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</si>
  <si>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</si>
  <si>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</si>
  <si>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</si>
  <si>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</si>
  <si>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</si>
  <si>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</si>
  <si>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</si>
  <si>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</si>
  <si>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</si>
  <si>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</si>
  <si>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</si>
  <si>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</si>
  <si>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</si>
  <si>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</si>
  <si>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</si>
  <si>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</si>
  <si>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</si>
  <si>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</si>
  <si>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</si>
  <si>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</si>
  <si>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</si>
  <si>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</si>
  <si>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</si>
  <si>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</si>
  <si>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</si>
  <si>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</si>
  <si>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</si>
  <si>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</si>
  <si>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</si>
  <si>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</si>
  <si>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</si>
  <si>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</si>
  <si>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</si>
  <si>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</si>
  <si>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</si>
  <si>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</si>
  <si>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</si>
  <si>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</si>
  <si>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</si>
  <si>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</si>
  <si>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</si>
  <si>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</si>
  <si>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</si>
  <si>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</si>
  <si>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</si>
  <si>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</si>
  <si>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</si>
  <si>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</si>
  <si>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</si>
  <si>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</si>
  <si>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</si>
  <si>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</si>
  <si>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</si>
  <si>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</si>
  <si>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</si>
  <si>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</si>
  <si>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</si>
  <si>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</si>
  <si>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</si>
  <si>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</si>
  <si>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</si>
  <si>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</si>
  <si>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</si>
  <si>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</si>
  <si>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</si>
  <si>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</si>
  <si>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</si>
  <si>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</si>
  <si>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</si>
  <si>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</si>
  <si>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</si>
  <si>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</si>
  <si>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</si>
  <si>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</si>
  <si>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</si>
  <si>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</si>
  <si>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</si>
  <si>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</si>
  <si>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</si>
  <si>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</si>
  <si>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</si>
  <si>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</si>
  <si>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</si>
  <si>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</si>
  <si>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</si>
  <si>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</si>
  <si>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</si>
  <si>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</si>
  <si>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</si>
  <si>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</si>
  <si>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</si>
  <si>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</si>
  <si>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</si>
  <si>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</si>
  <si>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</si>
  <si>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</si>
  <si>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</si>
  <si>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</si>
  <si>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</si>
  <si>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</si>
  <si>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</si>
  <si>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</si>
  <si>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</si>
  <si>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</si>
  <si>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</si>
  <si>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</si>
  <si>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</si>
  <si>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</si>
  <si>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</si>
  <si>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</si>
  <si>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</si>
  <si>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</si>
  <si>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</si>
  <si>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</si>
  <si>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</si>
  <si>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</si>
  <si>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</si>
  <si>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</si>
  <si>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</si>
  <si>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</si>
  <si>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</si>
  <si>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</si>
  <si>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</si>
  <si>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</si>
  <si>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</si>
  <si>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</si>
  <si>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</si>
  <si>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</si>
  <si>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</si>
  <si>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</si>
  <si>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</si>
  <si>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</si>
  <si>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</si>
  <si>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</si>
  <si>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</si>
  <si>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</si>
  <si>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</si>
  <si>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</si>
  <si>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</si>
  <si>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</si>
  <si>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</si>
  <si>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</si>
  <si>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</si>
  <si>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</si>
  <si>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</si>
  <si>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</si>
  <si>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</si>
  <si>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</si>
  <si>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</si>
  <si>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</si>
  <si>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</si>
  <si>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</si>
  <si>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</si>
  <si>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</si>
  <si>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</si>
  <si>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</si>
  <si>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</si>
  <si>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</si>
  <si>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</si>
  <si>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</si>
  <si>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</si>
  <si>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</si>
  <si>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</si>
  <si>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</si>
  <si>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</si>
  <si>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</si>
  <si>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</si>
  <si>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</si>
  <si>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</si>
  <si>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</si>
  <si>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680x2070</t>
  </si>
  <si>
    <t>680x1885</t>
  </si>
  <si>
    <t>680x1715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</si>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</sst>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/>
    <xf numFmtId="0" fontId="17" fillId="0" borderId="0"/>
    <xf numFmtId="0" fontId="28" fillId="0" borderId="0"/>
    <xf numFmtId="0" fontId="29" fillId="0" borderId="0"/>
  </cellStyleXfs>
  <cellXfs count="331">
    <xf numFmtId="0" fontId="0" fillId="0" borderId="0" xfId="0" applyFont="1" applyAlignment="1"/>
    <xf numFmtId="0" fontId="5" fillId="0" borderId="0" xfId="1"/>
    <xf numFmtId="0" fontId="4" fillId="4" borderId="1" xfId="1" applyFont="1" applyFill="1" applyBorder="1" applyAlignment="1">
      <alignment horizontal="center" vertical="center" wrapText="1"/>
    </xf>
    <xf numFmtId="0" fontId="7" fillId="0" borderId="0" xfId="2"/>
    <xf numFmtId="0" fontId="8" fillId="4" borderId="1" xfId="2" applyFont="1" applyFill="1" applyBorder="1" applyAlignment="1">
      <alignment horizontal="center" vertical="center" wrapText="1"/>
    </xf>
    <xf numFmtId="0" fontId="5" fillId="3" borderId="1" xfId="1" applyFill="1" applyBorder="1" applyAlignment="1">
      <alignment horizontal="center" vertical="center"/>
    </xf>
    <xf numFmtId="166" fontId="5" fillId="3" borderId="1" xfId="1" applyNumberFormat="1" applyFill="1" applyBorder="1" applyAlignment="1">
      <alignment horizontal="center" vertical="center"/>
    </xf>
    <xf numFmtId="164" fontId="5" fillId="3" borderId="1" xfId="1" applyNumberFormat="1" applyFill="1" applyBorder="1" applyAlignment="1">
      <alignment horizontal="center" vertical="center"/>
    </xf>
    <xf numFmtId="2" fontId="5" fillId="3" borderId="1" xfId="1" applyNumberFormat="1" applyFill="1" applyBorder="1" applyAlignment="1">
      <alignment horizontal="center" vertical="center"/>
    </xf>
    <xf numFmtId="165" fontId="5" fillId="3" borderId="1" xfId="1" applyNumberForma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5" fillId="0" borderId="0" xfId="1" applyAlignment="1">
      <alignment horizontal="center" vertical="center"/>
    </xf>
    <xf numFmtId="0" fontId="12" fillId="2" borderId="1" xfId="2" applyFont="1" applyFill="1" applyBorder="1" applyAlignment="1">
      <alignment horizontal="right"/>
    </xf>
    <xf numFmtId="0" fontId="12" fillId="2" borderId="1" xfId="2" applyFont="1" applyFill="1" applyBorder="1" applyAlignment="1">
      <alignment horizontal="left"/>
    </xf>
    <xf numFmtId="0" fontId="7" fillId="3" borderId="1" xfId="2" applyFill="1" applyBorder="1" applyAlignment="1">
      <alignment horizontal="right"/>
    </xf>
    <xf numFmtId="166" fontId="7" fillId="3" borderId="1" xfId="2" applyNumberFormat="1" applyFill="1" applyBorder="1" applyAlignment="1">
      <alignment horizontal="right"/>
    </xf>
    <xf numFmtId="164" fontId="7" fillId="3" borderId="1" xfId="2" applyNumberFormat="1" applyFill="1" applyBorder="1" applyAlignment="1">
      <alignment horizontal="right"/>
    </xf>
    <xf numFmtId="2" fontId="7" fillId="3" borderId="1" xfId="2" applyNumberFormat="1" applyFill="1" applyBorder="1" applyAlignment="1">
      <alignment horizontal="right"/>
    </xf>
    <xf numFmtId="165" fontId="7" fillId="3" borderId="1" xfId="2" applyNumberFormat="1" applyFill="1" applyBorder="1" applyAlignment="1">
      <alignment horizontal="right"/>
    </xf>
    <xf numFmtId="0" fontId="7" fillId="3" borderId="1" xfId="2" applyFill="1" applyBorder="1" applyAlignment="1">
      <alignment horizontal="left"/>
    </xf>
    <xf numFmtId="164" fontId="7" fillId="3" borderId="1" xfId="2" applyNumberFormat="1" applyFill="1" applyBorder="1" applyAlignment="1">
      <alignment horizontal="left"/>
    </xf>
    <xf numFmtId="0" fontId="12" fillId="3" borderId="1" xfId="2" applyFont="1" applyFill="1" applyBorder="1" applyAlignment="1">
      <alignment horizontal="left"/>
    </xf>
    <xf numFmtId="0" fontId="10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0" fillId="3" borderId="1" xfId="1" applyNumberFormat="1" applyFont="1" applyFill="1" applyBorder="1" applyAlignment="1">
      <alignment horizontal="center" vertical="center"/>
    </xf>
    <xf numFmtId="165" fontId="10" fillId="3" borderId="1" xfId="1" applyNumberFormat="1" applyFont="1" applyFill="1" applyBorder="1" applyAlignment="1">
      <alignment horizontal="center" vertical="center"/>
    </xf>
    <xf numFmtId="166" fontId="10" fillId="3" borderId="1" xfId="1" applyNumberFormat="1" applyFont="1" applyFill="1" applyBorder="1" applyAlignment="1">
      <alignment horizontal="center" vertical="center"/>
    </xf>
    <xf numFmtId="2" fontId="10" fillId="3" borderId="1" xfId="1" applyNumberFormat="1" applyFont="1" applyFill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0" fontId="11" fillId="2" borderId="1" xfId="1" applyFont="1" applyFill="1" applyBorder="1" applyAlignment="1">
      <alignment horizontal="center" vertical="center"/>
    </xf>
    <xf numFmtId="0" fontId="13" fillId="4" borderId="1" xfId="1" applyFont="1" applyFill="1" applyBorder="1" applyAlignment="1">
      <alignment horizontal="center" vertical="center" wrapText="1"/>
    </xf>
    <xf numFmtId="0" fontId="17" fillId="0" borderId="0" xfId="3"/>
    <xf numFmtId="0" fontId="18" fillId="2" borderId="1" xfId="3" applyFont="1" applyFill="1" applyBorder="1" applyAlignment="1">
      <alignment horizontal="right"/>
    </xf>
    <xf numFmtId="0" fontId="18" fillId="2" borderId="1" xfId="3" applyFont="1" applyFill="1" applyBorder="1" applyAlignment="1">
      <alignment horizontal="left"/>
    </xf>
    <xf numFmtId="0" fontId="17" fillId="3" borderId="1" xfId="3" applyFill="1" applyBorder="1" applyAlignment="1">
      <alignment horizontal="right"/>
    </xf>
    <xf numFmtId="166" fontId="17" fillId="3" borderId="1" xfId="3" applyNumberFormat="1" applyFill="1" applyBorder="1" applyAlignment="1">
      <alignment horizontal="right"/>
    </xf>
    <xf numFmtId="164" fontId="17" fillId="3" borderId="1" xfId="3" applyNumberFormat="1" applyFill="1" applyBorder="1" applyAlignment="1">
      <alignment horizontal="right"/>
    </xf>
    <xf numFmtId="2" fontId="17" fillId="3" borderId="1" xfId="3" applyNumberFormat="1" applyFill="1" applyBorder="1" applyAlignment="1">
      <alignment horizontal="right"/>
    </xf>
    <xf numFmtId="165" fontId="17" fillId="3" borderId="1" xfId="3" applyNumberFormat="1" applyFill="1" applyBorder="1" applyAlignment="1">
      <alignment horizontal="right"/>
    </xf>
    <xf numFmtId="0" fontId="17" fillId="3" borderId="1" xfId="3" applyFill="1" applyBorder="1" applyAlignment="1">
      <alignment horizontal="left"/>
    </xf>
    <xf numFmtId="164" fontId="17" fillId="3" borderId="1" xfId="3" applyNumberFormat="1" applyFill="1" applyBorder="1" applyAlignment="1">
      <alignment horizontal="left"/>
    </xf>
    <xf numFmtId="0" fontId="18" fillId="3" borderId="1" xfId="3" applyFont="1" applyFill="1" applyBorder="1" applyAlignment="1">
      <alignment horizontal="left"/>
    </xf>
    <xf numFmtId="0" fontId="19" fillId="4" borderId="1" xfId="3" applyFont="1" applyFill="1" applyBorder="1" applyAlignment="1">
      <alignment horizontal="center" vertical="center" wrapText="1"/>
    </xf>
    <xf numFmtId="0" fontId="17" fillId="3" borderId="1" xfId="3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7" fillId="3" borderId="1" xfId="3" applyNumberFormat="1" applyFill="1" applyBorder="1" applyAlignment="1">
      <alignment horizontal="center" vertical="center"/>
    </xf>
    <xf numFmtId="165" fontId="17" fillId="3" borderId="1" xfId="3" applyNumberFormat="1" applyFill="1" applyBorder="1" applyAlignment="1">
      <alignment horizontal="center" vertical="center"/>
    </xf>
    <xf numFmtId="166" fontId="17" fillId="3" borderId="1" xfId="3" applyNumberFormat="1" applyFill="1" applyBorder="1" applyAlignment="1">
      <alignment horizontal="center" vertical="center"/>
    </xf>
    <xf numFmtId="2" fontId="17" fillId="3" borderId="1" xfId="3" applyNumberFormat="1" applyFill="1" applyBorder="1" applyAlignment="1">
      <alignment horizontal="center" vertical="center"/>
    </xf>
    <xf numFmtId="0" fontId="17" fillId="0" borderId="0" xfId="3" applyAlignment="1">
      <alignment horizontal="center" vertical="center"/>
    </xf>
    <xf numFmtId="0" fontId="18" fillId="2" borderId="1" xfId="3" applyFont="1" applyFill="1" applyBorder="1" applyAlignment="1">
      <alignment horizontal="center" vertical="center"/>
    </xf>
    <xf numFmtId="0" fontId="17" fillId="3" borderId="1" xfId="3" applyFill="1" applyBorder="1" applyAlignment="1">
      <alignment horizontal="center"/>
    </xf>
    <xf numFmtId="0" fontId="18" fillId="3" borderId="1" xfId="3" applyFont="1" applyFill="1" applyBorder="1" applyAlignment="1">
      <alignment horizontal="center"/>
    </xf>
    <xf numFmtId="164" fontId="17" fillId="3" borderId="1" xfId="3" applyNumberFormat="1" applyFill="1" applyBorder="1" applyAlignment="1">
      <alignment horizontal="center"/>
    </xf>
    <xf numFmtId="165" fontId="17" fillId="3" borderId="1" xfId="3" applyNumberFormat="1" applyFill="1" applyBorder="1" applyAlignment="1">
      <alignment horizontal="center"/>
    </xf>
    <xf numFmtId="166" fontId="17" fillId="3" borderId="1" xfId="3" applyNumberFormat="1" applyFill="1" applyBorder="1" applyAlignment="1">
      <alignment horizontal="center"/>
    </xf>
    <xf numFmtId="2" fontId="17" fillId="3" borderId="1" xfId="3" applyNumberFormat="1" applyFill="1" applyBorder="1" applyAlignment="1">
      <alignment horizontal="center"/>
    </xf>
    <xf numFmtId="0" fontId="17" fillId="0" borderId="0" xfId="3" applyAlignment="1">
      <alignment horizontal="center"/>
    </xf>
    <xf numFmtId="0" fontId="18" fillId="2" borderId="1" xfId="3" applyFont="1" applyFill="1" applyBorder="1" applyAlignment="1">
      <alignment horizontal="center"/>
    </xf>
    <xf numFmtId="14" fontId="17" fillId="3" borderId="1" xfId="3" applyNumberFormat="1" applyFill="1" applyBorder="1" applyAlignment="1">
      <alignment horizontal="center" vertical="center"/>
    </xf>
    <xf numFmtId="0" fontId="17" fillId="6" borderId="1" xfId="3" applyFill="1" applyBorder="1" applyAlignment="1">
      <alignment horizontal="center"/>
    </xf>
    <xf numFmtId="0" fontId="18" fillId="6" borderId="1" xfId="3" applyFont="1" applyFill="1" applyBorder="1" applyAlignment="1">
      <alignment horizontal="center"/>
    </xf>
    <xf numFmtId="164" fontId="17" fillId="6" borderId="1" xfId="3" applyNumberFormat="1" applyFill="1" applyBorder="1" applyAlignment="1">
      <alignment horizontal="center"/>
    </xf>
    <xf numFmtId="165" fontId="17" fillId="6" borderId="1" xfId="3" applyNumberFormat="1" applyFill="1" applyBorder="1" applyAlignment="1">
      <alignment horizontal="center"/>
    </xf>
    <xf numFmtId="166" fontId="17" fillId="6" borderId="1" xfId="3" applyNumberFormat="1" applyFill="1" applyBorder="1" applyAlignment="1">
      <alignment horizontal="center"/>
    </xf>
    <xf numFmtId="2" fontId="17" fillId="6" borderId="1" xfId="3" applyNumberFormat="1" applyFill="1" applyBorder="1" applyAlignment="1">
      <alignment horizontal="center"/>
    </xf>
    <xf numFmtId="0" fontId="17" fillId="6" borderId="0" xfId="3" applyFill="1" applyAlignment="1">
      <alignment horizontal="center"/>
    </xf>
    <xf numFmtId="14" fontId="17" fillId="3" borderId="1" xfId="3" applyNumberFormat="1" applyFill="1" applyBorder="1" applyAlignment="1">
      <alignment horizontal="center"/>
    </xf>
    <xf numFmtId="0" fontId="17" fillId="5" borderId="0" xfId="3" applyFill="1" applyAlignment="1">
      <alignment horizontal="center"/>
    </xf>
    <xf numFmtId="0" fontId="17" fillId="5" borderId="1" xfId="3" applyFill="1" applyBorder="1" applyAlignment="1">
      <alignment horizontal="center" vertical="center"/>
    </xf>
    <xf numFmtId="0" fontId="18" fillId="5" borderId="1" xfId="3" applyFont="1" applyFill="1" applyBorder="1" applyAlignment="1">
      <alignment horizontal="center" vertical="center"/>
    </xf>
    <xf numFmtId="164" fontId="17" fillId="5" borderId="1" xfId="3" applyNumberFormat="1" applyFill="1" applyBorder="1" applyAlignment="1">
      <alignment horizontal="center" vertical="center"/>
    </xf>
    <xf numFmtId="165" fontId="17" fillId="5" borderId="1" xfId="3" applyNumberFormat="1" applyFill="1" applyBorder="1" applyAlignment="1">
      <alignment horizontal="center" vertical="center"/>
    </xf>
    <xf numFmtId="166" fontId="17" fillId="5" borderId="1" xfId="3" applyNumberFormat="1" applyFill="1" applyBorder="1" applyAlignment="1">
      <alignment horizontal="center" vertical="center"/>
    </xf>
    <xf numFmtId="2" fontId="17" fillId="5" borderId="1" xfId="3" applyNumberFormat="1" applyFill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166" fontId="15" fillId="3" borderId="1" xfId="1" applyNumberFormat="1" applyFont="1" applyFill="1" applyBorder="1" applyAlignment="1">
      <alignment horizontal="center" vertical="center"/>
    </xf>
    <xf numFmtId="164" fontId="15" fillId="3" borderId="1" xfId="1" applyNumberFormat="1" applyFont="1" applyFill="1" applyBorder="1" applyAlignment="1">
      <alignment horizontal="center" vertical="center"/>
    </xf>
    <xf numFmtId="2" fontId="15" fillId="3" borderId="1" xfId="1" applyNumberFormat="1" applyFont="1" applyFill="1" applyBorder="1" applyAlignment="1">
      <alignment horizontal="center" vertical="center"/>
    </xf>
    <xf numFmtId="165" fontId="15" fillId="3" borderId="1" xfId="1" applyNumberFormat="1" applyFont="1" applyFill="1" applyBorder="1" applyAlignment="1">
      <alignment horizontal="center" vertical="center"/>
    </xf>
    <xf numFmtId="0" fontId="21" fillId="3" borderId="1" xfId="1" applyFont="1" applyFill="1" applyBorder="1" applyAlignment="1">
      <alignment horizontal="center" vertical="center"/>
    </xf>
    <xf numFmtId="14" fontId="17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5" fillId="3" borderId="1" xfId="1" applyNumberFormat="1" applyFill="1" applyBorder="1" applyAlignment="1">
      <alignment horizontal="center" vertical="center"/>
    </xf>
    <xf numFmtId="14" fontId="17" fillId="6" borderId="1" xfId="3" applyNumberFormat="1" applyFill="1" applyBorder="1" applyAlignment="1">
      <alignment horizontal="center"/>
    </xf>
    <xf numFmtId="0" fontId="15" fillId="3" borderId="1" xfId="3" applyFont="1" applyFill="1" applyBorder="1" applyAlignment="1">
      <alignment horizontal="center" vertical="center"/>
    </xf>
    <xf numFmtId="0" fontId="0" fillId="0" borderId="0" xfId="0"/>
    <xf numFmtId="0" fontId="17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164" fontId="17" fillId="3" borderId="1" xfId="0" applyNumberFormat="1" applyFont="1" applyFill="1" applyBorder="1" applyAlignment="1">
      <alignment horizontal="center" vertical="center"/>
    </xf>
    <xf numFmtId="165" fontId="17" fillId="3" borderId="1" xfId="0" applyNumberFormat="1" applyFont="1" applyFill="1" applyBorder="1" applyAlignment="1">
      <alignment horizontal="center" vertical="center"/>
    </xf>
    <xf numFmtId="166" fontId="17" fillId="3" borderId="1" xfId="0" applyNumberFormat="1" applyFont="1" applyFill="1" applyBorder="1" applyAlignment="1">
      <alignment horizontal="center" vertical="center"/>
    </xf>
    <xf numFmtId="2" fontId="17" fillId="3" borderId="1" xfId="0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7" fillId="0" borderId="1" xfId="3" applyFill="1" applyBorder="1" applyAlignment="1">
      <alignment horizontal="center" vertical="center"/>
    </xf>
    <xf numFmtId="0" fontId="18" fillId="0" borderId="1" xfId="3" applyFont="1" applyFill="1" applyBorder="1" applyAlignment="1">
      <alignment horizontal="center" vertical="center"/>
    </xf>
    <xf numFmtId="164" fontId="17" fillId="0" borderId="1" xfId="3" applyNumberFormat="1" applyFill="1" applyBorder="1" applyAlignment="1">
      <alignment horizontal="center" vertical="center"/>
    </xf>
    <xf numFmtId="165" fontId="17" fillId="0" borderId="1" xfId="3" applyNumberFormat="1" applyFill="1" applyBorder="1" applyAlignment="1">
      <alignment horizontal="center" vertical="center"/>
    </xf>
    <xf numFmtId="166" fontId="17" fillId="0" borderId="1" xfId="3" applyNumberFormat="1" applyFill="1" applyBorder="1" applyAlignment="1">
      <alignment horizontal="center" vertical="center"/>
    </xf>
    <xf numFmtId="2" fontId="17" fillId="0" borderId="1" xfId="3" applyNumberFormat="1" applyFill="1" applyBorder="1" applyAlignment="1">
      <alignment horizontal="center" vertical="center"/>
    </xf>
    <xf numFmtId="0" fontId="17" fillId="0" borderId="0" xfId="3" applyFill="1"/>
    <xf numFmtId="14" fontId="17" fillId="0" borderId="1" xfId="3" applyNumberFormat="1" applyFill="1" applyBorder="1" applyAlignment="1">
      <alignment horizontal="center" vertical="center"/>
    </xf>
    <xf numFmtId="0" fontId="24" fillId="4" borderId="1" xfId="3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164" fontId="27" fillId="3" borderId="1" xfId="3" applyNumberFormat="1" applyFont="1" applyFill="1" applyBorder="1" applyAlignment="1">
      <alignment horizontal="center" vertical="center"/>
    </xf>
    <xf numFmtId="165" fontId="27" fillId="3" borderId="1" xfId="3" applyNumberFormat="1" applyFont="1" applyFill="1" applyBorder="1" applyAlignment="1">
      <alignment horizontal="center" vertical="center"/>
    </xf>
    <xf numFmtId="166" fontId="27" fillId="3" borderId="1" xfId="3" applyNumberFormat="1" applyFont="1" applyFill="1" applyBorder="1" applyAlignment="1">
      <alignment horizontal="center" vertical="center"/>
    </xf>
    <xf numFmtId="2" fontId="27" fillId="3" borderId="1" xfId="3" applyNumberFormat="1" applyFont="1" applyFill="1" applyBorder="1" applyAlignment="1">
      <alignment horizontal="center" vertical="center"/>
    </xf>
    <xf numFmtId="14" fontId="27" fillId="3" borderId="1" xfId="3" applyNumberFormat="1" applyFont="1" applyFill="1" applyBorder="1" applyAlignment="1">
      <alignment horizontal="center" vertical="center"/>
    </xf>
    <xf numFmtId="0" fontId="26" fillId="2" borderId="1" xfId="3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right"/>
    </xf>
    <xf numFmtId="0" fontId="6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right"/>
    </xf>
    <xf numFmtId="166" fontId="5" fillId="3" borderId="1" xfId="1" applyNumberFormat="1" applyFill="1" applyBorder="1" applyAlignment="1">
      <alignment horizontal="right"/>
    </xf>
    <xf numFmtId="164" fontId="5" fillId="3" borderId="1" xfId="1" applyNumberFormat="1" applyFill="1" applyBorder="1" applyAlignment="1">
      <alignment horizontal="right"/>
    </xf>
    <xf numFmtId="2" fontId="5" fillId="3" borderId="1" xfId="1" applyNumberFormat="1" applyFill="1" applyBorder="1" applyAlignment="1">
      <alignment horizontal="right"/>
    </xf>
    <xf numFmtId="165" fontId="5" fillId="3" borderId="1" xfId="1" applyNumberFormat="1" applyFill="1" applyBorder="1" applyAlignment="1">
      <alignment horizontal="right"/>
    </xf>
    <xf numFmtId="0" fontId="5" fillId="3" borderId="1" xfId="1" applyFill="1" applyBorder="1" applyAlignment="1">
      <alignment horizontal="left"/>
    </xf>
    <xf numFmtId="164" fontId="5" fillId="3" borderId="1" xfId="1" applyNumberFormat="1" applyFill="1" applyBorder="1" applyAlignment="1">
      <alignment horizontal="left"/>
    </xf>
    <xf numFmtId="0" fontId="6" fillId="3" borderId="1" xfId="1" applyFont="1" applyFill="1" applyBorder="1" applyAlignment="1">
      <alignment horizontal="left"/>
    </xf>
    <xf numFmtId="0" fontId="5" fillId="0" borderId="0" xfId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1" fillId="3" borderId="1" xfId="3" applyFont="1" applyFill="1" applyBorder="1" applyAlignment="1">
      <alignment horizontal="center" vertical="center"/>
    </xf>
    <xf numFmtId="164" fontId="15" fillId="3" borderId="1" xfId="3" applyNumberFormat="1" applyFont="1" applyFill="1" applyBorder="1" applyAlignment="1">
      <alignment horizontal="center" vertical="center"/>
    </xf>
    <xf numFmtId="165" fontId="15" fillId="3" borderId="1" xfId="3" applyNumberFormat="1" applyFont="1" applyFill="1" applyBorder="1" applyAlignment="1">
      <alignment horizontal="center" vertical="center"/>
    </xf>
    <xf numFmtId="166" fontId="15" fillId="3" borderId="1" xfId="3" applyNumberFormat="1" applyFont="1" applyFill="1" applyBorder="1" applyAlignment="1">
      <alignment horizontal="center" vertical="center"/>
    </xf>
    <xf numFmtId="2" fontId="15" fillId="3" borderId="1" xfId="3" applyNumberFormat="1" applyFont="1" applyFill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7" fillId="7" borderId="1" xfId="3" applyFill="1" applyBorder="1" applyAlignment="1">
      <alignment horizontal="center" vertical="center"/>
    </xf>
    <xf numFmtId="0" fontId="18" fillId="7" borderId="1" xfId="3" applyFont="1" applyFill="1" applyBorder="1" applyAlignment="1">
      <alignment horizontal="center" vertical="center"/>
    </xf>
    <xf numFmtId="164" fontId="17" fillId="7" borderId="1" xfId="3" applyNumberFormat="1" applyFill="1" applyBorder="1" applyAlignment="1">
      <alignment horizontal="center" vertical="center"/>
    </xf>
    <xf numFmtId="165" fontId="17" fillId="7" borderId="1" xfId="3" applyNumberFormat="1" applyFill="1" applyBorder="1" applyAlignment="1">
      <alignment horizontal="center" vertical="center"/>
    </xf>
    <xf numFmtId="166" fontId="17" fillId="7" borderId="1" xfId="3" applyNumberFormat="1" applyFill="1" applyBorder="1" applyAlignment="1">
      <alignment horizontal="center" vertical="center"/>
    </xf>
    <xf numFmtId="2" fontId="17" fillId="7" borderId="1" xfId="3" applyNumberFormat="1" applyFill="1" applyBorder="1" applyAlignment="1">
      <alignment horizontal="center" vertical="center"/>
    </xf>
    <xf numFmtId="0" fontId="17" fillId="7" borderId="0" xfId="3" applyFill="1"/>
    <xf numFmtId="164" fontId="25" fillId="0" borderId="0" xfId="0" applyNumberFormat="1" applyFont="1" applyAlignment="1">
      <alignment horizontal="center" vertical="center"/>
    </xf>
    <xf numFmtId="0" fontId="15" fillId="0" borderId="0" xfId="3" applyFont="1"/>
    <xf numFmtId="0" fontId="6" fillId="2" borderId="1" xfId="3" applyFont="1" applyFill="1" applyBorder="1" applyAlignment="1">
      <alignment horizontal="right"/>
    </xf>
    <xf numFmtId="0" fontId="6" fillId="2" borderId="1" xfId="3" applyFont="1" applyFill="1" applyBorder="1" applyAlignment="1">
      <alignment horizontal="left"/>
    </xf>
    <xf numFmtId="0" fontId="5" fillId="3" borderId="1" xfId="3" applyFont="1" applyFill="1" applyBorder="1" applyAlignment="1">
      <alignment horizontal="right"/>
    </xf>
    <xf numFmtId="166" fontId="5" fillId="3" borderId="1" xfId="3" applyNumberFormat="1" applyFont="1" applyFill="1" applyBorder="1" applyAlignment="1">
      <alignment horizontal="right"/>
    </xf>
    <xf numFmtId="164" fontId="5" fillId="3" borderId="1" xfId="3" applyNumberFormat="1" applyFont="1" applyFill="1" applyBorder="1" applyAlignment="1">
      <alignment horizontal="right"/>
    </xf>
    <xf numFmtId="2" fontId="5" fillId="3" borderId="1" xfId="3" applyNumberFormat="1" applyFont="1" applyFill="1" applyBorder="1" applyAlignment="1">
      <alignment horizontal="right"/>
    </xf>
    <xf numFmtId="165" fontId="5" fillId="3" borderId="1" xfId="3" applyNumberFormat="1" applyFont="1" applyFill="1" applyBorder="1" applyAlignment="1">
      <alignment horizontal="right"/>
    </xf>
    <xf numFmtId="0" fontId="5" fillId="3" borderId="1" xfId="3" applyFont="1" applyFill="1" applyBorder="1" applyAlignment="1">
      <alignment horizontal="left"/>
    </xf>
    <xf numFmtId="164" fontId="5" fillId="3" borderId="1" xfId="3" applyNumberFormat="1" applyFont="1" applyFill="1" applyBorder="1" applyAlignment="1">
      <alignment horizontal="left"/>
    </xf>
    <xf numFmtId="0" fontId="6" fillId="3" borderId="1" xfId="3" applyFont="1" applyFill="1" applyBorder="1" applyAlignment="1">
      <alignment horizontal="left"/>
    </xf>
    <xf numFmtId="0" fontId="4" fillId="4" borderId="1" xfId="3" applyFont="1" applyFill="1" applyBorder="1" applyAlignment="1">
      <alignment horizontal="center" vertical="center" wrapText="1"/>
    </xf>
    <xf numFmtId="0" fontId="17" fillId="6" borderId="1" xfId="3" applyFill="1" applyBorder="1" applyAlignment="1">
      <alignment horizontal="center" vertical="center"/>
    </xf>
    <xf numFmtId="0" fontId="18" fillId="6" borderId="1" xfId="3" applyFont="1" applyFill="1" applyBorder="1" applyAlignment="1">
      <alignment horizontal="center" vertical="center"/>
    </xf>
    <xf numFmtId="164" fontId="17" fillId="6" borderId="1" xfId="3" applyNumberFormat="1" applyFill="1" applyBorder="1" applyAlignment="1">
      <alignment horizontal="center" vertical="center"/>
    </xf>
    <xf numFmtId="165" fontId="17" fillId="6" borderId="1" xfId="3" applyNumberFormat="1" applyFill="1" applyBorder="1" applyAlignment="1">
      <alignment horizontal="center" vertical="center"/>
    </xf>
    <xf numFmtId="166" fontId="17" fillId="6" borderId="1" xfId="3" applyNumberFormat="1" applyFill="1" applyBorder="1" applyAlignment="1">
      <alignment horizontal="center" vertical="center"/>
    </xf>
    <xf numFmtId="2" fontId="17" fillId="6" borderId="1" xfId="3" applyNumberFormat="1" applyFill="1" applyBorder="1" applyAlignment="1">
      <alignment horizontal="center" vertical="center"/>
    </xf>
    <xf numFmtId="1" fontId="5" fillId="0" borderId="0" xfId="1" applyNumberFormat="1"/>
    <xf numFmtId="1" fontId="4" fillId="4" borderId="1" xfId="1" applyNumberFormat="1" applyFont="1" applyFill="1" applyBorder="1" applyAlignment="1">
      <alignment horizontal="center" vertical="center" wrapText="1"/>
    </xf>
    <xf numFmtId="0" fontId="17" fillId="6" borderId="0" xfId="3" applyFill="1" applyAlignment="1">
      <alignment horizontal="center" vertical="center"/>
    </xf>
    <xf numFmtId="0" fontId="19" fillId="4" borderId="3" xfId="3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64" fontId="17" fillId="5" borderId="1" xfId="0" applyNumberFormat="1" applyFont="1" applyFill="1" applyBorder="1" applyAlignment="1">
      <alignment horizontal="center" vertical="center"/>
    </xf>
    <xf numFmtId="165" fontId="17" fillId="5" borderId="1" xfId="0" applyNumberFormat="1" applyFont="1" applyFill="1" applyBorder="1" applyAlignment="1">
      <alignment horizontal="center" vertical="center"/>
    </xf>
    <xf numFmtId="166" fontId="17" fillId="5" borderId="1" xfId="0" applyNumberFormat="1" applyFont="1" applyFill="1" applyBorder="1" applyAlignment="1">
      <alignment horizontal="center" vertical="center"/>
    </xf>
    <xf numFmtId="2" fontId="17" fillId="5" borderId="1" xfId="0" applyNumberFormat="1" applyFont="1" applyFill="1" applyBorder="1" applyAlignment="1">
      <alignment horizontal="center" vertical="center"/>
    </xf>
    <xf numFmtId="0" fontId="5" fillId="5" borderId="1" xfId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164" fontId="5" fillId="5" borderId="1" xfId="1" applyNumberFormat="1" applyFill="1" applyBorder="1" applyAlignment="1">
      <alignment horizontal="center" vertical="center"/>
    </xf>
    <xf numFmtId="165" fontId="5" fillId="5" borderId="1" xfId="1" applyNumberFormat="1" applyFill="1" applyBorder="1" applyAlignment="1">
      <alignment horizontal="center" vertical="center"/>
    </xf>
    <xf numFmtId="166" fontId="5" fillId="5" borderId="1" xfId="1" applyNumberFormat="1" applyFill="1" applyBorder="1" applyAlignment="1">
      <alignment horizontal="center" vertical="center"/>
    </xf>
    <xf numFmtId="2" fontId="5" fillId="5" borderId="1" xfId="1" applyNumberFormat="1" applyFill="1" applyBorder="1" applyAlignment="1">
      <alignment horizontal="center" vertical="center"/>
    </xf>
    <xf numFmtId="0" fontId="5" fillId="0" borderId="0" xfId="1" applyAlignment="1">
      <alignment wrapText="1"/>
    </xf>
    <xf numFmtId="0" fontId="5" fillId="6" borderId="1" xfId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1" fontId="5" fillId="6" borderId="1" xfId="1" applyNumberFormat="1" applyFill="1" applyBorder="1" applyAlignment="1">
      <alignment horizontal="center" vertical="center"/>
    </xf>
    <xf numFmtId="164" fontId="5" fillId="6" borderId="1" xfId="1" applyNumberFormat="1" applyFill="1" applyBorder="1" applyAlignment="1">
      <alignment horizontal="center" vertical="center"/>
    </xf>
    <xf numFmtId="165" fontId="5" fillId="6" borderId="1" xfId="1" applyNumberFormat="1" applyFill="1" applyBorder="1" applyAlignment="1">
      <alignment horizontal="center" vertical="center"/>
    </xf>
    <xf numFmtId="166" fontId="5" fillId="6" borderId="1" xfId="1" applyNumberFormat="1" applyFill="1" applyBorder="1" applyAlignment="1">
      <alignment horizontal="center" vertical="center"/>
    </xf>
    <xf numFmtId="2" fontId="5" fillId="6" borderId="1" xfId="1" applyNumberFormat="1" applyFill="1" applyBorder="1" applyAlignment="1">
      <alignment horizontal="center" vertical="center"/>
    </xf>
    <xf numFmtId="0" fontId="5" fillId="6" borderId="0" xfId="1" applyFill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164" fontId="17" fillId="6" borderId="1" xfId="0" applyNumberFormat="1" applyFont="1" applyFill="1" applyBorder="1" applyAlignment="1">
      <alignment horizontal="center" vertical="center"/>
    </xf>
    <xf numFmtId="165" fontId="17" fillId="6" borderId="1" xfId="0" applyNumberFormat="1" applyFont="1" applyFill="1" applyBorder="1" applyAlignment="1">
      <alignment horizontal="center" vertical="center"/>
    </xf>
    <xf numFmtId="166" fontId="17" fillId="6" borderId="1" xfId="0" applyNumberFormat="1" applyFont="1" applyFill="1" applyBorder="1" applyAlignment="1">
      <alignment horizontal="center" vertical="center"/>
    </xf>
    <xf numFmtId="2" fontId="1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6" fillId="2" borderId="1" xfId="1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164" fontId="17" fillId="3" borderId="1" xfId="0" applyNumberFormat="1" applyFont="1" applyFill="1" applyBorder="1" applyAlignment="1">
      <alignment horizontal="center"/>
    </xf>
    <xf numFmtId="165" fontId="17" fillId="3" borderId="1" xfId="0" applyNumberFormat="1" applyFont="1" applyFill="1" applyBorder="1" applyAlignment="1">
      <alignment horizontal="center"/>
    </xf>
    <xf numFmtId="166" fontId="17" fillId="3" borderId="1" xfId="0" applyNumberFormat="1" applyFont="1" applyFill="1" applyBorder="1" applyAlignment="1">
      <alignment horizontal="center"/>
    </xf>
    <xf numFmtId="2" fontId="17" fillId="3" borderId="1" xfId="0" applyNumberFormat="1" applyFont="1" applyFill="1" applyBorder="1" applyAlignment="1">
      <alignment horizontal="center"/>
    </xf>
    <xf numFmtId="0" fontId="4" fillId="4" borderId="1" xfId="1" applyFont="1" applyFill="1" applyBorder="1" applyAlignment="1">
      <alignment horizontal="center" wrapText="1"/>
    </xf>
    <xf numFmtId="0" fontId="5" fillId="3" borderId="1" xfId="1" applyFill="1" applyBorder="1" applyAlignment="1">
      <alignment horizontal="center"/>
    </xf>
    <xf numFmtId="0" fontId="6" fillId="3" borderId="1" xfId="1" applyFont="1" applyFill="1" applyBorder="1" applyAlignment="1">
      <alignment horizontal="center"/>
    </xf>
    <xf numFmtId="164" fontId="5" fillId="3" borderId="1" xfId="1" applyNumberFormat="1" applyFill="1" applyBorder="1" applyAlignment="1">
      <alignment horizontal="center"/>
    </xf>
    <xf numFmtId="165" fontId="5" fillId="3" borderId="1" xfId="1" applyNumberFormat="1" applyFill="1" applyBorder="1" applyAlignment="1">
      <alignment horizontal="center"/>
    </xf>
    <xf numFmtId="166" fontId="5" fillId="3" borderId="1" xfId="1" applyNumberFormat="1" applyFill="1" applyBorder="1" applyAlignment="1">
      <alignment horizontal="center"/>
    </xf>
    <xf numFmtId="2" fontId="5" fillId="3" borderId="1" xfId="1" applyNumberForma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164" fontId="5" fillId="3" borderId="1" xfId="3" applyNumberFormat="1" applyFont="1" applyFill="1" applyBorder="1" applyAlignment="1">
      <alignment horizontal="center"/>
    </xf>
    <xf numFmtId="165" fontId="5" fillId="3" borderId="1" xfId="3" applyNumberFormat="1" applyFont="1" applyFill="1" applyBorder="1" applyAlignment="1">
      <alignment horizontal="center"/>
    </xf>
    <xf numFmtId="166" fontId="5" fillId="3" borderId="1" xfId="3" applyNumberFormat="1" applyFont="1" applyFill="1" applyBorder="1" applyAlignment="1">
      <alignment horizontal="center"/>
    </xf>
    <xf numFmtId="2" fontId="5" fillId="3" borderId="1" xfId="3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164" fontId="3" fillId="0" borderId="0" xfId="0" applyNumberFormat="1" applyFont="1" applyAlignment="1">
      <alignment vertical="center" wrapText="1"/>
    </xf>
    <xf numFmtId="165" fontId="3" fillId="0" borderId="0" xfId="0" applyNumberFormat="1" applyFont="1" applyAlignment="1">
      <alignment vertical="center" wrapText="1"/>
    </xf>
    <xf numFmtId="166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0" fontId="29" fillId="0" borderId="0" xfId="5"/>
    <xf numFmtId="0" fontId="31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5" fillId="3" borderId="1" xfId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right"/>
    </xf>
    <xf numFmtId="165" fontId="5" fillId="3" borderId="1" xfId="1" applyNumberFormat="1" applyFont="1" applyFill="1" applyBorder="1" applyAlignment="1">
      <alignment horizontal="right"/>
    </xf>
    <xf numFmtId="166" fontId="5" fillId="3" borderId="1" xfId="1" applyNumberFormat="1" applyFont="1" applyFill="1" applyBorder="1" applyAlignment="1">
      <alignment horizontal="right"/>
    </xf>
    <xf numFmtId="2" fontId="5" fillId="3" borderId="1" xfId="1" applyNumberFormat="1" applyFont="1" applyFill="1" applyBorder="1" applyAlignment="1">
      <alignment horizontal="right"/>
    </xf>
    <xf numFmtId="0" fontId="5" fillId="3" borderId="1" xfId="1" applyFont="1" applyFill="1" applyBorder="1" applyAlignment="1">
      <alignment horizontal="right"/>
    </xf>
    <xf numFmtId="0" fontId="5" fillId="0" borderId="0" xfId="1" applyFont="1"/>
    <xf numFmtId="0" fontId="29" fillId="3" borderId="1" xfId="5" applyFill="1" applyBorder="1" applyAlignment="1">
      <alignment horizontal="center" vertical="center"/>
    </xf>
    <xf numFmtId="0" fontId="30" fillId="3" borderId="1" xfId="5" applyFont="1" applyFill="1" applyBorder="1" applyAlignment="1">
      <alignment horizontal="center" vertical="center"/>
    </xf>
    <xf numFmtId="164" fontId="29" fillId="3" borderId="1" xfId="5" applyNumberFormat="1" applyFill="1" applyBorder="1" applyAlignment="1">
      <alignment horizontal="center" vertical="center"/>
    </xf>
    <xf numFmtId="165" fontId="29" fillId="3" borderId="1" xfId="5" applyNumberFormat="1" applyFill="1" applyBorder="1" applyAlignment="1">
      <alignment horizontal="center" vertical="center"/>
    </xf>
    <xf numFmtId="166" fontId="29" fillId="3" borderId="1" xfId="5" applyNumberFormat="1" applyFill="1" applyBorder="1" applyAlignment="1">
      <alignment horizontal="center" vertical="center"/>
    </xf>
    <xf numFmtId="2" fontId="29" fillId="3" borderId="1" xfId="5" applyNumberFormat="1" applyFill="1" applyBorder="1" applyAlignment="1">
      <alignment horizontal="center" vertical="center"/>
    </xf>
    <xf numFmtId="0" fontId="29" fillId="0" borderId="0" xfId="5" applyAlignment="1">
      <alignment horizontal="center" vertical="center"/>
    </xf>
    <xf numFmtId="0" fontId="30" fillId="2" borderId="1" xfId="5" applyFont="1" applyFill="1" applyBorder="1" applyAlignment="1">
      <alignment horizontal="center" vertical="center"/>
    </xf>
    <xf numFmtId="0" fontId="31" fillId="4" borderId="3" xfId="5" applyFont="1" applyFill="1" applyBorder="1" applyAlignment="1">
      <alignment horizontal="center" vertical="center" wrapText="1"/>
    </xf>
    <xf numFmtId="0" fontId="30" fillId="2" borderId="4" xfId="5" applyFont="1" applyFill="1" applyBorder="1" applyAlignment="1">
      <alignment horizontal="left"/>
    </xf>
    <xf numFmtId="0" fontId="30" fillId="2" borderId="4" xfId="5" applyFont="1" applyFill="1" applyBorder="1" applyAlignment="1">
      <alignment horizontal="right"/>
    </xf>
    <xf numFmtId="0" fontId="29" fillId="3" borderId="2" xfId="5" applyFill="1" applyBorder="1" applyAlignment="1">
      <alignment horizontal="center" vertical="center"/>
    </xf>
    <xf numFmtId="0" fontId="30" fillId="3" borderId="2" xfId="5" applyFont="1" applyFill="1" applyBorder="1" applyAlignment="1">
      <alignment horizontal="center" vertical="center"/>
    </xf>
    <xf numFmtId="164" fontId="29" fillId="3" borderId="2" xfId="5" applyNumberFormat="1" applyFill="1" applyBorder="1" applyAlignment="1">
      <alignment horizontal="center" vertical="center"/>
    </xf>
    <xf numFmtId="165" fontId="29" fillId="3" borderId="2" xfId="5" applyNumberFormat="1" applyFill="1" applyBorder="1" applyAlignment="1">
      <alignment horizontal="center" vertical="center"/>
    </xf>
    <xf numFmtId="166" fontId="29" fillId="3" borderId="2" xfId="5" applyNumberFormat="1" applyFill="1" applyBorder="1" applyAlignment="1">
      <alignment horizontal="center" vertical="center"/>
    </xf>
    <xf numFmtId="2" fontId="29" fillId="3" borderId="2" xfId="5" applyNumberFormat="1" applyFill="1" applyBorder="1" applyAlignment="1">
      <alignment horizontal="center" vertical="center"/>
    </xf>
    <xf numFmtId="0" fontId="2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164" fontId="2" fillId="0" borderId="2" xfId="0" applyNumberFormat="1" applyFont="1" applyBorder="1" applyAlignment="1">
      <alignment horizontal="center" wrapText="1"/>
    </xf>
    <xf numFmtId="165" fontId="2" fillId="0" borderId="2" xfId="0" applyNumberFormat="1" applyFont="1" applyBorder="1" applyAlignment="1">
      <alignment horizontal="center" wrapText="1"/>
    </xf>
    <xf numFmtId="166" fontId="2" fillId="0" borderId="2" xfId="0" applyNumberFormat="1" applyFont="1" applyBorder="1" applyAlignment="1">
      <alignment horizontal="center" wrapText="1"/>
    </xf>
    <xf numFmtId="2" fontId="2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9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1" fillId="4" borderId="2" xfId="5" applyFont="1" applyFill="1" applyBorder="1" applyAlignment="1">
      <alignment horizontal="center" vertical="center" wrapText="1"/>
    </xf>
    <xf numFmtId="0" fontId="30" fillId="2" borderId="2" xfId="5" applyFont="1" applyFill="1" applyBorder="1" applyAlignment="1">
      <alignment horizontal="center" vertical="center"/>
    </xf>
    <xf numFmtId="0" fontId="29" fillId="3" borderId="1" xfId="5" applyFill="1" applyBorder="1" applyAlignment="1">
      <alignment horizontal="center"/>
    </xf>
    <xf numFmtId="0" fontId="30" fillId="3" borderId="1" xfId="5" applyFont="1" applyFill="1" applyBorder="1" applyAlignment="1">
      <alignment horizontal="center"/>
    </xf>
    <xf numFmtId="164" fontId="29" fillId="3" borderId="1" xfId="5" applyNumberFormat="1" applyFill="1" applyBorder="1" applyAlignment="1">
      <alignment horizontal="center"/>
    </xf>
    <xf numFmtId="165" fontId="29" fillId="3" borderId="1" xfId="5" applyNumberFormat="1" applyFill="1" applyBorder="1" applyAlignment="1">
      <alignment horizontal="center"/>
    </xf>
    <xf numFmtId="166" fontId="29" fillId="3" borderId="1" xfId="5" applyNumberFormat="1" applyFill="1" applyBorder="1" applyAlignment="1">
      <alignment horizontal="center"/>
    </xf>
    <xf numFmtId="2" fontId="29" fillId="3" borderId="1" xfId="5" applyNumberFormat="1" applyFill="1" applyBorder="1" applyAlignment="1">
      <alignment horizontal="center"/>
    </xf>
    <xf numFmtId="0" fontId="29" fillId="0" borderId="0" xfId="5" applyAlignment="1">
      <alignment horizontal="center"/>
    </xf>
    <xf numFmtId="0" fontId="30" fillId="2" borderId="1" xfId="5" applyFont="1" applyFill="1" applyBorder="1" applyAlignment="1">
      <alignment horizontal="center"/>
    </xf>
    <xf numFmtId="0" fontId="29" fillId="3" borderId="1" xfId="0" applyFont="1" applyFill="1" applyBorder="1" applyAlignment="1">
      <alignment horizontal="right"/>
    </xf>
    <xf numFmtId="166" fontId="29" fillId="3" borderId="1" xfId="0" applyNumberFormat="1" applyFont="1" applyFill="1" applyBorder="1" applyAlignment="1">
      <alignment horizontal="right"/>
    </xf>
    <xf numFmtId="164" fontId="29" fillId="3" borderId="1" xfId="0" applyNumberFormat="1" applyFont="1" applyFill="1" applyBorder="1" applyAlignment="1">
      <alignment horizontal="right"/>
    </xf>
    <xf numFmtId="2" fontId="29" fillId="3" borderId="1" xfId="0" applyNumberFormat="1" applyFont="1" applyFill="1" applyBorder="1" applyAlignment="1">
      <alignment horizontal="right"/>
    </xf>
    <xf numFmtId="165" fontId="29" fillId="3" borderId="1" xfId="0" applyNumberFormat="1" applyFont="1" applyFill="1" applyBorder="1" applyAlignment="1">
      <alignment horizontal="right"/>
    </xf>
    <xf numFmtId="0" fontId="29" fillId="3" borderId="1" xfId="0" applyFont="1" applyFill="1" applyBorder="1" applyAlignment="1">
      <alignment horizontal="left"/>
    </xf>
    <xf numFmtId="164" fontId="29" fillId="3" borderId="1" xfId="0" applyNumberFormat="1" applyFont="1" applyFill="1" applyBorder="1" applyAlignment="1">
      <alignment horizontal="left"/>
    </xf>
    <xf numFmtId="0" fontId="30" fillId="3" borderId="1" xfId="0" applyFont="1" applyFill="1" applyBorder="1" applyAlignment="1">
      <alignment horizontal="left"/>
    </xf>
    <xf numFmtId="0" fontId="18" fillId="2" borderId="2" xfId="3" applyFont="1" applyFill="1" applyBorder="1" applyAlignment="1">
      <alignment horizontal="center" vertical="center"/>
    </xf>
    <xf numFmtId="0" fontId="0" fillId="6" borderId="2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0" fillId="6" borderId="2" xfId="0" applyNumberFormat="1" applyFont="1" applyFill="1" applyBorder="1" applyAlignment="1">
      <alignment horizontal="center" vertical="center" wrapText="1"/>
    </xf>
    <xf numFmtId="164" fontId="0" fillId="6" borderId="2" xfId="0" applyNumberFormat="1" applyFont="1" applyFill="1" applyBorder="1" applyAlignment="1">
      <alignment horizontal="center" vertical="center" wrapText="1"/>
    </xf>
    <xf numFmtId="165" fontId="0" fillId="6" borderId="2" xfId="0" applyNumberFormat="1" applyFont="1" applyFill="1" applyBorder="1" applyAlignment="1">
      <alignment horizontal="center" vertical="center" wrapText="1"/>
    </xf>
    <xf numFmtId="166" fontId="0" fillId="6" borderId="2" xfId="0" applyNumberFormat="1" applyFont="1" applyFill="1" applyBorder="1" applyAlignment="1">
      <alignment horizontal="center" vertical="center" wrapText="1"/>
    </xf>
    <xf numFmtId="2" fontId="0" fillId="6" borderId="2" xfId="0" applyNumberFormat="1" applyFont="1" applyFill="1" applyBorder="1" applyAlignment="1">
      <alignment horizontal="center" vertical="center" wrapText="1"/>
    </xf>
    <xf numFmtId="0" fontId="0" fillId="6" borderId="0" xfId="0" applyFont="1" applyFill="1" applyAlignment="1"/>
    <xf numFmtId="0" fontId="29" fillId="6" borderId="2" xfId="5" applyFill="1" applyBorder="1" applyAlignment="1">
      <alignment horizontal="center" vertical="center"/>
    </xf>
    <xf numFmtId="0" fontId="5" fillId="6" borderId="2" xfId="5" applyFont="1" applyFill="1" applyBorder="1" applyAlignment="1">
      <alignment horizontal="center" vertical="center"/>
    </xf>
    <xf numFmtId="164" fontId="29" fillId="6" borderId="2" xfId="5" applyNumberFormat="1" applyFill="1" applyBorder="1" applyAlignment="1">
      <alignment horizontal="center" vertical="center"/>
    </xf>
    <xf numFmtId="165" fontId="29" fillId="6" borderId="2" xfId="5" applyNumberFormat="1" applyFill="1" applyBorder="1" applyAlignment="1">
      <alignment horizontal="center" vertical="center"/>
    </xf>
    <xf numFmtId="166" fontId="29" fillId="6" borderId="2" xfId="5" applyNumberFormat="1" applyFill="1" applyBorder="1" applyAlignment="1">
      <alignment horizontal="center" vertical="center"/>
    </xf>
    <xf numFmtId="2" fontId="29" fillId="6" borderId="2" xfId="5" applyNumberFormat="1" applyFill="1" applyBorder="1" applyAlignment="1">
      <alignment horizontal="center" vertical="center"/>
    </xf>
    <xf numFmtId="0" fontId="29" fillId="6" borderId="0" xfId="5" applyFill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164" fontId="5" fillId="6" borderId="2" xfId="0" applyNumberFormat="1" applyFont="1" applyFill="1" applyBorder="1" applyAlignment="1">
      <alignment horizontal="center" vertical="center"/>
    </xf>
    <xf numFmtId="165" fontId="5" fillId="6" borderId="2" xfId="0" applyNumberFormat="1" applyFont="1" applyFill="1" applyBorder="1" applyAlignment="1">
      <alignment horizontal="center" vertical="center"/>
    </xf>
    <xf numFmtId="166" fontId="5" fillId="6" borderId="2" xfId="0" applyNumberFormat="1" applyFont="1" applyFill="1" applyBorder="1" applyAlignment="1">
      <alignment horizontal="center" vertical="center"/>
    </xf>
    <xf numFmtId="2" fontId="5" fillId="6" borderId="2" xfId="0" applyNumberFormat="1" applyFont="1" applyFill="1" applyBorder="1" applyAlignment="1">
      <alignment horizontal="center" vertical="center"/>
    </xf>
    <xf numFmtId="0" fontId="9" fillId="0" borderId="0" xfId="1" applyFont="1"/>
    <xf numFmtId="0" fontId="32" fillId="0" borderId="0" xfId="5" applyFont="1"/>
    <xf numFmtId="0" fontId="9" fillId="0" borderId="0" xfId="5" applyFont="1"/>
    <xf numFmtId="0" fontId="9" fillId="0" borderId="0" xfId="5" applyFont="1" applyAlignment="1">
      <alignment horizontal="center" vertical="center"/>
    </xf>
    <xf numFmtId="0" fontId="9" fillId="0" borderId="2" xfId="5" applyFont="1" applyBorder="1"/>
    <xf numFmtId="0" fontId="9" fillId="0" borderId="0" xfId="1" applyFont="1" applyAlignment="1">
      <alignment horizontal="center" vertical="center"/>
    </xf>
    <xf numFmtId="0" fontId="9" fillId="0" borderId="0" xfId="3" applyFont="1"/>
    <xf numFmtId="0" fontId="9" fillId="0" borderId="0" xfId="1" applyFont="1" applyAlignment="1">
      <alignment horizontal="center"/>
    </xf>
    <xf numFmtId="0" fontId="23" fillId="0" borderId="0" xfId="3" applyFont="1"/>
    <xf numFmtId="0" fontId="9" fillId="0" borderId="0" xfId="3" applyFont="1" applyAlignment="1">
      <alignment horizontal="center" vertical="center"/>
    </xf>
    <xf numFmtId="0" fontId="20" fillId="0" borderId="0" xfId="3" applyFont="1"/>
    <xf numFmtId="0" fontId="14" fillId="0" borderId="0" xfId="1" applyFont="1"/>
    <xf numFmtId="0" fontId="9" fillId="0" borderId="0" xfId="2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tabSelected="1" workbookViewId="0">
      <selection activeCell="W29" sqref="W29"/>
    </sheetView>
  </sheetViews>
  <sheetFormatPr defaultRowHeight="14.4" x14ac:dyDescent="0.3"/>
  <cols>
    <col min="1" max="1" width="5.2187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33203125" style="228" customWidth="1"/>
    <col min="6" max="6" width="4.33203125" style="228" customWidth="1"/>
    <col min="7" max="7" width="5.6640625" style="228" customWidth="1"/>
    <col min="8" max="8" width="6.109375" style="228" customWidth="1"/>
    <col min="9" max="9" width="6.44140625" style="228" customWidth="1"/>
    <col min="10" max="10" width="6.77734375" style="228" customWidth="1"/>
    <col min="11" max="11" width="14.441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.77734375" style="228" customWidth="1"/>
    <col min="19" max="19" width="6.3320312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8" style="228" customWidth="1"/>
    <col min="25" max="27" width="7.77734375" style="228" customWidth="1"/>
    <col min="28" max="28" width="4.5546875" style="228" customWidth="1"/>
    <col min="29" max="29" width="16.44140625" style="228" customWidth="1"/>
    <col min="30" max="16384" width="8.88671875" style="228"/>
  </cols>
  <sheetData>
    <row r="1" spans="1:29" ht="18" customHeight="1" x14ac:dyDescent="0.35">
      <c r="A1" s="319" t="s">
        <v>888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1.4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718</v>
      </c>
      <c r="C3" s="244" t="s">
        <v>26</v>
      </c>
      <c r="D3" s="244" t="s">
        <v>849</v>
      </c>
      <c r="E3" s="244">
        <v>263069</v>
      </c>
      <c r="F3" s="244" t="s">
        <v>870</v>
      </c>
      <c r="G3" s="244">
        <v>500</v>
      </c>
      <c r="H3" s="246">
        <v>0.77200000000000002</v>
      </c>
      <c r="I3" s="246">
        <v>2.46</v>
      </c>
      <c r="J3" s="244" t="s">
        <v>27</v>
      </c>
      <c r="K3" s="244" t="s">
        <v>887</v>
      </c>
      <c r="L3" s="244" t="s">
        <v>27</v>
      </c>
      <c r="M3" s="246">
        <v>949.56</v>
      </c>
      <c r="N3" s="247">
        <v>615</v>
      </c>
      <c r="O3" s="248">
        <v>8.5400000000000004E-2</v>
      </c>
      <c r="P3" s="249">
        <v>5.13</v>
      </c>
      <c r="Q3" s="244">
        <v>510.9</v>
      </c>
      <c r="R3" s="244">
        <v>2</v>
      </c>
      <c r="S3" s="244">
        <v>1600</v>
      </c>
      <c r="T3" s="246">
        <v>1.544</v>
      </c>
      <c r="U3" s="244">
        <v>56</v>
      </c>
      <c r="V3" s="248">
        <v>3.5000000000000003E-2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886</v>
      </c>
    </row>
    <row r="4" spans="1:29" s="250" customFormat="1" ht="25.05" customHeight="1" x14ac:dyDescent="0.3">
      <c r="A4" s="244">
        <v>2</v>
      </c>
      <c r="B4" s="245" t="s">
        <v>718</v>
      </c>
      <c r="C4" s="244" t="s">
        <v>26</v>
      </c>
      <c r="D4" s="244" t="s">
        <v>849</v>
      </c>
      <c r="E4" s="244">
        <v>263061</v>
      </c>
      <c r="F4" s="244" t="s">
        <v>870</v>
      </c>
      <c r="G4" s="244">
        <v>800</v>
      </c>
      <c r="H4" s="246">
        <v>0.76600000000000001</v>
      </c>
      <c r="I4" s="246">
        <v>1.43</v>
      </c>
      <c r="J4" s="244" t="s">
        <v>27</v>
      </c>
      <c r="K4" s="244" t="s">
        <v>885</v>
      </c>
      <c r="L4" s="244" t="s">
        <v>27</v>
      </c>
      <c r="M4" s="246">
        <v>876.30399999999997</v>
      </c>
      <c r="N4" s="247">
        <v>572</v>
      </c>
      <c r="O4" s="248">
        <v>7.9399999999999998E-2</v>
      </c>
      <c r="P4" s="249">
        <v>4.7699999999999996</v>
      </c>
      <c r="Q4" s="244">
        <v>471.5</v>
      </c>
      <c r="R4" s="244">
        <v>2</v>
      </c>
      <c r="S4" s="244">
        <v>1600</v>
      </c>
      <c r="T4" s="246">
        <v>1.532</v>
      </c>
      <c r="U4" s="244">
        <v>68</v>
      </c>
      <c r="V4" s="248">
        <v>4.2500000000000003E-2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48</v>
      </c>
      <c r="AC4" s="244" t="s">
        <v>69</v>
      </c>
    </row>
    <row r="5" spans="1:29" s="250" customFormat="1" ht="25.05" customHeight="1" x14ac:dyDescent="0.3">
      <c r="A5" s="244">
        <v>3</v>
      </c>
      <c r="B5" s="245" t="s">
        <v>718</v>
      </c>
      <c r="C5" s="244" t="s">
        <v>26</v>
      </c>
      <c r="D5" s="244" t="s">
        <v>849</v>
      </c>
      <c r="E5" s="244">
        <v>263070</v>
      </c>
      <c r="F5" s="244" t="s">
        <v>870</v>
      </c>
      <c r="G5" s="244">
        <v>550</v>
      </c>
      <c r="H5" s="246">
        <v>0.73599999999999999</v>
      </c>
      <c r="I5" s="246">
        <v>1.41</v>
      </c>
      <c r="J5" s="244" t="s">
        <v>27</v>
      </c>
      <c r="K5" s="244" t="s">
        <v>884</v>
      </c>
      <c r="L5" s="244" t="s">
        <v>27</v>
      </c>
      <c r="M5" s="246">
        <v>570.76800000000003</v>
      </c>
      <c r="N5" s="247">
        <v>387.8</v>
      </c>
      <c r="O5" s="248">
        <v>5.3900000000000003E-2</v>
      </c>
      <c r="P5" s="249">
        <v>3.23</v>
      </c>
      <c r="Q5" s="244">
        <v>307.10000000000002</v>
      </c>
      <c r="R5" s="244">
        <v>2</v>
      </c>
      <c r="S5" s="244">
        <v>1500</v>
      </c>
      <c r="T5" s="246">
        <v>1.472</v>
      </c>
      <c r="U5" s="244">
        <v>28</v>
      </c>
      <c r="V5" s="248">
        <v>1.8700000000000001E-2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30</v>
      </c>
      <c r="AC5" s="244" t="s">
        <v>883</v>
      </c>
    </row>
    <row r="6" spans="1:29" s="250" customFormat="1" ht="25.05" customHeight="1" x14ac:dyDescent="0.3">
      <c r="A6" s="244">
        <v>4</v>
      </c>
      <c r="B6" s="245" t="s">
        <v>718</v>
      </c>
      <c r="C6" s="244" t="s">
        <v>26</v>
      </c>
      <c r="D6" s="244" t="s">
        <v>849</v>
      </c>
      <c r="E6" s="244">
        <v>263074</v>
      </c>
      <c r="F6" s="244" t="s">
        <v>870</v>
      </c>
      <c r="G6" s="244">
        <v>200</v>
      </c>
      <c r="H6" s="246">
        <v>1.4159999999999999</v>
      </c>
      <c r="I6" s="246">
        <v>2.0299999999999998</v>
      </c>
      <c r="J6" s="244" t="s">
        <v>27</v>
      </c>
      <c r="K6" s="244" t="s">
        <v>659</v>
      </c>
      <c r="L6" s="244" t="s">
        <v>27</v>
      </c>
      <c r="M6" s="246">
        <v>574.89599999999996</v>
      </c>
      <c r="N6" s="247">
        <v>406</v>
      </c>
      <c r="O6" s="248">
        <v>0.1128</v>
      </c>
      <c r="P6" s="249">
        <v>6.77</v>
      </c>
      <c r="Q6" s="244">
        <v>309.3</v>
      </c>
      <c r="R6" s="244">
        <v>1</v>
      </c>
      <c r="S6" s="244">
        <v>1450</v>
      </c>
      <c r="T6" s="246">
        <v>1.4159999999999999</v>
      </c>
      <c r="U6" s="244">
        <v>34</v>
      </c>
      <c r="V6" s="248">
        <v>2.3400000000000001E-2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32</v>
      </c>
      <c r="AC6" s="244" t="s">
        <v>658</v>
      </c>
    </row>
    <row r="7" spans="1:29" s="250" customFormat="1" ht="25.05" customHeight="1" x14ac:dyDescent="0.3">
      <c r="A7" s="244">
        <v>5</v>
      </c>
      <c r="B7" s="245" t="s">
        <v>718</v>
      </c>
      <c r="C7" s="244" t="s">
        <v>26</v>
      </c>
      <c r="D7" s="244" t="s">
        <v>849</v>
      </c>
      <c r="E7" s="244">
        <v>263060</v>
      </c>
      <c r="F7" s="244" t="s">
        <v>870</v>
      </c>
      <c r="G7" s="244">
        <v>685</v>
      </c>
      <c r="H7" s="246">
        <v>0.66600000000000004</v>
      </c>
      <c r="I7" s="246">
        <v>1.23</v>
      </c>
      <c r="J7" s="244" t="s">
        <v>27</v>
      </c>
      <c r="K7" s="244" t="s">
        <v>882</v>
      </c>
      <c r="L7" s="244" t="s">
        <v>27</v>
      </c>
      <c r="M7" s="246">
        <v>561.13800000000003</v>
      </c>
      <c r="N7" s="247">
        <v>421.3</v>
      </c>
      <c r="O7" s="248">
        <v>5.8500000000000003E-2</v>
      </c>
      <c r="P7" s="249">
        <v>3.51</v>
      </c>
      <c r="Q7" s="244">
        <v>301.89999999999998</v>
      </c>
      <c r="R7" s="244">
        <v>2</v>
      </c>
      <c r="S7" s="244">
        <v>1400</v>
      </c>
      <c r="T7" s="246">
        <v>1.3320000000000001</v>
      </c>
      <c r="U7" s="244">
        <v>68</v>
      </c>
      <c r="V7" s="248">
        <v>4.8599999999999997E-2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31</v>
      </c>
      <c r="AC7" s="244" t="s">
        <v>881</v>
      </c>
    </row>
    <row r="8" spans="1:29" s="250" customFormat="1" ht="25.05" customHeight="1" x14ac:dyDescent="0.3">
      <c r="A8" s="244">
        <v>6</v>
      </c>
      <c r="B8" s="245" t="s">
        <v>718</v>
      </c>
      <c r="C8" s="244" t="s">
        <v>26</v>
      </c>
      <c r="D8" s="244" t="s">
        <v>849</v>
      </c>
      <c r="E8" s="244">
        <v>263075</v>
      </c>
      <c r="F8" s="244" t="s">
        <v>870</v>
      </c>
      <c r="G8" s="244">
        <v>300</v>
      </c>
      <c r="H8" s="246">
        <v>1.216</v>
      </c>
      <c r="I8" s="246">
        <v>2.298</v>
      </c>
      <c r="J8" s="244" t="s">
        <v>27</v>
      </c>
      <c r="K8" s="244" t="s">
        <v>880</v>
      </c>
      <c r="L8" s="244" t="s">
        <v>27</v>
      </c>
      <c r="M8" s="246">
        <v>838.31</v>
      </c>
      <c r="N8" s="247">
        <v>689.4</v>
      </c>
      <c r="O8" s="248">
        <v>0.1915</v>
      </c>
      <c r="P8" s="249">
        <v>11.49</v>
      </c>
      <c r="Q8" s="244">
        <v>451</v>
      </c>
      <c r="R8" s="244">
        <v>1</v>
      </c>
      <c r="S8" s="244">
        <v>1250</v>
      </c>
      <c r="T8" s="246">
        <v>1.216</v>
      </c>
      <c r="U8" s="244">
        <v>34</v>
      </c>
      <c r="V8" s="248">
        <v>2.7199999999999998E-2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32</v>
      </c>
      <c r="AC8" s="244" t="s">
        <v>879</v>
      </c>
    </row>
    <row r="9" spans="1:29" s="250" customFormat="1" ht="25.05" customHeight="1" x14ac:dyDescent="0.3">
      <c r="A9" s="244">
        <v>7</v>
      </c>
      <c r="B9" s="245" t="s">
        <v>718</v>
      </c>
      <c r="C9" s="244" t="s">
        <v>26</v>
      </c>
      <c r="D9" s="244" t="s">
        <v>849</v>
      </c>
      <c r="E9" s="244">
        <v>263068</v>
      </c>
      <c r="F9" s="244" t="s">
        <v>870</v>
      </c>
      <c r="G9" s="244">
        <v>450</v>
      </c>
      <c r="H9" s="246">
        <v>1.131</v>
      </c>
      <c r="I9" s="246">
        <v>1.1399999999999999</v>
      </c>
      <c r="J9" s="244" t="s">
        <v>27</v>
      </c>
      <c r="K9" s="244" t="s">
        <v>878</v>
      </c>
      <c r="L9" s="244" t="s">
        <v>27</v>
      </c>
      <c r="M9" s="246">
        <v>580.20299999999997</v>
      </c>
      <c r="N9" s="247">
        <v>513</v>
      </c>
      <c r="O9" s="248">
        <v>0.14249999999999999</v>
      </c>
      <c r="P9" s="249">
        <v>8.5500000000000007</v>
      </c>
      <c r="Q9" s="244">
        <v>312.10000000000002</v>
      </c>
      <c r="R9" s="244">
        <v>1</v>
      </c>
      <c r="S9" s="244">
        <v>1200</v>
      </c>
      <c r="T9" s="246">
        <v>1.131</v>
      </c>
      <c r="U9" s="244">
        <v>69</v>
      </c>
      <c r="V9" s="248">
        <v>5.7500000000000002E-2</v>
      </c>
      <c r="W9" s="244" t="s">
        <v>28</v>
      </c>
      <c r="X9" s="244" t="s">
        <v>29</v>
      </c>
      <c r="Y9" s="244" t="s">
        <v>28</v>
      </c>
      <c r="Z9" s="244" t="s">
        <v>28</v>
      </c>
      <c r="AA9" s="244" t="s">
        <v>28</v>
      </c>
      <c r="AB9" s="244" t="s">
        <v>30</v>
      </c>
      <c r="AC9" s="244" t="s">
        <v>877</v>
      </c>
    </row>
    <row r="10" spans="1:29" s="250" customFormat="1" ht="25.05" customHeight="1" x14ac:dyDescent="0.3">
      <c r="A10" s="244">
        <v>8</v>
      </c>
      <c r="B10" s="245" t="s">
        <v>718</v>
      </c>
      <c r="C10" s="244" t="s">
        <v>26</v>
      </c>
      <c r="D10" s="244" t="s">
        <v>849</v>
      </c>
      <c r="E10" s="244">
        <v>263073</v>
      </c>
      <c r="F10" s="244" t="s">
        <v>870</v>
      </c>
      <c r="G10" s="244">
        <v>260</v>
      </c>
      <c r="H10" s="246">
        <v>1.1559999999999999</v>
      </c>
      <c r="I10" s="246">
        <v>1.87</v>
      </c>
      <c r="J10" s="244" t="s">
        <v>27</v>
      </c>
      <c r="K10" s="244" t="s">
        <v>655</v>
      </c>
      <c r="L10" s="244" t="s">
        <v>27</v>
      </c>
      <c r="M10" s="246">
        <v>562.04700000000003</v>
      </c>
      <c r="N10" s="247">
        <v>486.2</v>
      </c>
      <c r="O10" s="248">
        <v>0.1351</v>
      </c>
      <c r="P10" s="249">
        <v>8.1</v>
      </c>
      <c r="Q10" s="244">
        <v>302.39999999999998</v>
      </c>
      <c r="R10" s="244">
        <v>1</v>
      </c>
      <c r="S10" s="244">
        <v>1200</v>
      </c>
      <c r="T10" s="246">
        <v>1.1559999999999999</v>
      </c>
      <c r="U10" s="244">
        <v>44</v>
      </c>
      <c r="V10" s="248">
        <v>3.6700000000000003E-2</v>
      </c>
      <c r="W10" s="244" t="s">
        <v>28</v>
      </c>
      <c r="X10" s="244" t="s">
        <v>29</v>
      </c>
      <c r="Y10" s="244" t="s">
        <v>28</v>
      </c>
      <c r="Z10" s="244" t="s">
        <v>28</v>
      </c>
      <c r="AA10" s="244" t="s">
        <v>28</v>
      </c>
      <c r="AB10" s="244" t="s">
        <v>32</v>
      </c>
      <c r="AC10" s="244" t="s">
        <v>654</v>
      </c>
    </row>
    <row r="11" spans="1:29" s="250" customFormat="1" ht="25.05" customHeight="1" x14ac:dyDescent="0.3">
      <c r="A11" s="244">
        <v>9</v>
      </c>
      <c r="B11" s="245" t="s">
        <v>718</v>
      </c>
      <c r="C11" s="244" t="s">
        <v>26</v>
      </c>
      <c r="D11" s="244" t="s">
        <v>849</v>
      </c>
      <c r="E11" s="244">
        <v>263071</v>
      </c>
      <c r="F11" s="244" t="s">
        <v>870</v>
      </c>
      <c r="G11" s="244">
        <v>500</v>
      </c>
      <c r="H11" s="246">
        <v>1.1559999999999999</v>
      </c>
      <c r="I11" s="246">
        <v>1.85</v>
      </c>
      <c r="J11" s="244" t="s">
        <v>27</v>
      </c>
      <c r="K11" s="244" t="s">
        <v>876</v>
      </c>
      <c r="L11" s="244" t="s">
        <v>27</v>
      </c>
      <c r="M11" s="246">
        <v>1069.3</v>
      </c>
      <c r="N11" s="247">
        <v>925</v>
      </c>
      <c r="O11" s="248">
        <v>0.25690000000000002</v>
      </c>
      <c r="P11" s="249">
        <v>15.42</v>
      </c>
      <c r="Q11" s="244">
        <v>575.29999999999995</v>
      </c>
      <c r="R11" s="244">
        <v>1</v>
      </c>
      <c r="S11" s="244">
        <v>1200</v>
      </c>
      <c r="T11" s="246">
        <v>1.1559999999999999</v>
      </c>
      <c r="U11" s="244">
        <v>44</v>
      </c>
      <c r="V11" s="248">
        <v>3.6700000000000003E-2</v>
      </c>
      <c r="W11" s="244" t="s">
        <v>28</v>
      </c>
      <c r="X11" s="244" t="s">
        <v>29</v>
      </c>
      <c r="Y11" s="244" t="s">
        <v>28</v>
      </c>
      <c r="Z11" s="244" t="s">
        <v>28</v>
      </c>
      <c r="AA11" s="244" t="s">
        <v>28</v>
      </c>
      <c r="AB11" s="244" t="s">
        <v>30</v>
      </c>
      <c r="AC11" s="244" t="s">
        <v>875</v>
      </c>
    </row>
    <row r="12" spans="1:29" s="250" customFormat="1" ht="25.05" customHeight="1" x14ac:dyDescent="0.3">
      <c r="A12" s="244">
        <v>10</v>
      </c>
      <c r="B12" s="245" t="s">
        <v>718</v>
      </c>
      <c r="C12" s="244" t="s">
        <v>26</v>
      </c>
      <c r="D12" s="244" t="s">
        <v>849</v>
      </c>
      <c r="E12" s="244">
        <v>263067</v>
      </c>
      <c r="F12" s="244" t="s">
        <v>870</v>
      </c>
      <c r="G12" s="244">
        <v>300</v>
      </c>
      <c r="H12" s="246">
        <v>1.1359999999999999</v>
      </c>
      <c r="I12" s="246">
        <v>1.97</v>
      </c>
      <c r="J12" s="244" t="s">
        <v>27</v>
      </c>
      <c r="K12" s="244" t="s">
        <v>33</v>
      </c>
      <c r="L12" s="244" t="s">
        <v>27</v>
      </c>
      <c r="M12" s="246">
        <v>671.37599999999998</v>
      </c>
      <c r="N12" s="247">
        <v>591</v>
      </c>
      <c r="O12" s="248">
        <v>0.16420000000000001</v>
      </c>
      <c r="P12" s="249">
        <v>9.85</v>
      </c>
      <c r="Q12" s="244">
        <v>361.2</v>
      </c>
      <c r="R12" s="244">
        <v>1</v>
      </c>
      <c r="S12" s="244">
        <v>1200</v>
      </c>
      <c r="T12" s="246">
        <v>1.1359999999999999</v>
      </c>
      <c r="U12" s="244">
        <v>64</v>
      </c>
      <c r="V12" s="248">
        <v>5.33E-2</v>
      </c>
      <c r="W12" s="244" t="s">
        <v>28</v>
      </c>
      <c r="X12" s="244" t="s">
        <v>29</v>
      </c>
      <c r="Y12" s="244" t="s">
        <v>28</v>
      </c>
      <c r="Z12" s="244" t="s">
        <v>28</v>
      </c>
      <c r="AA12" s="244" t="s">
        <v>28</v>
      </c>
      <c r="AB12" s="244" t="s">
        <v>32</v>
      </c>
      <c r="AC12" s="244" t="s">
        <v>874</v>
      </c>
    </row>
    <row r="13" spans="1:29" s="250" customFormat="1" ht="25.05" customHeight="1" x14ac:dyDescent="0.3">
      <c r="A13" s="244">
        <v>11</v>
      </c>
      <c r="B13" s="245" t="s">
        <v>718</v>
      </c>
      <c r="C13" s="244" t="s">
        <v>26</v>
      </c>
      <c r="D13" s="244" t="s">
        <v>849</v>
      </c>
      <c r="E13" s="244">
        <v>263066</v>
      </c>
      <c r="F13" s="244" t="s">
        <v>870</v>
      </c>
      <c r="G13" s="244">
        <v>305</v>
      </c>
      <c r="H13" s="246">
        <v>1</v>
      </c>
      <c r="I13" s="246">
        <v>1.85</v>
      </c>
      <c r="J13" s="244" t="s">
        <v>27</v>
      </c>
      <c r="K13" s="244" t="s">
        <v>33</v>
      </c>
      <c r="L13" s="244" t="s">
        <v>27</v>
      </c>
      <c r="M13" s="246">
        <v>564.25</v>
      </c>
      <c r="N13" s="247">
        <v>564.29999999999995</v>
      </c>
      <c r="O13" s="248">
        <v>0.15670000000000001</v>
      </c>
      <c r="P13" s="249">
        <v>9.4</v>
      </c>
      <c r="Q13" s="244">
        <v>303.60000000000002</v>
      </c>
      <c r="R13" s="244">
        <v>1</v>
      </c>
      <c r="S13" s="244">
        <v>1050</v>
      </c>
      <c r="T13" s="246">
        <v>1</v>
      </c>
      <c r="U13" s="244">
        <v>50</v>
      </c>
      <c r="V13" s="248">
        <v>4.7600000000000003E-2</v>
      </c>
      <c r="W13" s="244" t="s">
        <v>28</v>
      </c>
      <c r="X13" s="244" t="s">
        <v>29</v>
      </c>
      <c r="Y13" s="244" t="s">
        <v>28</v>
      </c>
      <c r="Z13" s="244" t="s">
        <v>28</v>
      </c>
      <c r="AA13" s="244" t="s">
        <v>28</v>
      </c>
      <c r="AB13" s="244" t="s">
        <v>32</v>
      </c>
      <c r="AC13" s="244" t="s">
        <v>873</v>
      </c>
    </row>
    <row r="14" spans="1:29" s="250" customFormat="1" ht="25.05" customHeight="1" x14ac:dyDescent="0.3">
      <c r="A14" s="244">
        <v>12</v>
      </c>
      <c r="B14" s="245" t="s">
        <v>718</v>
      </c>
      <c r="C14" s="244" t="s">
        <v>44</v>
      </c>
      <c r="D14" s="244" t="s">
        <v>849</v>
      </c>
      <c r="E14" s="244">
        <v>263062</v>
      </c>
      <c r="F14" s="244" t="s">
        <v>870</v>
      </c>
      <c r="G14" s="244">
        <v>380</v>
      </c>
      <c r="H14" s="246">
        <v>0.94599999999999995</v>
      </c>
      <c r="I14" s="246">
        <v>1.48</v>
      </c>
      <c r="J14" s="244" t="s">
        <v>27</v>
      </c>
      <c r="K14" s="244" t="s">
        <v>872</v>
      </c>
      <c r="L14" s="244" t="s">
        <v>27</v>
      </c>
      <c r="M14" s="246">
        <v>532.03</v>
      </c>
      <c r="N14" s="247">
        <v>562.4</v>
      </c>
      <c r="O14" s="248">
        <v>0.15620000000000001</v>
      </c>
      <c r="P14" s="249">
        <v>9.3699999999999992</v>
      </c>
      <c r="Q14" s="244">
        <v>302.2</v>
      </c>
      <c r="R14" s="244">
        <v>1</v>
      </c>
      <c r="S14" s="244">
        <v>1000</v>
      </c>
      <c r="T14" s="246">
        <v>0.94599999999999995</v>
      </c>
      <c r="U14" s="244">
        <v>54</v>
      </c>
      <c r="V14" s="248">
        <v>5.3999999999999999E-2</v>
      </c>
      <c r="W14" s="244" t="s">
        <v>34</v>
      </c>
      <c r="X14" s="244" t="s">
        <v>39</v>
      </c>
      <c r="Y14" s="244" t="s">
        <v>34</v>
      </c>
      <c r="Z14" s="244" t="s">
        <v>34</v>
      </c>
      <c r="AA14" s="244" t="s">
        <v>34</v>
      </c>
      <c r="AB14" s="244" t="s">
        <v>32</v>
      </c>
      <c r="AC14" s="244" t="s">
        <v>314</v>
      </c>
    </row>
    <row r="15" spans="1:29" s="250" customFormat="1" ht="25.05" customHeight="1" x14ac:dyDescent="0.3">
      <c r="A15" s="244">
        <v>13</v>
      </c>
      <c r="B15" s="245" t="s">
        <v>718</v>
      </c>
      <c r="C15" s="244" t="s">
        <v>26</v>
      </c>
      <c r="D15" s="244" t="s">
        <v>849</v>
      </c>
      <c r="E15" s="244">
        <v>263064</v>
      </c>
      <c r="F15" s="244" t="s">
        <v>870</v>
      </c>
      <c r="G15" s="244">
        <v>480</v>
      </c>
      <c r="H15" s="246">
        <v>0.95599999999999996</v>
      </c>
      <c r="I15" s="246">
        <v>1.23</v>
      </c>
      <c r="J15" s="244" t="s">
        <v>27</v>
      </c>
      <c r="K15" s="244" t="s">
        <v>651</v>
      </c>
      <c r="L15" s="244" t="s">
        <v>27</v>
      </c>
      <c r="M15" s="246">
        <v>564.42200000000003</v>
      </c>
      <c r="N15" s="247">
        <v>590.4</v>
      </c>
      <c r="O15" s="248">
        <v>0.16400000000000001</v>
      </c>
      <c r="P15" s="249">
        <v>9.84</v>
      </c>
      <c r="Q15" s="244">
        <v>303.7</v>
      </c>
      <c r="R15" s="244">
        <v>1</v>
      </c>
      <c r="S15" s="244">
        <v>1000</v>
      </c>
      <c r="T15" s="246">
        <v>0.95599999999999996</v>
      </c>
      <c r="U15" s="244">
        <v>44</v>
      </c>
      <c r="V15" s="248">
        <v>4.3999999999999997E-2</v>
      </c>
      <c r="W15" s="244" t="s">
        <v>28</v>
      </c>
      <c r="X15" s="244" t="s">
        <v>29</v>
      </c>
      <c r="Y15" s="244" t="s">
        <v>28</v>
      </c>
      <c r="Z15" s="244" t="s">
        <v>28</v>
      </c>
      <c r="AA15" s="244" t="s">
        <v>28</v>
      </c>
      <c r="AB15" s="244" t="s">
        <v>30</v>
      </c>
      <c r="AC15" s="244" t="s">
        <v>118</v>
      </c>
    </row>
    <row r="16" spans="1:29" s="250" customFormat="1" ht="25.05" customHeight="1" x14ac:dyDescent="0.3">
      <c r="A16" s="244">
        <v>14</v>
      </c>
      <c r="B16" s="245" t="s">
        <v>718</v>
      </c>
      <c r="C16" s="244" t="s">
        <v>26</v>
      </c>
      <c r="D16" s="244" t="s">
        <v>849</v>
      </c>
      <c r="E16" s="244">
        <v>263065</v>
      </c>
      <c r="F16" s="244" t="s">
        <v>870</v>
      </c>
      <c r="G16" s="244">
        <v>500</v>
      </c>
      <c r="H16" s="246">
        <v>0.97099999999999997</v>
      </c>
      <c r="I16" s="246">
        <v>1.26</v>
      </c>
      <c r="J16" s="244" t="s">
        <v>27</v>
      </c>
      <c r="K16" s="244" t="s">
        <v>871</v>
      </c>
      <c r="L16" s="244" t="s">
        <v>27</v>
      </c>
      <c r="M16" s="246">
        <v>611.73</v>
      </c>
      <c r="N16" s="247">
        <v>630</v>
      </c>
      <c r="O16" s="248">
        <v>0.17499999999999999</v>
      </c>
      <c r="P16" s="249">
        <v>10.5</v>
      </c>
      <c r="Q16" s="244">
        <v>329.1</v>
      </c>
      <c r="R16" s="244">
        <v>1</v>
      </c>
      <c r="S16" s="244">
        <v>1000</v>
      </c>
      <c r="T16" s="246">
        <v>0.97099999999999997</v>
      </c>
      <c r="U16" s="244">
        <v>29</v>
      </c>
      <c r="V16" s="248">
        <v>2.9000000000000001E-2</v>
      </c>
      <c r="W16" s="244" t="s">
        <v>28</v>
      </c>
      <c r="X16" s="244" t="s">
        <v>29</v>
      </c>
      <c r="Y16" s="244" t="s">
        <v>28</v>
      </c>
      <c r="Z16" s="244" t="s">
        <v>28</v>
      </c>
      <c r="AA16" s="244" t="s">
        <v>28</v>
      </c>
      <c r="AB16" s="244" t="s">
        <v>30</v>
      </c>
      <c r="AC16" s="244" t="s">
        <v>117</v>
      </c>
    </row>
    <row r="17" spans="1:29" s="250" customFormat="1" ht="25.05" customHeight="1" x14ac:dyDescent="0.3">
      <c r="A17" s="244">
        <v>15</v>
      </c>
      <c r="B17" s="245" t="s">
        <v>718</v>
      </c>
      <c r="C17" s="244" t="s">
        <v>26</v>
      </c>
      <c r="D17" s="244" t="s">
        <v>849</v>
      </c>
      <c r="E17" s="244">
        <v>263063</v>
      </c>
      <c r="F17" s="244" t="s">
        <v>870</v>
      </c>
      <c r="G17" s="244">
        <v>570</v>
      </c>
      <c r="H17" s="246">
        <v>0.95599999999999996</v>
      </c>
      <c r="I17" s="246">
        <v>1.03</v>
      </c>
      <c r="J17" s="244" t="s">
        <v>27</v>
      </c>
      <c r="K17" s="244" t="s">
        <v>33</v>
      </c>
      <c r="L17" s="244" t="s">
        <v>27</v>
      </c>
      <c r="M17" s="246">
        <v>561.26800000000003</v>
      </c>
      <c r="N17" s="247">
        <v>587.1</v>
      </c>
      <c r="O17" s="248">
        <v>0.16309999999999999</v>
      </c>
      <c r="P17" s="249">
        <v>9.7899999999999991</v>
      </c>
      <c r="Q17" s="244">
        <v>302</v>
      </c>
      <c r="R17" s="244">
        <v>1</v>
      </c>
      <c r="S17" s="244">
        <v>1000</v>
      </c>
      <c r="T17" s="246">
        <v>0.95599999999999996</v>
      </c>
      <c r="U17" s="244">
        <v>44</v>
      </c>
      <c r="V17" s="248">
        <v>4.3999999999999997E-2</v>
      </c>
      <c r="W17" s="244" t="s">
        <v>28</v>
      </c>
      <c r="X17" s="244" t="s">
        <v>29</v>
      </c>
      <c r="Y17" s="244" t="s">
        <v>28</v>
      </c>
      <c r="Z17" s="244" t="s">
        <v>28</v>
      </c>
      <c r="AA17" s="244" t="s">
        <v>28</v>
      </c>
      <c r="AB17" s="244" t="s">
        <v>32</v>
      </c>
      <c r="AC17" s="244" t="s">
        <v>650</v>
      </c>
    </row>
    <row r="18" spans="1:29" s="250" customFormat="1" ht="25.05" customHeight="1" x14ac:dyDescent="0.3">
      <c r="A18" s="244">
        <v>16</v>
      </c>
      <c r="B18" s="245" t="s">
        <v>718</v>
      </c>
      <c r="C18" s="244" t="s">
        <v>26</v>
      </c>
      <c r="D18" s="244" t="s">
        <v>849</v>
      </c>
      <c r="E18" s="244">
        <v>263076</v>
      </c>
      <c r="F18" s="244" t="s">
        <v>870</v>
      </c>
      <c r="G18" s="244">
        <v>320</v>
      </c>
      <c r="H18" s="246">
        <v>0.83599999999999997</v>
      </c>
      <c r="I18" s="246">
        <v>2.1</v>
      </c>
      <c r="J18" s="244" t="s">
        <v>27</v>
      </c>
      <c r="K18" s="244" t="s">
        <v>203</v>
      </c>
      <c r="L18" s="244" t="s">
        <v>27</v>
      </c>
      <c r="M18" s="246">
        <v>561.79200000000003</v>
      </c>
      <c r="N18" s="247">
        <v>672</v>
      </c>
      <c r="O18" s="248">
        <v>0.1867</v>
      </c>
      <c r="P18" s="249">
        <v>11.2</v>
      </c>
      <c r="Q18" s="244">
        <v>302.2</v>
      </c>
      <c r="R18" s="244">
        <v>1</v>
      </c>
      <c r="S18" s="244">
        <v>900</v>
      </c>
      <c r="T18" s="246">
        <v>0.83599999999999997</v>
      </c>
      <c r="U18" s="244">
        <v>64</v>
      </c>
      <c r="V18" s="248">
        <v>7.1099999999999997E-2</v>
      </c>
      <c r="W18" s="244" t="s">
        <v>28</v>
      </c>
      <c r="X18" s="244" t="s">
        <v>29</v>
      </c>
      <c r="Y18" s="244" t="s">
        <v>28</v>
      </c>
      <c r="Z18" s="244" t="s">
        <v>28</v>
      </c>
      <c r="AA18" s="244" t="s">
        <v>28</v>
      </c>
      <c r="AB18" s="244" t="s">
        <v>32</v>
      </c>
      <c r="AC18" s="244" t="s">
        <v>202</v>
      </c>
    </row>
    <row r="19" spans="1:29" s="250" customFormat="1" ht="25.05" customHeight="1" x14ac:dyDescent="0.3">
      <c r="A19" s="244">
        <v>17</v>
      </c>
      <c r="B19" s="245" t="s">
        <v>718</v>
      </c>
      <c r="C19" s="244" t="s">
        <v>81</v>
      </c>
      <c r="D19" s="244" t="s">
        <v>849</v>
      </c>
      <c r="E19" s="244">
        <v>263072</v>
      </c>
      <c r="F19" s="244" t="s">
        <v>870</v>
      </c>
      <c r="G19" s="244">
        <v>500</v>
      </c>
      <c r="H19" s="246">
        <v>1.228</v>
      </c>
      <c r="I19" s="246">
        <v>1.4</v>
      </c>
      <c r="J19" s="244" t="s">
        <v>27</v>
      </c>
      <c r="K19" s="244" t="s">
        <v>33</v>
      </c>
      <c r="L19" s="244" t="s">
        <v>27</v>
      </c>
      <c r="M19" s="246">
        <v>859.6</v>
      </c>
      <c r="N19" s="247">
        <v>700</v>
      </c>
      <c r="O19" s="248">
        <v>0.19439999999999999</v>
      </c>
      <c r="P19" s="249">
        <v>11.67</v>
      </c>
      <c r="Q19" s="244">
        <v>313.8</v>
      </c>
      <c r="R19" s="244">
        <v>1</v>
      </c>
      <c r="S19" s="244">
        <v>1250</v>
      </c>
      <c r="T19" s="246">
        <v>1.228</v>
      </c>
      <c r="U19" s="244">
        <v>22</v>
      </c>
      <c r="V19" s="248">
        <v>1.7600000000000001E-2</v>
      </c>
      <c r="W19" s="244" t="s">
        <v>41</v>
      </c>
      <c r="X19" s="244" t="s">
        <v>29</v>
      </c>
      <c r="Y19" s="244" t="s">
        <v>28</v>
      </c>
      <c r="Z19" s="244" t="s">
        <v>27</v>
      </c>
      <c r="AA19" s="244" t="s">
        <v>27</v>
      </c>
      <c r="AB19" s="244" t="s">
        <v>32</v>
      </c>
      <c r="AC19" s="244" t="s">
        <v>869</v>
      </c>
    </row>
    <row r="20" spans="1:29" s="250" customFormat="1" ht="25.05" customHeight="1" x14ac:dyDescent="0.3">
      <c r="A20" s="251" t="s">
        <v>27</v>
      </c>
      <c r="B20" s="251" t="s">
        <v>27</v>
      </c>
      <c r="C20" s="251" t="s">
        <v>27</v>
      </c>
      <c r="D20" s="251" t="s">
        <v>27</v>
      </c>
      <c r="E20" s="251" t="s">
        <v>27</v>
      </c>
      <c r="F20" s="251" t="s">
        <v>27</v>
      </c>
      <c r="G20" s="251">
        <v>7600</v>
      </c>
      <c r="H20" s="251" t="s">
        <v>27</v>
      </c>
      <c r="I20" s="251" t="s">
        <v>27</v>
      </c>
      <c r="J20" s="251" t="s">
        <v>27</v>
      </c>
      <c r="K20" s="251" t="s">
        <v>27</v>
      </c>
      <c r="L20" s="251" t="s">
        <v>27</v>
      </c>
      <c r="M20" s="251" t="s">
        <v>27</v>
      </c>
      <c r="N20" s="251" t="s">
        <v>27</v>
      </c>
      <c r="O20" s="251" t="s">
        <v>27</v>
      </c>
      <c r="P20" s="251" t="s">
        <v>27</v>
      </c>
      <c r="Q20" s="251">
        <v>6059.1</v>
      </c>
      <c r="R20" s="251" t="s">
        <v>27</v>
      </c>
      <c r="S20" s="251" t="s">
        <v>27</v>
      </c>
      <c r="T20" s="251" t="s">
        <v>27</v>
      </c>
      <c r="U20" s="251" t="s">
        <v>27</v>
      </c>
      <c r="V20" s="251" t="s">
        <v>27</v>
      </c>
      <c r="W20" s="251" t="s">
        <v>27</v>
      </c>
      <c r="X20" s="251" t="s">
        <v>27</v>
      </c>
      <c r="Y20" s="251" t="s">
        <v>27</v>
      </c>
      <c r="Z20" s="251" t="s">
        <v>27</v>
      </c>
      <c r="AA20" s="251" t="s">
        <v>27</v>
      </c>
      <c r="AB20" s="251" t="s">
        <v>27</v>
      </c>
      <c r="AC20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6"/>
  <sheetViews>
    <sheetView zoomScale="190" zoomScaleNormal="190" workbookViewId="0">
      <selection activeCell="AA19" sqref="AA19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" style="1" customWidth="1"/>
    <col min="25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318" t="s">
        <v>868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37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807</v>
      </c>
      <c r="C3" s="5" t="s">
        <v>44</v>
      </c>
      <c r="D3" s="5" t="s">
        <v>673</v>
      </c>
      <c r="E3" s="5">
        <v>263059</v>
      </c>
      <c r="F3" s="5" t="s">
        <v>865</v>
      </c>
      <c r="G3" s="5">
        <v>1200</v>
      </c>
      <c r="H3" s="7">
        <v>0.50800000000000001</v>
      </c>
      <c r="I3" s="7">
        <v>1.7030000000000001</v>
      </c>
      <c r="J3" s="5" t="s">
        <v>27</v>
      </c>
      <c r="K3" s="5" t="s">
        <v>33</v>
      </c>
      <c r="L3" s="5" t="s">
        <v>27</v>
      </c>
      <c r="M3" s="7">
        <v>1038.1489999999999</v>
      </c>
      <c r="N3" s="9">
        <v>681.2</v>
      </c>
      <c r="O3" s="6">
        <v>6.3100000000000003E-2</v>
      </c>
      <c r="P3" s="8">
        <v>3.78</v>
      </c>
      <c r="Q3" s="5">
        <v>589.70000000000005</v>
      </c>
      <c r="R3" s="5">
        <v>3</v>
      </c>
      <c r="S3" s="5">
        <v>1550</v>
      </c>
      <c r="T3" s="7">
        <v>1.524</v>
      </c>
      <c r="U3" s="5">
        <v>26</v>
      </c>
      <c r="V3" s="6">
        <v>1.6799999999999999E-2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31</v>
      </c>
      <c r="AC3" s="5" t="s">
        <v>867</v>
      </c>
    </row>
    <row r="4" spans="1:29" s="12" customFormat="1" ht="25.05" customHeight="1" x14ac:dyDescent="0.3">
      <c r="A4" s="5">
        <v>2</v>
      </c>
      <c r="B4" s="10" t="s">
        <v>807</v>
      </c>
      <c r="C4" s="5" t="s">
        <v>44</v>
      </c>
      <c r="D4" s="5" t="s">
        <v>673</v>
      </c>
      <c r="E4" s="5">
        <v>263057</v>
      </c>
      <c r="F4" s="5" t="s">
        <v>865</v>
      </c>
      <c r="G4" s="5">
        <v>1200</v>
      </c>
      <c r="H4" s="7">
        <v>0.42799999999999999</v>
      </c>
      <c r="I4" s="7">
        <v>0.76300000000000001</v>
      </c>
      <c r="J4" s="5" t="s">
        <v>27</v>
      </c>
      <c r="K4" s="5" t="s">
        <v>33</v>
      </c>
      <c r="L4" s="5" t="s">
        <v>27</v>
      </c>
      <c r="M4" s="7">
        <v>391.87700000000001</v>
      </c>
      <c r="N4" s="9">
        <v>305.2</v>
      </c>
      <c r="O4" s="6">
        <v>2.8299999999999999E-2</v>
      </c>
      <c r="P4" s="8">
        <v>1.7</v>
      </c>
      <c r="Q4" s="5">
        <v>222.6</v>
      </c>
      <c r="R4" s="5">
        <v>3</v>
      </c>
      <c r="S4" s="5">
        <v>1350</v>
      </c>
      <c r="T4" s="7">
        <v>1.284</v>
      </c>
      <c r="U4" s="5">
        <v>66</v>
      </c>
      <c r="V4" s="6">
        <v>4.8899999999999999E-2</v>
      </c>
      <c r="W4" s="5" t="s">
        <v>34</v>
      </c>
      <c r="X4" s="5" t="s">
        <v>39</v>
      </c>
      <c r="Y4" s="5" t="s">
        <v>34</v>
      </c>
      <c r="Z4" s="5" t="s">
        <v>34</v>
      </c>
      <c r="AA4" s="5" t="s">
        <v>34</v>
      </c>
      <c r="AB4" s="5" t="s">
        <v>32</v>
      </c>
      <c r="AC4" s="5" t="s">
        <v>866</v>
      </c>
    </row>
    <row r="5" spans="1:29" s="12" customFormat="1" ht="25.05" customHeight="1" x14ac:dyDescent="0.3">
      <c r="A5" s="5">
        <v>3</v>
      </c>
      <c r="B5" s="10" t="s">
        <v>807</v>
      </c>
      <c r="C5" s="5" t="s">
        <v>44</v>
      </c>
      <c r="D5" s="5" t="s">
        <v>673</v>
      </c>
      <c r="E5" s="5">
        <v>263058</v>
      </c>
      <c r="F5" s="5" t="s">
        <v>865</v>
      </c>
      <c r="G5" s="5">
        <v>1200</v>
      </c>
      <c r="H5" s="7">
        <v>0.56799999999999995</v>
      </c>
      <c r="I5" s="7">
        <v>1.8129999999999999</v>
      </c>
      <c r="J5" s="5" t="s">
        <v>27</v>
      </c>
      <c r="K5" s="5" t="s">
        <v>33</v>
      </c>
      <c r="L5" s="5" t="s">
        <v>27</v>
      </c>
      <c r="M5" s="7">
        <v>1235.741</v>
      </c>
      <c r="N5" s="9">
        <v>1087.8</v>
      </c>
      <c r="O5" s="6">
        <v>0.15110000000000001</v>
      </c>
      <c r="P5" s="8">
        <v>9.06</v>
      </c>
      <c r="Q5" s="5">
        <v>701.9</v>
      </c>
      <c r="R5" s="5">
        <v>2</v>
      </c>
      <c r="S5" s="5">
        <v>1200</v>
      </c>
      <c r="T5" s="7">
        <v>1.1359999999999999</v>
      </c>
      <c r="U5" s="5">
        <v>64</v>
      </c>
      <c r="V5" s="6">
        <v>5.33E-2</v>
      </c>
      <c r="W5" s="5" t="s">
        <v>34</v>
      </c>
      <c r="X5" s="5" t="s">
        <v>39</v>
      </c>
      <c r="Y5" s="5" t="s">
        <v>34</v>
      </c>
      <c r="Z5" s="5" t="s">
        <v>34</v>
      </c>
      <c r="AA5" s="5" t="s">
        <v>34</v>
      </c>
      <c r="AB5" s="5" t="s">
        <v>31</v>
      </c>
      <c r="AC5" s="5" t="s">
        <v>864</v>
      </c>
    </row>
    <row r="6" spans="1:29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>
        <v>3600</v>
      </c>
      <c r="H6" s="11" t="s">
        <v>27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 t="s">
        <v>27</v>
      </c>
      <c r="Q6" s="11">
        <v>1514.2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  <c r="AC6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78" zoomScaleNormal="178" workbookViewId="0">
      <selection activeCell="Q22" sqref="Q22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44140625" style="228" customWidth="1"/>
    <col min="6" max="6" width="9" style="228" customWidth="1"/>
    <col min="7" max="7" width="6.88671875" style="228" customWidth="1"/>
    <col min="8" max="8" width="6.6640625" style="228" customWidth="1"/>
    <col min="9" max="9" width="7.33203125" style="228" customWidth="1"/>
    <col min="10" max="10" width="7.109375" style="228" customWidth="1"/>
    <col min="11" max="11" width="14.77734375" style="228" customWidth="1"/>
    <col min="12" max="12" width="7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3.77734375" style="228" customWidth="1"/>
    <col min="19" max="19" width="6.77734375" style="228" customWidth="1"/>
    <col min="20" max="20" width="6.88671875" style="228" customWidth="1"/>
    <col min="21" max="21" width="11.77734375" style="228" hidden="1" customWidth="1"/>
    <col min="22" max="22" width="8.77734375" style="228" hidden="1" customWidth="1"/>
    <col min="23" max="23" width="8.44140625" style="228" customWidth="1"/>
    <col min="24" max="24" width="8.5546875" style="228" customWidth="1"/>
    <col min="25" max="25" width="7.44140625" style="228" customWidth="1"/>
    <col min="26" max="27" width="7.88671875" style="228" customWidth="1"/>
    <col min="28" max="28" width="5.4414062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19" t="s">
        <v>863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9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60</v>
      </c>
      <c r="C3" s="244" t="s">
        <v>26</v>
      </c>
      <c r="D3" s="244" t="s">
        <v>849</v>
      </c>
      <c r="E3" s="244">
        <v>263056</v>
      </c>
      <c r="F3" s="244" t="s">
        <v>855</v>
      </c>
      <c r="G3" s="244">
        <v>300</v>
      </c>
      <c r="H3" s="246">
        <v>1.474</v>
      </c>
      <c r="I3" s="246">
        <v>1.5549999999999999</v>
      </c>
      <c r="J3" s="244" t="s">
        <v>27</v>
      </c>
      <c r="K3" s="244" t="s">
        <v>862</v>
      </c>
      <c r="L3" s="244" t="s">
        <v>27</v>
      </c>
      <c r="M3" s="246">
        <v>687.62099999999998</v>
      </c>
      <c r="N3" s="247">
        <v>466.5</v>
      </c>
      <c r="O3" s="248">
        <v>0.12959999999999999</v>
      </c>
      <c r="P3" s="249">
        <v>7.78</v>
      </c>
      <c r="Q3" s="244">
        <v>369.9</v>
      </c>
      <c r="R3" s="244">
        <v>1</v>
      </c>
      <c r="S3" s="244">
        <v>1500</v>
      </c>
      <c r="T3" s="246">
        <v>1.474</v>
      </c>
      <c r="U3" s="244">
        <v>26</v>
      </c>
      <c r="V3" s="248">
        <v>1.7299999999999999E-2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32</v>
      </c>
      <c r="AC3" s="244" t="s">
        <v>861</v>
      </c>
    </row>
    <row r="4" spans="1:29" s="250" customFormat="1" ht="25.05" customHeight="1" x14ac:dyDescent="0.3">
      <c r="A4" s="244">
        <v>2</v>
      </c>
      <c r="B4" s="245" t="s">
        <v>60</v>
      </c>
      <c r="C4" s="244" t="s">
        <v>26</v>
      </c>
      <c r="D4" s="244" t="s">
        <v>849</v>
      </c>
      <c r="E4" s="244">
        <v>263050</v>
      </c>
      <c r="F4" s="244" t="s">
        <v>855</v>
      </c>
      <c r="G4" s="244">
        <v>2500</v>
      </c>
      <c r="H4" s="246">
        <v>0.49</v>
      </c>
      <c r="I4" s="246">
        <v>1.36</v>
      </c>
      <c r="J4" s="244" t="s">
        <v>27</v>
      </c>
      <c r="K4" s="244" t="s">
        <v>33</v>
      </c>
      <c r="L4" s="244" t="s">
        <v>27</v>
      </c>
      <c r="M4" s="246">
        <v>1666</v>
      </c>
      <c r="N4" s="247">
        <v>1133.3</v>
      </c>
      <c r="O4" s="248">
        <v>0.10489999999999999</v>
      </c>
      <c r="P4" s="249">
        <v>6.3</v>
      </c>
      <c r="Q4" s="244">
        <v>896.3</v>
      </c>
      <c r="R4" s="244">
        <v>3</v>
      </c>
      <c r="S4" s="244">
        <v>1500</v>
      </c>
      <c r="T4" s="246">
        <v>1.47</v>
      </c>
      <c r="U4" s="244">
        <v>30</v>
      </c>
      <c r="V4" s="248">
        <v>0.02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54</v>
      </c>
      <c r="AC4" s="244" t="s">
        <v>644</v>
      </c>
    </row>
    <row r="5" spans="1:29" s="250" customFormat="1" ht="25.05" customHeight="1" x14ac:dyDescent="0.3">
      <c r="A5" s="244">
        <v>3</v>
      </c>
      <c r="B5" s="245" t="s">
        <v>60</v>
      </c>
      <c r="C5" s="244" t="s">
        <v>26</v>
      </c>
      <c r="D5" s="244" t="s">
        <v>849</v>
      </c>
      <c r="E5" s="244">
        <v>263051</v>
      </c>
      <c r="F5" s="244" t="s">
        <v>855</v>
      </c>
      <c r="G5" s="244">
        <v>2500</v>
      </c>
      <c r="H5" s="246">
        <v>0.49</v>
      </c>
      <c r="I5" s="246">
        <v>1.5489999999999999</v>
      </c>
      <c r="J5" s="244" t="s">
        <v>27</v>
      </c>
      <c r="K5" s="244" t="s">
        <v>33</v>
      </c>
      <c r="L5" s="244" t="s">
        <v>27</v>
      </c>
      <c r="M5" s="246">
        <v>1897.5250000000001</v>
      </c>
      <c r="N5" s="247">
        <v>1290.8</v>
      </c>
      <c r="O5" s="248">
        <v>0.1195</v>
      </c>
      <c r="P5" s="249">
        <v>7.17</v>
      </c>
      <c r="Q5" s="244">
        <v>1020.9</v>
      </c>
      <c r="R5" s="244">
        <v>3</v>
      </c>
      <c r="S5" s="244">
        <v>1500</v>
      </c>
      <c r="T5" s="246">
        <v>1.47</v>
      </c>
      <c r="U5" s="244">
        <v>30</v>
      </c>
      <c r="V5" s="248">
        <v>0.02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54</v>
      </c>
      <c r="AC5" s="244" t="s">
        <v>172</v>
      </c>
    </row>
    <row r="6" spans="1:29" s="250" customFormat="1" ht="25.05" customHeight="1" x14ac:dyDescent="0.3">
      <c r="A6" s="244">
        <v>4</v>
      </c>
      <c r="B6" s="245" t="s">
        <v>60</v>
      </c>
      <c r="C6" s="244" t="s">
        <v>26</v>
      </c>
      <c r="D6" s="244" t="s">
        <v>849</v>
      </c>
      <c r="E6" s="244">
        <v>263049</v>
      </c>
      <c r="F6" s="244" t="s">
        <v>855</v>
      </c>
      <c r="G6" s="244">
        <v>5000</v>
      </c>
      <c r="H6" s="246">
        <v>0.434</v>
      </c>
      <c r="I6" s="246">
        <v>1.4990000000000001</v>
      </c>
      <c r="J6" s="244" t="s">
        <v>27</v>
      </c>
      <c r="K6" s="244" t="s">
        <v>619</v>
      </c>
      <c r="L6" s="244" t="s">
        <v>27</v>
      </c>
      <c r="M6" s="246">
        <v>3252.83</v>
      </c>
      <c r="N6" s="247">
        <v>2498.3000000000002</v>
      </c>
      <c r="O6" s="248">
        <v>0.23130000000000001</v>
      </c>
      <c r="P6" s="249">
        <v>13.88</v>
      </c>
      <c r="Q6" s="244">
        <v>1750</v>
      </c>
      <c r="R6" s="244">
        <v>3</v>
      </c>
      <c r="S6" s="244">
        <v>1350</v>
      </c>
      <c r="T6" s="246">
        <v>1.302</v>
      </c>
      <c r="U6" s="244">
        <v>48</v>
      </c>
      <c r="V6" s="248">
        <v>3.56E-2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66</v>
      </c>
      <c r="AC6" s="244" t="s">
        <v>618</v>
      </c>
    </row>
    <row r="7" spans="1:29" s="250" customFormat="1" ht="25.05" customHeight="1" x14ac:dyDescent="0.3">
      <c r="A7" s="244">
        <v>5</v>
      </c>
      <c r="B7" s="245" t="s">
        <v>60</v>
      </c>
      <c r="C7" s="244" t="s">
        <v>26</v>
      </c>
      <c r="D7" s="244" t="s">
        <v>849</v>
      </c>
      <c r="E7" s="244">
        <v>263052</v>
      </c>
      <c r="F7" s="244" t="s">
        <v>855</v>
      </c>
      <c r="G7" s="244">
        <v>1250</v>
      </c>
      <c r="H7" s="246">
        <v>0.32500000000000001</v>
      </c>
      <c r="I7" s="246">
        <v>0.88</v>
      </c>
      <c r="J7" s="244" t="s">
        <v>27</v>
      </c>
      <c r="K7" s="244" t="s">
        <v>33</v>
      </c>
      <c r="L7" s="244" t="s">
        <v>27</v>
      </c>
      <c r="M7" s="246">
        <v>357.5</v>
      </c>
      <c r="N7" s="247">
        <v>275</v>
      </c>
      <c r="O7" s="248">
        <v>1.9099999999999999E-2</v>
      </c>
      <c r="P7" s="249">
        <v>1.1499999999999999</v>
      </c>
      <c r="Q7" s="244">
        <v>192.3</v>
      </c>
      <c r="R7" s="244">
        <v>4</v>
      </c>
      <c r="S7" s="244">
        <v>1350</v>
      </c>
      <c r="T7" s="246">
        <v>1.3</v>
      </c>
      <c r="U7" s="244">
        <v>50</v>
      </c>
      <c r="V7" s="248">
        <v>3.6999999999999998E-2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32</v>
      </c>
      <c r="AC7" s="244" t="s">
        <v>860</v>
      </c>
    </row>
    <row r="8" spans="1:29" s="250" customFormat="1" ht="25.05" customHeight="1" x14ac:dyDescent="0.3">
      <c r="A8" s="244">
        <v>6</v>
      </c>
      <c r="B8" s="245" t="s">
        <v>60</v>
      </c>
      <c r="C8" s="244" t="s">
        <v>26</v>
      </c>
      <c r="D8" s="244" t="s">
        <v>849</v>
      </c>
      <c r="E8" s="244">
        <v>263048</v>
      </c>
      <c r="F8" s="244" t="s">
        <v>855</v>
      </c>
      <c r="G8" s="244">
        <v>15000</v>
      </c>
      <c r="H8" s="246">
        <v>0.29399999999999998</v>
      </c>
      <c r="I8" s="246">
        <v>0.95899999999999996</v>
      </c>
      <c r="J8" s="244" t="s">
        <v>27</v>
      </c>
      <c r="K8" s="244" t="s">
        <v>551</v>
      </c>
      <c r="L8" s="244" t="s">
        <v>27</v>
      </c>
      <c r="M8" s="246">
        <v>4229.1899999999996</v>
      </c>
      <c r="N8" s="247">
        <v>3596.3</v>
      </c>
      <c r="O8" s="248">
        <v>0.24970000000000001</v>
      </c>
      <c r="P8" s="249">
        <v>14.98</v>
      </c>
      <c r="Q8" s="244">
        <v>2275.3000000000002</v>
      </c>
      <c r="R8" s="244">
        <v>4</v>
      </c>
      <c r="S8" s="244">
        <v>1200</v>
      </c>
      <c r="T8" s="246">
        <v>1.1759999999999999</v>
      </c>
      <c r="U8" s="244">
        <v>24</v>
      </c>
      <c r="V8" s="248">
        <v>0.02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550</v>
      </c>
      <c r="AC8" s="244" t="s">
        <v>549</v>
      </c>
    </row>
    <row r="9" spans="1:29" s="250" customFormat="1" ht="25.05" customHeight="1" x14ac:dyDescent="0.3">
      <c r="A9" s="244">
        <v>7</v>
      </c>
      <c r="B9" s="245" t="s">
        <v>60</v>
      </c>
      <c r="C9" s="244" t="s">
        <v>44</v>
      </c>
      <c r="D9" s="244" t="s">
        <v>849</v>
      </c>
      <c r="E9" s="244">
        <v>263054</v>
      </c>
      <c r="F9" s="244" t="s">
        <v>855</v>
      </c>
      <c r="G9" s="244">
        <v>400</v>
      </c>
      <c r="H9" s="246">
        <v>1.004</v>
      </c>
      <c r="I9" s="246">
        <v>1.5389999999999999</v>
      </c>
      <c r="J9" s="244" t="s">
        <v>27</v>
      </c>
      <c r="K9" s="244" t="s">
        <v>859</v>
      </c>
      <c r="L9" s="244" t="s">
        <v>27</v>
      </c>
      <c r="M9" s="246">
        <v>618.06200000000001</v>
      </c>
      <c r="N9" s="247">
        <v>615.6</v>
      </c>
      <c r="O9" s="248">
        <v>0.17100000000000001</v>
      </c>
      <c r="P9" s="249">
        <v>10.26</v>
      </c>
      <c r="Q9" s="244">
        <v>351.1</v>
      </c>
      <c r="R9" s="244">
        <v>1</v>
      </c>
      <c r="S9" s="244">
        <v>1050</v>
      </c>
      <c r="T9" s="246">
        <v>1.004</v>
      </c>
      <c r="U9" s="244">
        <v>46</v>
      </c>
      <c r="V9" s="248">
        <v>4.3799999999999999E-2</v>
      </c>
      <c r="W9" s="244" t="s">
        <v>34</v>
      </c>
      <c r="X9" s="244" t="s">
        <v>39</v>
      </c>
      <c r="Y9" s="244" t="s">
        <v>34</v>
      </c>
      <c r="Z9" s="244" t="s">
        <v>34</v>
      </c>
      <c r="AA9" s="244" t="s">
        <v>34</v>
      </c>
      <c r="AB9" s="244" t="s">
        <v>30</v>
      </c>
      <c r="AC9" s="244" t="s">
        <v>858</v>
      </c>
    </row>
    <row r="10" spans="1:29" s="250" customFormat="1" ht="25.05" customHeight="1" x14ac:dyDescent="0.3">
      <c r="A10" s="244">
        <v>8</v>
      </c>
      <c r="B10" s="245" t="s">
        <v>60</v>
      </c>
      <c r="C10" s="244" t="s">
        <v>44</v>
      </c>
      <c r="D10" s="244" t="s">
        <v>849</v>
      </c>
      <c r="E10" s="244">
        <v>263053</v>
      </c>
      <c r="F10" s="244" t="s">
        <v>855</v>
      </c>
      <c r="G10" s="244">
        <v>300</v>
      </c>
      <c r="H10" s="246">
        <v>0.82399999999999995</v>
      </c>
      <c r="I10" s="246">
        <v>1.5389999999999999</v>
      </c>
      <c r="J10" s="244" t="s">
        <v>27</v>
      </c>
      <c r="K10" s="244" t="s">
        <v>857</v>
      </c>
      <c r="L10" s="244" t="s">
        <v>27</v>
      </c>
      <c r="M10" s="246">
        <v>380.44099999999997</v>
      </c>
      <c r="N10" s="247">
        <v>461.7</v>
      </c>
      <c r="O10" s="248">
        <v>0.1283</v>
      </c>
      <c r="P10" s="249">
        <v>7.69</v>
      </c>
      <c r="Q10" s="244">
        <v>216.1</v>
      </c>
      <c r="R10" s="244">
        <v>1</v>
      </c>
      <c r="S10" s="244">
        <v>850</v>
      </c>
      <c r="T10" s="246">
        <v>0.82399999999999995</v>
      </c>
      <c r="U10" s="244">
        <v>26</v>
      </c>
      <c r="V10" s="248">
        <v>3.0599999999999999E-2</v>
      </c>
      <c r="W10" s="244" t="s">
        <v>34</v>
      </c>
      <c r="X10" s="244" t="s">
        <v>39</v>
      </c>
      <c r="Y10" s="244" t="s">
        <v>34</v>
      </c>
      <c r="Z10" s="244" t="s">
        <v>34</v>
      </c>
      <c r="AA10" s="244" t="s">
        <v>34</v>
      </c>
      <c r="AB10" s="244" t="s">
        <v>32</v>
      </c>
      <c r="AC10" s="244" t="s">
        <v>856</v>
      </c>
    </row>
    <row r="11" spans="1:29" s="250" customFormat="1" ht="25.05" customHeight="1" x14ac:dyDescent="0.3">
      <c r="A11" s="244">
        <v>9</v>
      </c>
      <c r="B11" s="245" t="s">
        <v>60</v>
      </c>
      <c r="C11" s="244" t="s">
        <v>35</v>
      </c>
      <c r="D11" s="244" t="s">
        <v>849</v>
      </c>
      <c r="E11" s="244">
        <v>263055</v>
      </c>
      <c r="F11" s="244" t="s">
        <v>855</v>
      </c>
      <c r="G11" s="244">
        <v>500</v>
      </c>
      <c r="H11" s="246">
        <v>0.78200000000000003</v>
      </c>
      <c r="I11" s="246">
        <v>1.893</v>
      </c>
      <c r="J11" s="244" t="s">
        <v>27</v>
      </c>
      <c r="K11" s="244" t="s">
        <v>854</v>
      </c>
      <c r="L11" s="244" t="s">
        <v>27</v>
      </c>
      <c r="M11" s="246">
        <v>740.16300000000001</v>
      </c>
      <c r="N11" s="247">
        <v>473.3</v>
      </c>
      <c r="O11" s="248">
        <v>6.5699999999999995E-2</v>
      </c>
      <c r="P11" s="249">
        <v>3.94</v>
      </c>
      <c r="Q11" s="244">
        <v>236.9</v>
      </c>
      <c r="R11" s="244">
        <v>2</v>
      </c>
      <c r="S11" s="244">
        <v>1600</v>
      </c>
      <c r="T11" s="246">
        <v>1.5640000000000001</v>
      </c>
      <c r="U11" s="244">
        <v>36</v>
      </c>
      <c r="V11" s="248">
        <v>2.2499999999999999E-2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32</v>
      </c>
      <c r="AC11" s="244" t="s">
        <v>853</v>
      </c>
    </row>
    <row r="12" spans="1:29" s="250" customFormat="1" ht="25.05" customHeight="1" x14ac:dyDescent="0.3">
      <c r="A12" s="251" t="s">
        <v>27</v>
      </c>
      <c r="B12" s="251" t="s">
        <v>27</v>
      </c>
      <c r="C12" s="251" t="s">
        <v>27</v>
      </c>
      <c r="D12" s="251" t="s">
        <v>27</v>
      </c>
      <c r="E12" s="251" t="s">
        <v>27</v>
      </c>
      <c r="F12" s="251" t="s">
        <v>27</v>
      </c>
      <c r="G12" s="251">
        <v>27750</v>
      </c>
      <c r="H12" s="251" t="s">
        <v>27</v>
      </c>
      <c r="I12" s="251" t="s">
        <v>27</v>
      </c>
      <c r="J12" s="251" t="s">
        <v>27</v>
      </c>
      <c r="K12" s="251" t="s">
        <v>27</v>
      </c>
      <c r="L12" s="251" t="s">
        <v>27</v>
      </c>
      <c r="M12" s="251" t="s">
        <v>27</v>
      </c>
      <c r="N12" s="251" t="s">
        <v>27</v>
      </c>
      <c r="O12" s="251" t="s">
        <v>27</v>
      </c>
      <c r="P12" s="251" t="s">
        <v>27</v>
      </c>
      <c r="Q12" s="251">
        <v>7308.8</v>
      </c>
      <c r="R12" s="251" t="s">
        <v>27</v>
      </c>
      <c r="S12" s="251" t="s">
        <v>27</v>
      </c>
      <c r="T12" s="251" t="s">
        <v>27</v>
      </c>
      <c r="U12" s="251" t="s">
        <v>27</v>
      </c>
      <c r="V12" s="251" t="s">
        <v>27</v>
      </c>
      <c r="W12" s="251" t="s">
        <v>27</v>
      </c>
      <c r="X12" s="251" t="s">
        <v>27</v>
      </c>
      <c r="Y12" s="251" t="s">
        <v>27</v>
      </c>
      <c r="Z12" s="251" t="s">
        <v>27</v>
      </c>
      <c r="AA12" s="251" t="s">
        <v>27</v>
      </c>
      <c r="AB12" s="251" t="s">
        <v>27</v>
      </c>
      <c r="AC12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44140625" style="228" customWidth="1"/>
    <col min="6" max="6" width="4.21875" style="228" customWidth="1"/>
    <col min="7" max="8" width="6.5546875" style="228" customWidth="1"/>
    <col min="9" max="9" width="7.21875" style="228" customWidth="1"/>
    <col min="10" max="10" width="7.77734375" style="228" customWidth="1"/>
    <col min="11" max="11" width="14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" style="228" customWidth="1"/>
    <col min="18" max="18" width="4.109375" style="228" customWidth="1"/>
    <col min="19" max="19" width="6.5546875" style="228" customWidth="1"/>
    <col min="20" max="20" width="6.66406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8" style="228" customWidth="1"/>
    <col min="25" max="25" width="7.6640625" style="228" customWidth="1"/>
    <col min="26" max="26" width="7.33203125" style="228" customWidth="1"/>
    <col min="27" max="27" width="7.77734375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20" t="s">
        <v>845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781</v>
      </c>
      <c r="C3" s="244" t="s">
        <v>81</v>
      </c>
      <c r="D3" s="244" t="s">
        <v>825</v>
      </c>
      <c r="E3" s="244">
        <v>263031</v>
      </c>
      <c r="F3" s="244" t="s">
        <v>65</v>
      </c>
      <c r="G3" s="244">
        <v>500</v>
      </c>
      <c r="H3" s="246">
        <v>0.36199999999999999</v>
      </c>
      <c r="I3" s="246">
        <v>0.95499999999999996</v>
      </c>
      <c r="J3" s="244" t="s">
        <v>27</v>
      </c>
      <c r="K3" s="244" t="s">
        <v>844</v>
      </c>
      <c r="L3" s="244" t="s">
        <v>27</v>
      </c>
      <c r="M3" s="246">
        <v>172.85499999999999</v>
      </c>
      <c r="N3" s="247">
        <v>119.4</v>
      </c>
      <c r="O3" s="248">
        <v>8.3000000000000001E-3</v>
      </c>
      <c r="P3" s="249">
        <v>0.5</v>
      </c>
      <c r="Q3" s="244">
        <v>63.1</v>
      </c>
      <c r="R3" s="244">
        <v>4</v>
      </c>
      <c r="S3" s="244">
        <v>1500</v>
      </c>
      <c r="T3" s="246">
        <v>1.448</v>
      </c>
      <c r="U3" s="244">
        <v>52</v>
      </c>
      <c r="V3" s="248">
        <v>3.4700000000000002E-2</v>
      </c>
      <c r="W3" s="244" t="s">
        <v>41</v>
      </c>
      <c r="X3" s="244" t="s">
        <v>29</v>
      </c>
      <c r="Y3" s="244" t="s">
        <v>28</v>
      </c>
      <c r="Z3" s="244" t="s">
        <v>27</v>
      </c>
      <c r="AA3" s="244" t="s">
        <v>27</v>
      </c>
      <c r="AB3" s="244" t="s">
        <v>38</v>
      </c>
      <c r="AC3" s="244" t="s">
        <v>843</v>
      </c>
    </row>
    <row r="4" spans="1:29" s="250" customFormat="1" ht="25.05" customHeight="1" x14ac:dyDescent="0.3">
      <c r="A4" s="244">
        <v>2</v>
      </c>
      <c r="B4" s="245" t="s">
        <v>781</v>
      </c>
      <c r="C4" s="244" t="s">
        <v>81</v>
      </c>
      <c r="D4" s="244" t="s">
        <v>825</v>
      </c>
      <c r="E4" s="244">
        <v>263032</v>
      </c>
      <c r="F4" s="244" t="s">
        <v>65</v>
      </c>
      <c r="G4" s="244">
        <v>500</v>
      </c>
      <c r="H4" s="246">
        <v>0.33800000000000002</v>
      </c>
      <c r="I4" s="246">
        <v>0.85499999999999998</v>
      </c>
      <c r="J4" s="244" t="s">
        <v>27</v>
      </c>
      <c r="K4" s="244" t="s">
        <v>842</v>
      </c>
      <c r="L4" s="244" t="s">
        <v>27</v>
      </c>
      <c r="M4" s="246">
        <v>144.495</v>
      </c>
      <c r="N4" s="247">
        <v>106.9</v>
      </c>
      <c r="O4" s="248">
        <v>7.4000000000000003E-3</v>
      </c>
      <c r="P4" s="249">
        <v>0.45</v>
      </c>
      <c r="Q4" s="244">
        <v>52.7</v>
      </c>
      <c r="R4" s="244">
        <v>4</v>
      </c>
      <c r="S4" s="244">
        <v>1400</v>
      </c>
      <c r="T4" s="246">
        <v>1.3520000000000001</v>
      </c>
      <c r="U4" s="244">
        <v>48</v>
      </c>
      <c r="V4" s="248">
        <v>3.4299999999999997E-2</v>
      </c>
      <c r="W4" s="244" t="s">
        <v>41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841</v>
      </c>
    </row>
    <row r="5" spans="1:29" s="250" customFormat="1" ht="25.05" customHeight="1" x14ac:dyDescent="0.3">
      <c r="A5" s="244">
        <v>3</v>
      </c>
      <c r="B5" s="245" t="s">
        <v>781</v>
      </c>
      <c r="C5" s="244" t="s">
        <v>81</v>
      </c>
      <c r="D5" s="244" t="s">
        <v>825</v>
      </c>
      <c r="E5" s="244">
        <v>263026</v>
      </c>
      <c r="F5" s="244" t="s">
        <v>65</v>
      </c>
      <c r="G5" s="244">
        <v>1000</v>
      </c>
      <c r="H5" s="246">
        <v>0.33300000000000002</v>
      </c>
      <c r="I5" s="246">
        <v>0.875</v>
      </c>
      <c r="J5" s="244" t="s">
        <v>27</v>
      </c>
      <c r="K5" s="244" t="s">
        <v>425</v>
      </c>
      <c r="L5" s="244" t="s">
        <v>27</v>
      </c>
      <c r="M5" s="246">
        <v>291.375</v>
      </c>
      <c r="N5" s="247">
        <v>218.8</v>
      </c>
      <c r="O5" s="248">
        <v>1.52E-2</v>
      </c>
      <c r="P5" s="249">
        <v>0.91</v>
      </c>
      <c r="Q5" s="244">
        <v>106.4</v>
      </c>
      <c r="R5" s="244">
        <v>4</v>
      </c>
      <c r="S5" s="244">
        <v>1400</v>
      </c>
      <c r="T5" s="246">
        <v>1.3320000000000001</v>
      </c>
      <c r="U5" s="244">
        <v>68</v>
      </c>
      <c r="V5" s="248">
        <v>4.8599999999999997E-2</v>
      </c>
      <c r="W5" s="244" t="s">
        <v>41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38</v>
      </c>
      <c r="AC5" s="244" t="s">
        <v>424</v>
      </c>
    </row>
    <row r="6" spans="1:29" s="250" customFormat="1" ht="25.05" customHeight="1" x14ac:dyDescent="0.3">
      <c r="A6" s="244">
        <v>4</v>
      </c>
      <c r="B6" s="245" t="s">
        <v>781</v>
      </c>
      <c r="C6" s="244" t="s">
        <v>81</v>
      </c>
      <c r="D6" s="244" t="s">
        <v>825</v>
      </c>
      <c r="E6" s="244">
        <v>263025</v>
      </c>
      <c r="F6" s="244" t="s">
        <v>65</v>
      </c>
      <c r="G6" s="244">
        <v>500</v>
      </c>
      <c r="H6" s="246">
        <v>0.33300000000000002</v>
      </c>
      <c r="I6" s="246">
        <v>0.93500000000000005</v>
      </c>
      <c r="J6" s="244" t="s">
        <v>27</v>
      </c>
      <c r="K6" s="244" t="s">
        <v>840</v>
      </c>
      <c r="L6" s="244" t="s">
        <v>27</v>
      </c>
      <c r="M6" s="246">
        <v>155.678</v>
      </c>
      <c r="N6" s="247">
        <v>116.9</v>
      </c>
      <c r="O6" s="248">
        <v>8.0999999999999996E-3</v>
      </c>
      <c r="P6" s="249">
        <v>0.49</v>
      </c>
      <c r="Q6" s="244">
        <v>56.8</v>
      </c>
      <c r="R6" s="244">
        <v>4</v>
      </c>
      <c r="S6" s="244">
        <v>1400</v>
      </c>
      <c r="T6" s="246">
        <v>1.3320000000000001</v>
      </c>
      <c r="U6" s="244">
        <v>68</v>
      </c>
      <c r="V6" s="248">
        <v>4.8599999999999997E-2</v>
      </c>
      <c r="W6" s="244" t="s">
        <v>41</v>
      </c>
      <c r="X6" s="244" t="s">
        <v>29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839</v>
      </c>
    </row>
    <row r="7" spans="1:29" s="250" customFormat="1" ht="25.05" customHeight="1" x14ac:dyDescent="0.3">
      <c r="A7" s="244">
        <v>5</v>
      </c>
      <c r="B7" s="245" t="s">
        <v>781</v>
      </c>
      <c r="C7" s="244" t="s">
        <v>81</v>
      </c>
      <c r="D7" s="244" t="s">
        <v>825</v>
      </c>
      <c r="E7" s="244">
        <v>263029</v>
      </c>
      <c r="F7" s="244" t="s">
        <v>65</v>
      </c>
      <c r="G7" s="244">
        <v>500</v>
      </c>
      <c r="H7" s="246">
        <v>0.33200000000000002</v>
      </c>
      <c r="I7" s="246">
        <v>1.135</v>
      </c>
      <c r="J7" s="244" t="s">
        <v>27</v>
      </c>
      <c r="K7" s="244" t="s">
        <v>838</v>
      </c>
      <c r="L7" s="244" t="s">
        <v>27</v>
      </c>
      <c r="M7" s="246">
        <v>188.41</v>
      </c>
      <c r="N7" s="247">
        <v>141.9</v>
      </c>
      <c r="O7" s="248">
        <v>9.9000000000000008E-3</v>
      </c>
      <c r="P7" s="249">
        <v>0.59</v>
      </c>
      <c r="Q7" s="244">
        <v>68.8</v>
      </c>
      <c r="R7" s="244">
        <v>4</v>
      </c>
      <c r="S7" s="244">
        <v>1350</v>
      </c>
      <c r="T7" s="246">
        <v>1.3280000000000001</v>
      </c>
      <c r="U7" s="244">
        <v>22</v>
      </c>
      <c r="V7" s="248">
        <v>1.6299999999999999E-2</v>
      </c>
      <c r="W7" s="244" t="s">
        <v>41</v>
      </c>
      <c r="X7" s="244" t="s">
        <v>29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837</v>
      </c>
    </row>
    <row r="8" spans="1:29" s="250" customFormat="1" ht="25.05" customHeight="1" x14ac:dyDescent="0.3">
      <c r="A8" s="244">
        <v>6</v>
      </c>
      <c r="B8" s="245" t="s">
        <v>781</v>
      </c>
      <c r="C8" s="244" t="s">
        <v>81</v>
      </c>
      <c r="D8" s="244" t="s">
        <v>825</v>
      </c>
      <c r="E8" s="244">
        <v>263033</v>
      </c>
      <c r="F8" s="244" t="s">
        <v>65</v>
      </c>
      <c r="G8" s="244">
        <v>500</v>
      </c>
      <c r="H8" s="246">
        <v>0.32700000000000001</v>
      </c>
      <c r="I8" s="246">
        <v>0.88500000000000001</v>
      </c>
      <c r="J8" s="244" t="s">
        <v>27</v>
      </c>
      <c r="K8" s="244" t="s">
        <v>836</v>
      </c>
      <c r="L8" s="244" t="s">
        <v>27</v>
      </c>
      <c r="M8" s="246">
        <v>144.69800000000001</v>
      </c>
      <c r="N8" s="247">
        <v>110.6</v>
      </c>
      <c r="O8" s="248">
        <v>7.7000000000000002E-3</v>
      </c>
      <c r="P8" s="249">
        <v>0.46</v>
      </c>
      <c r="Q8" s="244">
        <v>52.8</v>
      </c>
      <c r="R8" s="244">
        <v>4</v>
      </c>
      <c r="S8" s="244">
        <v>1350</v>
      </c>
      <c r="T8" s="246">
        <v>1.3080000000000001</v>
      </c>
      <c r="U8" s="244">
        <v>42</v>
      </c>
      <c r="V8" s="248">
        <v>3.1099999999999999E-2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835</v>
      </c>
    </row>
    <row r="9" spans="1:29" s="250" customFormat="1" ht="25.05" customHeight="1" x14ac:dyDescent="0.3">
      <c r="A9" s="244">
        <v>7</v>
      </c>
      <c r="B9" s="245" t="s">
        <v>781</v>
      </c>
      <c r="C9" s="244" t="s">
        <v>81</v>
      </c>
      <c r="D9" s="244" t="s">
        <v>825</v>
      </c>
      <c r="E9" s="244">
        <v>263027</v>
      </c>
      <c r="F9" s="244" t="s">
        <v>65</v>
      </c>
      <c r="G9" s="244">
        <v>1000</v>
      </c>
      <c r="H9" s="246">
        <v>0.311</v>
      </c>
      <c r="I9" s="246">
        <v>0.98699999999999999</v>
      </c>
      <c r="J9" s="244" t="s">
        <v>27</v>
      </c>
      <c r="K9" s="244" t="s">
        <v>413</v>
      </c>
      <c r="L9" s="244" t="s">
        <v>27</v>
      </c>
      <c r="M9" s="246">
        <v>306.95699999999999</v>
      </c>
      <c r="N9" s="247">
        <v>246.8</v>
      </c>
      <c r="O9" s="248">
        <v>1.7100000000000001E-2</v>
      </c>
      <c r="P9" s="249">
        <v>1.03</v>
      </c>
      <c r="Q9" s="244">
        <v>112</v>
      </c>
      <c r="R9" s="244">
        <v>4</v>
      </c>
      <c r="S9" s="244">
        <v>1300</v>
      </c>
      <c r="T9" s="246">
        <v>1.244</v>
      </c>
      <c r="U9" s="244">
        <v>56</v>
      </c>
      <c r="V9" s="248">
        <v>4.3099999999999999E-2</v>
      </c>
      <c r="W9" s="244" t="s">
        <v>41</v>
      </c>
      <c r="X9" s="244" t="s">
        <v>29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412</v>
      </c>
    </row>
    <row r="10" spans="1:29" s="250" customFormat="1" ht="25.05" customHeight="1" x14ac:dyDescent="0.3">
      <c r="A10" s="244">
        <v>8</v>
      </c>
      <c r="B10" s="245" t="s">
        <v>781</v>
      </c>
      <c r="C10" s="244" t="s">
        <v>81</v>
      </c>
      <c r="D10" s="244" t="s">
        <v>825</v>
      </c>
      <c r="E10" s="244">
        <v>263028</v>
      </c>
      <c r="F10" s="244" t="s">
        <v>65</v>
      </c>
      <c r="G10" s="244">
        <v>1000</v>
      </c>
      <c r="H10" s="246">
        <v>0.30299999999999999</v>
      </c>
      <c r="I10" s="246">
        <v>0.94499999999999995</v>
      </c>
      <c r="J10" s="244" t="s">
        <v>27</v>
      </c>
      <c r="K10" s="244" t="s">
        <v>407</v>
      </c>
      <c r="L10" s="244" t="s">
        <v>27</v>
      </c>
      <c r="M10" s="246">
        <v>286.33499999999998</v>
      </c>
      <c r="N10" s="247">
        <v>236.3</v>
      </c>
      <c r="O10" s="248">
        <v>1.6400000000000001E-2</v>
      </c>
      <c r="P10" s="249">
        <v>0.98</v>
      </c>
      <c r="Q10" s="244">
        <v>104.5</v>
      </c>
      <c r="R10" s="244">
        <v>4</v>
      </c>
      <c r="S10" s="244">
        <v>1250</v>
      </c>
      <c r="T10" s="246">
        <v>1.212</v>
      </c>
      <c r="U10" s="244">
        <v>38</v>
      </c>
      <c r="V10" s="248">
        <v>3.04E-2</v>
      </c>
      <c r="W10" s="244" t="s">
        <v>41</v>
      </c>
      <c r="X10" s="244" t="s">
        <v>29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406</v>
      </c>
    </row>
    <row r="11" spans="1:29" s="250" customFormat="1" ht="25.05" customHeight="1" x14ac:dyDescent="0.3">
      <c r="A11" s="244">
        <v>9</v>
      </c>
      <c r="B11" s="245" t="s">
        <v>781</v>
      </c>
      <c r="C11" s="244" t="s">
        <v>81</v>
      </c>
      <c r="D11" s="244" t="s">
        <v>825</v>
      </c>
      <c r="E11" s="244">
        <v>263030</v>
      </c>
      <c r="F11" s="244" t="s">
        <v>65</v>
      </c>
      <c r="G11" s="244">
        <v>1500</v>
      </c>
      <c r="H11" s="246">
        <v>0.307</v>
      </c>
      <c r="I11" s="246">
        <v>0.83499999999999996</v>
      </c>
      <c r="J11" s="244" t="s">
        <v>27</v>
      </c>
      <c r="K11" s="244" t="s">
        <v>33</v>
      </c>
      <c r="L11" s="244" t="s">
        <v>27</v>
      </c>
      <c r="M11" s="246">
        <v>384.517</v>
      </c>
      <c r="N11" s="247">
        <v>313.10000000000002</v>
      </c>
      <c r="O11" s="248">
        <v>2.1700000000000001E-2</v>
      </c>
      <c r="P11" s="249">
        <v>1.3</v>
      </c>
      <c r="Q11" s="244">
        <v>140.30000000000001</v>
      </c>
      <c r="R11" s="244">
        <v>4</v>
      </c>
      <c r="S11" s="244">
        <v>1250</v>
      </c>
      <c r="T11" s="246">
        <v>1.228</v>
      </c>
      <c r="U11" s="244">
        <v>22</v>
      </c>
      <c r="V11" s="248">
        <v>1.7600000000000001E-2</v>
      </c>
      <c r="W11" s="244" t="s">
        <v>41</v>
      </c>
      <c r="X11" s="244" t="s">
        <v>29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834</v>
      </c>
    </row>
    <row r="12" spans="1:29" s="250" customFormat="1" ht="25.05" customHeight="1" x14ac:dyDescent="0.3">
      <c r="A12" s="244">
        <v>10</v>
      </c>
      <c r="B12" s="245" t="s">
        <v>781</v>
      </c>
      <c r="C12" s="244" t="s">
        <v>81</v>
      </c>
      <c r="D12" s="244" t="s">
        <v>825</v>
      </c>
      <c r="E12" s="244">
        <v>263024</v>
      </c>
      <c r="F12" s="244" t="s">
        <v>65</v>
      </c>
      <c r="G12" s="244">
        <v>1500</v>
      </c>
      <c r="H12" s="246">
        <v>0.54400000000000004</v>
      </c>
      <c r="I12" s="246">
        <v>0.745</v>
      </c>
      <c r="J12" s="244" t="s">
        <v>27</v>
      </c>
      <c r="K12" s="244" t="s">
        <v>33</v>
      </c>
      <c r="L12" s="244" t="s">
        <v>27</v>
      </c>
      <c r="M12" s="246">
        <v>607.91999999999996</v>
      </c>
      <c r="N12" s="247">
        <v>558.79999999999995</v>
      </c>
      <c r="O12" s="248">
        <v>7.7600000000000002E-2</v>
      </c>
      <c r="P12" s="249">
        <v>4.66</v>
      </c>
      <c r="Q12" s="244">
        <v>221.9</v>
      </c>
      <c r="R12" s="244">
        <v>2</v>
      </c>
      <c r="S12" s="244">
        <v>1150</v>
      </c>
      <c r="T12" s="246">
        <v>1.0880000000000001</v>
      </c>
      <c r="U12" s="244">
        <v>62</v>
      </c>
      <c r="V12" s="248">
        <v>5.3900000000000003E-2</v>
      </c>
      <c r="W12" s="244" t="s">
        <v>41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38</v>
      </c>
      <c r="AC12" s="244" t="s">
        <v>833</v>
      </c>
    </row>
    <row r="13" spans="1:29" s="250" customFormat="1" ht="25.05" customHeight="1" x14ac:dyDescent="0.3">
      <c r="A13" s="251" t="s">
        <v>27</v>
      </c>
      <c r="B13" s="251" t="s">
        <v>27</v>
      </c>
      <c r="C13" s="251" t="s">
        <v>27</v>
      </c>
      <c r="D13" s="251" t="s">
        <v>27</v>
      </c>
      <c r="E13" s="251" t="s">
        <v>27</v>
      </c>
      <c r="F13" s="251" t="s">
        <v>27</v>
      </c>
      <c r="G13" s="251">
        <v>8500</v>
      </c>
      <c r="H13" s="251" t="s">
        <v>27</v>
      </c>
      <c r="I13" s="251" t="s">
        <v>27</v>
      </c>
      <c r="J13" s="251" t="s">
        <v>27</v>
      </c>
      <c r="K13" s="251" t="s">
        <v>27</v>
      </c>
      <c r="L13" s="251" t="s">
        <v>27</v>
      </c>
      <c r="M13" s="251" t="s">
        <v>27</v>
      </c>
      <c r="N13" s="251" t="s">
        <v>27</v>
      </c>
      <c r="O13" s="251" t="s">
        <v>27</v>
      </c>
      <c r="P13" s="251" t="s">
        <v>27</v>
      </c>
      <c r="Q13" s="251">
        <v>979.4</v>
      </c>
      <c r="R13" s="251" t="s">
        <v>27</v>
      </c>
      <c r="S13" s="251" t="s">
        <v>27</v>
      </c>
      <c r="T13" s="251" t="s">
        <v>27</v>
      </c>
      <c r="U13" s="251" t="s">
        <v>27</v>
      </c>
      <c r="V13" s="251" t="s">
        <v>27</v>
      </c>
      <c r="W13" s="251" t="s">
        <v>27</v>
      </c>
      <c r="X13" s="251" t="s">
        <v>27</v>
      </c>
      <c r="Y13" s="251" t="s">
        <v>27</v>
      </c>
      <c r="Z13" s="251" t="s">
        <v>27</v>
      </c>
      <c r="AA13" s="251" t="s">
        <v>27</v>
      </c>
      <c r="AB13" s="251" t="s">
        <v>27</v>
      </c>
      <c r="AC13" s="251" t="s">
        <v>27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5.88671875" style="228" customWidth="1"/>
    <col min="8" max="8" width="5.77734375" style="228" customWidth="1"/>
    <col min="9" max="9" width="6.5546875" style="228" customWidth="1"/>
    <col min="10" max="10" width="7" style="228" customWidth="1"/>
    <col min="11" max="11" width="13.66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" style="228" customWidth="1"/>
    <col min="19" max="19" width="5.664062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6640625" style="228" customWidth="1"/>
    <col min="25" max="26" width="7.5546875" style="228" customWidth="1"/>
    <col min="27" max="27" width="7.21875" style="228" customWidth="1"/>
    <col min="28" max="28" width="4.44140625" style="228" customWidth="1"/>
    <col min="29" max="29" width="10.44140625" style="228" customWidth="1"/>
    <col min="30" max="16384" width="8.88671875" style="228"/>
  </cols>
  <sheetData>
    <row r="1" spans="1:29" ht="18" customHeight="1" x14ac:dyDescent="0.35">
      <c r="A1" s="320" t="s">
        <v>821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0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93</v>
      </c>
      <c r="C3" s="244" t="s">
        <v>26</v>
      </c>
      <c r="D3" s="244" t="s">
        <v>800</v>
      </c>
      <c r="E3" s="244">
        <v>263018</v>
      </c>
      <c r="F3" s="244" t="s">
        <v>816</v>
      </c>
      <c r="G3" s="244">
        <v>1000</v>
      </c>
      <c r="H3" s="246">
        <v>0.42599999999999999</v>
      </c>
      <c r="I3" s="246">
        <v>1.56</v>
      </c>
      <c r="J3" s="244" t="s">
        <v>27</v>
      </c>
      <c r="K3" s="244" t="s">
        <v>820</v>
      </c>
      <c r="L3" s="244" t="s">
        <v>27</v>
      </c>
      <c r="M3" s="246">
        <v>664.56</v>
      </c>
      <c r="N3" s="247">
        <v>520</v>
      </c>
      <c r="O3" s="248">
        <v>4.8099999999999997E-2</v>
      </c>
      <c r="P3" s="249">
        <v>2.89</v>
      </c>
      <c r="Q3" s="244">
        <v>357.5</v>
      </c>
      <c r="R3" s="244">
        <v>3</v>
      </c>
      <c r="S3" s="244">
        <v>1300</v>
      </c>
      <c r="T3" s="246">
        <v>1.278</v>
      </c>
      <c r="U3" s="244">
        <v>22</v>
      </c>
      <c r="V3" s="248">
        <v>1.6899999999999998E-2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819</v>
      </c>
    </row>
    <row r="4" spans="1:29" s="250" customFormat="1" ht="25.05" customHeight="1" x14ac:dyDescent="0.3">
      <c r="A4" s="244"/>
      <c r="B4" s="245" t="s">
        <v>93</v>
      </c>
      <c r="C4" s="244" t="s">
        <v>26</v>
      </c>
      <c r="D4" s="244" t="s">
        <v>800</v>
      </c>
      <c r="E4" s="244">
        <v>263017</v>
      </c>
      <c r="F4" s="244" t="s">
        <v>816</v>
      </c>
      <c r="G4" s="244">
        <v>300</v>
      </c>
      <c r="H4" s="246">
        <v>0.39800000000000002</v>
      </c>
      <c r="I4" s="246">
        <v>1.524</v>
      </c>
      <c r="J4" s="244" t="s">
        <v>27</v>
      </c>
      <c r="K4" s="244" t="s">
        <v>818</v>
      </c>
      <c r="L4" s="244" t="s">
        <v>27</v>
      </c>
      <c r="M4" s="246">
        <v>181.96600000000001</v>
      </c>
      <c r="N4" s="247">
        <v>152.4</v>
      </c>
      <c r="O4" s="248">
        <v>1.41E-2</v>
      </c>
      <c r="P4" s="249">
        <v>0.85</v>
      </c>
      <c r="Q4" s="244">
        <v>97.9</v>
      </c>
      <c r="R4" s="244">
        <v>3</v>
      </c>
      <c r="S4" s="244">
        <v>1250</v>
      </c>
      <c r="T4" s="246">
        <v>1.194</v>
      </c>
      <c r="U4" s="244">
        <v>56</v>
      </c>
      <c r="V4" s="248">
        <v>4.48E-2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38</v>
      </c>
      <c r="AC4" s="244" t="s">
        <v>817</v>
      </c>
    </row>
    <row r="5" spans="1:29" s="250" customFormat="1" ht="25.05" customHeight="1" x14ac:dyDescent="0.3">
      <c r="A5" s="244"/>
      <c r="B5" s="245" t="s">
        <v>93</v>
      </c>
      <c r="C5" s="244" t="s">
        <v>144</v>
      </c>
      <c r="D5" s="244" t="s">
        <v>800</v>
      </c>
      <c r="E5" s="244">
        <v>263016</v>
      </c>
      <c r="F5" s="244" t="s">
        <v>816</v>
      </c>
      <c r="G5" s="244">
        <v>600</v>
      </c>
      <c r="H5" s="246">
        <v>0.47599999999999998</v>
      </c>
      <c r="I5" s="246">
        <v>1.3320000000000001</v>
      </c>
      <c r="J5" s="244" t="s">
        <v>27</v>
      </c>
      <c r="K5" s="244" t="s">
        <v>815</v>
      </c>
      <c r="L5" s="244" t="s">
        <v>27</v>
      </c>
      <c r="M5" s="246">
        <v>380.41899999999998</v>
      </c>
      <c r="N5" s="247">
        <v>266.39999999999998</v>
      </c>
      <c r="O5" s="248">
        <v>2.47E-2</v>
      </c>
      <c r="P5" s="249">
        <v>1.48</v>
      </c>
      <c r="Q5" s="244">
        <v>147.6</v>
      </c>
      <c r="R5" s="244">
        <v>3</v>
      </c>
      <c r="S5" s="244">
        <v>1450</v>
      </c>
      <c r="T5" s="246">
        <v>1.4279999999999999</v>
      </c>
      <c r="U5" s="244">
        <v>22</v>
      </c>
      <c r="V5" s="248">
        <v>1.52E-2</v>
      </c>
      <c r="W5" s="244" t="s">
        <v>39</v>
      </c>
      <c r="X5" s="244" t="s">
        <v>29</v>
      </c>
      <c r="Y5" s="244" t="s">
        <v>29</v>
      </c>
      <c r="Z5" s="244" t="s">
        <v>27</v>
      </c>
      <c r="AA5" s="244" t="s">
        <v>27</v>
      </c>
      <c r="AB5" s="244" t="s">
        <v>38</v>
      </c>
      <c r="AC5" s="244" t="s">
        <v>814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1900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603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sheetPr>
    <pageSetUpPr fitToPage="1"/>
  </sheetPr>
  <dimension ref="A1:AC9"/>
  <sheetViews>
    <sheetView zoomScale="99" zoomScaleNormal="99" workbookViewId="0">
      <selection activeCell="AH9" sqref="AH9"/>
    </sheetView>
  </sheetViews>
  <sheetFormatPr defaultRowHeight="14.4" x14ac:dyDescent="0.3"/>
  <cols>
    <col min="1" max="1" width="3.77734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21875" style="228" customWidth="1"/>
    <col min="6" max="6" width="5.88671875" style="228" customWidth="1"/>
    <col min="7" max="7" width="4.88671875" style="228" customWidth="1"/>
    <col min="8" max="8" width="6.6640625" style="228" customWidth="1"/>
    <col min="9" max="10" width="6.88671875" style="228" customWidth="1"/>
    <col min="11" max="11" width="13.3320312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4.33203125" style="228" customWidth="1"/>
    <col min="19" max="19" width="6.4414062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7.5546875" style="228" customWidth="1"/>
    <col min="25" max="25" width="7.6640625" style="228" customWidth="1"/>
    <col min="26" max="26" width="7.5546875" style="228" customWidth="1"/>
    <col min="27" max="27" width="7.886718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832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1.4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29" s="304" customFormat="1" ht="25.05" customHeight="1" x14ac:dyDescent="0.3">
      <c r="A3" s="297"/>
      <c r="B3" s="298" t="s">
        <v>807</v>
      </c>
      <c r="C3" s="299" t="s">
        <v>26</v>
      </c>
      <c r="D3" s="299" t="s">
        <v>800</v>
      </c>
      <c r="E3" s="297">
        <v>263020</v>
      </c>
      <c r="F3" s="299" t="s">
        <v>822</v>
      </c>
      <c r="G3" s="297">
        <v>500</v>
      </c>
      <c r="H3" s="300">
        <v>0.69199999999999995</v>
      </c>
      <c r="I3" s="300">
        <v>1.577</v>
      </c>
      <c r="J3" s="297"/>
      <c r="K3" s="299" t="s">
        <v>33</v>
      </c>
      <c r="L3" s="297"/>
      <c r="M3" s="300">
        <v>545.64200000000005</v>
      </c>
      <c r="N3" s="301">
        <v>394.3</v>
      </c>
      <c r="O3" s="302">
        <v>5.4800000000000001E-2</v>
      </c>
      <c r="P3" s="303">
        <v>3.29</v>
      </c>
      <c r="Q3" s="297">
        <v>293.60000000000002</v>
      </c>
      <c r="R3" s="297">
        <v>2</v>
      </c>
      <c r="S3" s="297">
        <v>1450</v>
      </c>
      <c r="T3" s="300">
        <v>1.3839999999999999</v>
      </c>
      <c r="U3" s="297">
        <v>66</v>
      </c>
      <c r="V3" s="302">
        <v>4.5499999999999999E-2</v>
      </c>
      <c r="W3" s="299" t="s">
        <v>28</v>
      </c>
      <c r="X3" s="299" t="s">
        <v>29</v>
      </c>
      <c r="Y3" s="299" t="s">
        <v>28</v>
      </c>
      <c r="Z3" s="299" t="s">
        <v>28</v>
      </c>
      <c r="AA3" s="299" t="s">
        <v>28</v>
      </c>
      <c r="AB3" s="299" t="s">
        <v>30</v>
      </c>
      <c r="AC3" s="299" t="s">
        <v>823</v>
      </c>
    </row>
    <row r="4" spans="1:29" s="304" customFormat="1" ht="25.05" customHeight="1" x14ac:dyDescent="0.3">
      <c r="A4" s="297"/>
      <c r="B4" s="298" t="s">
        <v>737</v>
      </c>
      <c r="C4" s="299" t="s">
        <v>35</v>
      </c>
      <c r="D4" s="299" t="s">
        <v>825</v>
      </c>
      <c r="E4" s="297">
        <v>263022</v>
      </c>
      <c r="F4" s="299" t="s">
        <v>826</v>
      </c>
      <c r="G4" s="297">
        <v>3000</v>
      </c>
      <c r="H4" s="300">
        <v>0.45600000000000002</v>
      </c>
      <c r="I4" s="300">
        <v>1.5609999999999999</v>
      </c>
      <c r="J4" s="297"/>
      <c r="K4" s="299" t="s">
        <v>827</v>
      </c>
      <c r="L4" s="297"/>
      <c r="M4" s="300">
        <v>2135.4479999999999</v>
      </c>
      <c r="N4" s="301">
        <v>1561</v>
      </c>
      <c r="O4" s="302">
        <v>0.14449999999999999</v>
      </c>
      <c r="P4" s="303">
        <v>8.67</v>
      </c>
      <c r="Q4" s="297">
        <v>683.3</v>
      </c>
      <c r="R4" s="297">
        <v>3</v>
      </c>
      <c r="S4" s="297">
        <v>1400</v>
      </c>
      <c r="T4" s="300">
        <v>1.3680000000000001</v>
      </c>
      <c r="U4" s="297">
        <v>32</v>
      </c>
      <c r="V4" s="302">
        <v>2.29E-2</v>
      </c>
      <c r="W4" s="299" t="s">
        <v>28</v>
      </c>
      <c r="X4" s="299" t="s">
        <v>28</v>
      </c>
      <c r="Y4" s="299" t="s">
        <v>28</v>
      </c>
      <c r="Z4" s="299"/>
      <c r="AA4" s="299"/>
      <c r="AB4" s="299" t="s">
        <v>31</v>
      </c>
      <c r="AC4" s="299" t="s">
        <v>828</v>
      </c>
    </row>
    <row r="5" spans="1:29" s="311" customFormat="1" ht="25.05" customHeight="1" x14ac:dyDescent="0.3">
      <c r="A5" s="305"/>
      <c r="B5" s="306" t="s">
        <v>807</v>
      </c>
      <c r="C5" s="305" t="s">
        <v>35</v>
      </c>
      <c r="D5" s="305" t="s">
        <v>758</v>
      </c>
      <c r="E5" s="305">
        <v>263011</v>
      </c>
      <c r="F5" s="305" t="s">
        <v>806</v>
      </c>
      <c r="G5" s="305">
        <v>500</v>
      </c>
      <c r="H5" s="307">
        <v>1.1950000000000001</v>
      </c>
      <c r="I5" s="307">
        <v>2.0529999999999999</v>
      </c>
      <c r="J5" s="305" t="s">
        <v>27</v>
      </c>
      <c r="K5" s="305" t="s">
        <v>809</v>
      </c>
      <c r="L5" s="305" t="s">
        <v>27</v>
      </c>
      <c r="M5" s="307">
        <v>1226.6679999999999</v>
      </c>
      <c r="N5" s="308">
        <v>1026.5</v>
      </c>
      <c r="O5" s="309">
        <v>0.28510000000000002</v>
      </c>
      <c r="P5" s="310">
        <v>17.11</v>
      </c>
      <c r="Q5" s="305">
        <v>392.5</v>
      </c>
      <c r="R5" s="305">
        <v>1</v>
      </c>
      <c r="S5" s="305">
        <v>1250</v>
      </c>
      <c r="T5" s="307">
        <v>1.1950000000000001</v>
      </c>
      <c r="U5" s="305">
        <v>55</v>
      </c>
      <c r="V5" s="309">
        <v>4.3999999999999997E-2</v>
      </c>
      <c r="W5" s="305" t="s">
        <v>28</v>
      </c>
      <c r="X5" s="305" t="s">
        <v>28</v>
      </c>
      <c r="Y5" s="305" t="s">
        <v>28</v>
      </c>
      <c r="Z5" s="305" t="s">
        <v>27</v>
      </c>
      <c r="AA5" s="305" t="s">
        <v>27</v>
      </c>
      <c r="AB5" s="305" t="s">
        <v>32</v>
      </c>
      <c r="AC5" s="305" t="s">
        <v>808</v>
      </c>
    </row>
    <row r="6" spans="1:29" s="311" customFormat="1" ht="25.05" customHeight="1" x14ac:dyDescent="0.3">
      <c r="A6" s="297"/>
      <c r="B6" s="298" t="s">
        <v>737</v>
      </c>
      <c r="C6" s="299" t="s">
        <v>35</v>
      </c>
      <c r="D6" s="299" t="s">
        <v>825</v>
      </c>
      <c r="E6" s="297">
        <v>263023</v>
      </c>
      <c r="F6" s="299" t="s">
        <v>829</v>
      </c>
      <c r="G6" s="297">
        <v>1200</v>
      </c>
      <c r="H6" s="300">
        <v>0.56699999999999995</v>
      </c>
      <c r="I6" s="300">
        <v>1.7829999999999999</v>
      </c>
      <c r="J6" s="297"/>
      <c r="K6" s="299" t="s">
        <v>830</v>
      </c>
      <c r="L6" s="297"/>
      <c r="M6" s="300">
        <v>1213.153</v>
      </c>
      <c r="N6" s="301">
        <v>1069.8</v>
      </c>
      <c r="O6" s="302">
        <v>0.14860000000000001</v>
      </c>
      <c r="P6" s="303">
        <v>8.91</v>
      </c>
      <c r="Q6" s="297">
        <v>388.2</v>
      </c>
      <c r="R6" s="297">
        <v>2</v>
      </c>
      <c r="S6" s="297">
        <v>1200</v>
      </c>
      <c r="T6" s="300">
        <v>1.1339999999999999</v>
      </c>
      <c r="U6" s="297">
        <v>66</v>
      </c>
      <c r="V6" s="302">
        <v>5.5E-2</v>
      </c>
      <c r="W6" s="299" t="s">
        <v>28</v>
      </c>
      <c r="X6" s="299" t="s">
        <v>28</v>
      </c>
      <c r="Y6" s="299" t="s">
        <v>28</v>
      </c>
      <c r="Z6" s="299"/>
      <c r="AA6" s="299"/>
      <c r="AB6" s="299" t="s">
        <v>32</v>
      </c>
      <c r="AC6" s="299" t="s">
        <v>831</v>
      </c>
    </row>
    <row r="7" spans="1:29" s="311" customFormat="1" ht="25.05" customHeight="1" x14ac:dyDescent="0.3">
      <c r="A7" s="305"/>
      <c r="B7" s="306" t="s">
        <v>807</v>
      </c>
      <c r="C7" s="305" t="s">
        <v>35</v>
      </c>
      <c r="D7" s="305" t="s">
        <v>758</v>
      </c>
      <c r="E7" s="305">
        <v>263012</v>
      </c>
      <c r="F7" s="305" t="s">
        <v>806</v>
      </c>
      <c r="G7" s="305">
        <v>500</v>
      </c>
      <c r="H7" s="307">
        <v>1.1779999999999999</v>
      </c>
      <c r="I7" s="307">
        <v>1.9590000000000001</v>
      </c>
      <c r="J7" s="305" t="s">
        <v>27</v>
      </c>
      <c r="K7" s="305" t="s">
        <v>805</v>
      </c>
      <c r="L7" s="305" t="s">
        <v>27</v>
      </c>
      <c r="M7" s="307">
        <v>1153.8510000000001</v>
      </c>
      <c r="N7" s="308">
        <v>979.5</v>
      </c>
      <c r="O7" s="309">
        <v>0.27210000000000001</v>
      </c>
      <c r="P7" s="310">
        <v>16.32</v>
      </c>
      <c r="Q7" s="305">
        <v>369.2</v>
      </c>
      <c r="R7" s="305">
        <v>1</v>
      </c>
      <c r="S7" s="305">
        <v>1200</v>
      </c>
      <c r="T7" s="307">
        <v>1.1779999999999999</v>
      </c>
      <c r="U7" s="305">
        <v>22</v>
      </c>
      <c r="V7" s="309">
        <v>1.83E-2</v>
      </c>
      <c r="W7" s="305" t="s">
        <v>28</v>
      </c>
      <c r="X7" s="305" t="s">
        <v>28</v>
      </c>
      <c r="Y7" s="305" t="s">
        <v>28</v>
      </c>
      <c r="Z7" s="305" t="s">
        <v>27</v>
      </c>
      <c r="AA7" s="305" t="s">
        <v>27</v>
      </c>
      <c r="AB7" s="305" t="s">
        <v>32</v>
      </c>
      <c r="AC7" s="305" t="s">
        <v>804</v>
      </c>
    </row>
    <row r="8" spans="1:29" s="311" customFormat="1" ht="25.05" customHeight="1" x14ac:dyDescent="0.3">
      <c r="A8" s="297"/>
      <c r="B8" s="298" t="s">
        <v>807</v>
      </c>
      <c r="C8" s="299" t="s">
        <v>35</v>
      </c>
      <c r="D8" s="299" t="s">
        <v>800</v>
      </c>
      <c r="E8" s="297">
        <v>263019</v>
      </c>
      <c r="F8" s="299" t="s">
        <v>822</v>
      </c>
      <c r="G8" s="297">
        <v>500</v>
      </c>
      <c r="H8" s="300">
        <v>0.53200000000000003</v>
      </c>
      <c r="I8" s="300">
        <v>1.403</v>
      </c>
      <c r="J8" s="297"/>
      <c r="K8" s="299" t="s">
        <v>33</v>
      </c>
      <c r="L8" s="297"/>
      <c r="M8" s="300">
        <v>373.19799999999998</v>
      </c>
      <c r="N8" s="301">
        <v>350.8</v>
      </c>
      <c r="O8" s="302">
        <v>4.87E-2</v>
      </c>
      <c r="P8" s="303">
        <v>2.92</v>
      </c>
      <c r="Q8" s="297">
        <v>119.4</v>
      </c>
      <c r="R8" s="297">
        <v>2</v>
      </c>
      <c r="S8" s="297">
        <v>1100</v>
      </c>
      <c r="T8" s="300">
        <v>1.0640000000000001</v>
      </c>
      <c r="U8" s="297">
        <v>36</v>
      </c>
      <c r="V8" s="302">
        <v>3.27E-2</v>
      </c>
      <c r="W8" s="299" t="s">
        <v>28</v>
      </c>
      <c r="X8" s="299" t="s">
        <v>28</v>
      </c>
      <c r="Y8" s="299" t="s">
        <v>28</v>
      </c>
      <c r="Z8" s="299"/>
      <c r="AA8" s="299"/>
      <c r="AB8" s="299" t="s">
        <v>38</v>
      </c>
      <c r="AC8" s="299" t="s">
        <v>824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6200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2246.2000000000003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6.33203125" style="228" customWidth="1"/>
    <col min="8" max="8" width="6.6640625" style="228" customWidth="1"/>
    <col min="9" max="9" width="6.44140625" style="228" customWidth="1"/>
    <col min="10" max="10" width="8.21875" style="228" customWidth="1"/>
    <col min="11" max="11" width="14.218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44140625" style="228" customWidth="1"/>
    <col min="19" max="19" width="7.44140625" style="228" customWidth="1"/>
    <col min="20" max="20" width="7.33203125" style="228" customWidth="1"/>
    <col min="21" max="21" width="11.77734375" style="228" hidden="1" customWidth="1"/>
    <col min="22" max="22" width="8.77734375" style="228" hidden="1" customWidth="1"/>
    <col min="23" max="25" width="8.21875" style="228" customWidth="1"/>
    <col min="26" max="26" width="8.33203125" style="228" customWidth="1"/>
    <col min="27" max="27" width="8" style="228" customWidth="1"/>
    <col min="28" max="28" width="4.10937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19" t="s">
        <v>799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86" customFormat="1" x14ac:dyDescent="0.3">
      <c r="A3" s="280">
        <v>1</v>
      </c>
      <c r="B3" s="281" t="s">
        <v>796</v>
      </c>
      <c r="C3" s="280" t="s">
        <v>44</v>
      </c>
      <c r="D3" s="280" t="s">
        <v>736</v>
      </c>
      <c r="E3" s="280">
        <v>263008</v>
      </c>
      <c r="F3" s="280" t="s">
        <v>271</v>
      </c>
      <c r="G3" s="280">
        <v>3300</v>
      </c>
      <c r="H3" s="282">
        <v>0.497</v>
      </c>
      <c r="I3" s="282">
        <v>0.97</v>
      </c>
      <c r="J3" s="280" t="s">
        <v>27</v>
      </c>
      <c r="K3" s="280" t="s">
        <v>798</v>
      </c>
      <c r="L3" s="280" t="s">
        <v>27</v>
      </c>
      <c r="M3" s="282">
        <v>1590.8969999999999</v>
      </c>
      <c r="N3" s="283">
        <v>1067</v>
      </c>
      <c r="O3" s="284">
        <v>9.8799999999999999E-2</v>
      </c>
      <c r="P3" s="285">
        <v>5.93</v>
      </c>
      <c r="Q3" s="280">
        <v>903.6</v>
      </c>
      <c r="R3" s="280">
        <v>3</v>
      </c>
      <c r="S3" s="280">
        <v>1550</v>
      </c>
      <c r="T3" s="282">
        <v>1.4910000000000001</v>
      </c>
      <c r="U3" s="280">
        <v>59</v>
      </c>
      <c r="V3" s="284">
        <v>3.8100000000000002E-2</v>
      </c>
      <c r="W3" s="280" t="s">
        <v>34</v>
      </c>
      <c r="X3" s="280" t="s">
        <v>39</v>
      </c>
      <c r="Y3" s="280" t="s">
        <v>34</v>
      </c>
      <c r="Z3" s="280" t="s">
        <v>34</v>
      </c>
      <c r="AA3" s="280" t="s">
        <v>34</v>
      </c>
      <c r="AB3" s="280" t="s">
        <v>48</v>
      </c>
      <c r="AC3" s="280" t="s">
        <v>797</v>
      </c>
    </row>
    <row r="4" spans="1:29" s="286" customFormat="1" x14ac:dyDescent="0.3">
      <c r="A4" s="280">
        <v>2</v>
      </c>
      <c r="B4" s="281" t="s">
        <v>796</v>
      </c>
      <c r="C4" s="280" t="s">
        <v>44</v>
      </c>
      <c r="D4" s="280" t="s">
        <v>736</v>
      </c>
      <c r="E4" s="280">
        <v>263009</v>
      </c>
      <c r="F4" s="280" t="s">
        <v>271</v>
      </c>
      <c r="G4" s="280">
        <v>1395</v>
      </c>
      <c r="H4" s="282">
        <v>0.879</v>
      </c>
      <c r="I4" s="282">
        <v>1.48</v>
      </c>
      <c r="J4" s="280" t="s">
        <v>27</v>
      </c>
      <c r="K4" s="280" t="s">
        <v>270</v>
      </c>
      <c r="L4" s="280" t="s">
        <v>27</v>
      </c>
      <c r="M4" s="282">
        <v>1814.7829999999999</v>
      </c>
      <c r="N4" s="283">
        <v>2064.6</v>
      </c>
      <c r="O4" s="284">
        <v>0.57350000000000001</v>
      </c>
      <c r="P4" s="285">
        <v>34.409999999999997</v>
      </c>
      <c r="Q4" s="280">
        <v>1030.8</v>
      </c>
      <c r="R4" s="280">
        <v>1</v>
      </c>
      <c r="S4" s="280">
        <v>900</v>
      </c>
      <c r="T4" s="282">
        <v>0.879</v>
      </c>
      <c r="U4" s="280">
        <v>21</v>
      </c>
      <c r="V4" s="284">
        <v>2.3300000000000001E-2</v>
      </c>
      <c r="W4" s="280" t="s">
        <v>34</v>
      </c>
      <c r="X4" s="280" t="s">
        <v>39</v>
      </c>
      <c r="Y4" s="280" t="s">
        <v>34</v>
      </c>
      <c r="Z4" s="280" t="s">
        <v>34</v>
      </c>
      <c r="AA4" s="280" t="s">
        <v>34</v>
      </c>
      <c r="AB4" s="280" t="s">
        <v>52</v>
      </c>
      <c r="AC4" s="280" t="s">
        <v>268</v>
      </c>
    </row>
    <row r="5" spans="1:29" s="286" customFormat="1" x14ac:dyDescent="0.3">
      <c r="A5" s="280">
        <v>3</v>
      </c>
      <c r="B5" s="281" t="s">
        <v>796</v>
      </c>
      <c r="C5" s="280" t="s">
        <v>44</v>
      </c>
      <c r="D5" s="280" t="s">
        <v>736</v>
      </c>
      <c r="E5" s="280">
        <v>263007</v>
      </c>
      <c r="F5" s="280" t="s">
        <v>271</v>
      </c>
      <c r="G5" s="280">
        <v>770</v>
      </c>
      <c r="H5" s="282">
        <v>0.79900000000000004</v>
      </c>
      <c r="I5" s="282">
        <v>1.0900000000000001</v>
      </c>
      <c r="J5" s="280" t="s">
        <v>27</v>
      </c>
      <c r="K5" s="280" t="s">
        <v>795</v>
      </c>
      <c r="L5" s="280" t="s">
        <v>27</v>
      </c>
      <c r="M5" s="282">
        <v>670.601</v>
      </c>
      <c r="N5" s="283">
        <v>839.3</v>
      </c>
      <c r="O5" s="284">
        <v>0.2331</v>
      </c>
      <c r="P5" s="285">
        <v>13.99</v>
      </c>
      <c r="Q5" s="280">
        <v>380.9</v>
      </c>
      <c r="R5" s="280">
        <v>1</v>
      </c>
      <c r="S5" s="280">
        <v>850</v>
      </c>
      <c r="T5" s="282">
        <v>0.79900000000000004</v>
      </c>
      <c r="U5" s="280">
        <v>51</v>
      </c>
      <c r="V5" s="284">
        <v>0.06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32</v>
      </c>
      <c r="AC5" s="280" t="s">
        <v>794</v>
      </c>
    </row>
    <row r="6" spans="1:29" s="286" customFormat="1" x14ac:dyDescent="0.3">
      <c r="A6" s="287" t="s">
        <v>27</v>
      </c>
      <c r="B6" s="287" t="s">
        <v>27</v>
      </c>
      <c r="C6" s="287" t="s">
        <v>27</v>
      </c>
      <c r="D6" s="287" t="s">
        <v>27</v>
      </c>
      <c r="E6" s="287" t="s">
        <v>27</v>
      </c>
      <c r="F6" s="287" t="s">
        <v>27</v>
      </c>
      <c r="G6" s="287">
        <v>5465</v>
      </c>
      <c r="H6" s="287" t="s">
        <v>27</v>
      </c>
      <c r="I6" s="287" t="s">
        <v>27</v>
      </c>
      <c r="J6" s="287" t="s">
        <v>27</v>
      </c>
      <c r="K6" s="287" t="s">
        <v>27</v>
      </c>
      <c r="L6" s="287" t="s">
        <v>27</v>
      </c>
      <c r="M6" s="287" t="s">
        <v>27</v>
      </c>
      <c r="N6" s="287" t="s">
        <v>27</v>
      </c>
      <c r="O6" s="287" t="s">
        <v>27</v>
      </c>
      <c r="P6" s="287" t="s">
        <v>27</v>
      </c>
      <c r="Q6" s="287">
        <v>2315.3000000000002</v>
      </c>
      <c r="R6" s="287" t="s">
        <v>27</v>
      </c>
      <c r="S6" s="287" t="s">
        <v>27</v>
      </c>
      <c r="T6" s="287" t="s">
        <v>27</v>
      </c>
      <c r="U6" s="287" t="s">
        <v>27</v>
      </c>
      <c r="V6" s="287" t="s">
        <v>27</v>
      </c>
      <c r="W6" s="287" t="s">
        <v>27</v>
      </c>
      <c r="X6" s="287" t="s">
        <v>27</v>
      </c>
      <c r="Y6" s="287" t="s">
        <v>27</v>
      </c>
      <c r="Z6" s="287" t="s">
        <v>27</v>
      </c>
      <c r="AA6" s="287" t="s">
        <v>27</v>
      </c>
      <c r="AB6" s="287" t="s">
        <v>27</v>
      </c>
      <c r="AC6" s="287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Z20" sqref="Z20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5.44140625" style="228" customWidth="1"/>
    <col min="4" max="4" width="11.77734375" style="228" hidden="1" customWidth="1"/>
    <col min="5" max="5" width="7.109375" style="228" customWidth="1"/>
    <col min="6" max="6" width="7.77734375" style="228" customWidth="1"/>
    <col min="7" max="7" width="5.88671875" style="228" customWidth="1"/>
    <col min="8" max="8" width="6.33203125" style="228" customWidth="1"/>
    <col min="9" max="9" width="6.109375" style="228" customWidth="1"/>
    <col min="10" max="10" width="7.5546875" style="228" customWidth="1"/>
    <col min="11" max="11" width="7.664062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" style="228" customWidth="1"/>
    <col min="18" max="18" width="3.5546875" style="228" customWidth="1"/>
    <col min="19" max="19" width="6.8867187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44140625" style="228" customWidth="1"/>
    <col min="24" max="24" width="7.77734375" style="228" customWidth="1"/>
    <col min="25" max="25" width="7.109375" style="228" customWidth="1"/>
    <col min="26" max="26" width="8" style="228" customWidth="1"/>
    <col min="27" max="27" width="8.6640625" style="228" customWidth="1"/>
    <col min="28" max="28" width="4" style="228" customWidth="1"/>
    <col min="29" max="29" width="10.33203125" style="228" customWidth="1"/>
    <col min="30" max="16384" width="8.88671875" style="228"/>
  </cols>
  <sheetData>
    <row r="1" spans="1:29" ht="18" customHeight="1" x14ac:dyDescent="0.3">
      <c r="A1" s="321" t="s">
        <v>793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29" ht="51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ht="25.05" customHeight="1" x14ac:dyDescent="0.3">
      <c r="A3" s="255">
        <v>1</v>
      </c>
      <c r="B3" s="256" t="s">
        <v>466</v>
      </c>
      <c r="C3" s="255" t="s">
        <v>35</v>
      </c>
      <c r="D3" s="255" t="s">
        <v>758</v>
      </c>
      <c r="E3" s="255">
        <v>263004</v>
      </c>
      <c r="F3" s="255" t="s">
        <v>789</v>
      </c>
      <c r="G3" s="255">
        <v>3000</v>
      </c>
      <c r="H3" s="257">
        <v>0.37</v>
      </c>
      <c r="I3" s="257">
        <v>0.7</v>
      </c>
      <c r="J3" s="255" t="s">
        <v>27</v>
      </c>
      <c r="K3" s="255" t="s">
        <v>33</v>
      </c>
      <c r="L3" s="255" t="s">
        <v>27</v>
      </c>
      <c r="M3" s="257">
        <v>777</v>
      </c>
      <c r="N3" s="258">
        <v>525</v>
      </c>
      <c r="O3" s="259">
        <v>3.6499999999999998E-2</v>
      </c>
      <c r="P3" s="260">
        <v>2.19</v>
      </c>
      <c r="Q3" s="255">
        <v>248.6</v>
      </c>
      <c r="R3" s="255">
        <v>4</v>
      </c>
      <c r="S3" s="255">
        <v>1500</v>
      </c>
      <c r="T3" s="257">
        <v>1.48</v>
      </c>
      <c r="U3" s="255">
        <v>20</v>
      </c>
      <c r="V3" s="259">
        <v>1.3299999999999999E-2</v>
      </c>
      <c r="W3" s="255" t="s">
        <v>28</v>
      </c>
      <c r="X3" s="255" t="s">
        <v>28</v>
      </c>
      <c r="Y3" s="255" t="s">
        <v>28</v>
      </c>
      <c r="Z3" s="255" t="s">
        <v>27</v>
      </c>
      <c r="AA3" s="255" t="s">
        <v>27</v>
      </c>
      <c r="AB3" s="255" t="s">
        <v>38</v>
      </c>
      <c r="AC3" s="255" t="s">
        <v>792</v>
      </c>
    </row>
    <row r="4" spans="1:29" ht="25.05" customHeight="1" x14ac:dyDescent="0.3">
      <c r="A4" s="255">
        <v>2</v>
      </c>
      <c r="B4" s="256" t="s">
        <v>466</v>
      </c>
      <c r="C4" s="255" t="s">
        <v>35</v>
      </c>
      <c r="D4" s="255" t="s">
        <v>758</v>
      </c>
      <c r="E4" s="255">
        <v>263006</v>
      </c>
      <c r="F4" s="255" t="s">
        <v>789</v>
      </c>
      <c r="G4" s="255">
        <v>800</v>
      </c>
      <c r="H4" s="257">
        <v>0.73</v>
      </c>
      <c r="I4" s="257">
        <v>0.59</v>
      </c>
      <c r="J4" s="255" t="s">
        <v>27</v>
      </c>
      <c r="K4" s="255" t="s">
        <v>33</v>
      </c>
      <c r="L4" s="255" t="s">
        <v>27</v>
      </c>
      <c r="M4" s="257">
        <v>344.56</v>
      </c>
      <c r="N4" s="258">
        <v>236</v>
      </c>
      <c r="O4" s="259">
        <v>3.2800000000000003E-2</v>
      </c>
      <c r="P4" s="260">
        <v>1.97</v>
      </c>
      <c r="Q4" s="255">
        <v>110.3</v>
      </c>
      <c r="R4" s="255">
        <v>2</v>
      </c>
      <c r="S4" s="255">
        <v>1500</v>
      </c>
      <c r="T4" s="257">
        <v>1.46</v>
      </c>
      <c r="U4" s="255">
        <v>40</v>
      </c>
      <c r="V4" s="259">
        <v>2.6700000000000002E-2</v>
      </c>
      <c r="W4" s="255" t="s">
        <v>28</v>
      </c>
      <c r="X4" s="255" t="s">
        <v>28</v>
      </c>
      <c r="Y4" s="255" t="s">
        <v>28</v>
      </c>
      <c r="Z4" s="255" t="s">
        <v>27</v>
      </c>
      <c r="AA4" s="255" t="s">
        <v>27</v>
      </c>
      <c r="AB4" s="255" t="s">
        <v>38</v>
      </c>
      <c r="AC4" s="255" t="s">
        <v>791</v>
      </c>
    </row>
    <row r="5" spans="1:29" ht="25.05" customHeight="1" x14ac:dyDescent="0.3">
      <c r="A5" s="255">
        <v>3</v>
      </c>
      <c r="B5" s="256" t="s">
        <v>466</v>
      </c>
      <c r="C5" s="255" t="s">
        <v>35</v>
      </c>
      <c r="D5" s="255" t="s">
        <v>758</v>
      </c>
      <c r="E5" s="255">
        <v>263003</v>
      </c>
      <c r="F5" s="255" t="s">
        <v>789</v>
      </c>
      <c r="G5" s="255">
        <v>3000</v>
      </c>
      <c r="H5" s="257">
        <v>0.41</v>
      </c>
      <c r="I5" s="257">
        <v>0.8</v>
      </c>
      <c r="J5" s="255" t="s">
        <v>27</v>
      </c>
      <c r="K5" s="255" t="s">
        <v>33</v>
      </c>
      <c r="L5" s="255" t="s">
        <v>27</v>
      </c>
      <c r="M5" s="257">
        <v>984</v>
      </c>
      <c r="N5" s="258">
        <v>800</v>
      </c>
      <c r="O5" s="259">
        <v>7.4099999999999999E-2</v>
      </c>
      <c r="P5" s="260">
        <v>4.4400000000000004</v>
      </c>
      <c r="Q5" s="255">
        <v>314.89999999999998</v>
      </c>
      <c r="R5" s="255">
        <v>3</v>
      </c>
      <c r="S5" s="255">
        <v>1250</v>
      </c>
      <c r="T5" s="257">
        <v>1.23</v>
      </c>
      <c r="U5" s="255">
        <v>20</v>
      </c>
      <c r="V5" s="259">
        <v>1.6E-2</v>
      </c>
      <c r="W5" s="255" t="s">
        <v>28</v>
      </c>
      <c r="X5" s="255" t="s">
        <v>28</v>
      </c>
      <c r="Y5" s="255" t="s">
        <v>28</v>
      </c>
      <c r="Z5" s="255" t="s">
        <v>27</v>
      </c>
      <c r="AA5" s="255" t="s">
        <v>27</v>
      </c>
      <c r="AB5" s="255" t="s">
        <v>32</v>
      </c>
      <c r="AC5" s="255" t="s">
        <v>790</v>
      </c>
    </row>
    <row r="6" spans="1:29" ht="25.05" customHeight="1" x14ac:dyDescent="0.3">
      <c r="A6" s="255">
        <v>4</v>
      </c>
      <c r="B6" s="256" t="s">
        <v>466</v>
      </c>
      <c r="C6" s="255" t="s">
        <v>35</v>
      </c>
      <c r="D6" s="255" t="s">
        <v>758</v>
      </c>
      <c r="E6" s="255">
        <v>263005</v>
      </c>
      <c r="F6" s="255" t="s">
        <v>789</v>
      </c>
      <c r="G6" s="255">
        <v>3000</v>
      </c>
      <c r="H6" s="257">
        <v>0.55000000000000004</v>
      </c>
      <c r="I6" s="257">
        <v>1.1000000000000001</v>
      </c>
      <c r="J6" s="255" t="s">
        <v>27</v>
      </c>
      <c r="K6" s="255" t="s">
        <v>33</v>
      </c>
      <c r="L6" s="255" t="s">
        <v>27</v>
      </c>
      <c r="M6" s="257">
        <v>1815</v>
      </c>
      <c r="N6" s="258">
        <v>1650</v>
      </c>
      <c r="O6" s="259">
        <v>0.22919999999999999</v>
      </c>
      <c r="P6" s="260">
        <v>13.75</v>
      </c>
      <c r="Q6" s="255">
        <v>580.79999999999995</v>
      </c>
      <c r="R6" s="255">
        <v>2</v>
      </c>
      <c r="S6" s="255">
        <v>1150</v>
      </c>
      <c r="T6" s="257">
        <v>1.1000000000000001</v>
      </c>
      <c r="U6" s="255">
        <v>50</v>
      </c>
      <c r="V6" s="259">
        <v>4.3499999999999997E-2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30</v>
      </c>
      <c r="AC6" s="255" t="s">
        <v>788</v>
      </c>
    </row>
    <row r="7" spans="1:29" s="286" customFormat="1" ht="25.05" customHeight="1" x14ac:dyDescent="0.3">
      <c r="A7" s="231"/>
      <c r="B7" s="230" t="s">
        <v>466</v>
      </c>
      <c r="C7" s="230" t="s">
        <v>35</v>
      </c>
      <c r="D7" s="230" t="s">
        <v>800</v>
      </c>
      <c r="E7" s="231">
        <v>263021</v>
      </c>
      <c r="F7" s="230" t="s">
        <v>822</v>
      </c>
      <c r="G7" s="231">
        <v>2000</v>
      </c>
      <c r="H7" s="232">
        <v>0.5</v>
      </c>
      <c r="I7" s="232">
        <v>1</v>
      </c>
      <c r="J7" s="231"/>
      <c r="K7" s="230" t="s">
        <v>33</v>
      </c>
      <c r="L7" s="231"/>
      <c r="M7" s="232">
        <v>1000</v>
      </c>
      <c r="N7" s="233">
        <v>666.7</v>
      </c>
      <c r="O7" s="234">
        <v>6.1699999999999998E-2</v>
      </c>
      <c r="P7" s="235">
        <v>3.7</v>
      </c>
      <c r="Q7" s="231">
        <v>320</v>
      </c>
      <c r="R7" s="231">
        <v>3</v>
      </c>
      <c r="S7" s="231">
        <v>1550</v>
      </c>
      <c r="T7" s="232">
        <v>1.5</v>
      </c>
      <c r="U7" s="231">
        <v>50</v>
      </c>
      <c r="V7" s="234">
        <v>3.2300000000000002E-2</v>
      </c>
      <c r="W7" s="230" t="s">
        <v>28</v>
      </c>
      <c r="X7" s="230" t="s">
        <v>28</v>
      </c>
      <c r="Y7" s="230" t="s">
        <v>28</v>
      </c>
      <c r="Z7" s="230"/>
      <c r="AA7" s="230"/>
      <c r="AB7" s="230" t="s">
        <v>32</v>
      </c>
      <c r="AC7" s="230" t="s">
        <v>720</v>
      </c>
    </row>
    <row r="8" spans="1:29" ht="25.05" customHeight="1" x14ac:dyDescent="0.3">
      <c r="A8" s="279" t="s">
        <v>27</v>
      </c>
      <c r="B8" s="279" t="s">
        <v>27</v>
      </c>
      <c r="C8" s="279" t="s">
        <v>27</v>
      </c>
      <c r="D8" s="279" t="s">
        <v>27</v>
      </c>
      <c r="E8" s="279" t="s">
        <v>27</v>
      </c>
      <c r="F8" s="279" t="s">
        <v>27</v>
      </c>
      <c r="G8" s="279">
        <v>9800</v>
      </c>
      <c r="H8" s="279" t="s">
        <v>27</v>
      </c>
      <c r="I8" s="279" t="s">
        <v>27</v>
      </c>
      <c r="J8" s="279" t="s">
        <v>27</v>
      </c>
      <c r="K8" s="279" t="s">
        <v>27</v>
      </c>
      <c r="L8" s="279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v>1254.5999999999999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AA42" sqref="AA42"/>
    </sheetView>
  </sheetViews>
  <sheetFormatPr defaultRowHeight="14.4" x14ac:dyDescent="0.3"/>
  <cols>
    <col min="1" max="1" width="4.10937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6640625" style="228" customWidth="1"/>
    <col min="6" max="6" width="4.109375" style="228" customWidth="1"/>
    <col min="7" max="7" width="6.88671875" style="228" customWidth="1"/>
    <col min="8" max="8" width="6.77734375" style="228" customWidth="1"/>
    <col min="9" max="9" width="6.88671875" style="228" customWidth="1"/>
    <col min="10" max="10" width="7.33203125" style="228" customWidth="1"/>
    <col min="11" max="11" width="13.21875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" style="228" customWidth="1"/>
    <col min="19" max="20" width="6.55468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44140625" style="228" customWidth="1"/>
    <col min="25" max="25" width="7.77734375" style="228" customWidth="1"/>
    <col min="26" max="26" width="8" style="228" customWidth="1"/>
    <col min="27" max="27" width="8.33203125" style="228" customWidth="1"/>
    <col min="28" max="28" width="4" style="228" customWidth="1"/>
    <col min="29" max="29" width="9.6640625" style="228" customWidth="1"/>
    <col min="30" max="16384" width="8.88671875" style="228"/>
  </cols>
  <sheetData>
    <row r="1" spans="1:29" ht="18" customHeight="1" x14ac:dyDescent="0.35">
      <c r="A1" s="320" t="s">
        <v>785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51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758</v>
      </c>
      <c r="E3" s="244">
        <v>263000</v>
      </c>
      <c r="F3" s="244" t="s">
        <v>550</v>
      </c>
      <c r="G3" s="244">
        <v>1500</v>
      </c>
      <c r="H3" s="246">
        <v>0.84399999999999997</v>
      </c>
      <c r="I3" s="246">
        <v>1.8069999999999999</v>
      </c>
      <c r="J3" s="244" t="s">
        <v>27</v>
      </c>
      <c r="K3" s="244" t="s">
        <v>784</v>
      </c>
      <c r="L3" s="244" t="s">
        <v>27</v>
      </c>
      <c r="M3" s="246">
        <v>2287.6619999999998</v>
      </c>
      <c r="N3" s="247">
        <v>2710.5</v>
      </c>
      <c r="O3" s="248">
        <v>0.75290000000000001</v>
      </c>
      <c r="P3" s="249">
        <v>45.17</v>
      </c>
      <c r="Q3" s="244">
        <v>1075.2</v>
      </c>
      <c r="R3" s="244">
        <v>1</v>
      </c>
      <c r="S3" s="244">
        <v>900</v>
      </c>
      <c r="T3" s="246">
        <v>0.84399999999999997</v>
      </c>
      <c r="U3" s="244">
        <v>56</v>
      </c>
      <c r="V3" s="248">
        <v>6.2199999999999998E-2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48</v>
      </c>
      <c r="AC3" s="244" t="s">
        <v>783</v>
      </c>
    </row>
    <row r="4" spans="1:29" s="250" customFormat="1" ht="25.05" customHeight="1" x14ac:dyDescent="0.3">
      <c r="A4" s="244"/>
      <c r="B4" s="245" t="s">
        <v>781</v>
      </c>
      <c r="C4" s="244" t="s">
        <v>42</v>
      </c>
      <c r="D4" s="244" t="s">
        <v>758</v>
      </c>
      <c r="E4" s="244">
        <v>262998</v>
      </c>
      <c r="F4" s="244" t="s">
        <v>550</v>
      </c>
      <c r="G4" s="244">
        <v>500</v>
      </c>
      <c r="H4" s="246">
        <v>0.43</v>
      </c>
      <c r="I4" s="246">
        <v>0.87</v>
      </c>
      <c r="J4" s="244" t="s">
        <v>27</v>
      </c>
      <c r="K4" s="244" t="s">
        <v>33</v>
      </c>
      <c r="L4" s="244" t="s">
        <v>27</v>
      </c>
      <c r="M4" s="246">
        <v>187.05</v>
      </c>
      <c r="N4" s="247">
        <v>145</v>
      </c>
      <c r="O4" s="248">
        <v>1.34E-2</v>
      </c>
      <c r="P4" s="249">
        <v>0.81</v>
      </c>
      <c r="Q4" s="244">
        <v>64.5</v>
      </c>
      <c r="R4" s="244">
        <v>3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29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782</v>
      </c>
    </row>
    <row r="5" spans="1:29" s="250" customFormat="1" ht="25.05" customHeight="1" x14ac:dyDescent="0.3">
      <c r="A5" s="244"/>
      <c r="B5" s="245" t="s">
        <v>781</v>
      </c>
      <c r="C5" s="244" t="s">
        <v>42</v>
      </c>
      <c r="D5" s="244" t="s">
        <v>758</v>
      </c>
      <c r="E5" s="244">
        <v>262999</v>
      </c>
      <c r="F5" s="244" t="s">
        <v>550</v>
      </c>
      <c r="G5" s="244">
        <v>5000</v>
      </c>
      <c r="H5" s="246">
        <v>0.6</v>
      </c>
      <c r="I5" s="246">
        <v>0.78</v>
      </c>
      <c r="J5" s="244" t="s">
        <v>27</v>
      </c>
      <c r="K5" s="244" t="s">
        <v>33</v>
      </c>
      <c r="L5" s="244" t="s">
        <v>27</v>
      </c>
      <c r="M5" s="246">
        <v>2340</v>
      </c>
      <c r="N5" s="247">
        <v>1950</v>
      </c>
      <c r="O5" s="248">
        <v>0.27079999999999999</v>
      </c>
      <c r="P5" s="249">
        <v>16.25</v>
      </c>
      <c r="Q5" s="244">
        <v>807.3</v>
      </c>
      <c r="R5" s="244">
        <v>2</v>
      </c>
      <c r="S5" s="244">
        <v>1250</v>
      </c>
      <c r="T5" s="246">
        <v>1.2</v>
      </c>
      <c r="U5" s="244">
        <v>50</v>
      </c>
      <c r="V5" s="248">
        <v>0.04</v>
      </c>
      <c r="W5" s="244" t="s">
        <v>29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48</v>
      </c>
      <c r="AC5" s="244" t="s">
        <v>780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7000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1947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sqref="A1:AC1"/>
    </sheetView>
  </sheetViews>
  <sheetFormatPr defaultRowHeight="14.4" x14ac:dyDescent="0.3"/>
  <cols>
    <col min="1" max="1" width="5" style="228" customWidth="1"/>
    <col min="2" max="2" width="20.77734375" style="228" hidden="1" customWidth="1"/>
    <col min="3" max="3" width="6.21875" style="228" customWidth="1"/>
    <col min="4" max="4" width="11.77734375" style="228" hidden="1" customWidth="1"/>
    <col min="5" max="5" width="7.77734375" style="228" customWidth="1"/>
    <col min="6" max="6" width="6.5546875" style="228" customWidth="1"/>
    <col min="7" max="7" width="6.33203125" style="228" customWidth="1"/>
    <col min="8" max="8" width="7.109375" style="228" customWidth="1"/>
    <col min="9" max="9" width="7.44140625" style="228" customWidth="1"/>
    <col min="10" max="10" width="8.109375" style="228" customWidth="1"/>
    <col min="11" max="11" width="19.1093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5546875" style="228" customWidth="1"/>
    <col min="19" max="19" width="6.218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7.6640625" style="228" customWidth="1"/>
    <col min="25" max="25" width="7.88671875" style="228" customWidth="1"/>
    <col min="26" max="26" width="7.5546875" style="228" customWidth="1"/>
    <col min="27" max="27" width="7.777343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779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30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</v>
      </c>
      <c r="C3" s="244" t="s">
        <v>26</v>
      </c>
      <c r="D3" s="244" t="s">
        <v>736</v>
      </c>
      <c r="E3" s="244">
        <v>262992</v>
      </c>
      <c r="F3" s="244" t="s">
        <v>752</v>
      </c>
      <c r="G3" s="244">
        <v>150</v>
      </c>
      <c r="H3" s="246">
        <v>0.67500000000000004</v>
      </c>
      <c r="I3" s="246">
        <v>2.0590000000000002</v>
      </c>
      <c r="J3" s="244" t="s">
        <v>27</v>
      </c>
      <c r="K3" s="244" t="s">
        <v>778</v>
      </c>
      <c r="L3" s="244" t="s">
        <v>27</v>
      </c>
      <c r="M3" s="246">
        <v>208.47399999999999</v>
      </c>
      <c r="N3" s="247">
        <v>154.4</v>
      </c>
      <c r="O3" s="248">
        <v>2.1399999999999999E-2</v>
      </c>
      <c r="P3" s="249">
        <v>1.29</v>
      </c>
      <c r="Q3" s="244">
        <v>112.2</v>
      </c>
      <c r="R3" s="244">
        <v>2</v>
      </c>
      <c r="S3" s="244">
        <v>1400</v>
      </c>
      <c r="T3" s="246">
        <v>1.35</v>
      </c>
      <c r="U3" s="244">
        <v>50</v>
      </c>
      <c r="V3" s="248">
        <v>3.5700000000000003E-2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38</v>
      </c>
      <c r="AC3" s="244" t="s">
        <v>777</v>
      </c>
    </row>
    <row r="4" spans="1:29" s="250" customFormat="1" ht="25.05" customHeight="1" x14ac:dyDescent="0.3">
      <c r="A4" s="244"/>
      <c r="B4" s="245" t="s">
        <v>60</v>
      </c>
      <c r="C4" s="244" t="s">
        <v>26</v>
      </c>
      <c r="D4" s="244" t="s">
        <v>736</v>
      </c>
      <c r="E4" s="244">
        <v>262990</v>
      </c>
      <c r="F4" s="244" t="s">
        <v>752</v>
      </c>
      <c r="G4" s="244">
        <v>200</v>
      </c>
      <c r="H4" s="246">
        <v>0.64500000000000002</v>
      </c>
      <c r="I4" s="246">
        <v>1.5389999999999999</v>
      </c>
      <c r="J4" s="244" t="s">
        <v>27</v>
      </c>
      <c r="K4" s="244" t="s">
        <v>776</v>
      </c>
      <c r="L4" s="244" t="s">
        <v>27</v>
      </c>
      <c r="M4" s="246">
        <v>198.53100000000001</v>
      </c>
      <c r="N4" s="247">
        <v>153.9</v>
      </c>
      <c r="O4" s="248">
        <v>2.1399999999999999E-2</v>
      </c>
      <c r="P4" s="249">
        <v>1.28</v>
      </c>
      <c r="Q4" s="244">
        <v>106.8</v>
      </c>
      <c r="R4" s="244">
        <v>2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32</v>
      </c>
      <c r="AC4" s="244" t="s">
        <v>775</v>
      </c>
    </row>
    <row r="5" spans="1:29" s="250" customFormat="1" ht="25.05" customHeight="1" x14ac:dyDescent="0.3">
      <c r="A5" s="244"/>
      <c r="B5" s="245" t="s">
        <v>60</v>
      </c>
      <c r="C5" s="244" t="s">
        <v>57</v>
      </c>
      <c r="D5" s="244" t="s">
        <v>736</v>
      </c>
      <c r="E5" s="244">
        <v>262997</v>
      </c>
      <c r="F5" s="244" t="s">
        <v>774</v>
      </c>
      <c r="G5" s="244">
        <v>500</v>
      </c>
      <c r="H5" s="246">
        <v>1.2050000000000001</v>
      </c>
      <c r="I5" s="246">
        <v>2.5110000000000001</v>
      </c>
      <c r="J5" s="244" t="s">
        <v>27</v>
      </c>
      <c r="K5" s="244" t="s">
        <v>553</v>
      </c>
      <c r="L5" s="244" t="s">
        <v>27</v>
      </c>
      <c r="M5" s="246">
        <v>1512.8779999999999</v>
      </c>
      <c r="N5" s="247">
        <v>1255.5</v>
      </c>
      <c r="O5" s="248">
        <v>0.3488</v>
      </c>
      <c r="P5" s="249">
        <v>20.93</v>
      </c>
      <c r="Q5" s="244">
        <v>956.1</v>
      </c>
      <c r="R5" s="244">
        <v>1</v>
      </c>
      <c r="S5" s="244">
        <v>1250</v>
      </c>
      <c r="T5" s="246">
        <v>1.2050000000000001</v>
      </c>
      <c r="U5" s="244">
        <v>45</v>
      </c>
      <c r="V5" s="248">
        <v>3.5999999999999997E-2</v>
      </c>
      <c r="W5" s="244" t="s">
        <v>29</v>
      </c>
      <c r="X5" s="244" t="s">
        <v>39</v>
      </c>
      <c r="Y5" s="244" t="s">
        <v>28</v>
      </c>
      <c r="Z5" s="244" t="s">
        <v>28</v>
      </c>
      <c r="AA5" s="244" t="s">
        <v>29</v>
      </c>
      <c r="AB5" s="244" t="s">
        <v>30</v>
      </c>
      <c r="AC5" s="244" t="s">
        <v>552</v>
      </c>
    </row>
    <row r="6" spans="1:29" s="250" customFormat="1" ht="25.05" customHeight="1" x14ac:dyDescent="0.3">
      <c r="A6" s="244"/>
      <c r="B6" s="245" t="s">
        <v>60</v>
      </c>
      <c r="C6" s="244" t="s">
        <v>26</v>
      </c>
      <c r="D6" s="244" t="s">
        <v>736</v>
      </c>
      <c r="E6" s="244">
        <v>262991</v>
      </c>
      <c r="F6" s="244" t="s">
        <v>752</v>
      </c>
      <c r="G6" s="244">
        <v>100</v>
      </c>
      <c r="H6" s="246">
        <v>1.085</v>
      </c>
      <c r="I6" s="246">
        <v>2.4990000000000001</v>
      </c>
      <c r="J6" s="244" t="s">
        <v>27</v>
      </c>
      <c r="K6" s="244" t="s">
        <v>773</v>
      </c>
      <c r="L6" s="244" t="s">
        <v>27</v>
      </c>
      <c r="M6" s="246">
        <v>271.142</v>
      </c>
      <c r="N6" s="247">
        <v>249.9</v>
      </c>
      <c r="O6" s="248">
        <v>6.9400000000000003E-2</v>
      </c>
      <c r="P6" s="249">
        <v>4.17</v>
      </c>
      <c r="Q6" s="244">
        <v>145.9</v>
      </c>
      <c r="R6" s="244">
        <v>1</v>
      </c>
      <c r="S6" s="244">
        <v>1150</v>
      </c>
      <c r="T6" s="246">
        <v>1.085</v>
      </c>
      <c r="U6" s="244">
        <v>65</v>
      </c>
      <c r="V6" s="248">
        <v>5.6500000000000002E-2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38</v>
      </c>
      <c r="AC6" s="244" t="s">
        <v>772</v>
      </c>
    </row>
    <row r="7" spans="1:29" s="250" customFormat="1" ht="25.05" customHeight="1" x14ac:dyDescent="0.3">
      <c r="A7" s="244"/>
      <c r="B7" s="245" t="s">
        <v>60</v>
      </c>
      <c r="C7" s="244" t="s">
        <v>26</v>
      </c>
      <c r="D7" s="244" t="s">
        <v>736</v>
      </c>
      <c r="E7" s="244">
        <v>262993</v>
      </c>
      <c r="F7" s="244" t="s">
        <v>752</v>
      </c>
      <c r="G7" s="244">
        <v>200</v>
      </c>
      <c r="H7" s="246">
        <v>0.52900000000000003</v>
      </c>
      <c r="I7" s="246">
        <v>1.5089999999999999</v>
      </c>
      <c r="J7" s="244" t="s">
        <v>27</v>
      </c>
      <c r="K7" s="244" t="s">
        <v>771</v>
      </c>
      <c r="L7" s="244" t="s">
        <v>27</v>
      </c>
      <c r="M7" s="246">
        <v>159.65199999999999</v>
      </c>
      <c r="N7" s="247">
        <v>150.9</v>
      </c>
      <c r="O7" s="248">
        <v>2.1000000000000001E-2</v>
      </c>
      <c r="P7" s="249">
        <v>1.26</v>
      </c>
      <c r="Q7" s="244">
        <v>85.9</v>
      </c>
      <c r="R7" s="244">
        <v>2</v>
      </c>
      <c r="S7" s="244">
        <v>1100</v>
      </c>
      <c r="T7" s="246">
        <v>1.0580000000000001</v>
      </c>
      <c r="U7" s="244">
        <v>42</v>
      </c>
      <c r="V7" s="248">
        <v>3.8199999999999998E-2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38</v>
      </c>
      <c r="AC7" s="244" t="s">
        <v>770</v>
      </c>
    </row>
    <row r="8" spans="1:29" s="250" customFormat="1" ht="25.05" customHeight="1" x14ac:dyDescent="0.3">
      <c r="A8" s="244"/>
      <c r="B8" s="245" t="s">
        <v>60</v>
      </c>
      <c r="C8" s="244" t="s">
        <v>35</v>
      </c>
      <c r="D8" s="244" t="s">
        <v>736</v>
      </c>
      <c r="E8" s="244">
        <v>262989</v>
      </c>
      <c r="F8" s="244" t="s">
        <v>752</v>
      </c>
      <c r="G8" s="244">
        <v>250</v>
      </c>
      <c r="H8" s="246">
        <v>1.3440000000000001</v>
      </c>
      <c r="I8" s="246">
        <v>1.609</v>
      </c>
      <c r="J8" s="244" t="s">
        <v>27</v>
      </c>
      <c r="K8" s="244" t="s">
        <v>769</v>
      </c>
      <c r="L8" s="244" t="s">
        <v>27</v>
      </c>
      <c r="M8" s="246">
        <v>540.62400000000002</v>
      </c>
      <c r="N8" s="247">
        <v>402.3</v>
      </c>
      <c r="O8" s="248">
        <v>0.11169999999999999</v>
      </c>
      <c r="P8" s="249">
        <v>6.7</v>
      </c>
      <c r="Q8" s="244">
        <v>173</v>
      </c>
      <c r="R8" s="244">
        <v>1</v>
      </c>
      <c r="S8" s="244">
        <v>1400</v>
      </c>
      <c r="T8" s="246">
        <v>1.3440000000000001</v>
      </c>
      <c r="U8" s="244">
        <v>56</v>
      </c>
      <c r="V8" s="248">
        <v>0.04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768</v>
      </c>
    </row>
    <row r="9" spans="1:29" s="250" customFormat="1" ht="25.05" customHeight="1" x14ac:dyDescent="0.3">
      <c r="A9" s="244"/>
      <c r="B9" s="245" t="s">
        <v>60</v>
      </c>
      <c r="C9" s="244" t="s">
        <v>35</v>
      </c>
      <c r="D9" s="244" t="s">
        <v>736</v>
      </c>
      <c r="E9" s="244">
        <v>262988</v>
      </c>
      <c r="F9" s="244" t="s">
        <v>752</v>
      </c>
      <c r="G9" s="244">
        <v>1000</v>
      </c>
      <c r="H9" s="246">
        <v>0.40200000000000002</v>
      </c>
      <c r="I9" s="246">
        <v>1.133</v>
      </c>
      <c r="J9" s="244" t="s">
        <v>27</v>
      </c>
      <c r="K9" s="244" t="s">
        <v>767</v>
      </c>
      <c r="L9" s="244" t="s">
        <v>27</v>
      </c>
      <c r="M9" s="246">
        <v>455.46600000000001</v>
      </c>
      <c r="N9" s="247">
        <v>377.7</v>
      </c>
      <c r="O9" s="248">
        <v>3.5000000000000003E-2</v>
      </c>
      <c r="P9" s="249">
        <v>2.1</v>
      </c>
      <c r="Q9" s="244">
        <v>145.69999999999999</v>
      </c>
      <c r="R9" s="244">
        <v>3</v>
      </c>
      <c r="S9" s="244">
        <v>1250</v>
      </c>
      <c r="T9" s="246">
        <v>1.206</v>
      </c>
      <c r="U9" s="244">
        <v>44</v>
      </c>
      <c r="V9" s="248">
        <v>3.5200000000000002E-2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766</v>
      </c>
    </row>
    <row r="10" spans="1:29" s="250" customFormat="1" ht="25.05" customHeight="1" x14ac:dyDescent="0.3">
      <c r="A10" s="244"/>
      <c r="B10" s="245" t="s">
        <v>60</v>
      </c>
      <c r="C10" s="244" t="s">
        <v>35</v>
      </c>
      <c r="D10" s="244" t="s">
        <v>736</v>
      </c>
      <c r="E10" s="244">
        <v>262987</v>
      </c>
      <c r="F10" s="244" t="s">
        <v>752</v>
      </c>
      <c r="G10" s="244">
        <v>1100</v>
      </c>
      <c r="H10" s="246">
        <v>0.57699999999999996</v>
      </c>
      <c r="I10" s="246">
        <v>0.99299999999999999</v>
      </c>
      <c r="J10" s="244" t="s">
        <v>27</v>
      </c>
      <c r="K10" s="244" t="s">
        <v>765</v>
      </c>
      <c r="L10" s="244" t="s">
        <v>27</v>
      </c>
      <c r="M10" s="246">
        <v>630.25699999999995</v>
      </c>
      <c r="N10" s="247">
        <v>546.1</v>
      </c>
      <c r="O10" s="248">
        <v>7.5899999999999995E-2</v>
      </c>
      <c r="P10" s="249">
        <v>4.55</v>
      </c>
      <c r="Q10" s="244">
        <v>201.7</v>
      </c>
      <c r="R10" s="244">
        <v>2</v>
      </c>
      <c r="S10" s="244">
        <v>1200</v>
      </c>
      <c r="T10" s="246">
        <v>1.1539999999999999</v>
      </c>
      <c r="U10" s="244">
        <v>46</v>
      </c>
      <c r="V10" s="248">
        <v>3.8300000000000001E-2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764</v>
      </c>
    </row>
    <row r="11" spans="1:29" s="250" customFormat="1" ht="25.05" customHeight="1" x14ac:dyDescent="0.3">
      <c r="A11" s="244"/>
      <c r="B11" s="245" t="s">
        <v>60</v>
      </c>
      <c r="C11" s="244" t="s">
        <v>35</v>
      </c>
      <c r="D11" s="244" t="s">
        <v>736</v>
      </c>
      <c r="E11" s="244">
        <v>262994</v>
      </c>
      <c r="F11" s="244" t="s">
        <v>752</v>
      </c>
      <c r="G11" s="244">
        <v>1600</v>
      </c>
      <c r="H11" s="246">
        <v>0.28399999999999997</v>
      </c>
      <c r="I11" s="246">
        <v>0.64900000000000002</v>
      </c>
      <c r="J11" s="244" t="s">
        <v>27</v>
      </c>
      <c r="K11" s="244" t="s">
        <v>763</v>
      </c>
      <c r="L11" s="244" t="s">
        <v>27</v>
      </c>
      <c r="M11" s="246">
        <v>294.90600000000001</v>
      </c>
      <c r="N11" s="247">
        <v>259.60000000000002</v>
      </c>
      <c r="O11" s="248">
        <v>1.7999999999999999E-2</v>
      </c>
      <c r="P11" s="249">
        <v>1.08</v>
      </c>
      <c r="Q11" s="244">
        <v>94.4</v>
      </c>
      <c r="R11" s="244">
        <v>4</v>
      </c>
      <c r="S11" s="244">
        <v>1200</v>
      </c>
      <c r="T11" s="246">
        <v>1.1359999999999999</v>
      </c>
      <c r="U11" s="244">
        <v>64</v>
      </c>
      <c r="V11" s="248">
        <v>5.33E-2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762</v>
      </c>
    </row>
    <row r="12" spans="1:29" s="250" customFormat="1" ht="25.05" customHeight="1" x14ac:dyDescent="0.3">
      <c r="A12" s="244"/>
      <c r="B12" s="245" t="s">
        <v>60</v>
      </c>
      <c r="C12" s="244" t="s">
        <v>42</v>
      </c>
      <c r="D12" s="244" t="s">
        <v>736</v>
      </c>
      <c r="E12" s="244">
        <v>262996</v>
      </c>
      <c r="F12" s="244" t="s">
        <v>752</v>
      </c>
      <c r="G12" s="244">
        <v>2000</v>
      </c>
      <c r="H12" s="246">
        <v>0.53</v>
      </c>
      <c r="I12" s="246">
        <v>1.129</v>
      </c>
      <c r="J12" s="244" t="s">
        <v>27</v>
      </c>
      <c r="K12" s="244" t="s">
        <v>761</v>
      </c>
      <c r="L12" s="244" t="s">
        <v>27</v>
      </c>
      <c r="M12" s="246">
        <v>1196.74</v>
      </c>
      <c r="N12" s="247">
        <v>1129</v>
      </c>
      <c r="O12" s="248">
        <v>0.15679999999999999</v>
      </c>
      <c r="P12" s="249">
        <v>9.41</v>
      </c>
      <c r="Q12" s="244">
        <v>412.9</v>
      </c>
      <c r="R12" s="244">
        <v>2</v>
      </c>
      <c r="S12" s="244">
        <v>1100</v>
      </c>
      <c r="T12" s="246">
        <v>1.06</v>
      </c>
      <c r="U12" s="244">
        <v>40</v>
      </c>
      <c r="V12" s="248">
        <v>3.6400000000000002E-2</v>
      </c>
      <c r="W12" s="244" t="s">
        <v>29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760</v>
      </c>
    </row>
    <row r="13" spans="1:29" s="250" customFormat="1" ht="25.05" customHeight="1" x14ac:dyDescent="0.3">
      <c r="A13" s="244"/>
      <c r="B13" s="245" t="s">
        <v>60</v>
      </c>
      <c r="C13" s="244" t="s">
        <v>35</v>
      </c>
      <c r="D13" s="244" t="s">
        <v>736</v>
      </c>
      <c r="E13" s="244">
        <v>262995</v>
      </c>
      <c r="F13" s="244" t="s">
        <v>752</v>
      </c>
      <c r="G13" s="244">
        <v>300</v>
      </c>
      <c r="H13" s="246">
        <v>1.02</v>
      </c>
      <c r="I13" s="246">
        <v>0.98099999999999998</v>
      </c>
      <c r="J13" s="244" t="s">
        <v>27</v>
      </c>
      <c r="K13" s="244" t="s">
        <v>33</v>
      </c>
      <c r="L13" s="244" t="s">
        <v>27</v>
      </c>
      <c r="M13" s="246">
        <v>300.18599999999998</v>
      </c>
      <c r="N13" s="247">
        <v>294.3</v>
      </c>
      <c r="O13" s="248">
        <v>8.1799999999999998E-2</v>
      </c>
      <c r="P13" s="249">
        <v>4.91</v>
      </c>
      <c r="Q13" s="244">
        <v>96.1</v>
      </c>
      <c r="R13" s="244">
        <v>1</v>
      </c>
      <c r="S13" s="244">
        <v>1050</v>
      </c>
      <c r="T13" s="246">
        <v>1.02</v>
      </c>
      <c r="U13" s="244">
        <v>30</v>
      </c>
      <c r="V13" s="248">
        <v>2.86E-2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759</v>
      </c>
    </row>
    <row r="14" spans="1:29" s="250" customFormat="1" ht="25.05" customHeight="1" x14ac:dyDescent="0.3">
      <c r="A14" s="251" t="s">
        <v>27</v>
      </c>
      <c r="B14" s="251" t="s">
        <v>27</v>
      </c>
      <c r="C14" s="251" t="s">
        <v>27</v>
      </c>
      <c r="D14" s="251" t="s">
        <v>27</v>
      </c>
      <c r="E14" s="251" t="s">
        <v>27</v>
      </c>
      <c r="F14" s="251" t="s">
        <v>27</v>
      </c>
      <c r="G14" s="251">
        <v>7400</v>
      </c>
      <c r="H14" s="251" t="s">
        <v>27</v>
      </c>
      <c r="I14" s="251" t="s">
        <v>27</v>
      </c>
      <c r="J14" s="251" t="s">
        <v>27</v>
      </c>
      <c r="K14" s="251" t="s">
        <v>27</v>
      </c>
      <c r="L14" s="251" t="s">
        <v>27</v>
      </c>
      <c r="M14" s="251" t="s">
        <v>27</v>
      </c>
      <c r="N14" s="251" t="s">
        <v>27</v>
      </c>
      <c r="O14" s="251" t="s">
        <v>27</v>
      </c>
      <c r="P14" s="251" t="s">
        <v>27</v>
      </c>
      <c r="Q14" s="251">
        <v>2530.6</v>
      </c>
      <c r="R14" s="251" t="s">
        <v>27</v>
      </c>
      <c r="S14" s="251" t="s">
        <v>27</v>
      </c>
      <c r="T14" s="251" t="s">
        <v>27</v>
      </c>
      <c r="U14" s="251" t="s">
        <v>27</v>
      </c>
      <c r="V14" s="251" t="s">
        <v>27</v>
      </c>
      <c r="W14" s="251" t="s">
        <v>27</v>
      </c>
      <c r="X14" s="251" t="s">
        <v>27</v>
      </c>
      <c r="Y14" s="251" t="s">
        <v>27</v>
      </c>
      <c r="Z14" s="251" t="s">
        <v>27</v>
      </c>
      <c r="AA14" s="251" t="s">
        <v>27</v>
      </c>
      <c r="AB14" s="251" t="s">
        <v>27</v>
      </c>
      <c r="AC14" s="251" t="s">
        <v>27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5.6640625" style="228" customWidth="1"/>
    <col min="7" max="7" width="6.33203125" style="228" customWidth="1"/>
    <col min="8" max="8" width="6.44140625" style="228" customWidth="1"/>
    <col min="9" max="9" width="6.5546875" style="228" customWidth="1"/>
    <col min="10" max="11" width="6.6640625" style="228" customWidth="1"/>
    <col min="12" max="12" width="7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" style="228" customWidth="1"/>
    <col min="19" max="19" width="6.1093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6640625" style="228" customWidth="1"/>
    <col min="24" max="24" width="7.21875" style="228" customWidth="1"/>
    <col min="25" max="25" width="7.6640625" style="228" customWidth="1"/>
    <col min="26" max="26" width="8.109375" style="228" customWidth="1"/>
    <col min="27" max="27" width="9.21875" style="228" customWidth="1"/>
    <col min="28" max="28" width="5.21875" style="228" customWidth="1"/>
    <col min="29" max="29" width="11.21875" style="228" customWidth="1"/>
    <col min="30" max="16384" width="8.88671875" style="228"/>
  </cols>
  <sheetData>
    <row r="1" spans="1:29" ht="18" customHeight="1" x14ac:dyDescent="0.35">
      <c r="A1" s="322" t="s">
        <v>753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1.4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s="277" customFormat="1" ht="25.05" customHeight="1" x14ac:dyDescent="0.3">
      <c r="A3" s="262"/>
      <c r="B3" s="263" t="s">
        <v>569</v>
      </c>
      <c r="C3" s="263" t="s">
        <v>55</v>
      </c>
      <c r="D3" s="263" t="s">
        <v>758</v>
      </c>
      <c r="E3" s="262">
        <v>262986</v>
      </c>
      <c r="F3" s="263" t="s">
        <v>752</v>
      </c>
      <c r="G3" s="262">
        <v>2000</v>
      </c>
      <c r="H3" s="264">
        <v>0.51</v>
      </c>
      <c r="I3" s="264">
        <v>1.02</v>
      </c>
      <c r="J3" s="262"/>
      <c r="K3" s="263" t="s">
        <v>33</v>
      </c>
      <c r="L3" s="262"/>
      <c r="M3" s="264">
        <v>1040.4000000000001</v>
      </c>
      <c r="N3" s="265">
        <v>680</v>
      </c>
      <c r="O3" s="266">
        <v>6.3E-2</v>
      </c>
      <c r="P3" s="267">
        <v>3.78</v>
      </c>
      <c r="Q3" s="262">
        <v>379.7</v>
      </c>
      <c r="R3" s="262">
        <v>3</v>
      </c>
      <c r="S3" s="262">
        <v>1550</v>
      </c>
      <c r="T3" s="264">
        <v>1.53</v>
      </c>
      <c r="U3" s="262">
        <v>20</v>
      </c>
      <c r="V3" s="266">
        <v>1.29E-2</v>
      </c>
      <c r="W3" s="263" t="s">
        <v>37</v>
      </c>
      <c r="X3" s="263" t="s">
        <v>29</v>
      </c>
      <c r="Y3" s="263" t="s">
        <v>34</v>
      </c>
      <c r="Z3" s="263"/>
      <c r="AA3" s="263"/>
      <c r="AB3" s="263" t="s">
        <v>32</v>
      </c>
      <c r="AC3" s="263" t="s">
        <v>571</v>
      </c>
    </row>
    <row r="4" spans="1:29" s="277" customFormat="1" ht="25.05" customHeight="1" x14ac:dyDescent="0.3">
      <c r="A4" s="262"/>
      <c r="B4" s="263" t="s">
        <v>569</v>
      </c>
      <c r="C4" s="263" t="s">
        <v>55</v>
      </c>
      <c r="D4" s="263" t="s">
        <v>758</v>
      </c>
      <c r="E4" s="262">
        <v>263002</v>
      </c>
      <c r="F4" s="263" t="s">
        <v>752</v>
      </c>
      <c r="G4" s="262">
        <v>2000</v>
      </c>
      <c r="H4" s="264">
        <v>0.41</v>
      </c>
      <c r="I4" s="264">
        <v>0.82</v>
      </c>
      <c r="J4" s="262"/>
      <c r="K4" s="263" t="s">
        <v>33</v>
      </c>
      <c r="L4" s="262"/>
      <c r="M4" s="264">
        <v>672.4</v>
      </c>
      <c r="N4" s="265">
        <v>546.70000000000005</v>
      </c>
      <c r="O4" s="266">
        <v>5.0599999999999999E-2</v>
      </c>
      <c r="P4" s="267">
        <v>3.04</v>
      </c>
      <c r="Q4" s="262">
        <v>245.4</v>
      </c>
      <c r="R4" s="262">
        <v>3</v>
      </c>
      <c r="S4" s="262">
        <v>1250</v>
      </c>
      <c r="T4" s="264">
        <v>1.23</v>
      </c>
      <c r="U4" s="262">
        <v>20</v>
      </c>
      <c r="V4" s="266">
        <v>1.6E-2</v>
      </c>
      <c r="W4" s="263" t="s">
        <v>37</v>
      </c>
      <c r="X4" s="263" t="s">
        <v>29</v>
      </c>
      <c r="Y4" s="263" t="s">
        <v>34</v>
      </c>
      <c r="Z4" s="263"/>
      <c r="AA4" s="263"/>
      <c r="AB4" s="263" t="s">
        <v>32</v>
      </c>
      <c r="AC4" s="263" t="s">
        <v>787</v>
      </c>
    </row>
    <row r="5" spans="1:29" s="277" customFormat="1" ht="25.05" customHeight="1" x14ac:dyDescent="0.3">
      <c r="A5" s="262"/>
      <c r="B5" s="263" t="s">
        <v>569</v>
      </c>
      <c r="C5" s="263" t="s">
        <v>55</v>
      </c>
      <c r="D5" s="263" t="s">
        <v>758</v>
      </c>
      <c r="E5" s="262">
        <v>263001</v>
      </c>
      <c r="F5" s="263" t="s">
        <v>752</v>
      </c>
      <c r="G5" s="262">
        <v>1585</v>
      </c>
      <c r="H5" s="264">
        <v>0.56000000000000005</v>
      </c>
      <c r="I5" s="264">
        <v>1.1200000000000001</v>
      </c>
      <c r="J5" s="262"/>
      <c r="K5" s="263" t="s">
        <v>33</v>
      </c>
      <c r="L5" s="262"/>
      <c r="M5" s="264">
        <v>994.11199999999997</v>
      </c>
      <c r="N5" s="265">
        <v>887.6</v>
      </c>
      <c r="O5" s="266">
        <v>0.12330000000000001</v>
      </c>
      <c r="P5" s="267">
        <v>7.4</v>
      </c>
      <c r="Q5" s="262">
        <v>362.9</v>
      </c>
      <c r="R5" s="262">
        <v>2</v>
      </c>
      <c r="S5" s="262">
        <v>1150</v>
      </c>
      <c r="T5" s="264">
        <v>1.1200000000000001</v>
      </c>
      <c r="U5" s="262">
        <v>30</v>
      </c>
      <c r="V5" s="266">
        <v>2.6100000000000002E-2</v>
      </c>
      <c r="W5" s="263" t="s">
        <v>37</v>
      </c>
      <c r="X5" s="263" t="s">
        <v>29</v>
      </c>
      <c r="Y5" s="263" t="s">
        <v>34</v>
      </c>
      <c r="Z5" s="263"/>
      <c r="AA5" s="263"/>
      <c r="AB5" s="263" t="s">
        <v>32</v>
      </c>
      <c r="AC5" s="263" t="s">
        <v>786</v>
      </c>
    </row>
    <row r="6" spans="1:29" s="250" customFormat="1" ht="25.05" customHeight="1" x14ac:dyDescent="0.3">
      <c r="A6" s="255"/>
      <c r="B6" s="256" t="s">
        <v>569</v>
      </c>
      <c r="C6" s="255" t="s">
        <v>35</v>
      </c>
      <c r="D6" s="255" t="s">
        <v>736</v>
      </c>
      <c r="E6" s="255">
        <v>262981</v>
      </c>
      <c r="F6" s="255" t="s">
        <v>752</v>
      </c>
      <c r="G6" s="255">
        <v>8000</v>
      </c>
      <c r="H6" s="257">
        <v>0.46</v>
      </c>
      <c r="I6" s="257">
        <v>0.92</v>
      </c>
      <c r="J6" s="255" t="s">
        <v>27</v>
      </c>
      <c r="K6" s="255" t="s">
        <v>33</v>
      </c>
      <c r="L6" s="255" t="s">
        <v>27</v>
      </c>
      <c r="M6" s="257">
        <v>3385.6</v>
      </c>
      <c r="N6" s="258">
        <v>2453.3000000000002</v>
      </c>
      <c r="O6" s="259">
        <v>0.22720000000000001</v>
      </c>
      <c r="P6" s="260">
        <v>13.63</v>
      </c>
      <c r="Q6" s="255">
        <v>1066.5</v>
      </c>
      <c r="R6" s="255">
        <v>3</v>
      </c>
      <c r="S6" s="255">
        <v>1400</v>
      </c>
      <c r="T6" s="257">
        <v>1.38</v>
      </c>
      <c r="U6" s="255">
        <v>20</v>
      </c>
      <c r="V6" s="259">
        <v>1.43E-2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48</v>
      </c>
      <c r="AC6" s="255" t="s">
        <v>474</v>
      </c>
    </row>
    <row r="7" spans="1:29" s="250" customFormat="1" ht="25.05" customHeight="1" x14ac:dyDescent="0.3">
      <c r="A7" s="255"/>
      <c r="B7" s="256" t="s">
        <v>569</v>
      </c>
      <c r="C7" s="255" t="s">
        <v>35</v>
      </c>
      <c r="D7" s="255" t="s">
        <v>736</v>
      </c>
      <c r="E7" s="255">
        <v>262982</v>
      </c>
      <c r="F7" s="255" t="s">
        <v>752</v>
      </c>
      <c r="G7" s="255">
        <v>3000</v>
      </c>
      <c r="H7" s="257">
        <v>0.67</v>
      </c>
      <c r="I7" s="257">
        <v>0.95</v>
      </c>
      <c r="J7" s="255" t="s">
        <v>27</v>
      </c>
      <c r="K7" s="255" t="s">
        <v>33</v>
      </c>
      <c r="L7" s="255" t="s">
        <v>27</v>
      </c>
      <c r="M7" s="257">
        <v>1909.5</v>
      </c>
      <c r="N7" s="258">
        <v>1425</v>
      </c>
      <c r="O7" s="259">
        <v>0.19789999999999999</v>
      </c>
      <c r="P7" s="260">
        <v>11.88</v>
      </c>
      <c r="Q7" s="255">
        <v>601.5</v>
      </c>
      <c r="R7" s="255">
        <v>2</v>
      </c>
      <c r="S7" s="255">
        <v>1400</v>
      </c>
      <c r="T7" s="257">
        <v>1.34</v>
      </c>
      <c r="U7" s="255">
        <v>60</v>
      </c>
      <c r="V7" s="259">
        <v>4.2900000000000001E-2</v>
      </c>
      <c r="W7" s="255" t="s">
        <v>28</v>
      </c>
      <c r="X7" s="255" t="s">
        <v>28</v>
      </c>
      <c r="Y7" s="255" t="s">
        <v>28</v>
      </c>
      <c r="Z7" s="255" t="s">
        <v>27</v>
      </c>
      <c r="AA7" s="255" t="s">
        <v>27</v>
      </c>
      <c r="AB7" s="255" t="s">
        <v>30</v>
      </c>
      <c r="AC7" s="255" t="s">
        <v>570</v>
      </c>
    </row>
    <row r="8" spans="1:29" s="250" customFormat="1" ht="25.05" customHeight="1" x14ac:dyDescent="0.3">
      <c r="A8" s="255"/>
      <c r="B8" s="256" t="s">
        <v>569</v>
      </c>
      <c r="C8" s="255" t="s">
        <v>35</v>
      </c>
      <c r="D8" s="255" t="s">
        <v>736</v>
      </c>
      <c r="E8" s="255">
        <v>262983</v>
      </c>
      <c r="F8" s="255" t="s">
        <v>752</v>
      </c>
      <c r="G8" s="255">
        <v>500</v>
      </c>
      <c r="H8" s="257">
        <v>0.56000000000000005</v>
      </c>
      <c r="I8" s="257">
        <v>0.93</v>
      </c>
      <c r="J8" s="255" t="s">
        <v>27</v>
      </c>
      <c r="K8" s="255" t="s">
        <v>33</v>
      </c>
      <c r="L8" s="255" t="s">
        <v>27</v>
      </c>
      <c r="M8" s="257">
        <v>260.39999999999998</v>
      </c>
      <c r="N8" s="258">
        <v>232.5</v>
      </c>
      <c r="O8" s="259">
        <v>3.2300000000000002E-2</v>
      </c>
      <c r="P8" s="260">
        <v>1.94</v>
      </c>
      <c r="Q8" s="255">
        <v>82</v>
      </c>
      <c r="R8" s="255">
        <v>2</v>
      </c>
      <c r="S8" s="255">
        <v>1150</v>
      </c>
      <c r="T8" s="257">
        <v>1.1200000000000001</v>
      </c>
      <c r="U8" s="255">
        <v>30</v>
      </c>
      <c r="V8" s="259">
        <v>2.6100000000000002E-2</v>
      </c>
      <c r="W8" s="255" t="s">
        <v>28</v>
      </c>
      <c r="X8" s="255" t="s">
        <v>28</v>
      </c>
      <c r="Y8" s="255" t="s">
        <v>28</v>
      </c>
      <c r="Z8" s="255" t="s">
        <v>27</v>
      </c>
      <c r="AA8" s="255" t="s">
        <v>27</v>
      </c>
      <c r="AB8" s="255" t="s">
        <v>38</v>
      </c>
      <c r="AC8" s="255" t="s">
        <v>460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17085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2738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9.33203125" style="228" customWidth="1"/>
    <col min="7" max="7" width="5.44140625" style="228" customWidth="1"/>
    <col min="8" max="8" width="6.6640625" style="228" customWidth="1"/>
    <col min="9" max="9" width="7.21875" style="228" customWidth="1"/>
    <col min="10" max="10" width="9.6640625" style="228" customWidth="1"/>
    <col min="11" max="11" width="10.77734375" style="228" customWidth="1"/>
    <col min="12" max="12" width="9.88671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88671875" style="228" customWidth="1"/>
    <col min="19" max="19" width="6.109375" style="228" customWidth="1"/>
    <col min="20" max="20" width="6.5546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44140625" style="228" customWidth="1"/>
    <col min="25" max="25" width="7.5546875" style="228" customWidth="1"/>
    <col min="26" max="26" width="7.33203125" style="228" customWidth="1"/>
    <col min="27" max="27" width="7.8867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20" t="s">
        <v>751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8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749</v>
      </c>
      <c r="C3" s="244" t="s">
        <v>35</v>
      </c>
      <c r="D3" s="244" t="s">
        <v>736</v>
      </c>
      <c r="E3" s="244">
        <v>262979</v>
      </c>
      <c r="F3" s="244" t="s">
        <v>743</v>
      </c>
      <c r="G3" s="244">
        <v>800</v>
      </c>
      <c r="H3" s="246">
        <v>1.41</v>
      </c>
      <c r="I3" s="246">
        <v>1.2</v>
      </c>
      <c r="J3" s="244" t="s">
        <v>27</v>
      </c>
      <c r="K3" s="244" t="s">
        <v>33</v>
      </c>
      <c r="L3" s="244" t="s">
        <v>27</v>
      </c>
      <c r="M3" s="246">
        <v>1353.6</v>
      </c>
      <c r="N3" s="247">
        <v>960</v>
      </c>
      <c r="O3" s="248">
        <v>0.26669999999999999</v>
      </c>
      <c r="P3" s="249">
        <v>16</v>
      </c>
      <c r="Q3" s="244">
        <v>426.4</v>
      </c>
      <c r="R3" s="244">
        <v>1</v>
      </c>
      <c r="S3" s="244">
        <v>1450</v>
      </c>
      <c r="T3" s="246">
        <v>1.41</v>
      </c>
      <c r="U3" s="244">
        <v>40</v>
      </c>
      <c r="V3" s="248">
        <v>2.76E-2</v>
      </c>
      <c r="W3" s="244" t="s">
        <v>28</v>
      </c>
      <c r="X3" s="244" t="s">
        <v>28</v>
      </c>
      <c r="Y3" s="244" t="s">
        <v>28</v>
      </c>
      <c r="Z3" s="244" t="s">
        <v>27</v>
      </c>
      <c r="AA3" s="244" t="s">
        <v>27</v>
      </c>
      <c r="AB3" s="244" t="s">
        <v>32</v>
      </c>
      <c r="AC3" s="244" t="s">
        <v>750</v>
      </c>
    </row>
    <row r="4" spans="1:29" s="250" customFormat="1" ht="25.05" customHeight="1" x14ac:dyDescent="0.3">
      <c r="A4" s="244"/>
      <c r="B4" s="245" t="s">
        <v>749</v>
      </c>
      <c r="C4" s="244" t="s">
        <v>35</v>
      </c>
      <c r="D4" s="244" t="s">
        <v>736</v>
      </c>
      <c r="E4" s="244">
        <v>262980</v>
      </c>
      <c r="F4" s="244" t="s">
        <v>748</v>
      </c>
      <c r="G4" s="244">
        <v>410</v>
      </c>
      <c r="H4" s="246">
        <v>1.36</v>
      </c>
      <c r="I4" s="246">
        <v>1.44</v>
      </c>
      <c r="J4" s="244" t="s">
        <v>27</v>
      </c>
      <c r="K4" s="244" t="s">
        <v>33</v>
      </c>
      <c r="L4" s="244" t="s">
        <v>27</v>
      </c>
      <c r="M4" s="246">
        <v>802.94399999999996</v>
      </c>
      <c r="N4" s="247">
        <v>590.4</v>
      </c>
      <c r="O4" s="248">
        <v>0.16400000000000001</v>
      </c>
      <c r="P4" s="249">
        <v>9.84</v>
      </c>
      <c r="Q4" s="244">
        <v>252.9</v>
      </c>
      <c r="R4" s="244">
        <v>1</v>
      </c>
      <c r="S4" s="244">
        <v>1400</v>
      </c>
      <c r="T4" s="246">
        <v>1.36</v>
      </c>
      <c r="U4" s="244">
        <v>40</v>
      </c>
      <c r="V4" s="248">
        <v>2.86E-2</v>
      </c>
      <c r="W4" s="244" t="s">
        <v>28</v>
      </c>
      <c r="X4" s="244" t="s">
        <v>28</v>
      </c>
      <c r="Y4" s="244" t="s">
        <v>28</v>
      </c>
      <c r="Z4" s="244" t="s">
        <v>27</v>
      </c>
      <c r="AA4" s="244" t="s">
        <v>27</v>
      </c>
      <c r="AB4" s="244" t="s">
        <v>32</v>
      </c>
      <c r="AC4" s="244" t="s">
        <v>747</v>
      </c>
    </row>
    <row r="5" spans="1:29" s="250" customFormat="1" ht="25.05" customHeight="1" x14ac:dyDescent="0.3">
      <c r="A5" s="251" t="s">
        <v>27</v>
      </c>
      <c r="B5" s="251" t="s">
        <v>27</v>
      </c>
      <c r="C5" s="251" t="s">
        <v>27</v>
      </c>
      <c r="D5" s="251" t="s">
        <v>27</v>
      </c>
      <c r="E5" s="251" t="s">
        <v>27</v>
      </c>
      <c r="F5" s="251" t="s">
        <v>27</v>
      </c>
      <c r="G5" s="251">
        <v>1210</v>
      </c>
      <c r="H5" s="251" t="s">
        <v>27</v>
      </c>
      <c r="I5" s="251" t="s">
        <v>27</v>
      </c>
      <c r="J5" s="251" t="s">
        <v>27</v>
      </c>
      <c r="K5" s="251" t="s">
        <v>27</v>
      </c>
      <c r="L5" s="251" t="s">
        <v>27</v>
      </c>
      <c r="M5" s="251" t="s">
        <v>27</v>
      </c>
      <c r="N5" s="251" t="s">
        <v>27</v>
      </c>
      <c r="O5" s="251" t="s">
        <v>27</v>
      </c>
      <c r="P5" s="251" t="s">
        <v>27</v>
      </c>
      <c r="Q5" s="251">
        <v>679.3</v>
      </c>
      <c r="R5" s="251" t="s">
        <v>27</v>
      </c>
      <c r="S5" s="251" t="s">
        <v>27</v>
      </c>
      <c r="T5" s="251" t="s">
        <v>27</v>
      </c>
      <c r="U5" s="251" t="s">
        <v>27</v>
      </c>
      <c r="V5" s="251" t="s">
        <v>27</v>
      </c>
      <c r="W5" s="251" t="s">
        <v>27</v>
      </c>
      <c r="X5" s="251" t="s">
        <v>27</v>
      </c>
      <c r="Y5" s="251" t="s">
        <v>27</v>
      </c>
      <c r="Z5" s="251" t="s">
        <v>27</v>
      </c>
      <c r="AA5" s="251" t="s">
        <v>27</v>
      </c>
      <c r="AB5" s="251" t="s">
        <v>27</v>
      </c>
      <c r="AC5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8" t="s">
        <v>746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736</v>
      </c>
      <c r="E3" s="5">
        <v>262977</v>
      </c>
      <c r="F3" s="5" t="s">
        <v>743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745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736</v>
      </c>
      <c r="E4" s="5">
        <v>262975</v>
      </c>
      <c r="F4" s="5" t="s">
        <v>743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736</v>
      </c>
      <c r="E5" s="5">
        <v>262976</v>
      </c>
      <c r="F5" s="5" t="s">
        <v>743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744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736</v>
      </c>
      <c r="E6" s="5">
        <v>262978</v>
      </c>
      <c r="F6" s="5" t="s">
        <v>743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742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activeCell="AB40" sqref="AB40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8" t="s">
        <v>738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737</v>
      </c>
      <c r="C3" s="126" t="s">
        <v>35</v>
      </c>
      <c r="D3" s="126" t="s">
        <v>736</v>
      </c>
      <c r="E3" s="126">
        <v>262970</v>
      </c>
      <c r="F3" s="126" t="s">
        <v>735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732</v>
      </c>
    </row>
    <row r="4" spans="1:29" ht="25.05" customHeight="1" x14ac:dyDescent="0.3">
      <c r="A4" s="126">
        <v>2</v>
      </c>
      <c r="B4" s="128" t="s">
        <v>737</v>
      </c>
      <c r="C4" s="126" t="s">
        <v>35</v>
      </c>
      <c r="D4" s="126" t="s">
        <v>736</v>
      </c>
      <c r="E4" s="126">
        <v>262971</v>
      </c>
      <c r="F4" s="126" t="s">
        <v>735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670</v>
      </c>
    </row>
    <row r="5" spans="1:29" ht="25.05" customHeight="1" x14ac:dyDescent="0.3">
      <c r="A5" s="126">
        <v>3</v>
      </c>
      <c r="B5" s="128" t="s">
        <v>737</v>
      </c>
      <c r="C5" s="126" t="s">
        <v>35</v>
      </c>
      <c r="D5" s="126" t="s">
        <v>736</v>
      </c>
      <c r="E5" s="126">
        <v>262972</v>
      </c>
      <c r="F5" s="126" t="s">
        <v>735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669</v>
      </c>
    </row>
    <row r="6" spans="1:29" ht="25.05" customHeight="1" x14ac:dyDescent="0.3">
      <c r="A6" s="126">
        <v>4</v>
      </c>
      <c r="B6" s="128" t="s">
        <v>737</v>
      </c>
      <c r="C6" s="126" t="s">
        <v>35</v>
      </c>
      <c r="D6" s="126" t="s">
        <v>736</v>
      </c>
      <c r="E6" s="126">
        <v>262973</v>
      </c>
      <c r="F6" s="126" t="s">
        <v>735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668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 x14ac:dyDescent="0.3"/>
  <cols>
    <col min="1" max="1" width="4.5546875" style="228" customWidth="1"/>
    <col min="2" max="2" width="20.77734375" style="228" hidden="1" customWidth="1"/>
    <col min="3" max="3" width="5.5546875" style="228" customWidth="1"/>
    <col min="4" max="4" width="11.77734375" style="228" hidden="1" customWidth="1"/>
    <col min="5" max="5" width="8.77734375" style="228" customWidth="1"/>
    <col min="6" max="6" width="5.21875" style="228" customWidth="1"/>
    <col min="7" max="7" width="6.88671875" style="228" customWidth="1"/>
    <col min="8" max="8" width="6.21875" style="228" customWidth="1"/>
    <col min="9" max="9" width="6.5546875" style="228" customWidth="1"/>
    <col min="10" max="10" width="8.109375" style="228" customWidth="1"/>
    <col min="11" max="11" width="20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77734375" style="228" customWidth="1"/>
    <col min="19" max="19" width="5.554687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8.21875" style="228" customWidth="1"/>
    <col min="24" max="24" width="7" style="228" customWidth="1"/>
    <col min="25" max="26" width="7.5546875" style="228" customWidth="1"/>
    <col min="27" max="27" width="7.6640625" style="228" customWidth="1"/>
    <col min="28" max="28" width="3.77734375" style="228" customWidth="1"/>
    <col min="29" max="29" width="16.77734375" style="228" customWidth="1"/>
    <col min="30" max="16384" width="8.88671875" style="228"/>
  </cols>
  <sheetData>
    <row r="1" spans="1:29" ht="21.6" customHeight="1" x14ac:dyDescent="0.35">
      <c r="A1" s="320" t="s">
        <v>734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5.6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718</v>
      </c>
      <c r="C3" s="244" t="s">
        <v>26</v>
      </c>
      <c r="D3" s="244" t="s">
        <v>683</v>
      </c>
      <c r="E3" s="244">
        <v>262968</v>
      </c>
      <c r="F3" s="244" t="s">
        <v>717</v>
      </c>
      <c r="G3" s="244">
        <v>400</v>
      </c>
      <c r="H3" s="246">
        <v>0.78100000000000003</v>
      </c>
      <c r="I3" s="246">
        <v>1.83</v>
      </c>
      <c r="J3" s="244" t="s">
        <v>27</v>
      </c>
      <c r="K3" s="244" t="s">
        <v>320</v>
      </c>
      <c r="L3" s="244" t="s">
        <v>27</v>
      </c>
      <c r="M3" s="246">
        <v>571.69200000000001</v>
      </c>
      <c r="N3" s="247">
        <v>366</v>
      </c>
      <c r="O3" s="248">
        <v>5.0799999999999998E-2</v>
      </c>
      <c r="P3" s="249">
        <v>3.05</v>
      </c>
      <c r="Q3" s="244">
        <v>307.60000000000002</v>
      </c>
      <c r="R3" s="244">
        <v>2</v>
      </c>
      <c r="S3" s="244">
        <v>1600</v>
      </c>
      <c r="T3" s="246">
        <v>1.5620000000000001</v>
      </c>
      <c r="U3" s="244">
        <v>38</v>
      </c>
      <c r="V3" s="248">
        <v>2.3800000000000002E-2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319</v>
      </c>
    </row>
    <row r="4" spans="1:29" s="250" customFormat="1" ht="25.05" customHeight="1" x14ac:dyDescent="0.3">
      <c r="A4" s="244"/>
      <c r="B4" s="245" t="s">
        <v>718</v>
      </c>
      <c r="C4" s="244" t="s">
        <v>26</v>
      </c>
      <c r="D4" s="244" t="s">
        <v>683</v>
      </c>
      <c r="E4" s="244">
        <v>262969</v>
      </c>
      <c r="F4" s="244" t="s">
        <v>717</v>
      </c>
      <c r="G4" s="244">
        <v>500</v>
      </c>
      <c r="H4" s="246">
        <v>0.65200000000000002</v>
      </c>
      <c r="I4" s="246">
        <v>2.34</v>
      </c>
      <c r="J4" s="244" t="s">
        <v>27</v>
      </c>
      <c r="K4" s="244" t="s">
        <v>733</v>
      </c>
      <c r="L4" s="244" t="s">
        <v>27</v>
      </c>
      <c r="M4" s="246">
        <v>762.84</v>
      </c>
      <c r="N4" s="247">
        <v>585</v>
      </c>
      <c r="O4" s="248">
        <v>8.1299999999999997E-2</v>
      </c>
      <c r="P4" s="249">
        <v>4.88</v>
      </c>
      <c r="Q4" s="244">
        <v>410.4</v>
      </c>
      <c r="R4" s="244">
        <v>2</v>
      </c>
      <c r="S4" s="244">
        <v>1350</v>
      </c>
      <c r="T4" s="246">
        <v>1.304</v>
      </c>
      <c r="U4" s="244">
        <v>46</v>
      </c>
      <c r="V4" s="248">
        <v>3.4099999999999998E-2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30</v>
      </c>
      <c r="AC4" s="244" t="s">
        <v>732</v>
      </c>
    </row>
    <row r="5" spans="1:29" s="250" customFormat="1" ht="25.05" customHeight="1" x14ac:dyDescent="0.3">
      <c r="A5" s="244"/>
      <c r="B5" s="245" t="s">
        <v>718</v>
      </c>
      <c r="C5" s="244" t="s">
        <v>35</v>
      </c>
      <c r="D5" s="244" t="s">
        <v>683</v>
      </c>
      <c r="E5" s="244">
        <v>262966</v>
      </c>
      <c r="F5" s="244" t="s">
        <v>717</v>
      </c>
      <c r="G5" s="244">
        <v>1100</v>
      </c>
      <c r="H5" s="246">
        <v>0.77400000000000002</v>
      </c>
      <c r="I5" s="246">
        <v>1.1200000000000001</v>
      </c>
      <c r="J5" s="244" t="s">
        <v>27</v>
      </c>
      <c r="K5" s="244" t="s">
        <v>731</v>
      </c>
      <c r="L5" s="244" t="s">
        <v>27</v>
      </c>
      <c r="M5" s="246">
        <v>953.56799999999998</v>
      </c>
      <c r="N5" s="247">
        <v>616</v>
      </c>
      <c r="O5" s="248">
        <v>8.5599999999999996E-2</v>
      </c>
      <c r="P5" s="249">
        <v>5.13</v>
      </c>
      <c r="Q5" s="244">
        <v>300.39999999999998</v>
      </c>
      <c r="R5" s="244">
        <v>2</v>
      </c>
      <c r="S5" s="244">
        <v>1600</v>
      </c>
      <c r="T5" s="246">
        <v>1.548</v>
      </c>
      <c r="U5" s="244">
        <v>52</v>
      </c>
      <c r="V5" s="248">
        <v>3.2500000000000001E-2</v>
      </c>
      <c r="W5" s="244" t="s">
        <v>28</v>
      </c>
      <c r="X5" s="244" t="s">
        <v>28</v>
      </c>
      <c r="Y5" s="244" t="s">
        <v>28</v>
      </c>
      <c r="Z5" s="244" t="s">
        <v>27</v>
      </c>
      <c r="AA5" s="244" t="s">
        <v>27</v>
      </c>
      <c r="AB5" s="244" t="s">
        <v>32</v>
      </c>
      <c r="AC5" s="244" t="s">
        <v>730</v>
      </c>
    </row>
    <row r="6" spans="1:29" s="250" customFormat="1" ht="25.05" customHeight="1" x14ac:dyDescent="0.3">
      <c r="A6" s="244"/>
      <c r="B6" s="245" t="s">
        <v>718</v>
      </c>
      <c r="C6" s="244" t="s">
        <v>35</v>
      </c>
      <c r="D6" s="244" t="s">
        <v>683</v>
      </c>
      <c r="E6" s="244">
        <v>262956</v>
      </c>
      <c r="F6" s="244" t="s">
        <v>717</v>
      </c>
      <c r="G6" s="244">
        <v>250</v>
      </c>
      <c r="H6" s="246">
        <v>1.5</v>
      </c>
      <c r="I6" s="246">
        <v>2.57</v>
      </c>
      <c r="J6" s="244" t="s">
        <v>27</v>
      </c>
      <c r="K6" s="244" t="s">
        <v>33</v>
      </c>
      <c r="L6" s="244" t="s">
        <v>27</v>
      </c>
      <c r="M6" s="246">
        <v>963.75</v>
      </c>
      <c r="N6" s="247">
        <v>642.5</v>
      </c>
      <c r="O6" s="248">
        <v>0.17849999999999999</v>
      </c>
      <c r="P6" s="249">
        <v>10.71</v>
      </c>
      <c r="Q6" s="244">
        <v>303.60000000000002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28</v>
      </c>
      <c r="X6" s="244" t="s">
        <v>28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729</v>
      </c>
    </row>
    <row r="7" spans="1:29" s="250" customFormat="1" ht="25.05" customHeight="1" x14ac:dyDescent="0.3">
      <c r="A7" s="244"/>
      <c r="B7" s="245" t="s">
        <v>718</v>
      </c>
      <c r="C7" s="244" t="s">
        <v>35</v>
      </c>
      <c r="D7" s="244" t="s">
        <v>683</v>
      </c>
      <c r="E7" s="244">
        <v>262954</v>
      </c>
      <c r="F7" s="244" t="s">
        <v>717</v>
      </c>
      <c r="G7" s="244">
        <v>3000</v>
      </c>
      <c r="H7" s="246">
        <v>0.48</v>
      </c>
      <c r="I7" s="246">
        <v>0.74</v>
      </c>
      <c r="J7" s="244" t="s">
        <v>27</v>
      </c>
      <c r="K7" s="244" t="s">
        <v>33</v>
      </c>
      <c r="L7" s="244" t="s">
        <v>27</v>
      </c>
      <c r="M7" s="246">
        <v>1065.5999999999999</v>
      </c>
      <c r="N7" s="247">
        <v>740</v>
      </c>
      <c r="O7" s="248">
        <v>6.8500000000000005E-2</v>
      </c>
      <c r="P7" s="249">
        <v>4.1100000000000003</v>
      </c>
      <c r="Q7" s="244">
        <v>335.7</v>
      </c>
      <c r="R7" s="244">
        <v>3</v>
      </c>
      <c r="S7" s="244">
        <v>1500</v>
      </c>
      <c r="T7" s="246">
        <v>1.44</v>
      </c>
      <c r="U7" s="244">
        <v>60</v>
      </c>
      <c r="V7" s="248">
        <v>0.04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32</v>
      </c>
      <c r="AC7" s="244" t="s">
        <v>728</v>
      </c>
    </row>
    <row r="8" spans="1:29" s="250" customFormat="1" ht="25.05" customHeight="1" x14ac:dyDescent="0.3">
      <c r="A8" s="244"/>
      <c r="B8" s="245" t="s">
        <v>718</v>
      </c>
      <c r="C8" s="244" t="s">
        <v>81</v>
      </c>
      <c r="D8" s="244" t="s">
        <v>683</v>
      </c>
      <c r="E8" s="244">
        <v>262955</v>
      </c>
      <c r="F8" s="244" t="s">
        <v>717</v>
      </c>
      <c r="G8" s="244">
        <v>2500</v>
      </c>
      <c r="H8" s="246">
        <v>0.71</v>
      </c>
      <c r="I8" s="246">
        <v>0.6</v>
      </c>
      <c r="J8" s="244" t="s">
        <v>27</v>
      </c>
      <c r="K8" s="244" t="s">
        <v>33</v>
      </c>
      <c r="L8" s="244" t="s">
        <v>27</v>
      </c>
      <c r="M8" s="246">
        <v>1065</v>
      </c>
      <c r="N8" s="247">
        <v>750</v>
      </c>
      <c r="O8" s="248">
        <v>0.1042</v>
      </c>
      <c r="P8" s="249">
        <v>6.25</v>
      </c>
      <c r="Q8" s="244">
        <v>388.7</v>
      </c>
      <c r="R8" s="244">
        <v>2</v>
      </c>
      <c r="S8" s="244">
        <v>1450</v>
      </c>
      <c r="T8" s="246">
        <v>1.42</v>
      </c>
      <c r="U8" s="244">
        <v>30</v>
      </c>
      <c r="V8" s="248">
        <v>2.07E-2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30</v>
      </c>
      <c r="AC8" s="244" t="s">
        <v>727</v>
      </c>
    </row>
    <row r="9" spans="1:29" s="250" customFormat="1" ht="25.05" customHeight="1" x14ac:dyDescent="0.3">
      <c r="A9" s="244"/>
      <c r="B9" s="245" t="s">
        <v>718</v>
      </c>
      <c r="C9" s="244" t="s">
        <v>35</v>
      </c>
      <c r="D9" s="244" t="s">
        <v>683</v>
      </c>
      <c r="E9" s="244">
        <v>262967</v>
      </c>
      <c r="F9" s="244" t="s">
        <v>717</v>
      </c>
      <c r="G9" s="244">
        <v>3000</v>
      </c>
      <c r="H9" s="246">
        <v>0.63400000000000001</v>
      </c>
      <c r="I9" s="246">
        <v>1.6</v>
      </c>
      <c r="J9" s="244" t="s">
        <v>27</v>
      </c>
      <c r="K9" s="244" t="s">
        <v>310</v>
      </c>
      <c r="L9" s="244" t="s">
        <v>27</v>
      </c>
      <c r="M9" s="246">
        <v>3043.2</v>
      </c>
      <c r="N9" s="247">
        <v>2400</v>
      </c>
      <c r="O9" s="248">
        <v>0.33329999999999999</v>
      </c>
      <c r="P9" s="249">
        <v>20</v>
      </c>
      <c r="Q9" s="244">
        <v>958.6</v>
      </c>
      <c r="R9" s="244">
        <v>2</v>
      </c>
      <c r="S9" s="244">
        <v>1300</v>
      </c>
      <c r="T9" s="246">
        <v>1.268</v>
      </c>
      <c r="U9" s="244">
        <v>32</v>
      </c>
      <c r="V9" s="248">
        <v>2.46E-2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52</v>
      </c>
      <c r="AC9" s="244" t="s">
        <v>309</v>
      </c>
    </row>
    <row r="10" spans="1:29" s="250" customFormat="1" ht="25.05" customHeight="1" x14ac:dyDescent="0.3">
      <c r="A10" s="244"/>
      <c r="B10" s="245" t="s">
        <v>718</v>
      </c>
      <c r="C10" s="244" t="s">
        <v>35</v>
      </c>
      <c r="D10" s="244" t="s">
        <v>683</v>
      </c>
      <c r="E10" s="244">
        <v>262959</v>
      </c>
      <c r="F10" s="244" t="s">
        <v>717</v>
      </c>
      <c r="G10" s="244">
        <v>5000</v>
      </c>
      <c r="H10" s="246">
        <v>0.30399999999999999</v>
      </c>
      <c r="I10" s="246">
        <v>0.98</v>
      </c>
      <c r="J10" s="244" t="s">
        <v>27</v>
      </c>
      <c r="K10" s="244" t="s">
        <v>83</v>
      </c>
      <c r="L10" s="244" t="s">
        <v>27</v>
      </c>
      <c r="M10" s="246">
        <v>1489.6</v>
      </c>
      <c r="N10" s="247">
        <v>1225</v>
      </c>
      <c r="O10" s="248">
        <v>8.5099999999999995E-2</v>
      </c>
      <c r="P10" s="249">
        <v>5.0999999999999996</v>
      </c>
      <c r="Q10" s="244">
        <v>469.2</v>
      </c>
      <c r="R10" s="244">
        <v>4</v>
      </c>
      <c r="S10" s="244">
        <v>1250</v>
      </c>
      <c r="T10" s="246">
        <v>1.216</v>
      </c>
      <c r="U10" s="244">
        <v>34</v>
      </c>
      <c r="V10" s="248">
        <v>2.7199999999999998E-2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30</v>
      </c>
      <c r="AC10" s="244" t="s">
        <v>82</v>
      </c>
    </row>
    <row r="11" spans="1:29" s="250" customFormat="1" ht="25.05" customHeight="1" x14ac:dyDescent="0.3">
      <c r="A11" s="244"/>
      <c r="B11" s="245" t="s">
        <v>718</v>
      </c>
      <c r="C11" s="244" t="s">
        <v>35</v>
      </c>
      <c r="D11" s="244" t="s">
        <v>683</v>
      </c>
      <c r="E11" s="244">
        <v>262960</v>
      </c>
      <c r="F11" s="244" t="s">
        <v>717</v>
      </c>
      <c r="G11" s="244">
        <v>2000</v>
      </c>
      <c r="H11" s="246">
        <v>0.40500000000000003</v>
      </c>
      <c r="I11" s="246">
        <v>1.33</v>
      </c>
      <c r="J11" s="244" t="s">
        <v>27</v>
      </c>
      <c r="K11" s="244" t="s">
        <v>726</v>
      </c>
      <c r="L11" s="244" t="s">
        <v>27</v>
      </c>
      <c r="M11" s="246">
        <v>1077.3</v>
      </c>
      <c r="N11" s="247">
        <v>886.7</v>
      </c>
      <c r="O11" s="248">
        <v>8.2100000000000006E-2</v>
      </c>
      <c r="P11" s="249">
        <v>4.93</v>
      </c>
      <c r="Q11" s="244">
        <v>339.3</v>
      </c>
      <c r="R11" s="244">
        <v>3</v>
      </c>
      <c r="S11" s="244">
        <v>1250</v>
      </c>
      <c r="T11" s="246">
        <v>1.2150000000000001</v>
      </c>
      <c r="U11" s="244">
        <v>35</v>
      </c>
      <c r="V11" s="248">
        <v>2.8000000000000001E-2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30</v>
      </c>
      <c r="AC11" s="244" t="s">
        <v>725</v>
      </c>
    </row>
    <row r="12" spans="1:29" s="250" customFormat="1" ht="25.05" customHeight="1" x14ac:dyDescent="0.3">
      <c r="A12" s="244"/>
      <c r="B12" s="245" t="s">
        <v>718</v>
      </c>
      <c r="C12" s="244" t="s">
        <v>35</v>
      </c>
      <c r="D12" s="244" t="s">
        <v>683</v>
      </c>
      <c r="E12" s="244">
        <v>262962</v>
      </c>
      <c r="F12" s="244" t="s">
        <v>717</v>
      </c>
      <c r="G12" s="244">
        <v>3600</v>
      </c>
      <c r="H12" s="246">
        <v>0.3</v>
      </c>
      <c r="I12" s="246">
        <v>0.9</v>
      </c>
      <c r="J12" s="244" t="s">
        <v>27</v>
      </c>
      <c r="K12" s="244" t="s">
        <v>33</v>
      </c>
      <c r="L12" s="244" t="s">
        <v>27</v>
      </c>
      <c r="M12" s="246">
        <v>972</v>
      </c>
      <c r="N12" s="247">
        <v>810</v>
      </c>
      <c r="O12" s="248">
        <v>5.6300000000000003E-2</v>
      </c>
      <c r="P12" s="249">
        <v>3.38</v>
      </c>
      <c r="Q12" s="244">
        <v>306.2</v>
      </c>
      <c r="R12" s="244">
        <v>4</v>
      </c>
      <c r="S12" s="244">
        <v>1250</v>
      </c>
      <c r="T12" s="246">
        <v>1.2</v>
      </c>
      <c r="U12" s="244">
        <v>50</v>
      </c>
      <c r="V12" s="248">
        <v>0.04</v>
      </c>
      <c r="W12" s="244" t="s">
        <v>28</v>
      </c>
      <c r="X12" s="244" t="s">
        <v>28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113</v>
      </c>
    </row>
    <row r="13" spans="1:29" s="250" customFormat="1" ht="25.05" customHeight="1" x14ac:dyDescent="0.3">
      <c r="A13" s="244"/>
      <c r="B13" s="245" t="s">
        <v>718</v>
      </c>
      <c r="C13" s="244" t="s">
        <v>35</v>
      </c>
      <c r="D13" s="244" t="s">
        <v>683</v>
      </c>
      <c r="E13" s="244">
        <v>262964</v>
      </c>
      <c r="F13" s="244" t="s">
        <v>717</v>
      </c>
      <c r="G13" s="244">
        <v>700</v>
      </c>
      <c r="H13" s="246">
        <v>1.1599999999999999</v>
      </c>
      <c r="I13" s="246">
        <v>1.19</v>
      </c>
      <c r="J13" s="244" t="s">
        <v>27</v>
      </c>
      <c r="K13" s="244" t="s">
        <v>33</v>
      </c>
      <c r="L13" s="244" t="s">
        <v>27</v>
      </c>
      <c r="M13" s="246">
        <v>966.28</v>
      </c>
      <c r="N13" s="247">
        <v>833</v>
      </c>
      <c r="O13" s="248">
        <v>0.23139999999999999</v>
      </c>
      <c r="P13" s="249">
        <v>13.88</v>
      </c>
      <c r="Q13" s="244">
        <v>304.39999999999998</v>
      </c>
      <c r="R13" s="244">
        <v>1</v>
      </c>
      <c r="S13" s="244">
        <v>1200</v>
      </c>
      <c r="T13" s="246">
        <v>1.1599999999999999</v>
      </c>
      <c r="U13" s="244">
        <v>40</v>
      </c>
      <c r="V13" s="248">
        <v>3.3300000000000003E-2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32</v>
      </c>
      <c r="AC13" s="244" t="s">
        <v>724</v>
      </c>
    </row>
    <row r="14" spans="1:29" s="250" customFormat="1" ht="25.05" customHeight="1" x14ac:dyDescent="0.3">
      <c r="A14" s="244"/>
      <c r="B14" s="245" t="s">
        <v>718</v>
      </c>
      <c r="C14" s="244" t="s">
        <v>35</v>
      </c>
      <c r="D14" s="244" t="s">
        <v>683</v>
      </c>
      <c r="E14" s="244">
        <v>262958</v>
      </c>
      <c r="F14" s="244" t="s">
        <v>717</v>
      </c>
      <c r="G14" s="244">
        <v>1000</v>
      </c>
      <c r="H14" s="246">
        <v>0.56499999999999995</v>
      </c>
      <c r="I14" s="246">
        <v>2.2200000000000002</v>
      </c>
      <c r="J14" s="244" t="s">
        <v>27</v>
      </c>
      <c r="K14" s="244" t="s">
        <v>723</v>
      </c>
      <c r="L14" s="244" t="s">
        <v>27</v>
      </c>
      <c r="M14" s="246">
        <v>1254.3</v>
      </c>
      <c r="N14" s="247">
        <v>1110</v>
      </c>
      <c r="O14" s="248">
        <v>0.1542</v>
      </c>
      <c r="P14" s="249">
        <v>9.25</v>
      </c>
      <c r="Q14" s="244">
        <v>395.1</v>
      </c>
      <c r="R14" s="244">
        <v>2</v>
      </c>
      <c r="S14" s="244">
        <v>1150</v>
      </c>
      <c r="T14" s="246">
        <v>1.1299999999999999</v>
      </c>
      <c r="U14" s="244">
        <v>20</v>
      </c>
      <c r="V14" s="248">
        <v>1.7399999999999999E-2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30</v>
      </c>
      <c r="AC14" s="244" t="s">
        <v>722</v>
      </c>
    </row>
    <row r="15" spans="1:29" s="250" customFormat="1" ht="25.05" customHeight="1" x14ac:dyDescent="0.3">
      <c r="A15" s="244"/>
      <c r="B15" s="245" t="s">
        <v>718</v>
      </c>
      <c r="C15" s="244" t="s">
        <v>35</v>
      </c>
      <c r="D15" s="244" t="s">
        <v>683</v>
      </c>
      <c r="E15" s="244">
        <v>262957</v>
      </c>
      <c r="F15" s="244" t="s">
        <v>717</v>
      </c>
      <c r="G15" s="244">
        <v>1050</v>
      </c>
      <c r="H15" s="246">
        <v>1.0089999999999999</v>
      </c>
      <c r="I15" s="246">
        <v>0.92</v>
      </c>
      <c r="J15" s="244" t="s">
        <v>27</v>
      </c>
      <c r="K15" s="244" t="s">
        <v>33</v>
      </c>
      <c r="L15" s="244" t="s">
        <v>27</v>
      </c>
      <c r="M15" s="246">
        <v>974.69399999999996</v>
      </c>
      <c r="N15" s="247">
        <v>966</v>
      </c>
      <c r="O15" s="248">
        <v>0.26829999999999998</v>
      </c>
      <c r="P15" s="249">
        <v>16.100000000000001</v>
      </c>
      <c r="Q15" s="244">
        <v>307</v>
      </c>
      <c r="R15" s="244">
        <v>1</v>
      </c>
      <c r="S15" s="244">
        <v>1050</v>
      </c>
      <c r="T15" s="246">
        <v>1.0089999999999999</v>
      </c>
      <c r="U15" s="244">
        <v>41</v>
      </c>
      <c r="V15" s="248">
        <v>3.9E-2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32</v>
      </c>
      <c r="AC15" s="244" t="s">
        <v>721</v>
      </c>
    </row>
    <row r="16" spans="1:29" s="250" customFormat="1" ht="25.05" customHeight="1" x14ac:dyDescent="0.3">
      <c r="A16" s="244"/>
      <c r="B16" s="245" t="s">
        <v>718</v>
      </c>
      <c r="C16" s="244" t="s">
        <v>35</v>
      </c>
      <c r="D16" s="244" t="s">
        <v>683</v>
      </c>
      <c r="E16" s="244">
        <v>262961</v>
      </c>
      <c r="F16" s="244" t="s">
        <v>717</v>
      </c>
      <c r="G16" s="244">
        <v>1000</v>
      </c>
      <c r="H16" s="246">
        <v>1</v>
      </c>
      <c r="I16" s="246">
        <v>1</v>
      </c>
      <c r="J16" s="244" t="s">
        <v>27</v>
      </c>
      <c r="K16" s="244" t="s">
        <v>33</v>
      </c>
      <c r="L16" s="244" t="s">
        <v>27</v>
      </c>
      <c r="M16" s="246">
        <v>1000</v>
      </c>
      <c r="N16" s="247">
        <v>1000</v>
      </c>
      <c r="O16" s="248">
        <v>0.27779999999999999</v>
      </c>
      <c r="P16" s="249">
        <v>16.670000000000002</v>
      </c>
      <c r="Q16" s="244">
        <v>315</v>
      </c>
      <c r="R16" s="244">
        <v>1</v>
      </c>
      <c r="S16" s="244">
        <v>1050</v>
      </c>
      <c r="T16" s="246">
        <v>1</v>
      </c>
      <c r="U16" s="244">
        <v>50</v>
      </c>
      <c r="V16" s="248">
        <v>4.7600000000000003E-2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32</v>
      </c>
      <c r="AC16" s="244" t="s">
        <v>720</v>
      </c>
    </row>
    <row r="17" spans="1:29" s="250" customFormat="1" ht="25.05" customHeight="1" x14ac:dyDescent="0.3">
      <c r="A17" s="244"/>
      <c r="B17" s="245" t="s">
        <v>718</v>
      </c>
      <c r="C17" s="244" t="s">
        <v>35</v>
      </c>
      <c r="D17" s="244" t="s">
        <v>683</v>
      </c>
      <c r="E17" s="244">
        <v>262963</v>
      </c>
      <c r="F17" s="244" t="s">
        <v>717</v>
      </c>
      <c r="G17" s="244">
        <v>1500</v>
      </c>
      <c r="H17" s="246">
        <v>0.98</v>
      </c>
      <c r="I17" s="246">
        <v>0.77</v>
      </c>
      <c r="J17" s="244" t="s">
        <v>27</v>
      </c>
      <c r="K17" s="244" t="s">
        <v>33</v>
      </c>
      <c r="L17" s="244" t="s">
        <v>27</v>
      </c>
      <c r="M17" s="246">
        <v>1131.9000000000001</v>
      </c>
      <c r="N17" s="247">
        <v>1155</v>
      </c>
      <c r="O17" s="248">
        <v>0.32079999999999997</v>
      </c>
      <c r="P17" s="249">
        <v>19.25</v>
      </c>
      <c r="Q17" s="244">
        <v>356.5</v>
      </c>
      <c r="R17" s="244">
        <v>1</v>
      </c>
      <c r="S17" s="244">
        <v>1000</v>
      </c>
      <c r="T17" s="246">
        <v>0.98</v>
      </c>
      <c r="U17" s="244">
        <v>20</v>
      </c>
      <c r="V17" s="248">
        <v>0.02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32</v>
      </c>
      <c r="AC17" s="244" t="s">
        <v>719</v>
      </c>
    </row>
    <row r="18" spans="1:29" s="250" customFormat="1" ht="25.05" customHeight="1" x14ac:dyDescent="0.3">
      <c r="A18" s="244"/>
      <c r="B18" s="245" t="s">
        <v>718</v>
      </c>
      <c r="C18" s="244" t="s">
        <v>35</v>
      </c>
      <c r="D18" s="244" t="s">
        <v>683</v>
      </c>
      <c r="E18" s="244">
        <v>262965</v>
      </c>
      <c r="F18" s="244" t="s">
        <v>717</v>
      </c>
      <c r="G18" s="244">
        <v>640</v>
      </c>
      <c r="H18" s="246">
        <v>0.88200000000000001</v>
      </c>
      <c r="I18" s="246">
        <v>1.76</v>
      </c>
      <c r="J18" s="244" t="s">
        <v>27</v>
      </c>
      <c r="K18" s="244" t="s">
        <v>33</v>
      </c>
      <c r="L18" s="244" t="s">
        <v>27</v>
      </c>
      <c r="M18" s="246">
        <v>993.48500000000001</v>
      </c>
      <c r="N18" s="247">
        <v>1126.4000000000001</v>
      </c>
      <c r="O18" s="248">
        <v>0.31290000000000001</v>
      </c>
      <c r="P18" s="249">
        <v>18.77</v>
      </c>
      <c r="Q18" s="244">
        <v>312.89999999999998</v>
      </c>
      <c r="R18" s="244">
        <v>1</v>
      </c>
      <c r="S18" s="244">
        <v>950</v>
      </c>
      <c r="T18" s="246">
        <v>0.88200000000000001</v>
      </c>
      <c r="U18" s="244">
        <v>68</v>
      </c>
      <c r="V18" s="248">
        <v>7.1599999999999997E-2</v>
      </c>
      <c r="W18" s="244" t="s">
        <v>28</v>
      </c>
      <c r="X18" s="244" t="s">
        <v>28</v>
      </c>
      <c r="Y18" s="244" t="s">
        <v>28</v>
      </c>
      <c r="Z18" s="244" t="s">
        <v>27</v>
      </c>
      <c r="AA18" s="244" t="s">
        <v>27</v>
      </c>
      <c r="AB18" s="244" t="s">
        <v>32</v>
      </c>
      <c r="AC18" s="244" t="s">
        <v>716</v>
      </c>
    </row>
    <row r="19" spans="1:29" s="250" customFormat="1" ht="25.05" customHeight="1" x14ac:dyDescent="0.3">
      <c r="A19" s="251" t="s">
        <v>27</v>
      </c>
      <c r="B19" s="251" t="s">
        <v>27</v>
      </c>
      <c r="C19" s="251" t="s">
        <v>27</v>
      </c>
      <c r="D19" s="251" t="s">
        <v>27</v>
      </c>
      <c r="E19" s="251" t="s">
        <v>27</v>
      </c>
      <c r="F19" s="251" t="s">
        <v>27</v>
      </c>
      <c r="G19" s="251">
        <v>27240</v>
      </c>
      <c r="H19" s="251" t="s">
        <v>27</v>
      </c>
      <c r="I19" s="251" t="s">
        <v>27</v>
      </c>
      <c r="J19" s="251" t="s">
        <v>27</v>
      </c>
      <c r="K19" s="251" t="s">
        <v>27</v>
      </c>
      <c r="L19" s="251" t="s">
        <v>27</v>
      </c>
      <c r="M19" s="251" t="s">
        <v>27</v>
      </c>
      <c r="N19" s="251" t="s">
        <v>27</v>
      </c>
      <c r="O19" s="251" t="s">
        <v>27</v>
      </c>
      <c r="P19" s="251" t="s">
        <v>27</v>
      </c>
      <c r="Q19" s="251">
        <v>6110.7</v>
      </c>
      <c r="R19" s="251" t="s">
        <v>27</v>
      </c>
      <c r="S19" s="251" t="s">
        <v>27</v>
      </c>
      <c r="T19" s="251" t="s">
        <v>27</v>
      </c>
      <c r="U19" s="251" t="s">
        <v>27</v>
      </c>
      <c r="V19" s="251" t="s">
        <v>27</v>
      </c>
      <c r="W19" s="251" t="s">
        <v>27</v>
      </c>
      <c r="X19" s="251" t="s">
        <v>27</v>
      </c>
      <c r="Y19" s="251" t="s">
        <v>27</v>
      </c>
      <c r="Z19" s="251" t="s">
        <v>27</v>
      </c>
      <c r="AA19" s="251" t="s">
        <v>27</v>
      </c>
      <c r="AB19" s="251" t="s">
        <v>27</v>
      </c>
      <c r="AC19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8" t="s">
        <v>712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704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711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704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710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709</v>
      </c>
    </row>
    <row r="5" spans="1:29" s="243" customFormat="1" x14ac:dyDescent="0.3">
      <c r="A5" s="236">
        <v>3</v>
      </c>
      <c r="B5" s="128" t="s">
        <v>366</v>
      </c>
      <c r="C5" s="236" t="s">
        <v>35</v>
      </c>
      <c r="D5" s="236" t="s">
        <v>704</v>
      </c>
      <c r="E5" s="236">
        <v>262947</v>
      </c>
      <c r="F5" s="236" t="s">
        <v>63</v>
      </c>
      <c r="G5" s="236">
        <v>6000</v>
      </c>
      <c r="H5" s="237">
        <v>0.374</v>
      </c>
      <c r="I5" s="237">
        <v>0.88</v>
      </c>
      <c r="J5" s="236" t="s">
        <v>27</v>
      </c>
      <c r="K5" s="236" t="s">
        <v>110</v>
      </c>
      <c r="L5" s="236" t="s">
        <v>27</v>
      </c>
      <c r="M5" s="238">
        <v>987.36</v>
      </c>
      <c r="N5" s="239">
        <v>660</v>
      </c>
      <c r="O5" s="240">
        <v>4.58E-2</v>
      </c>
      <c r="P5" s="241">
        <v>2.75</v>
      </c>
      <c r="Q5" s="242">
        <v>311</v>
      </c>
      <c r="R5" s="242">
        <v>4</v>
      </c>
      <c r="S5" s="242">
        <v>1550</v>
      </c>
      <c r="T5" s="238">
        <v>1.496</v>
      </c>
      <c r="U5" s="242">
        <v>54</v>
      </c>
      <c r="V5" s="240">
        <v>3.4799999999999998E-2</v>
      </c>
      <c r="W5" s="242" t="s">
        <v>28</v>
      </c>
      <c r="X5" s="242" t="s">
        <v>28</v>
      </c>
      <c r="Y5" s="242" t="s">
        <v>28</v>
      </c>
      <c r="Z5" s="242" t="s">
        <v>27</v>
      </c>
      <c r="AA5" s="242" t="s">
        <v>27</v>
      </c>
      <c r="AB5" s="242" t="s">
        <v>32</v>
      </c>
      <c r="AC5" s="242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704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708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704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707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704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706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705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704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703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28" customWidth="1"/>
    <col min="2" max="2" width="20.77734375" style="228" hidden="1" customWidth="1"/>
    <col min="3" max="3" width="7" style="228" customWidth="1"/>
    <col min="4" max="4" width="11.77734375" style="228" hidden="1" customWidth="1"/>
    <col min="5" max="5" width="8" style="228" customWidth="1"/>
    <col min="6" max="6" width="5.5546875" style="228" customWidth="1"/>
    <col min="7" max="7" width="6.77734375" style="228" customWidth="1"/>
    <col min="8" max="8" width="7.44140625" style="228" customWidth="1"/>
    <col min="9" max="9" width="8.44140625" style="228" customWidth="1"/>
    <col min="10" max="10" width="9.77734375" style="228" customWidth="1"/>
    <col min="11" max="11" width="12.33203125" style="228" customWidth="1"/>
    <col min="12" max="12" width="10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6.77734375" style="228" customWidth="1"/>
    <col min="18" max="18" width="4.109375" style="228" customWidth="1"/>
    <col min="19" max="19" width="6.5546875" style="228" customWidth="1"/>
    <col min="20" max="20" width="8.6640625" style="228" customWidth="1"/>
    <col min="21" max="21" width="11.77734375" style="228" hidden="1" customWidth="1"/>
    <col min="22" max="22" width="8.77734375" style="228" hidden="1" customWidth="1"/>
    <col min="23" max="23" width="9" style="228" customWidth="1"/>
    <col min="24" max="24" width="9.33203125" style="228" customWidth="1"/>
    <col min="25" max="25" width="8.6640625" style="228" customWidth="1"/>
    <col min="26" max="26" width="7.6640625" style="228" customWidth="1"/>
    <col min="27" max="27" width="8.2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30" ht="18" customHeight="1" x14ac:dyDescent="0.35">
      <c r="A1" s="320" t="s">
        <v>696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30" ht="48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30" customFormat="1" ht="25.05" customHeight="1" x14ac:dyDescent="0.3">
      <c r="A3" s="262"/>
      <c r="B3" s="263" t="s">
        <v>93</v>
      </c>
      <c r="C3" s="263" t="s">
        <v>35</v>
      </c>
      <c r="D3" s="263" t="s">
        <v>736</v>
      </c>
      <c r="E3" s="262">
        <v>262984</v>
      </c>
      <c r="F3" s="263" t="s">
        <v>754</v>
      </c>
      <c r="G3" s="262">
        <v>2000</v>
      </c>
      <c r="H3" s="264">
        <v>0.51400000000000001</v>
      </c>
      <c r="I3" s="264">
        <v>1.3420000000000001</v>
      </c>
      <c r="J3" s="262"/>
      <c r="K3" s="263" t="s">
        <v>184</v>
      </c>
      <c r="L3" s="262"/>
      <c r="M3" s="264">
        <v>1379.576</v>
      </c>
      <c r="N3" s="265">
        <v>894.7</v>
      </c>
      <c r="O3" s="266">
        <v>8.2799999999999999E-2</v>
      </c>
      <c r="P3" s="267">
        <v>4.97</v>
      </c>
      <c r="Q3" s="262">
        <v>434.6</v>
      </c>
      <c r="R3" s="262">
        <v>3</v>
      </c>
      <c r="S3" s="262">
        <v>1600</v>
      </c>
      <c r="T3" s="264">
        <v>1.542</v>
      </c>
      <c r="U3" s="262">
        <v>58</v>
      </c>
      <c r="V3" s="266">
        <v>3.6200000000000003E-2</v>
      </c>
      <c r="W3" s="263" t="s">
        <v>28</v>
      </c>
      <c r="X3" s="263" t="s">
        <v>28</v>
      </c>
      <c r="Y3" s="263" t="s">
        <v>28</v>
      </c>
      <c r="Z3" s="263"/>
      <c r="AA3" s="263"/>
      <c r="AB3" s="263" t="s">
        <v>30</v>
      </c>
      <c r="AC3" s="263" t="s">
        <v>185</v>
      </c>
    </row>
    <row r="4" spans="1:30" customFormat="1" ht="25.05" customHeight="1" x14ac:dyDescent="0.3">
      <c r="A4" s="262"/>
      <c r="B4" s="263" t="s">
        <v>93</v>
      </c>
      <c r="C4" s="263" t="s">
        <v>44</v>
      </c>
      <c r="D4" s="263" t="s">
        <v>736</v>
      </c>
      <c r="E4" s="262">
        <v>262985</v>
      </c>
      <c r="F4" s="263" t="s">
        <v>755</v>
      </c>
      <c r="G4" s="262">
        <v>2000</v>
      </c>
      <c r="H4" s="264">
        <v>0.45</v>
      </c>
      <c r="I4" s="264">
        <v>1.25</v>
      </c>
      <c r="J4" s="262"/>
      <c r="K4" s="263" t="s">
        <v>756</v>
      </c>
      <c r="L4" s="262"/>
      <c r="M4" s="264">
        <v>1125</v>
      </c>
      <c r="N4" s="265">
        <v>833.3</v>
      </c>
      <c r="O4" s="266">
        <v>7.7200000000000005E-2</v>
      </c>
      <c r="P4" s="267">
        <v>4.63</v>
      </c>
      <c r="Q4" s="262">
        <v>639</v>
      </c>
      <c r="R4" s="262">
        <v>3</v>
      </c>
      <c r="S4" s="262">
        <v>1400</v>
      </c>
      <c r="T4" s="264">
        <v>1.35</v>
      </c>
      <c r="U4" s="262">
        <v>50</v>
      </c>
      <c r="V4" s="266">
        <v>3.5700000000000003E-2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40</v>
      </c>
      <c r="AC4" s="263" t="s">
        <v>757</v>
      </c>
    </row>
    <row r="5" spans="1:30" s="261" customFormat="1" ht="25.05" customHeight="1" x14ac:dyDescent="0.3">
      <c r="A5" s="255"/>
      <c r="B5" s="256" t="s">
        <v>93</v>
      </c>
      <c r="C5" s="255" t="s">
        <v>44</v>
      </c>
      <c r="D5" s="255" t="s">
        <v>683</v>
      </c>
      <c r="E5" s="255">
        <v>262942</v>
      </c>
      <c r="F5" s="255" t="s">
        <v>695</v>
      </c>
      <c r="G5" s="255">
        <v>2200</v>
      </c>
      <c r="H5" s="257">
        <v>0.33</v>
      </c>
      <c r="I5" s="257">
        <v>1.1299999999999999</v>
      </c>
      <c r="J5" s="255" t="s">
        <v>27</v>
      </c>
      <c r="K5" s="255" t="s">
        <v>694</v>
      </c>
      <c r="L5" s="255" t="s">
        <v>27</v>
      </c>
      <c r="M5" s="257">
        <v>820.38</v>
      </c>
      <c r="N5" s="258">
        <v>621.5</v>
      </c>
      <c r="O5" s="259">
        <v>4.3200000000000002E-2</v>
      </c>
      <c r="P5" s="260">
        <v>2.59</v>
      </c>
      <c r="Q5" s="255">
        <v>466</v>
      </c>
      <c r="R5" s="255">
        <v>4</v>
      </c>
      <c r="S5" s="255">
        <v>1350</v>
      </c>
      <c r="T5" s="257">
        <v>1.32</v>
      </c>
      <c r="U5" s="255">
        <v>30</v>
      </c>
      <c r="V5" s="259">
        <v>2.2200000000000001E-2</v>
      </c>
      <c r="W5" s="255" t="s">
        <v>34</v>
      </c>
      <c r="X5" s="255" t="s">
        <v>39</v>
      </c>
      <c r="Y5" s="255" t="s">
        <v>34</v>
      </c>
      <c r="Z5" s="255" t="s">
        <v>34</v>
      </c>
      <c r="AA5" s="255" t="s">
        <v>34</v>
      </c>
      <c r="AB5" s="255" t="s">
        <v>30</v>
      </c>
      <c r="AC5" s="255" t="s">
        <v>693</v>
      </c>
      <c r="AD5" s="276"/>
    </row>
    <row r="6" spans="1:30" s="261" customFormat="1" ht="25.05" customHeight="1" x14ac:dyDescent="0.3">
      <c r="A6" s="262"/>
      <c r="B6" s="263" t="s">
        <v>93</v>
      </c>
      <c r="C6" s="263" t="s">
        <v>26</v>
      </c>
      <c r="D6" s="263" t="s">
        <v>800</v>
      </c>
      <c r="E6" s="262">
        <v>263010</v>
      </c>
      <c r="F6" s="263" t="s">
        <v>801</v>
      </c>
      <c r="G6" s="262">
        <v>520</v>
      </c>
      <c r="H6" s="264">
        <v>0.40699999999999997</v>
      </c>
      <c r="I6" s="264">
        <v>0.91400000000000003</v>
      </c>
      <c r="J6" s="262"/>
      <c r="K6" s="263" t="s">
        <v>802</v>
      </c>
      <c r="L6" s="262"/>
      <c r="M6" s="264">
        <v>193.43899999999999</v>
      </c>
      <c r="N6" s="265">
        <v>158.4</v>
      </c>
      <c r="O6" s="266">
        <v>1.47E-2</v>
      </c>
      <c r="P6" s="267">
        <v>0.88</v>
      </c>
      <c r="Q6" s="262">
        <v>104.1</v>
      </c>
      <c r="R6" s="262">
        <v>3</v>
      </c>
      <c r="S6" s="262">
        <v>1250</v>
      </c>
      <c r="T6" s="264">
        <v>1.2210000000000001</v>
      </c>
      <c r="U6" s="262">
        <v>29</v>
      </c>
      <c r="V6" s="266">
        <v>2.3199999999999998E-2</v>
      </c>
      <c r="W6" s="263" t="s">
        <v>28</v>
      </c>
      <c r="X6" s="263" t="s">
        <v>29</v>
      </c>
      <c r="Y6" s="263" t="s">
        <v>28</v>
      </c>
      <c r="Z6" s="263" t="s">
        <v>28</v>
      </c>
      <c r="AA6" s="263" t="s">
        <v>28</v>
      </c>
      <c r="AB6" s="263" t="s">
        <v>38</v>
      </c>
      <c r="AC6" s="263" t="s">
        <v>803</v>
      </c>
    </row>
    <row r="7" spans="1:30" s="261" customFormat="1" ht="25.05" customHeight="1" x14ac:dyDescent="0.3">
      <c r="A7" s="262"/>
      <c r="B7" s="263" t="s">
        <v>93</v>
      </c>
      <c r="C7" s="263" t="s">
        <v>35</v>
      </c>
      <c r="D7" s="263" t="s">
        <v>714</v>
      </c>
      <c r="E7" s="262">
        <v>262953</v>
      </c>
      <c r="F7" s="263" t="s">
        <v>715</v>
      </c>
      <c r="G7" s="262">
        <v>11500</v>
      </c>
      <c r="H7" s="264">
        <v>0.27900000000000003</v>
      </c>
      <c r="I7" s="264">
        <v>1.002</v>
      </c>
      <c r="J7" s="262"/>
      <c r="K7" s="263" t="s">
        <v>188</v>
      </c>
      <c r="L7" s="262"/>
      <c r="M7" s="264">
        <v>3214.9169999999999</v>
      </c>
      <c r="N7" s="265">
        <v>2880.8</v>
      </c>
      <c r="O7" s="266">
        <v>0.2001</v>
      </c>
      <c r="P7" s="267">
        <v>12</v>
      </c>
      <c r="Q7" s="262">
        <v>1012.7</v>
      </c>
      <c r="R7" s="262">
        <v>4</v>
      </c>
      <c r="S7" s="262">
        <v>1150</v>
      </c>
      <c r="T7" s="264">
        <v>1.1160000000000001</v>
      </c>
      <c r="U7" s="262">
        <v>34</v>
      </c>
      <c r="V7" s="266">
        <v>2.9600000000000001E-2</v>
      </c>
      <c r="W7" s="263" t="s">
        <v>28</v>
      </c>
      <c r="X7" s="263" t="s">
        <v>28</v>
      </c>
      <c r="Y7" s="263" t="s">
        <v>28</v>
      </c>
      <c r="Z7" s="263"/>
      <c r="AA7" s="263"/>
      <c r="AB7" s="263" t="s">
        <v>31</v>
      </c>
      <c r="AC7" s="263" t="s">
        <v>189</v>
      </c>
      <c r="AD7" s="276"/>
    </row>
    <row r="8" spans="1:30" s="261" customFormat="1" ht="25.05" customHeight="1" x14ac:dyDescent="0.3">
      <c r="A8" s="268"/>
      <c r="B8" s="269" t="s">
        <v>93</v>
      </c>
      <c r="C8" s="269" t="s">
        <v>35</v>
      </c>
      <c r="D8" s="269" t="s">
        <v>736</v>
      </c>
      <c r="E8" s="270">
        <v>262974</v>
      </c>
      <c r="F8" s="269" t="s">
        <v>739</v>
      </c>
      <c r="G8" s="270">
        <v>4000</v>
      </c>
      <c r="H8" s="271">
        <v>0.35899999999999999</v>
      </c>
      <c r="I8" s="271">
        <v>0.92200000000000004</v>
      </c>
      <c r="J8" s="268"/>
      <c r="K8" s="269" t="s">
        <v>740</v>
      </c>
      <c r="L8" s="268"/>
      <c r="M8" s="271">
        <v>1323.992</v>
      </c>
      <c r="N8" s="272">
        <v>922</v>
      </c>
      <c r="O8" s="273">
        <v>6.4000000000000001E-2</v>
      </c>
      <c r="P8" s="274">
        <v>3.84</v>
      </c>
      <c r="Q8" s="270">
        <v>417.1</v>
      </c>
      <c r="R8" s="270">
        <v>4</v>
      </c>
      <c r="S8" s="270">
        <v>1500</v>
      </c>
      <c r="T8" s="271">
        <v>1.4359999999999999</v>
      </c>
      <c r="U8" s="270">
        <v>64</v>
      </c>
      <c r="V8" s="273">
        <v>4.2700000000000002E-2</v>
      </c>
      <c r="W8" s="269" t="s">
        <v>28</v>
      </c>
      <c r="X8" s="269" t="s">
        <v>28</v>
      </c>
      <c r="Y8" s="269" t="s">
        <v>28</v>
      </c>
      <c r="Z8" s="275"/>
      <c r="AA8" s="275"/>
      <c r="AB8" s="269" t="s">
        <v>32</v>
      </c>
      <c r="AC8" s="269" t="s">
        <v>741</v>
      </c>
      <c r="AD8" s="276"/>
    </row>
    <row r="9" spans="1:30" ht="25.05" customHeight="1" x14ac:dyDescent="0.3">
      <c r="A9" s="253" t="s">
        <v>27</v>
      </c>
      <c r="B9" s="253" t="s">
        <v>27</v>
      </c>
      <c r="C9" s="253" t="s">
        <v>27</v>
      </c>
      <c r="D9" s="253" t="s">
        <v>27</v>
      </c>
      <c r="E9" s="253" t="s">
        <v>27</v>
      </c>
      <c r="F9" s="253" t="s">
        <v>27</v>
      </c>
      <c r="G9" s="253">
        <f>SUM(G3:G8)</f>
        <v>22220</v>
      </c>
      <c r="H9" s="253" t="s">
        <v>27</v>
      </c>
      <c r="I9" s="253" t="s">
        <v>27</v>
      </c>
      <c r="J9" s="253" t="s">
        <v>27</v>
      </c>
      <c r="K9" s="253" t="s">
        <v>27</v>
      </c>
      <c r="L9" s="253" t="s">
        <v>27</v>
      </c>
      <c r="M9" s="254" t="s">
        <v>27</v>
      </c>
      <c r="N9" s="254" t="s">
        <v>27</v>
      </c>
      <c r="O9" s="254" t="s">
        <v>27</v>
      </c>
      <c r="P9" s="254" t="s">
        <v>27</v>
      </c>
      <c r="Q9" s="254">
        <f>SUM(Q3:Q8)</f>
        <v>3073.4999999999995</v>
      </c>
      <c r="R9" s="254" t="s">
        <v>27</v>
      </c>
      <c r="S9" s="254" t="s">
        <v>27</v>
      </c>
      <c r="T9" s="254" t="s">
        <v>27</v>
      </c>
      <c r="U9" s="254" t="s">
        <v>27</v>
      </c>
      <c r="V9" s="254" t="s">
        <v>27</v>
      </c>
      <c r="W9" s="254" t="s">
        <v>27</v>
      </c>
      <c r="X9" s="254" t="s">
        <v>27</v>
      </c>
      <c r="Y9" s="254" t="s">
        <v>27</v>
      </c>
      <c r="Z9" s="254" t="s">
        <v>27</v>
      </c>
      <c r="AA9" s="254" t="s">
        <v>27</v>
      </c>
      <c r="AB9" s="254" t="s">
        <v>27</v>
      </c>
      <c r="AC9" s="254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8" t="s">
        <v>692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673</v>
      </c>
      <c r="E3" s="126">
        <v>262941</v>
      </c>
      <c r="F3" s="126" t="s">
        <v>687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691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690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673</v>
      </c>
      <c r="E4" s="126">
        <v>262939</v>
      </c>
      <c r="F4" s="126" t="s">
        <v>687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689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688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673</v>
      </c>
      <c r="E5" s="126">
        <v>262940</v>
      </c>
      <c r="F5" s="126" t="s">
        <v>687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686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685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21"/>
      <c r="B9" s="222"/>
      <c r="C9" s="222"/>
      <c r="D9" s="222"/>
      <c r="E9" s="223"/>
      <c r="F9" s="222"/>
      <c r="G9" s="223"/>
      <c r="H9" s="224"/>
      <c r="I9" s="224"/>
      <c r="J9" s="221"/>
      <c r="K9" s="222"/>
      <c r="L9" s="221"/>
      <c r="M9" s="224"/>
      <c r="N9" s="225"/>
      <c r="O9" s="226"/>
      <c r="P9" s="227"/>
      <c r="Q9" s="223"/>
      <c r="R9" s="223"/>
      <c r="S9" s="223"/>
      <c r="T9" s="224"/>
      <c r="U9" s="223"/>
      <c r="V9" s="226"/>
      <c r="W9" s="222"/>
      <c r="X9" s="222"/>
      <c r="Y9" s="222"/>
      <c r="Z9" s="222"/>
      <c r="AA9" s="222"/>
      <c r="AB9" s="222"/>
      <c r="AC9" s="222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sqref="A1:AC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23" t="s">
        <v>684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683</v>
      </c>
      <c r="E3" s="5">
        <v>262938</v>
      </c>
      <c r="F3" s="5" t="s">
        <v>682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683</v>
      </c>
      <c r="E4" s="5">
        <v>262937</v>
      </c>
      <c r="F4" s="5" t="s">
        <v>682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683</v>
      </c>
      <c r="E5" s="5">
        <v>262935</v>
      </c>
      <c r="F5" s="5" t="s">
        <v>682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683</v>
      </c>
      <c r="E6" s="5">
        <v>262936</v>
      </c>
      <c r="F6" s="5" t="s">
        <v>682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683</v>
      </c>
      <c r="E7" s="5">
        <v>262934</v>
      </c>
      <c r="F7" s="5" t="s">
        <v>682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8" t="s">
        <v>713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673</v>
      </c>
      <c r="E3" s="5">
        <v>262933</v>
      </c>
      <c r="F3" s="5" t="s">
        <v>681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680</v>
      </c>
    </row>
    <row r="4" spans="1:29" s="12" customFormat="1" ht="25.05" customHeight="1" x14ac:dyDescent="0.3">
      <c r="A4" s="5">
        <v>2</v>
      </c>
      <c r="B4" s="230" t="s">
        <v>90</v>
      </c>
      <c r="C4" s="230" t="s">
        <v>35</v>
      </c>
      <c r="D4" s="230" t="s">
        <v>673</v>
      </c>
      <c r="E4" s="231">
        <v>262944</v>
      </c>
      <c r="F4" s="230" t="s">
        <v>697</v>
      </c>
      <c r="G4" s="231">
        <v>1000</v>
      </c>
      <c r="H4" s="232">
        <v>0.75</v>
      </c>
      <c r="I4" s="232">
        <v>2.1</v>
      </c>
      <c r="J4" s="231"/>
      <c r="K4" s="230" t="s">
        <v>33</v>
      </c>
      <c r="L4" s="231"/>
      <c r="M4" s="232">
        <v>1575</v>
      </c>
      <c r="N4" s="233">
        <v>1050</v>
      </c>
      <c r="O4" s="234">
        <v>0.14580000000000001</v>
      </c>
      <c r="P4" s="235">
        <v>8.75</v>
      </c>
      <c r="Q4" s="231">
        <v>496.1</v>
      </c>
      <c r="R4" s="231">
        <v>2</v>
      </c>
      <c r="S4" s="231">
        <v>1550</v>
      </c>
      <c r="T4" s="232">
        <v>1.5</v>
      </c>
      <c r="U4" s="231">
        <v>50</v>
      </c>
      <c r="V4" s="234">
        <v>3.2300000000000002E-2</v>
      </c>
      <c r="W4" s="230" t="s">
        <v>28</v>
      </c>
      <c r="X4" s="230" t="s">
        <v>28</v>
      </c>
      <c r="Y4" s="230" t="s">
        <v>28</v>
      </c>
      <c r="Z4" s="230"/>
      <c r="AA4" s="230"/>
      <c r="AB4" s="230" t="s">
        <v>30</v>
      </c>
      <c r="AC4" s="230" t="s">
        <v>698</v>
      </c>
    </row>
    <row r="5" spans="1:29" s="12" customFormat="1" ht="25.05" customHeight="1" x14ac:dyDescent="0.3">
      <c r="A5" s="5">
        <v>3</v>
      </c>
      <c r="B5" s="230" t="s">
        <v>90</v>
      </c>
      <c r="C5" s="230" t="s">
        <v>35</v>
      </c>
      <c r="D5" s="230" t="s">
        <v>683</v>
      </c>
      <c r="E5" s="231">
        <v>262945</v>
      </c>
      <c r="F5" s="230" t="s">
        <v>699</v>
      </c>
      <c r="G5" s="231">
        <v>1000</v>
      </c>
      <c r="H5" s="232">
        <v>1.1120000000000001</v>
      </c>
      <c r="I5" s="232">
        <v>1.24</v>
      </c>
      <c r="J5" s="231"/>
      <c r="K5" s="230" t="s">
        <v>33</v>
      </c>
      <c r="L5" s="231"/>
      <c r="M5" s="232">
        <v>1378.88</v>
      </c>
      <c r="N5" s="233">
        <v>1240</v>
      </c>
      <c r="O5" s="234">
        <v>0.34439999999999998</v>
      </c>
      <c r="P5" s="235">
        <v>20.67</v>
      </c>
      <c r="Q5" s="231">
        <v>434.3</v>
      </c>
      <c r="R5" s="231">
        <v>1</v>
      </c>
      <c r="S5" s="231">
        <v>1150</v>
      </c>
      <c r="T5" s="232">
        <v>1.1120000000000001</v>
      </c>
      <c r="U5" s="231">
        <v>38</v>
      </c>
      <c r="V5" s="234">
        <v>3.3000000000000002E-2</v>
      </c>
      <c r="W5" s="230" t="s">
        <v>28</v>
      </c>
      <c r="X5" s="230" t="s">
        <v>28</v>
      </c>
      <c r="Y5" s="230" t="s">
        <v>28</v>
      </c>
      <c r="Z5" s="230"/>
      <c r="AA5" s="230"/>
      <c r="AB5" s="230" t="s">
        <v>30</v>
      </c>
      <c r="AC5" s="230" t="s">
        <v>700</v>
      </c>
    </row>
    <row r="6" spans="1:29" s="12" customFormat="1" ht="25.05" customHeight="1" x14ac:dyDescent="0.3">
      <c r="A6" s="5">
        <v>4</v>
      </c>
      <c r="B6" s="230" t="s">
        <v>90</v>
      </c>
      <c r="C6" s="230" t="s">
        <v>35</v>
      </c>
      <c r="D6" s="230" t="s">
        <v>673</v>
      </c>
      <c r="E6" s="231">
        <v>262943</v>
      </c>
      <c r="F6" s="230" t="s">
        <v>697</v>
      </c>
      <c r="G6" s="231">
        <v>2000</v>
      </c>
      <c r="H6" s="232">
        <v>0.94599999999999995</v>
      </c>
      <c r="I6" s="232">
        <v>2.1</v>
      </c>
      <c r="J6" s="231"/>
      <c r="K6" s="230" t="s">
        <v>701</v>
      </c>
      <c r="L6" s="231"/>
      <c r="M6" s="232">
        <v>3973.2</v>
      </c>
      <c r="N6" s="233">
        <v>4200</v>
      </c>
      <c r="O6" s="234">
        <v>1.1667000000000001</v>
      </c>
      <c r="P6" s="235">
        <v>70</v>
      </c>
      <c r="Q6" s="231">
        <v>1251.5999999999999</v>
      </c>
      <c r="R6" s="231">
        <v>1</v>
      </c>
      <c r="S6" s="231">
        <v>1000</v>
      </c>
      <c r="T6" s="232">
        <v>0.94599999999999995</v>
      </c>
      <c r="U6" s="231">
        <v>54</v>
      </c>
      <c r="V6" s="234">
        <v>5.3999999999999999E-2</v>
      </c>
      <c r="W6" s="230" t="s">
        <v>28</v>
      </c>
      <c r="X6" s="230" t="s">
        <v>28</v>
      </c>
      <c r="Y6" s="230" t="s">
        <v>28</v>
      </c>
      <c r="Z6" s="230"/>
      <c r="AA6" s="230"/>
      <c r="AB6" s="230" t="s">
        <v>48</v>
      </c>
      <c r="AC6" s="230" t="s">
        <v>702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9"/>
  <sheetViews>
    <sheetView workbookViewId="0">
      <selection activeCell="AN5" sqref="AN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24" t="s">
        <v>671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s="51" customFormat="1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99" customFormat="1" ht="25.05" customHeight="1" x14ac:dyDescent="0.3">
      <c r="A3" s="312">
        <v>1</v>
      </c>
      <c r="B3" s="313" t="s">
        <v>807</v>
      </c>
      <c r="C3" s="312" t="s">
        <v>26</v>
      </c>
      <c r="D3" s="312" t="s">
        <v>849</v>
      </c>
      <c r="E3" s="312">
        <v>263037</v>
      </c>
      <c r="F3" s="312" t="s">
        <v>848</v>
      </c>
      <c r="G3" s="312">
        <v>500</v>
      </c>
      <c r="H3" s="314">
        <v>1.2370000000000001</v>
      </c>
      <c r="I3" s="314">
        <v>1.621</v>
      </c>
      <c r="J3" s="312" t="s">
        <v>27</v>
      </c>
      <c r="K3" s="312" t="s">
        <v>847</v>
      </c>
      <c r="L3" s="312" t="s">
        <v>27</v>
      </c>
      <c r="M3" s="314">
        <v>1002.5890000000001</v>
      </c>
      <c r="N3" s="315">
        <v>810.5</v>
      </c>
      <c r="O3" s="316">
        <v>0.22509999999999999</v>
      </c>
      <c r="P3" s="317">
        <v>13.51</v>
      </c>
      <c r="Q3" s="312">
        <v>539.4</v>
      </c>
      <c r="R3" s="312">
        <v>1</v>
      </c>
      <c r="S3" s="312">
        <v>1300</v>
      </c>
      <c r="T3" s="314">
        <v>1.2370000000000001</v>
      </c>
      <c r="U3" s="312">
        <v>63</v>
      </c>
      <c r="V3" s="316">
        <v>4.8500000000000001E-2</v>
      </c>
      <c r="W3" s="312" t="s">
        <v>28</v>
      </c>
      <c r="X3" s="312" t="s">
        <v>29</v>
      </c>
      <c r="Y3" s="312" t="s">
        <v>28</v>
      </c>
      <c r="Z3" s="312" t="s">
        <v>28</v>
      </c>
      <c r="AA3" s="312" t="s">
        <v>28</v>
      </c>
      <c r="AB3" s="312" t="s">
        <v>38</v>
      </c>
      <c r="AC3" s="312" t="s">
        <v>846</v>
      </c>
    </row>
    <row r="4" spans="1:29" s="199" customFormat="1" ht="25.05" customHeight="1" x14ac:dyDescent="0.3">
      <c r="A4" s="312">
        <v>2</v>
      </c>
      <c r="B4" s="313" t="s">
        <v>807</v>
      </c>
      <c r="C4" s="312" t="s">
        <v>35</v>
      </c>
      <c r="D4" s="312" t="s">
        <v>825</v>
      </c>
      <c r="E4" s="312">
        <v>263035</v>
      </c>
      <c r="F4" s="312" t="s">
        <v>851</v>
      </c>
      <c r="G4" s="312">
        <v>500</v>
      </c>
      <c r="H4" s="314">
        <v>0.38</v>
      </c>
      <c r="I4" s="314">
        <v>0.92700000000000005</v>
      </c>
      <c r="J4" s="312" t="s">
        <v>27</v>
      </c>
      <c r="K4" s="312" t="s">
        <v>33</v>
      </c>
      <c r="L4" s="312" t="s">
        <v>27</v>
      </c>
      <c r="M4" s="314">
        <v>176.13</v>
      </c>
      <c r="N4" s="315">
        <v>115.9</v>
      </c>
      <c r="O4" s="316">
        <v>8.0000000000000002E-3</v>
      </c>
      <c r="P4" s="317">
        <v>0.48</v>
      </c>
      <c r="Q4" s="312">
        <v>56.4</v>
      </c>
      <c r="R4" s="312">
        <v>4</v>
      </c>
      <c r="S4" s="312">
        <v>1550</v>
      </c>
      <c r="T4" s="314">
        <v>1.52</v>
      </c>
      <c r="U4" s="312">
        <v>30</v>
      </c>
      <c r="V4" s="316">
        <v>1.9400000000000001E-2</v>
      </c>
      <c r="W4" s="312" t="s">
        <v>28</v>
      </c>
      <c r="X4" s="312" t="s">
        <v>28</v>
      </c>
      <c r="Y4" s="312" t="s">
        <v>28</v>
      </c>
      <c r="Z4" s="312" t="s">
        <v>27</v>
      </c>
      <c r="AA4" s="312" t="s">
        <v>27</v>
      </c>
      <c r="AB4" s="312" t="s">
        <v>38</v>
      </c>
      <c r="AC4" s="312" t="s">
        <v>850</v>
      </c>
    </row>
    <row r="5" spans="1:29" s="199" customFormat="1" ht="25.05" customHeight="1" x14ac:dyDescent="0.3">
      <c r="A5" s="312">
        <v>3</v>
      </c>
      <c r="B5" s="313" t="s">
        <v>807</v>
      </c>
      <c r="C5" s="312" t="s">
        <v>35</v>
      </c>
      <c r="D5" s="312" t="s">
        <v>825</v>
      </c>
      <c r="E5" s="312">
        <v>263036</v>
      </c>
      <c r="F5" s="312" t="s">
        <v>851</v>
      </c>
      <c r="G5" s="312">
        <v>500</v>
      </c>
      <c r="H5" s="314">
        <v>0.48499999999999999</v>
      </c>
      <c r="I5" s="314">
        <v>0.72699999999999998</v>
      </c>
      <c r="J5" s="312" t="s">
        <v>27</v>
      </c>
      <c r="K5" s="312" t="s">
        <v>33</v>
      </c>
      <c r="L5" s="312" t="s">
        <v>27</v>
      </c>
      <c r="M5" s="314">
        <v>176.297</v>
      </c>
      <c r="N5" s="315">
        <v>121.2</v>
      </c>
      <c r="O5" s="316">
        <v>1.12E-2</v>
      </c>
      <c r="P5" s="317">
        <v>0.67</v>
      </c>
      <c r="Q5" s="312">
        <v>56.4</v>
      </c>
      <c r="R5" s="312">
        <v>3</v>
      </c>
      <c r="S5" s="312">
        <v>1500</v>
      </c>
      <c r="T5" s="314">
        <v>1.4550000000000001</v>
      </c>
      <c r="U5" s="312">
        <v>45</v>
      </c>
      <c r="V5" s="316">
        <v>0.03</v>
      </c>
      <c r="W5" s="312" t="s">
        <v>28</v>
      </c>
      <c r="X5" s="312" t="s">
        <v>28</v>
      </c>
      <c r="Y5" s="312" t="s">
        <v>28</v>
      </c>
      <c r="Z5" s="312" t="s">
        <v>27</v>
      </c>
      <c r="AA5" s="312" t="s">
        <v>27</v>
      </c>
      <c r="AB5" s="312" t="s">
        <v>38</v>
      </c>
      <c r="AC5" s="312" t="s">
        <v>846</v>
      </c>
    </row>
    <row r="6" spans="1:29" s="199" customFormat="1" ht="25.05" customHeight="1" x14ac:dyDescent="0.3">
      <c r="A6" s="312">
        <v>4</v>
      </c>
      <c r="B6" s="313" t="s">
        <v>807</v>
      </c>
      <c r="C6" s="312" t="s">
        <v>35</v>
      </c>
      <c r="D6" s="312" t="s">
        <v>825</v>
      </c>
      <c r="E6" s="312">
        <v>263034</v>
      </c>
      <c r="F6" s="312" t="s">
        <v>851</v>
      </c>
      <c r="G6" s="312">
        <v>500</v>
      </c>
      <c r="H6" s="314">
        <v>0.57099999999999995</v>
      </c>
      <c r="I6" s="314">
        <v>1.2030000000000001</v>
      </c>
      <c r="J6" s="312" t="s">
        <v>27</v>
      </c>
      <c r="K6" s="312" t="s">
        <v>33</v>
      </c>
      <c r="L6" s="312" t="s">
        <v>27</v>
      </c>
      <c r="M6" s="314">
        <v>343.45699999999999</v>
      </c>
      <c r="N6" s="315">
        <v>300.8</v>
      </c>
      <c r="O6" s="316">
        <v>4.1799999999999997E-2</v>
      </c>
      <c r="P6" s="317">
        <v>2.5099999999999998</v>
      </c>
      <c r="Q6" s="312">
        <v>109.9</v>
      </c>
      <c r="R6" s="312">
        <v>2</v>
      </c>
      <c r="S6" s="312">
        <v>1200</v>
      </c>
      <c r="T6" s="314">
        <v>1.1419999999999999</v>
      </c>
      <c r="U6" s="312">
        <v>58</v>
      </c>
      <c r="V6" s="316">
        <v>4.8300000000000003E-2</v>
      </c>
      <c r="W6" s="312" t="s">
        <v>28</v>
      </c>
      <c r="X6" s="312" t="s">
        <v>28</v>
      </c>
      <c r="Y6" s="312" t="s">
        <v>28</v>
      </c>
      <c r="Z6" s="312" t="s">
        <v>27</v>
      </c>
      <c r="AA6" s="312" t="s">
        <v>27</v>
      </c>
      <c r="AB6" s="312" t="s">
        <v>38</v>
      </c>
      <c r="AC6" s="312" t="s">
        <v>852</v>
      </c>
    </row>
    <row r="7" spans="1:29" s="51" customFormat="1" ht="25.05" customHeight="1" x14ac:dyDescent="0.3">
      <c r="A7" s="296" t="s">
        <v>27</v>
      </c>
      <c r="B7" s="296" t="s">
        <v>27</v>
      </c>
      <c r="C7" s="296" t="s">
        <v>27</v>
      </c>
      <c r="D7" s="296" t="s">
        <v>27</v>
      </c>
      <c r="E7" s="296" t="s">
        <v>27</v>
      </c>
      <c r="F7" s="296" t="s">
        <v>27</v>
      </c>
      <c r="G7" s="296">
        <f>SUM(G4:G6)</f>
        <v>1500</v>
      </c>
      <c r="H7" s="296" t="s">
        <v>27</v>
      </c>
      <c r="I7" s="296" t="s">
        <v>27</v>
      </c>
      <c r="J7" s="296" t="s">
        <v>27</v>
      </c>
      <c r="K7" s="296" t="s">
        <v>27</v>
      </c>
      <c r="L7" s="296" t="s">
        <v>27</v>
      </c>
      <c r="M7" s="296" t="s">
        <v>27</v>
      </c>
      <c r="N7" s="296" t="s">
        <v>27</v>
      </c>
      <c r="O7" s="296" t="s">
        <v>27</v>
      </c>
      <c r="P7" s="296" t="s">
        <v>27</v>
      </c>
      <c r="Q7" s="296">
        <f>SUM(Q4:Q6)</f>
        <v>222.7</v>
      </c>
      <c r="R7" s="296" t="s">
        <v>27</v>
      </c>
      <c r="S7" s="296" t="s">
        <v>27</v>
      </c>
      <c r="T7" s="296" t="s">
        <v>27</v>
      </c>
      <c r="U7" s="296" t="s">
        <v>27</v>
      </c>
      <c r="V7" s="296" t="s">
        <v>27</v>
      </c>
      <c r="W7" s="296" t="s">
        <v>27</v>
      </c>
      <c r="X7" s="296" t="s">
        <v>27</v>
      </c>
      <c r="Y7" s="296" t="s">
        <v>27</v>
      </c>
      <c r="Z7" s="296" t="s">
        <v>27</v>
      </c>
      <c r="AA7" s="296" t="s">
        <v>27</v>
      </c>
      <c r="AB7" s="296" t="s">
        <v>27</v>
      </c>
      <c r="AC7" s="296" t="s">
        <v>27</v>
      </c>
    </row>
    <row r="8" spans="1:29" s="51" customFormat="1" x14ac:dyDescent="0.3"/>
    <row r="9" spans="1:29" s="51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8" t="s">
        <v>664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92" customFormat="1" x14ac:dyDescent="0.3">
      <c r="A3" s="185">
        <v>1</v>
      </c>
      <c r="B3" s="186" t="s">
        <v>107</v>
      </c>
      <c r="C3" s="185" t="s">
        <v>49</v>
      </c>
      <c r="D3" s="185" t="s">
        <v>661</v>
      </c>
      <c r="E3" s="185">
        <v>262917</v>
      </c>
      <c r="F3" s="187">
        <v>71026</v>
      </c>
      <c r="G3" s="185">
        <v>5086</v>
      </c>
      <c r="H3" s="188">
        <v>0.39</v>
      </c>
      <c r="I3" s="188">
        <v>0.71</v>
      </c>
      <c r="J3" s="185" t="s">
        <v>27</v>
      </c>
      <c r="K3" s="185" t="s">
        <v>33</v>
      </c>
      <c r="L3" s="185" t="s">
        <v>27</v>
      </c>
      <c r="M3" s="188">
        <v>1408.3130000000001</v>
      </c>
      <c r="N3" s="189">
        <v>902.8</v>
      </c>
      <c r="O3" s="190">
        <v>6.2700000000000006E-2</v>
      </c>
      <c r="P3" s="191">
        <v>3.76</v>
      </c>
      <c r="Q3" s="185">
        <v>500</v>
      </c>
      <c r="R3" s="185">
        <v>4</v>
      </c>
      <c r="S3" s="185">
        <v>1600</v>
      </c>
      <c r="T3" s="188">
        <v>1.56</v>
      </c>
      <c r="U3" s="185">
        <v>40</v>
      </c>
      <c r="V3" s="190">
        <v>2.5000000000000001E-2</v>
      </c>
      <c r="W3" s="185" t="s">
        <v>29</v>
      </c>
      <c r="X3" s="185" t="s">
        <v>28</v>
      </c>
      <c r="Y3" s="185" t="s">
        <v>29</v>
      </c>
      <c r="Z3" s="185" t="s">
        <v>27</v>
      </c>
      <c r="AA3" s="185" t="s">
        <v>27</v>
      </c>
      <c r="AB3" s="185" t="s">
        <v>32</v>
      </c>
      <c r="AC3" s="185" t="s">
        <v>108</v>
      </c>
    </row>
    <row r="4" spans="1:29" s="199" customFormat="1" x14ac:dyDescent="0.3">
      <c r="A4" s="193">
        <v>1</v>
      </c>
      <c r="B4" s="194" t="s">
        <v>675</v>
      </c>
      <c r="C4" s="193" t="s">
        <v>55</v>
      </c>
      <c r="D4" s="193" t="s">
        <v>673</v>
      </c>
      <c r="E4" s="193">
        <v>262931</v>
      </c>
      <c r="F4" s="187">
        <v>71026</v>
      </c>
      <c r="G4" s="193">
        <v>2283</v>
      </c>
      <c r="H4" s="195">
        <v>0.48</v>
      </c>
      <c r="I4" s="195">
        <v>1.25</v>
      </c>
      <c r="J4" s="193" t="s">
        <v>27</v>
      </c>
      <c r="K4" s="193" t="s">
        <v>33</v>
      </c>
      <c r="L4" s="193" t="s">
        <v>27</v>
      </c>
      <c r="M4" s="195">
        <v>1369.8</v>
      </c>
      <c r="N4" s="196">
        <v>951.3</v>
      </c>
      <c r="O4" s="197">
        <v>8.8099999999999998E-2</v>
      </c>
      <c r="P4" s="198">
        <v>5.28</v>
      </c>
      <c r="Q4" s="193">
        <v>500</v>
      </c>
      <c r="R4" s="193">
        <v>3</v>
      </c>
      <c r="S4" s="193">
        <v>1500</v>
      </c>
      <c r="T4" s="195">
        <v>1.44</v>
      </c>
      <c r="U4" s="193">
        <v>60</v>
      </c>
      <c r="V4" s="197">
        <v>0.04</v>
      </c>
      <c r="W4" s="193" t="s">
        <v>37</v>
      </c>
      <c r="X4" s="193" t="s">
        <v>29</v>
      </c>
      <c r="Y4" s="193" t="s">
        <v>34</v>
      </c>
      <c r="Z4" s="193" t="s">
        <v>27</v>
      </c>
      <c r="AA4" s="193" t="s">
        <v>27</v>
      </c>
      <c r="AB4" s="193" t="s">
        <v>30</v>
      </c>
      <c r="AC4" s="193" t="s">
        <v>239</v>
      </c>
    </row>
    <row r="5" spans="1:29" s="192" customFormat="1" x14ac:dyDescent="0.3">
      <c r="A5" s="185">
        <v>3</v>
      </c>
      <c r="B5" s="186" t="s">
        <v>107</v>
      </c>
      <c r="C5" s="185" t="s">
        <v>55</v>
      </c>
      <c r="D5" s="185" t="s">
        <v>661</v>
      </c>
      <c r="E5" s="185">
        <v>262914</v>
      </c>
      <c r="F5" s="187">
        <v>71026</v>
      </c>
      <c r="G5" s="185">
        <v>1378</v>
      </c>
      <c r="H5" s="188">
        <v>0.67</v>
      </c>
      <c r="I5" s="188">
        <v>0.89</v>
      </c>
      <c r="J5" s="185" t="s">
        <v>27</v>
      </c>
      <c r="K5" s="185" t="s">
        <v>33</v>
      </c>
      <c r="L5" s="185" t="s">
        <v>27</v>
      </c>
      <c r="M5" s="188">
        <v>821.70100000000002</v>
      </c>
      <c r="N5" s="189">
        <v>613.20000000000005</v>
      </c>
      <c r="O5" s="190">
        <v>8.5199999999999998E-2</v>
      </c>
      <c r="P5" s="191">
        <v>5.1100000000000003</v>
      </c>
      <c r="Q5" s="185">
        <v>299.89999999999998</v>
      </c>
      <c r="R5" s="185">
        <v>2</v>
      </c>
      <c r="S5" s="185">
        <v>1400</v>
      </c>
      <c r="T5" s="188">
        <v>1.34</v>
      </c>
      <c r="U5" s="185">
        <v>60</v>
      </c>
      <c r="V5" s="190">
        <v>4.2900000000000001E-2</v>
      </c>
      <c r="W5" s="185" t="s">
        <v>37</v>
      </c>
      <c r="X5" s="185" t="s">
        <v>29</v>
      </c>
      <c r="Y5" s="185" t="s">
        <v>34</v>
      </c>
      <c r="Z5" s="185" t="s">
        <v>27</v>
      </c>
      <c r="AA5" s="185" t="s">
        <v>27</v>
      </c>
      <c r="AB5" s="185" t="s">
        <v>32</v>
      </c>
      <c r="AC5" s="185" t="s">
        <v>663</v>
      </c>
    </row>
    <row r="6" spans="1:29" s="192" customFormat="1" x14ac:dyDescent="0.3">
      <c r="A6" s="185">
        <v>4</v>
      </c>
      <c r="B6" s="186" t="s">
        <v>107</v>
      </c>
      <c r="C6" s="185" t="s">
        <v>55</v>
      </c>
      <c r="D6" s="185" t="s">
        <v>661</v>
      </c>
      <c r="E6" s="185">
        <v>262913</v>
      </c>
      <c r="F6" s="187">
        <v>71026</v>
      </c>
      <c r="G6" s="185">
        <v>1662</v>
      </c>
      <c r="H6" s="188">
        <v>0.43</v>
      </c>
      <c r="I6" s="188">
        <v>1.1499999999999999</v>
      </c>
      <c r="J6" s="185" t="s">
        <v>27</v>
      </c>
      <c r="K6" s="185" t="s">
        <v>33</v>
      </c>
      <c r="L6" s="185" t="s">
        <v>27</v>
      </c>
      <c r="M6" s="188">
        <v>821.85900000000004</v>
      </c>
      <c r="N6" s="189">
        <v>637.1</v>
      </c>
      <c r="O6" s="190">
        <v>5.8999999999999997E-2</v>
      </c>
      <c r="P6" s="191">
        <v>3.54</v>
      </c>
      <c r="Q6" s="185">
        <v>300</v>
      </c>
      <c r="R6" s="185">
        <v>3</v>
      </c>
      <c r="S6" s="185">
        <v>1350</v>
      </c>
      <c r="T6" s="188">
        <v>1.29</v>
      </c>
      <c r="U6" s="185">
        <v>60</v>
      </c>
      <c r="V6" s="190">
        <v>4.4400000000000002E-2</v>
      </c>
      <c r="W6" s="185" t="s">
        <v>37</v>
      </c>
      <c r="X6" s="185" t="s">
        <v>29</v>
      </c>
      <c r="Y6" s="185" t="s">
        <v>34</v>
      </c>
      <c r="Z6" s="185" t="s">
        <v>27</v>
      </c>
      <c r="AA6" s="185" t="s">
        <v>27</v>
      </c>
      <c r="AB6" s="185" t="s">
        <v>32</v>
      </c>
      <c r="AC6" s="185" t="s">
        <v>238</v>
      </c>
    </row>
    <row r="7" spans="1:29" s="192" customFormat="1" x14ac:dyDescent="0.3">
      <c r="A7" s="185">
        <v>5</v>
      </c>
      <c r="B7" s="186" t="s">
        <v>107</v>
      </c>
      <c r="C7" s="185" t="s">
        <v>55</v>
      </c>
      <c r="D7" s="185" t="s">
        <v>661</v>
      </c>
      <c r="E7" s="185">
        <v>262915</v>
      </c>
      <c r="F7" s="187">
        <v>71026</v>
      </c>
      <c r="G7" s="185">
        <v>1287</v>
      </c>
      <c r="H7" s="188">
        <v>0.56999999999999995</v>
      </c>
      <c r="I7" s="188">
        <v>1.1200000000000001</v>
      </c>
      <c r="J7" s="185" t="s">
        <v>27</v>
      </c>
      <c r="K7" s="185" t="s">
        <v>33</v>
      </c>
      <c r="L7" s="185" t="s">
        <v>27</v>
      </c>
      <c r="M7" s="188">
        <v>821.62099999999998</v>
      </c>
      <c r="N7" s="189">
        <v>720.7</v>
      </c>
      <c r="O7" s="190">
        <v>0.10009999999999999</v>
      </c>
      <c r="P7" s="191">
        <v>6.01</v>
      </c>
      <c r="Q7" s="185">
        <v>299.89999999999998</v>
      </c>
      <c r="R7" s="185">
        <v>2</v>
      </c>
      <c r="S7" s="185">
        <v>1200</v>
      </c>
      <c r="T7" s="188">
        <v>1.1399999999999999</v>
      </c>
      <c r="U7" s="185">
        <v>60</v>
      </c>
      <c r="V7" s="190">
        <v>0.05</v>
      </c>
      <c r="W7" s="185" t="s">
        <v>37</v>
      </c>
      <c r="X7" s="185" t="s">
        <v>29</v>
      </c>
      <c r="Y7" s="185" t="s">
        <v>34</v>
      </c>
      <c r="Z7" s="185" t="s">
        <v>27</v>
      </c>
      <c r="AA7" s="185" t="s">
        <v>27</v>
      </c>
      <c r="AB7" s="185" t="s">
        <v>32</v>
      </c>
      <c r="AC7" s="185" t="s">
        <v>662</v>
      </c>
    </row>
    <row r="8" spans="1:29" s="192" customFormat="1" x14ac:dyDescent="0.3">
      <c r="A8" s="185">
        <v>6</v>
      </c>
      <c r="B8" s="186" t="s">
        <v>107</v>
      </c>
      <c r="C8" s="185" t="s">
        <v>49</v>
      </c>
      <c r="D8" s="185" t="s">
        <v>661</v>
      </c>
      <c r="E8" s="185">
        <v>262918</v>
      </c>
      <c r="F8" s="187">
        <v>71026</v>
      </c>
      <c r="G8" s="185">
        <v>2764</v>
      </c>
      <c r="H8" s="188">
        <v>0.56000000000000005</v>
      </c>
      <c r="I8" s="188">
        <v>0.91</v>
      </c>
      <c r="J8" s="185" t="s">
        <v>27</v>
      </c>
      <c r="K8" s="185" t="s">
        <v>33</v>
      </c>
      <c r="L8" s="185" t="s">
        <v>27</v>
      </c>
      <c r="M8" s="188">
        <v>1408.5340000000001</v>
      </c>
      <c r="N8" s="189">
        <v>1257.5999999999999</v>
      </c>
      <c r="O8" s="190">
        <v>0.17469999999999999</v>
      </c>
      <c r="P8" s="191">
        <v>10.48</v>
      </c>
      <c r="Q8" s="185">
        <v>500</v>
      </c>
      <c r="R8" s="185">
        <v>2</v>
      </c>
      <c r="S8" s="185">
        <v>1150</v>
      </c>
      <c r="T8" s="188">
        <v>1.1200000000000001</v>
      </c>
      <c r="U8" s="185">
        <v>30</v>
      </c>
      <c r="V8" s="190">
        <v>2.6100000000000002E-2</v>
      </c>
      <c r="W8" s="185" t="s">
        <v>29</v>
      </c>
      <c r="X8" s="185" t="s">
        <v>28</v>
      </c>
      <c r="Y8" s="185" t="s">
        <v>29</v>
      </c>
      <c r="Z8" s="185" t="s">
        <v>27</v>
      </c>
      <c r="AA8" s="185" t="s">
        <v>27</v>
      </c>
      <c r="AB8" s="185" t="s">
        <v>32</v>
      </c>
      <c r="AC8" s="185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00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84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24" t="s">
        <v>660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/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24" t="s">
        <v>645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/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24" t="s">
        <v>622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/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614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8" t="s">
        <v>606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24" t="s">
        <v>595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8" t="s">
        <v>585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/>
      <c r="K1" s="318" t="s">
        <v>27</v>
      </c>
      <c r="L1" s="318"/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293"/>
      <c r="B3" s="295" t="s">
        <v>582</v>
      </c>
      <c r="C3" s="293" t="s">
        <v>581</v>
      </c>
      <c r="D3" s="293" t="s">
        <v>800</v>
      </c>
      <c r="E3" s="293">
        <v>263013</v>
      </c>
      <c r="F3" s="293" t="s">
        <v>811</v>
      </c>
      <c r="G3" s="293">
        <v>2000</v>
      </c>
      <c r="H3" s="294">
        <v>0.5</v>
      </c>
      <c r="I3" s="294">
        <v>0.99</v>
      </c>
      <c r="J3" s="293" t="s">
        <v>27</v>
      </c>
      <c r="K3" s="293" t="s">
        <v>33</v>
      </c>
      <c r="L3" s="293" t="s">
        <v>27</v>
      </c>
      <c r="M3" s="290">
        <v>990</v>
      </c>
      <c r="N3" s="292">
        <v>660</v>
      </c>
      <c r="O3" s="289">
        <v>6.1100000000000002E-2</v>
      </c>
      <c r="P3" s="291">
        <v>3.67</v>
      </c>
      <c r="Q3" s="288">
        <v>396</v>
      </c>
      <c r="R3" s="288">
        <v>3</v>
      </c>
      <c r="S3" s="288">
        <v>1550</v>
      </c>
      <c r="T3" s="290">
        <v>1.5</v>
      </c>
      <c r="U3" s="288">
        <v>50</v>
      </c>
      <c r="V3" s="289">
        <v>3.2300000000000002E-2</v>
      </c>
      <c r="W3" s="288" t="s">
        <v>37</v>
      </c>
      <c r="X3" s="288" t="s">
        <v>29</v>
      </c>
      <c r="Y3" s="288" t="s">
        <v>29</v>
      </c>
      <c r="Z3" s="288" t="s">
        <v>27</v>
      </c>
      <c r="AA3" s="288" t="s">
        <v>27</v>
      </c>
      <c r="AB3" s="288" t="s">
        <v>32</v>
      </c>
      <c r="AC3" s="288" t="s">
        <v>810</v>
      </c>
    </row>
    <row r="4" spans="1:29" s="90" customFormat="1" ht="25.05" customHeight="1" x14ac:dyDescent="0.3">
      <c r="A4" s="293"/>
      <c r="B4" s="295" t="s">
        <v>582</v>
      </c>
      <c r="C4" s="293" t="s">
        <v>581</v>
      </c>
      <c r="D4" s="293" t="s">
        <v>800</v>
      </c>
      <c r="E4" s="293">
        <v>263014</v>
      </c>
      <c r="F4" s="293" t="s">
        <v>811</v>
      </c>
      <c r="G4" s="293">
        <v>1500</v>
      </c>
      <c r="H4" s="294">
        <v>0.73499999999999999</v>
      </c>
      <c r="I4" s="294">
        <v>0.73499999999999999</v>
      </c>
      <c r="J4" s="293" t="s">
        <v>27</v>
      </c>
      <c r="K4" s="293" t="s">
        <v>33</v>
      </c>
      <c r="L4" s="293" t="s">
        <v>27</v>
      </c>
      <c r="M4" s="290">
        <v>810.33699999999999</v>
      </c>
      <c r="N4" s="292">
        <v>551.29999999999995</v>
      </c>
      <c r="O4" s="289">
        <v>7.6600000000000001E-2</v>
      </c>
      <c r="P4" s="291">
        <v>4.59</v>
      </c>
      <c r="Q4" s="288">
        <v>324.10000000000002</v>
      </c>
      <c r="R4" s="288">
        <v>2</v>
      </c>
      <c r="S4" s="288">
        <v>1500</v>
      </c>
      <c r="T4" s="290">
        <v>1.47</v>
      </c>
      <c r="U4" s="288">
        <v>30</v>
      </c>
      <c r="V4" s="289">
        <v>0.02</v>
      </c>
      <c r="W4" s="288" t="s">
        <v>37</v>
      </c>
      <c r="X4" s="288" t="s">
        <v>29</v>
      </c>
      <c r="Y4" s="288" t="s">
        <v>29</v>
      </c>
      <c r="Z4" s="288" t="s">
        <v>27</v>
      </c>
      <c r="AA4" s="288" t="s">
        <v>27</v>
      </c>
      <c r="AB4" s="288" t="s">
        <v>32</v>
      </c>
      <c r="AC4" s="288" t="s">
        <v>812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293"/>
      <c r="B6" s="295" t="s">
        <v>582</v>
      </c>
      <c r="C6" s="293" t="s">
        <v>581</v>
      </c>
      <c r="D6" s="293" t="s">
        <v>800</v>
      </c>
      <c r="E6" s="293">
        <v>263015</v>
      </c>
      <c r="F6" s="293" t="s">
        <v>813</v>
      </c>
      <c r="G6" s="293">
        <v>5000</v>
      </c>
      <c r="H6" s="294">
        <v>0.68</v>
      </c>
      <c r="I6" s="294">
        <v>1</v>
      </c>
      <c r="J6" s="293" t="s">
        <v>27</v>
      </c>
      <c r="K6" s="293" t="s">
        <v>33</v>
      </c>
      <c r="L6" s="293" t="s">
        <v>27</v>
      </c>
      <c r="M6" s="290">
        <v>3400</v>
      </c>
      <c r="N6" s="292">
        <v>2500</v>
      </c>
      <c r="O6" s="289">
        <v>0.34720000000000001</v>
      </c>
      <c r="P6" s="291">
        <v>20.83</v>
      </c>
      <c r="Q6" s="288">
        <v>1360</v>
      </c>
      <c r="R6" s="288">
        <v>2</v>
      </c>
      <c r="S6" s="288">
        <v>1400</v>
      </c>
      <c r="T6" s="290">
        <v>1.36</v>
      </c>
      <c r="U6" s="288">
        <v>40</v>
      </c>
      <c r="V6" s="289">
        <v>2.86E-2</v>
      </c>
      <c r="W6" s="288" t="s">
        <v>37</v>
      </c>
      <c r="X6" s="288" t="s">
        <v>29</v>
      </c>
      <c r="Y6" s="288" t="s">
        <v>29</v>
      </c>
      <c r="Z6" s="288" t="s">
        <v>27</v>
      </c>
      <c r="AA6" s="288" t="s">
        <v>27</v>
      </c>
      <c r="AB6" s="288" t="s">
        <v>48</v>
      </c>
      <c r="AC6" s="288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25" t="s">
        <v>578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/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/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</row>
    <row r="2" spans="1:29" ht="42" customHeight="1" x14ac:dyDescent="0.3">
      <c r="A2" s="207" t="s">
        <v>0</v>
      </c>
      <c r="B2" s="207" t="s">
        <v>36</v>
      </c>
      <c r="C2" s="207" t="s">
        <v>1</v>
      </c>
      <c r="D2" s="207" t="s">
        <v>2</v>
      </c>
      <c r="E2" s="207" t="s">
        <v>53</v>
      </c>
      <c r="F2" s="207" t="s">
        <v>4</v>
      </c>
      <c r="G2" s="207" t="s">
        <v>5</v>
      </c>
      <c r="H2" s="207" t="s">
        <v>6</v>
      </c>
      <c r="I2" s="207" t="s">
        <v>7</v>
      </c>
      <c r="J2" s="207"/>
      <c r="K2" s="207" t="s">
        <v>8</v>
      </c>
      <c r="L2" s="207" t="s">
        <v>9</v>
      </c>
      <c r="M2" s="207" t="s">
        <v>10</v>
      </c>
      <c r="N2" s="207" t="s">
        <v>11</v>
      </c>
      <c r="O2" s="207" t="s">
        <v>12</v>
      </c>
      <c r="P2" s="207"/>
      <c r="Q2" s="207" t="s">
        <v>13</v>
      </c>
      <c r="R2" s="207" t="s">
        <v>14</v>
      </c>
      <c r="S2" s="207" t="s">
        <v>15</v>
      </c>
      <c r="T2" s="207" t="s">
        <v>16</v>
      </c>
      <c r="U2" s="207" t="s">
        <v>17</v>
      </c>
      <c r="V2" s="207" t="s">
        <v>18</v>
      </c>
      <c r="W2" s="207" t="s">
        <v>19</v>
      </c>
      <c r="X2" s="207" t="s">
        <v>20</v>
      </c>
      <c r="Y2" s="207" t="s">
        <v>21</v>
      </c>
      <c r="Z2" s="207" t="s">
        <v>22</v>
      </c>
      <c r="AA2" s="207" t="s">
        <v>23</v>
      </c>
      <c r="AB2" s="207" t="s">
        <v>24</v>
      </c>
      <c r="AC2" s="207" t="s">
        <v>25</v>
      </c>
    </row>
    <row r="3" spans="1:29" s="12" customFormat="1" ht="25.05" customHeight="1" x14ac:dyDescent="0.3">
      <c r="A3" s="208">
        <v>1</v>
      </c>
      <c r="B3" s="209" t="s">
        <v>93</v>
      </c>
      <c r="C3" s="208" t="s">
        <v>35</v>
      </c>
      <c r="D3" s="208" t="s">
        <v>576</v>
      </c>
      <c r="E3" s="208">
        <v>262865</v>
      </c>
      <c r="F3" s="208" t="s">
        <v>575</v>
      </c>
      <c r="G3" s="208">
        <v>1400</v>
      </c>
      <c r="H3" s="210">
        <v>0.44500000000000001</v>
      </c>
      <c r="I3" s="210">
        <v>0.83</v>
      </c>
      <c r="J3" s="210"/>
      <c r="K3" s="208" t="s">
        <v>577</v>
      </c>
      <c r="L3" s="210">
        <v>517.09</v>
      </c>
      <c r="M3" s="211">
        <v>387.3</v>
      </c>
      <c r="N3" s="212">
        <v>3.5900000000000001E-2</v>
      </c>
      <c r="O3" s="213">
        <v>2.15</v>
      </c>
      <c r="P3" s="213"/>
      <c r="Q3" s="208">
        <v>162.9</v>
      </c>
      <c r="R3" s="208">
        <v>3</v>
      </c>
      <c r="S3" s="208">
        <v>1400</v>
      </c>
      <c r="T3" s="210">
        <v>1.335</v>
      </c>
      <c r="U3" s="208">
        <v>65</v>
      </c>
      <c r="V3" s="212">
        <v>4.6399999999999997E-2</v>
      </c>
      <c r="W3" s="208" t="s">
        <v>28</v>
      </c>
      <c r="X3" s="208" t="s">
        <v>28</v>
      </c>
      <c r="Y3" s="208" t="s">
        <v>28</v>
      </c>
      <c r="Z3" s="208" t="s">
        <v>27</v>
      </c>
      <c r="AA3" s="208" t="s">
        <v>27</v>
      </c>
      <c r="AB3" s="208" t="s">
        <v>38</v>
      </c>
      <c r="AC3" s="208" t="s">
        <v>574</v>
      </c>
    </row>
    <row r="4" spans="1:29" s="98" customFormat="1" ht="25.05" customHeight="1" x14ac:dyDescent="0.3">
      <c r="A4" s="201">
        <v>1</v>
      </c>
      <c r="B4" s="202" t="s">
        <v>126</v>
      </c>
      <c r="C4" s="201" t="s">
        <v>35</v>
      </c>
      <c r="D4" s="201" t="s">
        <v>673</v>
      </c>
      <c r="E4" s="201">
        <v>262930</v>
      </c>
      <c r="F4" s="201" t="s">
        <v>674</v>
      </c>
      <c r="G4" s="201">
        <v>500</v>
      </c>
      <c r="H4" s="203">
        <v>0.62</v>
      </c>
      <c r="I4" s="203">
        <v>0.96</v>
      </c>
      <c r="J4" s="201" t="s">
        <v>27</v>
      </c>
      <c r="K4" s="201" t="s">
        <v>33</v>
      </c>
      <c r="L4" s="201" t="s">
        <v>27</v>
      </c>
      <c r="M4" s="203">
        <v>297.60000000000002</v>
      </c>
      <c r="N4" s="204">
        <v>240</v>
      </c>
      <c r="O4" s="205">
        <v>3.3300000000000003E-2</v>
      </c>
      <c r="P4" s="206"/>
      <c r="Q4" s="201">
        <v>93.7</v>
      </c>
      <c r="R4" s="201">
        <v>2</v>
      </c>
      <c r="S4" s="201">
        <v>1300</v>
      </c>
      <c r="T4" s="203">
        <v>1.24</v>
      </c>
      <c r="U4" s="201">
        <v>60</v>
      </c>
      <c r="V4" s="205">
        <v>4.6199999999999998E-2</v>
      </c>
      <c r="W4" s="201" t="s">
        <v>28</v>
      </c>
      <c r="X4" s="201" t="s">
        <v>28</v>
      </c>
      <c r="Y4" s="201" t="s">
        <v>28</v>
      </c>
      <c r="Z4" s="201" t="s">
        <v>27</v>
      </c>
      <c r="AA4" s="201" t="s">
        <v>27</v>
      </c>
      <c r="AB4" s="201" t="s">
        <v>38</v>
      </c>
      <c r="AC4" s="201" t="s">
        <v>672</v>
      </c>
    </row>
    <row r="5" spans="1:29" s="12" customFormat="1" ht="25.05" customHeight="1" x14ac:dyDescent="0.3">
      <c r="A5" s="208">
        <v>2</v>
      </c>
      <c r="B5" s="209" t="s">
        <v>93</v>
      </c>
      <c r="C5" s="208" t="s">
        <v>35</v>
      </c>
      <c r="D5" s="208" t="s">
        <v>576</v>
      </c>
      <c r="E5" s="208">
        <v>262866</v>
      </c>
      <c r="F5" s="208">
        <v>83</v>
      </c>
      <c r="G5" s="208">
        <v>1000</v>
      </c>
      <c r="H5" s="210">
        <v>0.63</v>
      </c>
      <c r="I5" s="210">
        <v>1</v>
      </c>
      <c r="J5" s="210"/>
      <c r="K5" s="208" t="s">
        <v>33</v>
      </c>
      <c r="L5" s="210">
        <v>630</v>
      </c>
      <c r="M5" s="211">
        <v>500</v>
      </c>
      <c r="N5" s="212">
        <v>6.9400000000000003E-2</v>
      </c>
      <c r="O5" s="213">
        <v>4.17</v>
      </c>
      <c r="P5" s="213"/>
      <c r="Q5" s="208">
        <v>198.4</v>
      </c>
      <c r="R5" s="208">
        <v>2</v>
      </c>
      <c r="S5" s="208">
        <v>1300</v>
      </c>
      <c r="T5" s="210">
        <v>1.26</v>
      </c>
      <c r="U5" s="208">
        <v>40</v>
      </c>
      <c r="V5" s="212">
        <v>3.0800000000000001E-2</v>
      </c>
      <c r="W5" s="208" t="s">
        <v>28</v>
      </c>
      <c r="X5" s="208" t="s">
        <v>28</v>
      </c>
      <c r="Y5" s="208" t="s">
        <v>28</v>
      </c>
      <c r="Z5" s="208" t="s">
        <v>27</v>
      </c>
      <c r="AA5" s="208" t="s">
        <v>27</v>
      </c>
      <c r="AB5" s="208" t="s">
        <v>38</v>
      </c>
      <c r="AC5" s="208" t="s">
        <v>574</v>
      </c>
    </row>
    <row r="6" spans="1:29" s="90" customFormat="1" ht="25.05" customHeight="1" x14ac:dyDescent="0.3">
      <c r="A6" s="201">
        <v>1</v>
      </c>
      <c r="B6" s="202" t="s">
        <v>679</v>
      </c>
      <c r="C6" s="201" t="s">
        <v>45</v>
      </c>
      <c r="D6" s="201" t="s">
        <v>661</v>
      </c>
      <c r="E6" s="201">
        <v>262932</v>
      </c>
      <c r="F6" s="201" t="s">
        <v>678</v>
      </c>
      <c r="G6" s="201">
        <v>450</v>
      </c>
      <c r="H6" s="203">
        <v>0.56699999999999995</v>
      </c>
      <c r="I6" s="203">
        <v>1.6619999999999999</v>
      </c>
      <c r="J6" s="201" t="s">
        <v>27</v>
      </c>
      <c r="K6" s="201" t="s">
        <v>677</v>
      </c>
      <c r="L6" s="201" t="s">
        <v>27</v>
      </c>
      <c r="M6" s="203">
        <v>424.05900000000003</v>
      </c>
      <c r="N6" s="204">
        <v>373.9</v>
      </c>
      <c r="O6" s="205">
        <v>5.1900000000000002E-2</v>
      </c>
      <c r="P6" s="206"/>
      <c r="Q6" s="201">
        <v>186.6</v>
      </c>
      <c r="R6" s="201">
        <v>2</v>
      </c>
      <c r="S6" s="201">
        <v>1200</v>
      </c>
      <c r="T6" s="203">
        <v>1.1339999999999999</v>
      </c>
      <c r="U6" s="201">
        <v>66</v>
      </c>
      <c r="V6" s="205">
        <v>5.5E-2</v>
      </c>
      <c r="W6" s="201" t="s">
        <v>41</v>
      </c>
      <c r="X6" s="201" t="s">
        <v>41</v>
      </c>
      <c r="Y6" s="201" t="s">
        <v>41</v>
      </c>
      <c r="Z6" s="201" t="s">
        <v>27</v>
      </c>
      <c r="AA6" s="201" t="s">
        <v>27</v>
      </c>
      <c r="AB6" s="201" t="s">
        <v>38</v>
      </c>
      <c r="AC6" s="201" t="s">
        <v>676</v>
      </c>
    </row>
    <row r="7" spans="1:29" s="51" customFormat="1" ht="25.05" customHeight="1" x14ac:dyDescent="0.3">
      <c r="A7" s="208">
        <v>3</v>
      </c>
      <c r="B7" s="214" t="s">
        <v>126</v>
      </c>
      <c r="C7" s="215" t="s">
        <v>35</v>
      </c>
      <c r="D7" s="215"/>
      <c r="E7" s="215">
        <v>262919</v>
      </c>
      <c r="F7" s="215" t="s">
        <v>665</v>
      </c>
      <c r="G7" s="215">
        <v>4500</v>
      </c>
      <c r="H7" s="216">
        <v>0.58099999999999996</v>
      </c>
      <c r="I7" s="216">
        <v>1.9059999999999999</v>
      </c>
      <c r="J7" s="216"/>
      <c r="K7" s="215" t="s">
        <v>666</v>
      </c>
      <c r="L7" s="216"/>
      <c r="M7" s="217"/>
      <c r="N7" s="218"/>
      <c r="O7" s="219"/>
      <c r="P7" s="219"/>
      <c r="Q7" s="215">
        <v>1569.7</v>
      </c>
      <c r="R7" s="215">
        <v>2</v>
      </c>
      <c r="S7" s="215">
        <v>1200</v>
      </c>
      <c r="T7" s="216">
        <v>1.1619999999999999</v>
      </c>
      <c r="U7" s="215">
        <v>38</v>
      </c>
      <c r="V7" s="218">
        <v>3.1699999999999999E-2</v>
      </c>
      <c r="W7" s="215" t="s">
        <v>28</v>
      </c>
      <c r="X7" s="215" t="s">
        <v>28</v>
      </c>
      <c r="Y7" s="215" t="s">
        <v>28</v>
      </c>
      <c r="Z7" s="215" t="s">
        <v>27</v>
      </c>
      <c r="AA7" s="215" t="s">
        <v>27</v>
      </c>
      <c r="AB7" s="215" t="s">
        <v>40</v>
      </c>
      <c r="AC7" s="215" t="s">
        <v>667</v>
      </c>
    </row>
    <row r="8" spans="1:29" s="98" customFormat="1" ht="25.05" customHeight="1" x14ac:dyDescent="0.3">
      <c r="A8" s="208">
        <v>4</v>
      </c>
      <c r="B8" s="202" t="s">
        <v>126</v>
      </c>
      <c r="C8" s="201" t="s">
        <v>49</v>
      </c>
      <c r="D8" s="201" t="s">
        <v>599</v>
      </c>
      <c r="E8" s="201">
        <v>262890</v>
      </c>
      <c r="F8" s="201" t="s">
        <v>625</v>
      </c>
      <c r="G8" s="201">
        <v>1000</v>
      </c>
      <c r="H8" s="203">
        <v>0.55000000000000004</v>
      </c>
      <c r="I8" s="203">
        <v>1.45</v>
      </c>
      <c r="J8" s="203"/>
      <c r="K8" s="201" t="s">
        <v>623</v>
      </c>
      <c r="L8" s="203">
        <v>797.5</v>
      </c>
      <c r="M8" s="204">
        <v>725</v>
      </c>
      <c r="N8" s="205">
        <v>0.1007</v>
      </c>
      <c r="O8" s="206">
        <v>6.04</v>
      </c>
      <c r="P8" s="206"/>
      <c r="Q8" s="201">
        <v>283.10000000000002</v>
      </c>
      <c r="R8" s="201">
        <v>2</v>
      </c>
      <c r="S8" s="201">
        <v>1150</v>
      </c>
      <c r="T8" s="203">
        <v>1.1000000000000001</v>
      </c>
      <c r="U8" s="201">
        <v>50</v>
      </c>
      <c r="V8" s="205">
        <v>4.3499999999999997E-2</v>
      </c>
      <c r="W8" s="201" t="s">
        <v>29</v>
      </c>
      <c r="X8" s="201" t="s">
        <v>28</v>
      </c>
      <c r="Y8" s="201" t="s">
        <v>29</v>
      </c>
      <c r="Z8" s="201" t="s">
        <v>27</v>
      </c>
      <c r="AA8" s="201" t="s">
        <v>27</v>
      </c>
      <c r="AB8" s="201" t="s">
        <v>32</v>
      </c>
      <c r="AC8" s="201" t="s">
        <v>624</v>
      </c>
    </row>
    <row r="9" spans="1:29" s="129" customFormat="1" x14ac:dyDescent="0.3">
      <c r="A9" s="220" t="s">
        <v>27</v>
      </c>
      <c r="B9" s="220" t="s">
        <v>27</v>
      </c>
      <c r="C9" s="220" t="s">
        <v>27</v>
      </c>
      <c r="D9" s="220" t="s">
        <v>27</v>
      </c>
      <c r="E9" s="220" t="s">
        <v>27</v>
      </c>
      <c r="F9" s="220" t="s">
        <v>27</v>
      </c>
      <c r="G9" s="220">
        <f>SUM(G3:G8)</f>
        <v>8850</v>
      </c>
      <c r="H9" s="220" t="s">
        <v>27</v>
      </c>
      <c r="I9" s="220" t="s">
        <v>27</v>
      </c>
      <c r="J9" s="220"/>
      <c r="K9" s="220" t="s">
        <v>27</v>
      </c>
      <c r="L9" s="220" t="s">
        <v>27</v>
      </c>
      <c r="M9" s="220" t="s">
        <v>27</v>
      </c>
      <c r="N9" s="220" t="s">
        <v>27</v>
      </c>
      <c r="O9" s="220" t="s">
        <v>27</v>
      </c>
      <c r="P9" s="220"/>
      <c r="Q9" s="220">
        <f>SUM(Q3:Q8)</f>
        <v>2494.4</v>
      </c>
      <c r="R9" s="220" t="s">
        <v>27</v>
      </c>
      <c r="S9" s="220" t="s">
        <v>27</v>
      </c>
      <c r="T9" s="220" t="s">
        <v>27</v>
      </c>
      <c r="U9" s="220" t="s">
        <v>27</v>
      </c>
      <c r="V9" s="220" t="s">
        <v>27</v>
      </c>
      <c r="W9" s="220" t="s">
        <v>27</v>
      </c>
      <c r="X9" s="220" t="s">
        <v>27</v>
      </c>
      <c r="Y9" s="220" t="s">
        <v>27</v>
      </c>
      <c r="Z9" s="220" t="s">
        <v>27</v>
      </c>
      <c r="AA9" s="220" t="s">
        <v>27</v>
      </c>
      <c r="AB9" s="220" t="s">
        <v>27</v>
      </c>
      <c r="AC9" s="220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573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24" t="s">
        <v>566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8" t="s">
        <v>528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8" t="s">
        <v>508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78">
        <v>1</v>
      </c>
      <c r="B3" s="179" t="s">
        <v>58</v>
      </c>
      <c r="C3" s="178" t="s">
        <v>26</v>
      </c>
      <c r="D3" s="178" t="s">
        <v>465</v>
      </c>
      <c r="E3" s="178" t="s">
        <v>27</v>
      </c>
      <c r="F3" s="178">
        <v>262830</v>
      </c>
      <c r="G3" s="178" t="s">
        <v>503</v>
      </c>
      <c r="H3" s="178">
        <v>1100</v>
      </c>
      <c r="I3" s="180">
        <v>0.51700000000000002</v>
      </c>
      <c r="J3" s="180">
        <v>2.68</v>
      </c>
      <c r="K3" s="178" t="s">
        <v>507</v>
      </c>
      <c r="L3" s="180">
        <v>1524.116</v>
      </c>
      <c r="M3" s="181">
        <v>982.7</v>
      </c>
      <c r="N3" s="182">
        <v>9.0999999999999998E-2</v>
      </c>
      <c r="O3" s="183">
        <v>5.46</v>
      </c>
      <c r="P3" s="178">
        <v>820</v>
      </c>
      <c r="Q3" s="178">
        <v>3</v>
      </c>
      <c r="R3" s="178">
        <v>1600</v>
      </c>
      <c r="S3" s="180">
        <v>1.5509999999999999</v>
      </c>
      <c r="T3" s="178">
        <v>49</v>
      </c>
      <c r="U3" s="182">
        <v>3.0599999999999999E-2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40</v>
      </c>
      <c r="AB3" s="178" t="s">
        <v>506</v>
      </c>
    </row>
    <row r="4" spans="1:28" s="12" customFormat="1" ht="25.05" customHeight="1" x14ac:dyDescent="0.3">
      <c r="A4" s="178">
        <v>2</v>
      </c>
      <c r="B4" s="179" t="s">
        <v>58</v>
      </c>
      <c r="C4" s="178" t="s">
        <v>26</v>
      </c>
      <c r="D4" s="178" t="s">
        <v>465</v>
      </c>
      <c r="E4" s="178" t="s">
        <v>27</v>
      </c>
      <c r="F4" s="178">
        <v>262832</v>
      </c>
      <c r="G4" s="178" t="s">
        <v>503</v>
      </c>
      <c r="H4" s="178">
        <v>660</v>
      </c>
      <c r="I4" s="180">
        <v>0.91200000000000003</v>
      </c>
      <c r="J4" s="180">
        <v>2.1</v>
      </c>
      <c r="K4" s="178" t="s">
        <v>505</v>
      </c>
      <c r="L4" s="180">
        <v>1264.0319999999999</v>
      </c>
      <c r="M4" s="181">
        <v>1386</v>
      </c>
      <c r="N4" s="182">
        <v>0.38500000000000001</v>
      </c>
      <c r="O4" s="183">
        <v>23.1</v>
      </c>
      <c r="P4" s="178">
        <v>680</v>
      </c>
      <c r="Q4" s="178">
        <v>1</v>
      </c>
      <c r="R4" s="178">
        <v>950</v>
      </c>
      <c r="S4" s="180">
        <v>0.91200000000000003</v>
      </c>
      <c r="T4" s="178">
        <v>38</v>
      </c>
      <c r="U4" s="182">
        <v>0.04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31</v>
      </c>
      <c r="AB4" s="178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72">
        <v>2</v>
      </c>
      <c r="B6" s="173" t="s">
        <v>58</v>
      </c>
      <c r="C6" s="172" t="s">
        <v>26</v>
      </c>
      <c r="D6" s="172" t="s">
        <v>576</v>
      </c>
      <c r="E6" s="172" t="s">
        <v>27</v>
      </c>
      <c r="F6" s="172">
        <v>262872</v>
      </c>
      <c r="G6" s="172" t="s">
        <v>589</v>
      </c>
      <c r="H6" s="172">
        <v>600</v>
      </c>
      <c r="I6" s="174">
        <v>0.86799999999999999</v>
      </c>
      <c r="J6" s="174">
        <v>1.32</v>
      </c>
      <c r="K6" s="172" t="s">
        <v>591</v>
      </c>
      <c r="L6" s="174">
        <v>687.45600000000002</v>
      </c>
      <c r="M6" s="175">
        <v>792</v>
      </c>
      <c r="N6" s="176">
        <v>0.22</v>
      </c>
      <c r="O6" s="177">
        <v>13.2</v>
      </c>
      <c r="P6" s="172">
        <v>369.9</v>
      </c>
      <c r="Q6" s="172">
        <v>1</v>
      </c>
      <c r="R6" s="172">
        <v>900</v>
      </c>
      <c r="S6" s="174">
        <v>0.86799999999999999</v>
      </c>
      <c r="T6" s="172">
        <v>32</v>
      </c>
      <c r="U6" s="176">
        <v>3.56E-2</v>
      </c>
      <c r="V6" s="172" t="s">
        <v>28</v>
      </c>
      <c r="W6" s="172" t="s">
        <v>29</v>
      </c>
      <c r="X6" s="172" t="s">
        <v>28</v>
      </c>
      <c r="Y6" s="172" t="s">
        <v>28</v>
      </c>
      <c r="Z6" s="172" t="s">
        <v>28</v>
      </c>
      <c r="AA6" s="172" t="s">
        <v>31</v>
      </c>
      <c r="AB6" s="172" t="s">
        <v>590</v>
      </c>
    </row>
    <row r="7" spans="1:28" s="12" customFormat="1" ht="25.05" customHeight="1" x14ac:dyDescent="0.3">
      <c r="A7" s="178">
        <v>3</v>
      </c>
      <c r="B7" s="179" t="s">
        <v>58</v>
      </c>
      <c r="C7" s="178" t="s">
        <v>59</v>
      </c>
      <c r="D7" s="178" t="s">
        <v>465</v>
      </c>
      <c r="E7" s="178" t="s">
        <v>27</v>
      </c>
      <c r="F7" s="178">
        <v>262831</v>
      </c>
      <c r="G7" s="178" t="s">
        <v>503</v>
      </c>
      <c r="H7" s="178">
        <v>490</v>
      </c>
      <c r="I7" s="180">
        <v>1.0629999999999999</v>
      </c>
      <c r="J7" s="180">
        <v>1.93</v>
      </c>
      <c r="K7" s="178" t="s">
        <v>502</v>
      </c>
      <c r="L7" s="180">
        <v>1005.279</v>
      </c>
      <c r="M7" s="181">
        <v>945.7</v>
      </c>
      <c r="N7" s="182">
        <v>0.26269999999999999</v>
      </c>
      <c r="O7" s="183">
        <v>15.76</v>
      </c>
      <c r="P7" s="178">
        <v>325.7</v>
      </c>
      <c r="Q7" s="178">
        <v>1</v>
      </c>
      <c r="R7" s="178">
        <v>1100</v>
      </c>
      <c r="S7" s="180">
        <v>1.0629999999999999</v>
      </c>
      <c r="T7" s="178">
        <v>37</v>
      </c>
      <c r="U7" s="182">
        <v>3.3599999999999998E-2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32</v>
      </c>
      <c r="AB7" s="178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26" t="s">
        <v>489</v>
      </c>
      <c r="B1" s="326" t="s">
        <v>27</v>
      </c>
      <c r="C1" s="326" t="s">
        <v>27</v>
      </c>
      <c r="D1" s="326" t="s">
        <v>27</v>
      </c>
      <c r="E1" s="326" t="s">
        <v>27</v>
      </c>
      <c r="F1" s="326" t="s">
        <v>27</v>
      </c>
      <c r="G1" s="326" t="s">
        <v>27</v>
      </c>
      <c r="H1" s="326" t="s">
        <v>27</v>
      </c>
      <c r="I1" s="326" t="s">
        <v>27</v>
      </c>
      <c r="J1" s="326" t="s">
        <v>27</v>
      </c>
      <c r="K1" s="326" t="s">
        <v>27</v>
      </c>
      <c r="L1" s="326" t="s">
        <v>27</v>
      </c>
      <c r="M1" s="326" t="s">
        <v>27</v>
      </c>
      <c r="N1" s="326" t="s">
        <v>27</v>
      </c>
      <c r="O1" s="326" t="s">
        <v>27</v>
      </c>
      <c r="P1" s="326" t="s">
        <v>27</v>
      </c>
      <c r="Q1" s="326" t="s">
        <v>27</v>
      </c>
      <c r="R1" s="326" t="s">
        <v>27</v>
      </c>
      <c r="S1" s="326" t="s">
        <v>27</v>
      </c>
      <c r="T1" s="326" t="s">
        <v>27</v>
      </c>
      <c r="U1" s="326" t="s">
        <v>27</v>
      </c>
      <c r="V1" s="326" t="s">
        <v>27</v>
      </c>
      <c r="W1" s="326" t="s">
        <v>27</v>
      </c>
      <c r="X1" s="326" t="s">
        <v>27</v>
      </c>
      <c r="Y1" s="326" t="s">
        <v>27</v>
      </c>
      <c r="Z1" s="326" t="s">
        <v>27</v>
      </c>
      <c r="AA1" s="326" t="s">
        <v>27</v>
      </c>
      <c r="AB1" s="32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8" t="s">
        <v>478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7" t="s">
        <v>477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24" t="s">
        <v>458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24" t="s">
        <v>395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24" t="s">
        <v>593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7" t="s">
        <v>364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321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24" t="s">
        <v>296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24" t="s">
        <v>278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24" t="s">
        <v>264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8" t="s">
        <v>247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234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72">
        <v>6</v>
      </c>
      <c r="B8" s="173" t="s">
        <v>58</v>
      </c>
      <c r="C8" s="172" t="s">
        <v>26</v>
      </c>
      <c r="D8" s="172" t="s">
        <v>251</v>
      </c>
      <c r="E8" s="172" t="s">
        <v>27</v>
      </c>
      <c r="F8" s="172">
        <v>262770</v>
      </c>
      <c r="G8" s="172" t="s">
        <v>280</v>
      </c>
      <c r="H8" s="172">
        <v>400</v>
      </c>
      <c r="I8" s="174">
        <v>1.3720000000000001</v>
      </c>
      <c r="J8" s="174">
        <v>2.38</v>
      </c>
      <c r="K8" s="172" t="s">
        <v>284</v>
      </c>
      <c r="L8" s="174">
        <v>1306.144</v>
      </c>
      <c r="M8" s="175">
        <v>952</v>
      </c>
      <c r="N8" s="176">
        <v>0.26440000000000002</v>
      </c>
      <c r="O8" s="177">
        <v>15.87</v>
      </c>
      <c r="P8" s="172">
        <v>702.7</v>
      </c>
      <c r="Q8" s="172">
        <v>1</v>
      </c>
      <c r="R8" s="172">
        <v>1400</v>
      </c>
      <c r="S8" s="174">
        <v>1.3720000000000001</v>
      </c>
      <c r="T8" s="172">
        <v>28</v>
      </c>
      <c r="U8" s="176">
        <v>0.02</v>
      </c>
      <c r="V8" s="172" t="s">
        <v>28</v>
      </c>
      <c r="W8" s="172" t="s">
        <v>29</v>
      </c>
      <c r="X8" s="172" t="s">
        <v>28</v>
      </c>
      <c r="Y8" s="172" t="s">
        <v>28</v>
      </c>
      <c r="Z8" s="172" t="s">
        <v>28</v>
      </c>
      <c r="AA8" s="172" t="s">
        <v>30</v>
      </c>
      <c r="AB8" s="172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72">
        <v>11</v>
      </c>
      <c r="B13" s="173" t="s">
        <v>58</v>
      </c>
      <c r="C13" s="172" t="s">
        <v>59</v>
      </c>
      <c r="D13" s="172" t="s">
        <v>440</v>
      </c>
      <c r="E13" s="172" t="s">
        <v>27</v>
      </c>
      <c r="F13" s="172">
        <v>262773</v>
      </c>
      <c r="G13" s="172" t="s">
        <v>439</v>
      </c>
      <c r="H13" s="172">
        <v>930</v>
      </c>
      <c r="I13" s="174">
        <v>0.59199999999999997</v>
      </c>
      <c r="J13" s="174">
        <v>1.62</v>
      </c>
      <c r="K13" s="172" t="s">
        <v>324</v>
      </c>
      <c r="L13" s="174">
        <v>891.90700000000004</v>
      </c>
      <c r="M13" s="175">
        <v>753.3</v>
      </c>
      <c r="N13" s="176">
        <v>0.1046</v>
      </c>
      <c r="O13" s="177">
        <v>6.28</v>
      </c>
      <c r="P13" s="172">
        <v>289</v>
      </c>
      <c r="Q13" s="172">
        <v>2</v>
      </c>
      <c r="R13" s="172">
        <v>1250</v>
      </c>
      <c r="S13" s="174">
        <v>1.1839999999999999</v>
      </c>
      <c r="T13" s="172">
        <v>66</v>
      </c>
      <c r="U13" s="176">
        <v>5.28E-2</v>
      </c>
      <c r="V13" s="172" t="s">
        <v>28</v>
      </c>
      <c r="W13" s="172" t="s">
        <v>28</v>
      </c>
      <c r="X13" s="172" t="s">
        <v>28</v>
      </c>
      <c r="Y13" s="172" t="s">
        <v>27</v>
      </c>
      <c r="Z13" s="172" t="s">
        <v>27</v>
      </c>
      <c r="AA13" s="172" t="s">
        <v>30</v>
      </c>
      <c r="AB13" s="172" t="s">
        <v>325</v>
      </c>
    </row>
    <row r="14" spans="1:28" s="90" customFormat="1" ht="25.05" customHeight="1" x14ac:dyDescent="0.3">
      <c r="A14" s="172">
        <v>12</v>
      </c>
      <c r="B14" s="173" t="s">
        <v>58</v>
      </c>
      <c r="C14" s="172" t="s">
        <v>59</v>
      </c>
      <c r="D14" s="172" t="s">
        <v>222</v>
      </c>
      <c r="E14" s="172" t="s">
        <v>27</v>
      </c>
      <c r="F14" s="172">
        <v>262765</v>
      </c>
      <c r="G14" s="172" t="s">
        <v>231</v>
      </c>
      <c r="H14" s="172">
        <v>1150</v>
      </c>
      <c r="I14" s="174">
        <v>0.54700000000000004</v>
      </c>
      <c r="J14" s="174">
        <v>1.44</v>
      </c>
      <c r="K14" s="172" t="s">
        <v>233</v>
      </c>
      <c r="L14" s="174">
        <v>905.83199999999999</v>
      </c>
      <c r="M14" s="175">
        <v>828</v>
      </c>
      <c r="N14" s="176">
        <v>0.115</v>
      </c>
      <c r="O14" s="177">
        <v>6.9</v>
      </c>
      <c r="P14" s="172">
        <v>293.5</v>
      </c>
      <c r="Q14" s="172">
        <v>2</v>
      </c>
      <c r="R14" s="172">
        <v>1150</v>
      </c>
      <c r="S14" s="174">
        <v>1.0940000000000001</v>
      </c>
      <c r="T14" s="172">
        <v>56</v>
      </c>
      <c r="U14" s="176">
        <v>4.87E-2</v>
      </c>
      <c r="V14" s="172" t="s">
        <v>28</v>
      </c>
      <c r="W14" s="172" t="s">
        <v>28</v>
      </c>
      <c r="X14" s="172" t="s">
        <v>28</v>
      </c>
      <c r="Y14" s="172" t="s">
        <v>27</v>
      </c>
      <c r="Z14" s="172" t="s">
        <v>27</v>
      </c>
      <c r="AA14" s="172" t="s">
        <v>32</v>
      </c>
      <c r="AB14" s="172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72">
        <v>14</v>
      </c>
      <c r="B16" s="173" t="s">
        <v>58</v>
      </c>
      <c r="C16" s="172" t="s">
        <v>35</v>
      </c>
      <c r="D16" s="172" t="s">
        <v>272</v>
      </c>
      <c r="E16" s="172" t="s">
        <v>27</v>
      </c>
      <c r="F16" s="172">
        <v>262771</v>
      </c>
      <c r="G16" s="172" t="s">
        <v>286</v>
      </c>
      <c r="H16" s="172">
        <v>1350</v>
      </c>
      <c r="I16" s="174">
        <v>0.59199999999999997</v>
      </c>
      <c r="J16" s="174">
        <v>1.619</v>
      </c>
      <c r="K16" s="172" t="s">
        <v>287</v>
      </c>
      <c r="L16" s="174">
        <v>1293.905</v>
      </c>
      <c r="M16" s="175">
        <v>1092.8</v>
      </c>
      <c r="N16" s="176">
        <v>0.15179999999999999</v>
      </c>
      <c r="O16" s="177">
        <v>9.11</v>
      </c>
      <c r="P16" s="172">
        <v>407.6</v>
      </c>
      <c r="Q16" s="172">
        <v>2</v>
      </c>
      <c r="R16" s="172">
        <v>1250</v>
      </c>
      <c r="S16" s="174">
        <v>1.1839999999999999</v>
      </c>
      <c r="T16" s="172">
        <v>66</v>
      </c>
      <c r="U16" s="176">
        <v>5.28E-2</v>
      </c>
      <c r="V16" s="172" t="s">
        <v>28</v>
      </c>
      <c r="W16" s="172" t="s">
        <v>28</v>
      </c>
      <c r="X16" s="172" t="s">
        <v>28</v>
      </c>
      <c r="Y16" s="172" t="s">
        <v>27</v>
      </c>
      <c r="Z16" s="172" t="s">
        <v>27</v>
      </c>
      <c r="AA16" s="172" t="s">
        <v>31</v>
      </c>
      <c r="AB16" s="172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228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2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24" t="s">
        <v>218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24" t="s">
        <v>235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8" t="s">
        <v>181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173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24" t="s">
        <v>143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139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7" t="s">
        <v>123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9" t="s">
        <v>105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30" t="s">
        <v>80</v>
      </c>
      <c r="B1" s="330" t="s">
        <v>27</v>
      </c>
      <c r="C1" s="330" t="s">
        <v>27</v>
      </c>
      <c r="D1" s="330" t="s">
        <v>27</v>
      </c>
      <c r="E1" s="330" t="s">
        <v>27</v>
      </c>
      <c r="F1" s="330" t="s">
        <v>27</v>
      </c>
      <c r="G1" s="330" t="s">
        <v>27</v>
      </c>
      <c r="H1" s="330" t="s">
        <v>27</v>
      </c>
      <c r="I1" s="330" t="s">
        <v>27</v>
      </c>
      <c r="J1" s="330" t="s">
        <v>27</v>
      </c>
      <c r="K1" s="330" t="s">
        <v>27</v>
      </c>
      <c r="L1" s="330" t="s">
        <v>27</v>
      </c>
      <c r="M1" s="330" t="s">
        <v>27</v>
      </c>
      <c r="N1" s="330" t="s">
        <v>27</v>
      </c>
      <c r="O1" s="330" t="s">
        <v>27</v>
      </c>
      <c r="P1" s="330" t="s">
        <v>27</v>
      </c>
      <c r="Q1" s="330" t="s">
        <v>27</v>
      </c>
      <c r="R1" s="330" t="s">
        <v>27</v>
      </c>
      <c r="S1" s="330" t="s">
        <v>27</v>
      </c>
      <c r="T1" s="330" t="s">
        <v>27</v>
      </c>
      <c r="U1" s="330" t="s">
        <v>27</v>
      </c>
      <c r="V1" s="330" t="s">
        <v>27</v>
      </c>
      <c r="W1" s="330" t="s">
        <v>27</v>
      </c>
      <c r="X1" s="330" t="s">
        <v>27</v>
      </c>
      <c r="Y1" s="330" t="s">
        <v>27</v>
      </c>
      <c r="Z1" s="330" t="s">
        <v>27</v>
      </c>
      <c r="AA1" s="330" t="s">
        <v>27</v>
      </c>
      <c r="AB1" s="330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57</vt:i4>
      </vt:variant>
      <vt:variant>
        <vt:lpstr>Intervalos Nomeados</vt:lpstr>
      </vt:variant>
      <vt:variant>
        <vt:i4>1</vt:i4>
      </vt:variant>
    </vt:vector>
  </HeadingPairs>
  <TitlesOfParts>
    <vt:vector size="58" baseType="lpstr">
      <vt:lpstr>RM EMBALAGENS 1303</vt:lpstr>
      <vt:lpstr>IPE EMBALAGENS 1302 P</vt:lpstr>
      <vt:lpstr>HARMONY EMBALAGENS 1301</vt:lpstr>
      <vt:lpstr>RENOVAPEL 1297 P</vt:lpstr>
      <vt:lpstr>FAVINCO EMBALAGENS 1293 P</vt:lpstr>
      <vt:lpstr>IPE - PCBOX 1291 P</vt:lpstr>
      <vt:lpstr>FORBOX 1289</vt:lpstr>
      <vt:lpstr>SÃO MIGUEL 1288 P</vt:lpstr>
      <vt:lpstr>RENOVAPEL 1286 P</vt:lpstr>
      <vt:lpstr>HARMONY EMBALAGENS 1285 P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2026-10-20T21:18:07Z</cp:lastPrinted>
  <dcterms:created xsi:type="dcterms:W3CDTF">2026-07-02T17:42:15Z</dcterms:created>
  <dcterms:modified xsi:type="dcterms:W3CDTF">2026-10-21T12:22:01Z</dcterms:modified>
</cp:coreProperties>
</file>