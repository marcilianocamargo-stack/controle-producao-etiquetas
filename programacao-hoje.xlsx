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300661C-53F0-4D62-B280-59DE4F0B4DB0}" xr6:coauthVersionLast="47" xr6:coauthVersionMax="47" xr10:uidLastSave="{00000000-0000-0000-0000-000000000000}"/>
  <bookViews>
    <workbookView xWindow="-21720" yWindow="-120" windowWidth="21840" windowHeight="13020" firstSheet="3" activeTab="4" xr2:uid="{00000000-000D-0000-FFFF-FFFF00000000}"/>
  </bookViews>
  <sheets>
    <sheet name="IPE - PC BOX 1203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 P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HARMONY EMBALAGENS 1180 P" sheetId="137" r:id="rId15"/>
    <sheet name="RM Embalagens 1179 P" sheetId="136" r:id="rId16"/>
    <sheet name="Tolecaixas 1181 P" sheetId="138" r:id="rId17"/>
    <sheet name="ABAPEL 1178 P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50" l="1"/>
  <c r="H11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<sst xmlns="http://schemas.openxmlformats.org/spreadsheetml/2006/main" count="6719" uniqueCount="734">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</sst>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" fillId="0" borderId="0" xfId="1" applyFo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dimension ref="A1:AB7"/>
  <sheetViews>
    <sheetView workbookViewId="0">
      <selection activeCell="R15" sqref="R15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8" t="s">
        <v>723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2" customFormat="1" ht="25.05" customHeight="1" x14ac:dyDescent="0.3">
      <c r="A6" s="5">
        <v>5</v>
      </c>
      <c r="B6" s="10" t="s">
        <v>448</v>
      </c>
      <c r="C6" s="5" t="s">
        <v>36</v>
      </c>
      <c r="D6" s="5" t="s">
        <v>716</v>
      </c>
      <c r="E6" s="5" t="s">
        <v>27</v>
      </c>
      <c r="F6" s="5">
        <v>262604</v>
      </c>
      <c r="G6" s="5" t="s">
        <v>715</v>
      </c>
      <c r="H6" s="5">
        <v>3000</v>
      </c>
      <c r="I6" s="7">
        <v>0.45600000000000002</v>
      </c>
      <c r="J6" s="7">
        <v>1.5609999999999999</v>
      </c>
      <c r="K6" s="5" t="s">
        <v>714</v>
      </c>
      <c r="L6" s="7">
        <v>2135.4479999999999</v>
      </c>
      <c r="M6" s="9">
        <v>2341.5</v>
      </c>
      <c r="N6" s="6">
        <v>0.32519999999999999</v>
      </c>
      <c r="O6" s="8">
        <v>19.510000000000002</v>
      </c>
      <c r="P6" s="5">
        <v>672.7</v>
      </c>
      <c r="Q6" s="5">
        <v>2</v>
      </c>
      <c r="R6" s="5">
        <v>950</v>
      </c>
      <c r="S6" s="7">
        <v>0.91200000000000003</v>
      </c>
      <c r="T6" s="5">
        <v>38</v>
      </c>
      <c r="U6" s="6">
        <v>0.04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32</v>
      </c>
      <c r="AB6" s="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18" t="s">
        <v>710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8" t="s">
        <v>702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9" t="s">
        <v>681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1"/>
  <sheetViews>
    <sheetView tabSelected="1" workbookViewId="0">
      <selection activeCell="P12" sqref="P12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19" t="s">
        <v>669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 x14ac:dyDescent="0.3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 x14ac:dyDescent="0.3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262602</v>
      </c>
      <c r="G9" s="161">
        <v>70</v>
      </c>
      <c r="H9" s="161">
        <v>1250</v>
      </c>
      <c r="I9" s="163">
        <v>0.54</v>
      </c>
      <c r="J9" s="163">
        <v>1</v>
      </c>
      <c r="K9" s="161" t="s">
        <v>34</v>
      </c>
      <c r="L9" s="163">
        <v>675</v>
      </c>
      <c r="M9" s="164">
        <v>625</v>
      </c>
      <c r="N9" s="165">
        <v>8.6800000000000002E-2</v>
      </c>
      <c r="O9" s="166">
        <v>5.21</v>
      </c>
      <c r="P9" s="161">
        <v>212.6</v>
      </c>
      <c r="Q9" s="161">
        <v>2</v>
      </c>
      <c r="R9" s="161">
        <v>1100</v>
      </c>
      <c r="S9" s="163">
        <v>1.08</v>
      </c>
      <c r="T9" s="161">
        <v>20</v>
      </c>
      <c r="U9" s="165">
        <v>1.8200000000000001E-2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711</v>
      </c>
    </row>
    <row r="10" spans="1:28" s="167" customFormat="1" x14ac:dyDescent="0.3">
      <c r="A10" s="161"/>
      <c r="B10" s="162" t="s">
        <v>480</v>
      </c>
      <c r="C10" s="161" t="s">
        <v>36</v>
      </c>
      <c r="D10" s="191">
        <v>46281</v>
      </c>
      <c r="E10" s="161"/>
      <c r="F10" s="161">
        <v>262615</v>
      </c>
      <c r="G10" s="161">
        <v>71</v>
      </c>
      <c r="H10" s="161">
        <v>2000</v>
      </c>
      <c r="I10" s="163">
        <v>0.51400000000000001</v>
      </c>
      <c r="J10" s="163">
        <v>1.3420000000000001</v>
      </c>
      <c r="K10" s="161" t="s">
        <v>732</v>
      </c>
      <c r="L10" s="163">
        <v>1379.576</v>
      </c>
      <c r="M10" s="164">
        <v>1342</v>
      </c>
      <c r="N10" s="165">
        <v>0.18640000000000001</v>
      </c>
      <c r="O10" s="166">
        <v>11.18</v>
      </c>
      <c r="P10" s="161">
        <v>434.6</v>
      </c>
      <c r="Q10" s="161">
        <v>2</v>
      </c>
      <c r="R10" s="161">
        <v>1050</v>
      </c>
      <c r="S10" s="163">
        <v>1.028</v>
      </c>
      <c r="T10" s="161">
        <v>22</v>
      </c>
      <c r="U10" s="165">
        <v>2.1000000000000001E-2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3</v>
      </c>
      <c r="AB10" s="161" t="s">
        <v>733</v>
      </c>
    </row>
    <row r="11" spans="1:28" s="167" customFormat="1" x14ac:dyDescent="0.3">
      <c r="A11" s="168" t="s">
        <v>27</v>
      </c>
      <c r="B11" s="168" t="s">
        <v>27</v>
      </c>
      <c r="C11" s="168" t="s">
        <v>27</v>
      </c>
      <c r="D11" s="168" t="s">
        <v>27</v>
      </c>
      <c r="E11" s="168" t="s">
        <v>27</v>
      </c>
      <c r="F11" s="168" t="s">
        <v>27</v>
      </c>
      <c r="G11" s="168" t="s">
        <v>27</v>
      </c>
      <c r="H11" s="168">
        <f>SUM(H3:H10)</f>
        <v>6850</v>
      </c>
      <c r="I11" s="168" t="s">
        <v>27</v>
      </c>
      <c r="J11" s="168" t="s">
        <v>27</v>
      </c>
      <c r="K11" s="168" t="s">
        <v>27</v>
      </c>
      <c r="L11" s="168" t="s">
        <v>27</v>
      </c>
      <c r="M11" s="168" t="s">
        <v>27</v>
      </c>
      <c r="N11" s="168" t="s">
        <v>27</v>
      </c>
      <c r="O11" s="168" t="s">
        <v>27</v>
      </c>
      <c r="P11" s="168">
        <f>SUM(P3:P10)</f>
        <v>2055.9</v>
      </c>
      <c r="Q11" s="168" t="s">
        <v>27</v>
      </c>
      <c r="R11" s="168" t="s">
        <v>27</v>
      </c>
      <c r="S11" s="168" t="s">
        <v>27</v>
      </c>
      <c r="T11" s="168" t="s">
        <v>27</v>
      </c>
      <c r="U11" s="168" t="s">
        <v>27</v>
      </c>
      <c r="V11" s="168" t="s">
        <v>27</v>
      </c>
      <c r="W11" s="168" t="s">
        <v>27</v>
      </c>
      <c r="X11" s="168" t="s">
        <v>27</v>
      </c>
      <c r="Y11" s="168" t="s">
        <v>27</v>
      </c>
      <c r="Z11" s="168" t="s">
        <v>27</v>
      </c>
      <c r="AA11" s="168" t="s">
        <v>27</v>
      </c>
      <c r="AB11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9" t="s">
        <v>665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0" t="s">
        <v>652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0" t="s">
        <v>618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0" t="s">
        <v>606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0" t="s">
        <v>599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1" t="s">
        <v>592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1" t="s">
        <v>539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18" t="s">
        <v>535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0" t="s">
        <v>531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1" t="s">
        <v>496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1" t="s">
        <v>486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1" t="s">
        <v>475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1" t="s">
        <v>454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1" t="s">
        <v>440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1" t="s">
        <v>403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1" t="s">
        <v>329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1" t="s">
        <v>324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1" t="s">
        <v>258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1" t="s">
        <v>240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1" t="s">
        <v>202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1" t="s">
        <v>192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1" t="s">
        <v>79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1" t="s">
        <v>134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2026-09-15T19:40:12Z</cp:lastPrinted>
  <dcterms:created xsi:type="dcterms:W3CDTF">2026-07-02T17:42:15Z</dcterms:created>
  <dcterms:modified xsi:type="dcterms:W3CDTF">2026-09-16T17:13:21Z</dcterms:modified>
</cp:coreProperties>
</file>