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8CEA6FFE-A7AB-472C-9327-902FC2319522}" xr6:coauthVersionLast="47" xr6:coauthVersionMax="47" xr10:uidLastSave="{00000000-0000-0000-0000-000000000000}"/>
  <bookViews>
    <workbookView xWindow="-21720" yWindow="-120" windowWidth="21840" windowHeight="13020" firstSheet="8" activeTab="10" xr2:uid="{00000000-000D-0000-FFFF-FFFF00000000}"/>
  </bookViews>
  <sheets>
    <sheet name="RM Embalagens 1209" sheetId="156" r:id="rId1"/>
    <sheet name="IPE - PC BOX 1203P" sheetId="154" r:id="rId2"/>
    <sheet name="ABAPEL 1201" sheetId="153" r:id="rId3"/>
    <sheet name="HARMONY EMBALAGENS 1200" sheetId="152" r:id="rId4"/>
    <sheet name="HARMONY EMBALAGENS 1199" sheetId="151" r:id="rId5"/>
    <sheet name="FAVINCO EMBALAGENS 1197" sheetId="150" r:id="rId6"/>
    <sheet name="ABAPEL 1196" sheetId="149" r:id="rId7"/>
    <sheet name="CARPELL LTDA 1195 P" sheetId="147" r:id="rId8"/>
    <sheet name="Renovapel 1192 P" sheetId="146" r:id="rId9"/>
    <sheet name="DR EMBALAGENS 1189  P" sheetId="144" r:id="rId10"/>
    <sheet name="FAVINCO EMBALAGENS 1188 R" sheetId="143" r:id="rId11"/>
    <sheet name="PCBOX - IPE 1187 P" sheetId="142" r:id="rId12"/>
    <sheet name="RM Embalagens 1184 P" sheetId="141" r:id="rId13"/>
    <sheet name="CARTOMIL EMBALAGENS LTDA 1183 P" sheetId="140" r:id="rId14"/>
    <sheet name="Z4A EMBALAGENS LTDA 1182" sheetId="139" r:id="rId15"/>
    <sheet name="HARMONY EMBALAGENS 1180 P" sheetId="137" r:id="rId16"/>
    <sheet name="RM Embalagens 1179 P" sheetId="136" r:id="rId17"/>
    <sheet name="Tolecaixas 1181 P" sheetId="138" r:id="rId18"/>
    <sheet name="ABAPEL 1178 P" sheetId="135" r:id="rId19"/>
    <sheet name="FAVINCO EMBALAGENS 1177 P" sheetId="134" r:id="rId20"/>
    <sheet name="IPE EMBALAGENS 1176 P" sheetId="133" r:id="rId21"/>
    <sheet name="PCBOX EMBALAGENS 1175 P" sheetId="132" r:id="rId22"/>
    <sheet name="ABAPEL 1174 P" sheetId="131" r:id="rId23"/>
    <sheet name="PCBOX EMBALAGENS 1171 P" sheetId="127" r:id="rId24"/>
    <sheet name="HARMONY EMBALAGENS 1169 P" sheetId="125" r:id="rId25"/>
    <sheet name="DR EMBALAGEM 1167 P" sheetId="124" r:id="rId26"/>
    <sheet name="Z4A EMBALAGENS  1166 P" sheetId="123" r:id="rId27"/>
    <sheet name="RM Embalagens 1165 P" sheetId="122" r:id="rId28"/>
    <sheet name="Carpel 1158 P" sheetId="119" r:id="rId29"/>
    <sheet name="ABAPEL 1155 P" sheetId="118" r:id="rId30"/>
    <sheet name="IPE - PCBOX 1154 P" sheetId="117" r:id="rId31"/>
    <sheet name="ABAPEL 1143 P" sheetId="109" r:id="rId32"/>
    <sheet name="HARMONY EMBALAGENS 1138 P" sheetId="102" r:id="rId33"/>
    <sheet name="ABAPEL 1127 P" sheetId="97" r:id="rId34"/>
    <sheet name="ABAPEL 1105 P" sheetId="85" r:id="rId35"/>
    <sheet name="IVAIR SILVA 1122 P" sheetId="91" r:id="rId36"/>
    <sheet name="RENOVAPEL 1115 P" sheetId="88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5" i="150" l="1"/>
  <c r="H15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<sst xmlns="http://schemas.openxmlformats.org/spreadsheetml/2006/main" count="6959" uniqueCount="759">
  <si>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</si>
  <si>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</si>
  <si>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</si>
  <si>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</si>
  <si>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</si>
  <si>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</si>
  <si>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</si>
  <si>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</si>
  <si>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</si>
  <si>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</si>
  <si>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</si>
  <si>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</si>
  <si>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</si>
  <si>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</si>
  <si>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</si>
  <si>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</si>
  <si>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</si>
  <si>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</si>
  <si>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</si>
  <si>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</si>
  <si>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</si>
  <si>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</si>
  <si>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</si>
  <si>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</si>
  <si>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</si>
  <si>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</si>
  <si>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</si>
  <si>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</si>
  <si>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</si>
  <si>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</si>
  <si>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</si>
  <si>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</si>
  <si>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</si>
  <si>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</si>
  <si>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</si>
  <si>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</si>
  <si>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</si>
  <si>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</si>
  <si>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</si>
  <si>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</si>
  <si>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</si>
  <si>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</si>
  <si>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</si>
  <si>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</si>
  <si>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</si>
  <si>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</si>
  <si>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</si>
  <si>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</si>
  <si>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</si>
  <si>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</si>
  <si>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</si>
  <si>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</si>
  <si>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</si>
  <si>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</si>
  <si>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</si>
  <si>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</si>
  <si>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</si>
  <si>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</si>
  <si>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</si>
  <si>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</si>
  <si>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</si>
  <si>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</si>
  <si>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</si>
  <si>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</si>
  <si>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</si>
  <si>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</si>
  <si>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</si>
  <si>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</si>
  <si>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</si>
  <si>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</si>
  <si>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</si>
  <si>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</si>
  <si>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</si>
  <si>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</si>
  <si>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</si>
  <si>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</si>
  <si>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</si>
  <si>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</si>
  <si>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</si>
  <si>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</si>
  <si>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</si>
  <si>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</si>
  <si>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</si>
  <si>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</si>
  <si>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</si>
  <si>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</si>
  <si>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</si>
  <si>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</si>
  <si>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</si>
  <si>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</si>
  <si>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</si>
  <si>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</si>
  <si>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</si>
  <si>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</si>
  <si>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</si>
  <si>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</si>
  <si>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</si>
  <si>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</si>
  <si>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</si>
  <si>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</si>
  <si>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</si>
  <si>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</si>
  <si>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</si>
  <si>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</si>
  <si>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</si>
  <si>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</si>
  <si>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</si>
  <si>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</si>
  <si>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</si>
  <si>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</si>
  <si>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</si>
  <si>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</si>
  <si>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</si>
  <si>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</si>
  <si>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</si>
  <si>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</si>
  <si>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</si>
  <si>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</si>
  <si>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</si>
  <si>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</si>
  <si>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</si>
  <si>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</si>
  <si>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</si>
  <si>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</si>
  <si>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</si>
  <si>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</si>
  <si>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</si>
  <si>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</si>
  <si>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</si>
  <si>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</si>
  <si>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</si>
  <si>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</si>
  <si>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</si>
  <si>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</si>
  <si>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</si>
  <si>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</si>
  <si>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</si>
  <si>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</si>
  <si>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</si>
  <si>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</si>
  <si>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</si>
  <si>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</si>
  <si>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</si>
  <si>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</si>
  <si>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</si>
  <si>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</si>
  <si>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</si>
  <si>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</si>
  <si>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</si>
  <si>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</si>
  <si>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</si>
  <si>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</si>
  <si>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</si>
  <si>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</si>
  <si>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</si>
  <si>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</si>
  <si>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</si>
  <si>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</si>
  <si>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</si>
  <si>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</si>
  <si>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</si>
  <si>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</si>
  <si>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</si>
  <si>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</si>
  <si>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</si>
  <si>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</si>
  <si>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</si>
  <si>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</si>
  <si>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</si>
  <si>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</si>
  <si>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</si>
  <si>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</si>
  <si>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</si>
  <si>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</si>
  <si>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</si>
  <si>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</si>
  <si>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</si>
  <si>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</si>
  <si>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</si>
  <si>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</si>
  <si>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</si>
  <si>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</si>
  <si>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</si>
  <si>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</si>
  <si>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</si>
  <si>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</si>
  <si>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</si>
  <si>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</si>
  <si>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</si>
  <si>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</si>
  <si>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</si>
  <si>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</si>
  <si>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</si>
  <si>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</si>
  <si>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</si>
  <si>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</si>
  <si>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</si>
  <si>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</si>
  <si>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</si>
  <si>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</si>
  <si>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</si>
  <si>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</si>
  <si>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</si>
  <si>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</si>
  <si>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</si>
  <si>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</si>
  <si>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</si>
  <si>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</si>
  <si>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</si>
  <si>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</si>
  <si>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</si>
  <si>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</si>
  <si>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</si>
  <si>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</si>
  <si>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</si>
  <si>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</si>
  <si>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</si>
  <si>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</si>
  <si>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</si>
  <si>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</si>
  <si>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</si>
  <si>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</si>
  <si>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</si>
  <si>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</si>
  <si>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</si>
  <si>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</si>
  <si>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</si>
  <si>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</si>
  <si>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</si>
  <si>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</si>
  <si>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</si>
  <si>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</si>
  <si>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</si>
  <si>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</si>
  <si>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</si>
  <si>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</si>
  <si>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</si>
  <si>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</si>
  <si>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</si>
  <si>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</si>
  <si>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</si>
  <si>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</si>
  <si>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</si>
  <si>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</si>
  <si>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</si>
  <si>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</si>
  <si>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</si>
  <si>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</si>
  <si>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</si>
  <si>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</si>
  <si>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</si>
  <si>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</si>
  <si>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</si>
  <si>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</si>
  <si>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</si>
  <si>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</si>
  <si>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</si>
  <si>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</si>
  <si>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</si>
  <si>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</si>
  <si>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</si>
  <si>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</si>
  <si>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</si>
  <si>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</si>
  <si>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</si>
  <si>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</si>
  <si>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</si>
  <si>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</si>
  <si>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</si>
  <si>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</si>
  <si>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</si>
  <si>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</si>
  <si>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</si>
  <si>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</si>
  <si>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</si>
  <si>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</si>
  <si>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</si>
  <si>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</si>
  <si>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</si>
  <si>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</si>
  <si>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</si>
  <si>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</si>
  <si>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</si>
  <si>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</si>
  <si>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</si>
  <si>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</si>
  <si>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</si>
  <si>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</si>
  <si>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</si>
  <si>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</si>
  <si>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</si>
  <si>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</si>
  <si>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</si>
  <si>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</si>
  <si>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</si>
  <si>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</si>
  <si>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</si>
  <si>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</si>
  <si>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</si>
  <si>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</si>
  <si>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</si>
  <si>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</si>
  <si>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</si>
  <si>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</si>
  <si>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</si>
  <si>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</si>
  <si>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</si>
  <si>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</si>
  <si>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</si>
  <si>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</si>
  <si>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</si>
  <si>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</si>
  <si>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</si>
  <si>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</si>
  <si>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</si>
  <si>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</si>
  <si>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</si>
  <si>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</si>
  <si>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</si>
  <si>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</si>
  <si>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</si>
  <si>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</si>
  <si>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</si>
  <si>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</si>
  <si>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</si>
  <si>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</si>
  <si>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</si>
  <si>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</si>
  <si>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</si>
  <si>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</si>
  <si>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</si>
  <si>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</si>
  <si>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</si>
  <si>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</si>
  <si>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</si>
  <si>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</si>
  <si>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</si>
  <si>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</si>
  <si>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</si>
  <si>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</si>
  <si>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</si>
  <si>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</si>
  <si>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</si>
  <si>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</si>
  <si>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</si>
  <si>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</si>
  <si>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</si>
  <si>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</si>
  <si>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</si>
  <si>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</si>
  <si>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</si>
  <si>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</si>
  <si>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</si>
  <si>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</si>
  <si>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</si>
  <si>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</si>
  <si>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</si>
  <si>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</si>
  <si>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</si>
  <si>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</si>
  <si>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</si>
  <si>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</si>
  <si>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</si>
  <si>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</si>
  <si>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</si>
  <si>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</si>
  <si>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</si>
  <si>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</si>
  <si>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</si>
  <si>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</si>
  <si>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</si>
  <si>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</si>
  <si>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</si>
  <si>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</si>
  <si>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</si>
  <si>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</si>
  <si>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</si>
  <si>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</si>
  <si>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</si>
  <si>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</si>
  <si>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</si>
  <si>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</si>
  <si>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</si>
  <si>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</si>
  <si>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</si>
  <si>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</si>
  <si>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</si>
  <si>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</si>
  <si>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</si>
  <si>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</si>
  <si>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</si>
  <si>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</si>
  <si>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</si>
  <si>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</si>
  <si>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</si>
  <si>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</si>
  <si>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</si>
  <si>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</si>
  <si>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</si>
  <si>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</si>
  <si>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</si>
  <si>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</si>
  <si>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</si>
  <si>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</si>
  <si>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</si>
  <si>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</si>
  <si>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</si>
  <si>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</si>
  <si>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</si>
  <si>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</si>
  <si>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</si>
  <si>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</si>
  <si>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</si>
  <si>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</si>
  <si>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</si>
  <si>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</si>
  <si>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</si>
  <si>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</si>
  <si>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</si>
  <si>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</si>
  <si>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</si>
  <si>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</si>
  <si>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</si>
  <si>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</si>
  <si>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</si>
  <si>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</si>
  <si>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</si>
  <si>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</si>
  <si>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</si>
  <si>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</si>
  <si>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</si>
  <si>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</si>
  <si>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</si>
  <si>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</si>
  <si>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</si>
  <si>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</si>
  <si>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</si>
  <si>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</si>
  <si>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</si>
  <si>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</si>
  <si>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</si>
  <si>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</si>
  <si>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</si>
  <si>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</si>
  <si>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</si>
  <si>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</si>
  <si>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</si>
  <si>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</si>
  <si>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</si>
  <si>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</si>
  <si>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</si>
  <si>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</si>
  <si>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</si>
  <si>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</si>
  <si>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</si>
  <si>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</si>
  <si>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</si>
  <si>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</si>
  <si>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</si>
  <si>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</si>
  <si>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</si>
  <si>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</si>
  <si>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</si>
  <si>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</si>
  <si>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</si>
  <si>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</si>
  <si>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</si>
  <si>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</si>
  <si>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</si>
  <si>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</si>
  <si>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</si>
  <si>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</si>
  <si>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</si>
  <si>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</si>
  <si>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</si>
  <si>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</si>
  <si>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</si>
  <si>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</si>
  <si>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</si>
  <si>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</si>
  <si>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</si>
  <si>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</si>
  <si>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</si>
  <si>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</si>
  <si>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</si>
  <si>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</si>
  <si>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</si>
  <si>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</si>
  <si>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</si>
  <si>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</si>
  <si>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</si>
  <si>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</si>
  <si>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</si>
  <si>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</si>
  <si>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</si>
  <si>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</si>
  <si>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</si>
  <si>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</si>
  <si>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</si>
  <si>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</si>
  <si>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</si>
  <si>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</si>
  <si>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</si>
  <si>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</si>
  <si>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</si>
  <si>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</si>
  <si>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</si>
  <si>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</si>
  <si>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</si>
  <si>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</si>
  <si>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</si>
  <si>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</si>
  <si>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</si>
  <si>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</si>
  <si>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</si>
  <si>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</si>
  <si>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</si>
  <si>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</si>
  <si>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</si>
  <si>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</si>
  <si>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</si>
  <si>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</si>
  <si>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</si>
  <si>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</si>
  <si>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</si>
  <si>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</si>
  <si>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</si>
  <si>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</si>
  <si>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</si>
  <si>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</si>
  <si>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</si>
  <si>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</si>
  <si>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</si>
  <si>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</si>
  <si>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</si>
  <si>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</si>
  <si>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</si>
  <si>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</si>
  <si>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</si>
  <si>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</si>
  <si>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</si>
  <si>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</si>
  <si>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</si>
  <si>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</si>
  <si>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</si>
  <si>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</si>
  <si>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</si>
  <si>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</si>
  <si>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</si>
  <si>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</si>
  <si>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</si>
  <si>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</si>
  <si>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</si>
  <si>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</si>
  <si>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</si>
  <si>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</si>
  <si>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</si>
  <si>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</si>
  <si>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</si>
  <si>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</si>
  <si>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</si>
  <si>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</si>
  <si>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</si>
  <si>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</si>
  <si>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</si>
  <si>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</si>
  <si>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</si>
  <si>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</si>
  <si>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</si>
  <si>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</si>
  <si>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</si>
  <si>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</si>
  <si>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</si>
  <si>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</si>
  <si>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</si>
  <si>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</si>
  <si>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</si>
  <si>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</si>
  <si>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</si>
  <si>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</si>
  <si>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</si>
  <si>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</si>
  <si>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</si>
  <si>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</si>
  <si>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</si>
  <si>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</si>
  <si>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</si>
  <si>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</si>
  <si>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</si>
  <si>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</si>
  <si>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</si>
  <si>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</si>
  <si>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</si>
  <si>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</si>
  <si>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</si>
  <si>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</si>
  <si>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</si>
  <si>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</si>
  <si>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</si>
  <si>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</si>
  <si>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</si>
  <si>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</si>
  <si>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</si>
  <si>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</si>
  <si>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</si>
  <si>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</si>
  <si>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</si>
  <si>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</si>
  <si>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</si>
  <si>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</si>
  <si>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</si>
  <si>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</si>
  <si>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</si>
  <si>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</si>
  <si>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</si>
  <si>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</si>
  <si>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</si>
  <si>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</si>
  <si>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</si>
  <si>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</si>
  <si>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</si>
  <si>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</si>
  <si>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</si>
  <si>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</si>
  <si>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</si>
  <si>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</si>
  <si>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</si>
  <si>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</si>
  <si>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</si>
  <si>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</si>
  <si>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</si>
  <si>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</si>
  <si>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</si>
  <si>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</si>
  <si>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</si>
  <si>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</si>
  <si>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</si>
  <si>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</si>
  <si>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</si>
  <si>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</si>
  <si>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</si>
  <si>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</si>
  <si>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</si>
  <si>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</si>
  <si>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</si>
  <si>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</si>
  <si>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</si>
  <si>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</si>
  <si>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</si>
  <si>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</si>
  <si>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</si>
  <si>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</si>
  <si>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</si>
  <si>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</si>
  <si>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</si>
  <si>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</si>
  <si>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</si>
  <si>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</si>
  <si>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</si>
  <si>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</si>
  <si>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</si>
  <si>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</si>
  <si>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</si>
  <si>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</si>
  <si>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</si>
  <si>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</si>
  <si>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</si>
  <si>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</si>
  <si>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</si>
  <si>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</si>
  <si>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</si>
  <si>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</si>
  <si>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</si>
  <si>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</si>
  <si>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</si>
  <si>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</si>
  <si>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</si>
  <si>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</si>
  <si>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</si>
  <si>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</si>
  <si>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</si>
  <si>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</si>
  <si>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</si>
  <si>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</si>
  <si>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</si>
  <si>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</si>
  <si>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</si>
  <si>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</si>
  <si>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</si>
  <si>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</si>
  <si>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</si>
  <si>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</si>
  <si>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</si>
  <si>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</si>
  <si>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</si>
  <si>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</si>
  <si>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</si>
  <si>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</si>
  <si>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</si>
  <si>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</si>
  <si>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</si>
  <si>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</si>
  <si>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</si>
  <si>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</si>
  <si>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</si>
  <si>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</si>
  <si>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</si>
  <si>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</si>
  <si>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</si>
  <si>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</si>
  <si>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</si>
  <si>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</si>
  <si>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</si>
  <si>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</si>
  <si>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</si>
  <si>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</si>
  <si>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</si>
  <si>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</si>
  <si>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</si>
  <si>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</si>
  <si>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</si>
  <si>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</si>
  <si>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</si>
  <si>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</si>
  <si>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</si>
  <si>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</si>
  <si>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</si>
  <si>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</si>
  <si>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</si>
  <si>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</si>
  <si>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</si>
  <si>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</si>
  <si>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</si>
  <si>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</si>
  <si>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</si>
  <si>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</si>
  <si>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</si>
  <si>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</si>
  <si>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</si>
  <si>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</si>
  <si>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RM Embalagens (Daiane Marques Canossa ME)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</si>
  <si>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</si>
  <si>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</si>
  <si>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</si>
  <si>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</si>
  <si>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</si>
  <si>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</si>
  <si>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</si>
  <si>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</si>
  <si>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</si>
  <si>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</si>
  <si>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</si>
  <si>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</si>
  <si>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</si>
  <si>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</si>
  <si>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</si>
  <si>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</si>
  <si>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</si>
  <si>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PROGRAMAÇÃO ONDULADEIRA - RM Embalagens (Daiane Marques Canossa ME)  —  OF: 001209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</si>
</sst>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1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dimension ref="A1:AB13"/>
  <sheetViews>
    <sheetView workbookViewId="0">
      <selection activeCell="AD2" sqref="AD2"/>
    </sheetView>
  </sheetViews>
  <sheetFormatPr defaultRowHeight="14.4" x14ac:dyDescent="0.3"/>
  <cols>
    <col min="1" max="1" width="4.88671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18" t="s">
        <v>758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740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757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756</v>
      </c>
    </row>
    <row r="4" spans="1:28" ht="25.05" customHeight="1" x14ac:dyDescent="0.3">
      <c r="A4" s="116">
        <v>2</v>
      </c>
      <c r="B4" s="118" t="s">
        <v>740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755</v>
      </c>
    </row>
    <row r="5" spans="1:28" ht="25.05" customHeight="1" x14ac:dyDescent="0.3">
      <c r="A5" s="116">
        <v>3</v>
      </c>
      <c r="B5" s="118" t="s">
        <v>740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754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753</v>
      </c>
    </row>
    <row r="6" spans="1:28" ht="25.05" customHeight="1" x14ac:dyDescent="0.3">
      <c r="A6" s="116">
        <v>4</v>
      </c>
      <c r="B6" s="118" t="s">
        <v>740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752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751</v>
      </c>
    </row>
    <row r="7" spans="1:28" ht="25.05" customHeight="1" x14ac:dyDescent="0.3">
      <c r="A7" s="116">
        <v>5</v>
      </c>
      <c r="B7" s="118" t="s">
        <v>740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750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749</v>
      </c>
    </row>
    <row r="8" spans="1:28" ht="25.05" customHeight="1" x14ac:dyDescent="0.3">
      <c r="A8" s="116">
        <v>6</v>
      </c>
      <c r="B8" s="118" t="s">
        <v>740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748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747</v>
      </c>
    </row>
    <row r="9" spans="1:28" ht="25.05" customHeight="1" x14ac:dyDescent="0.3">
      <c r="A9" s="116">
        <v>7</v>
      </c>
      <c r="B9" s="118" t="s">
        <v>740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746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745</v>
      </c>
    </row>
    <row r="10" spans="1:28" ht="25.05" customHeight="1" x14ac:dyDescent="0.3">
      <c r="A10" s="116">
        <v>8</v>
      </c>
      <c r="B10" s="118" t="s">
        <v>740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744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743</v>
      </c>
    </row>
    <row r="11" spans="1:28" ht="25.05" customHeight="1" x14ac:dyDescent="0.3">
      <c r="A11" s="116">
        <v>9</v>
      </c>
      <c r="B11" s="118" t="s">
        <v>740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742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741</v>
      </c>
    </row>
    <row r="12" spans="1:28" ht="25.05" customHeight="1" x14ac:dyDescent="0.3">
      <c r="A12" s="116">
        <v>10</v>
      </c>
      <c r="B12" s="118" t="s">
        <v>740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9" t="s">
        <v>723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Q17" sqref="Q17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0" t="s">
        <v>710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topLeftCell="A10"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0" t="s">
        <v>702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8" t="s">
        <v>681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5"/>
  <sheetViews>
    <sheetView workbookViewId="0">
      <selection activeCell="V22" sqref="V22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18" t="s">
        <v>669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 x14ac:dyDescent="0.3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 x14ac:dyDescent="0.3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 x14ac:dyDescent="0.3">
      <c r="A9" s="161">
        <v>7</v>
      </c>
      <c r="B9" s="162" t="s">
        <v>480</v>
      </c>
      <c r="C9" s="161" t="s">
        <v>36</v>
      </c>
      <c r="D9" s="191">
        <v>46281</v>
      </c>
      <c r="E9" s="161"/>
      <c r="F9" s="161">
        <v>262616</v>
      </c>
      <c r="G9" s="161">
        <v>72</v>
      </c>
      <c r="H9" s="161">
        <v>1000</v>
      </c>
      <c r="I9" s="163">
        <v>0.35</v>
      </c>
      <c r="J9" s="163">
        <v>0.88</v>
      </c>
      <c r="K9" s="161" t="s">
        <v>34</v>
      </c>
      <c r="L9" s="163">
        <v>308</v>
      </c>
      <c r="M9" s="164">
        <v>293.3</v>
      </c>
      <c r="N9" s="165">
        <v>2.7199999999999998E-2</v>
      </c>
      <c r="O9" s="166">
        <v>1.63</v>
      </c>
      <c r="P9" s="161">
        <v>97</v>
      </c>
      <c r="Q9" s="161">
        <v>3</v>
      </c>
      <c r="R9" s="161">
        <v>1100</v>
      </c>
      <c r="S9" s="163">
        <v>1.05</v>
      </c>
      <c r="T9" s="161">
        <v>50</v>
      </c>
      <c r="U9" s="165">
        <v>4.5499999999999999E-2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734</v>
      </c>
    </row>
    <row r="10" spans="1:28" s="167" customFormat="1" x14ac:dyDescent="0.3">
      <c r="A10" s="161">
        <v>8</v>
      </c>
      <c r="B10" s="162" t="s">
        <v>480</v>
      </c>
      <c r="C10" s="161" t="s">
        <v>36</v>
      </c>
      <c r="D10" s="191">
        <v>46280</v>
      </c>
      <c r="E10" s="161"/>
      <c r="F10" s="161">
        <v>262602</v>
      </c>
      <c r="G10" s="161">
        <v>70</v>
      </c>
      <c r="H10" s="161">
        <v>1250</v>
      </c>
      <c r="I10" s="163">
        <v>0.54</v>
      </c>
      <c r="J10" s="163">
        <v>1</v>
      </c>
      <c r="K10" s="161" t="s">
        <v>34</v>
      </c>
      <c r="L10" s="163">
        <v>675</v>
      </c>
      <c r="M10" s="164">
        <v>625</v>
      </c>
      <c r="N10" s="165">
        <v>8.6800000000000002E-2</v>
      </c>
      <c r="O10" s="166">
        <v>5.21</v>
      </c>
      <c r="P10" s="161">
        <v>212.6</v>
      </c>
      <c r="Q10" s="161">
        <v>2</v>
      </c>
      <c r="R10" s="161">
        <v>1100</v>
      </c>
      <c r="S10" s="163">
        <v>1.08</v>
      </c>
      <c r="T10" s="161">
        <v>20</v>
      </c>
      <c r="U10" s="165">
        <v>1.8200000000000001E-2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711</v>
      </c>
    </row>
    <row r="11" spans="1:28" s="167" customFormat="1" x14ac:dyDescent="0.3">
      <c r="A11" s="161">
        <v>9</v>
      </c>
      <c r="B11" s="162" t="s">
        <v>480</v>
      </c>
      <c r="C11" s="161" t="s">
        <v>36</v>
      </c>
      <c r="D11" s="191">
        <v>46281</v>
      </c>
      <c r="E11" s="161"/>
      <c r="F11" s="161">
        <v>262615</v>
      </c>
      <c r="G11" s="161">
        <v>71</v>
      </c>
      <c r="H11" s="161">
        <v>3000</v>
      </c>
      <c r="I11" s="163">
        <v>0.51400000000000001</v>
      </c>
      <c r="J11" s="163">
        <v>1.3420000000000001</v>
      </c>
      <c r="K11" s="161" t="s">
        <v>732</v>
      </c>
      <c r="L11" s="163">
        <v>1379.576</v>
      </c>
      <c r="M11" s="164">
        <v>1342</v>
      </c>
      <c r="N11" s="165">
        <v>0.18640000000000001</v>
      </c>
      <c r="O11" s="166">
        <v>11.18</v>
      </c>
      <c r="P11" s="161">
        <v>434.6</v>
      </c>
      <c r="Q11" s="161">
        <v>2</v>
      </c>
      <c r="R11" s="161">
        <v>1050</v>
      </c>
      <c r="S11" s="163">
        <v>1.028</v>
      </c>
      <c r="T11" s="161">
        <v>22</v>
      </c>
      <c r="U11" s="165">
        <v>2.1000000000000001E-2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3</v>
      </c>
      <c r="AB11" s="161" t="s">
        <v>733</v>
      </c>
    </row>
    <row r="12" spans="1:28" s="167" customForma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262617</v>
      </c>
      <c r="G12" s="161">
        <v>72</v>
      </c>
      <c r="H12" s="161">
        <v>3200</v>
      </c>
      <c r="I12" s="163">
        <v>0.32500000000000001</v>
      </c>
      <c r="J12" s="163">
        <v>0.8</v>
      </c>
      <c r="K12" s="161" t="s">
        <v>34</v>
      </c>
      <c r="L12" s="163">
        <v>832</v>
      </c>
      <c r="M12" s="164">
        <v>853.3</v>
      </c>
      <c r="N12" s="165">
        <v>7.9000000000000001E-2</v>
      </c>
      <c r="O12" s="166">
        <v>4.74</v>
      </c>
      <c r="P12" s="161">
        <v>262.10000000000002</v>
      </c>
      <c r="Q12" s="161">
        <v>3</v>
      </c>
      <c r="R12" s="161">
        <v>1000</v>
      </c>
      <c r="S12" s="163">
        <v>0.97499999999999998</v>
      </c>
      <c r="T12" s="161">
        <v>25</v>
      </c>
      <c r="U12" s="165">
        <v>2.5000000000000001E-2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2</v>
      </c>
      <c r="AB12" s="161" t="s">
        <v>735</v>
      </c>
    </row>
    <row r="13" spans="1:28" s="167" customForma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262618</v>
      </c>
      <c r="G13" s="161">
        <v>73</v>
      </c>
      <c r="H13" s="161">
        <v>2000</v>
      </c>
      <c r="I13" s="163">
        <v>0.27900000000000003</v>
      </c>
      <c r="J13" s="163">
        <v>1.002</v>
      </c>
      <c r="K13" s="161" t="s">
        <v>736</v>
      </c>
      <c r="L13" s="163">
        <v>559.11599999999999</v>
      </c>
      <c r="M13" s="164">
        <v>1002</v>
      </c>
      <c r="N13" s="165">
        <v>0.13919999999999999</v>
      </c>
      <c r="O13" s="166">
        <v>8.35</v>
      </c>
      <c r="P13" s="161">
        <v>176.1</v>
      </c>
      <c r="Q13" s="161">
        <v>2</v>
      </c>
      <c r="R13" s="161">
        <v>600</v>
      </c>
      <c r="S13" s="163">
        <v>0.55800000000000005</v>
      </c>
      <c r="T13" s="161">
        <v>42</v>
      </c>
      <c r="U13" s="165">
        <v>7.0000000000000007E-2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1</v>
      </c>
      <c r="AB13" s="161" t="s">
        <v>737</v>
      </c>
    </row>
    <row r="14" spans="1:28" s="167" customForma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262619</v>
      </c>
      <c r="G14" s="161">
        <v>73</v>
      </c>
      <c r="H14" s="161">
        <v>6000</v>
      </c>
      <c r="I14" s="163">
        <v>0.36499999999999999</v>
      </c>
      <c r="J14" s="163">
        <v>1.04</v>
      </c>
      <c r="K14" s="161" t="s">
        <v>738</v>
      </c>
      <c r="L14" s="163">
        <v>2277.6</v>
      </c>
      <c r="M14" s="164">
        <v>3120</v>
      </c>
      <c r="N14" s="165">
        <v>0.43330000000000002</v>
      </c>
      <c r="O14" s="166">
        <v>26</v>
      </c>
      <c r="P14" s="161">
        <v>717.4</v>
      </c>
      <c r="Q14" s="161">
        <v>2</v>
      </c>
      <c r="R14" s="161">
        <v>750</v>
      </c>
      <c r="S14" s="163">
        <v>0.73</v>
      </c>
      <c r="T14" s="161">
        <v>20</v>
      </c>
      <c r="U14" s="165">
        <v>2.6700000000000002E-2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3</v>
      </c>
      <c r="AB14" s="161" t="s">
        <v>739</v>
      </c>
    </row>
    <row r="15" spans="1:28" s="167" customFormat="1" x14ac:dyDescent="0.3">
      <c r="A15" s="168" t="s">
        <v>27</v>
      </c>
      <c r="B15" s="168" t="s">
        <v>27</v>
      </c>
      <c r="C15" s="168" t="s">
        <v>27</v>
      </c>
      <c r="D15" s="168" t="s">
        <v>27</v>
      </c>
      <c r="E15" s="168" t="s">
        <v>27</v>
      </c>
      <c r="F15" s="168" t="s">
        <v>27</v>
      </c>
      <c r="G15" s="168" t="s">
        <v>27</v>
      </c>
      <c r="H15" s="168">
        <f>SUM(H3:H14)</f>
        <v>20050</v>
      </c>
      <c r="I15" s="168" t="s">
        <v>27</v>
      </c>
      <c r="J15" s="168" t="s">
        <v>27</v>
      </c>
      <c r="K15" s="168" t="s">
        <v>27</v>
      </c>
      <c r="L15" s="168" t="s">
        <v>27</v>
      </c>
      <c r="M15" s="168" t="s">
        <v>27</v>
      </c>
      <c r="N15" s="168" t="s">
        <v>27</v>
      </c>
      <c r="O15" s="168" t="s">
        <v>27</v>
      </c>
      <c r="P15" s="168">
        <f>SUM(P3:P14)</f>
        <v>3308.5</v>
      </c>
      <c r="Q15" s="168" t="s">
        <v>27</v>
      </c>
      <c r="R15" s="168" t="s">
        <v>27</v>
      </c>
      <c r="S15" s="168" t="s">
        <v>27</v>
      </c>
      <c r="T15" s="168" t="s">
        <v>27</v>
      </c>
      <c r="U15" s="168" t="s">
        <v>27</v>
      </c>
      <c r="V15" s="168" t="s">
        <v>27</v>
      </c>
      <c r="W15" s="168" t="s">
        <v>27</v>
      </c>
      <c r="X15" s="168" t="s">
        <v>27</v>
      </c>
      <c r="Y15" s="168" t="s">
        <v>27</v>
      </c>
      <c r="Z15" s="168" t="s">
        <v>27</v>
      </c>
      <c r="AA15" s="168" t="s">
        <v>27</v>
      </c>
      <c r="AB15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665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tabSelected="1" workbookViewId="0">
      <selection activeCell="C12" sqref="C12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19" t="s">
        <v>592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19" t="s">
        <v>539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G3" sqref="G3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0" t="s">
        <v>535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19" t="s">
        <v>496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19" t="s">
        <v>486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9" t="s">
        <v>475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19" t="s">
        <v>454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19" t="s">
        <v>440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19" t="s">
        <v>403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9" t="s">
        <v>329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324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19" t="s">
        <v>258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19" t="s">
        <v>240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9" t="s">
        <v>202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192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19" t="s">
        <v>79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19" t="s">
        <v>134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37</vt:i4>
      </vt:variant>
    </vt:vector>
  </HeadingPairs>
  <TitlesOfParts>
    <vt:vector size="37" baseType="lpstr">
      <vt:lpstr>RM Embalagens 1209</vt:lpstr>
      <vt:lpstr>IPE - PC BOX 1203P</vt:lpstr>
      <vt:lpstr>ABAPEL 1201</vt:lpstr>
      <vt:lpstr>HARMONY EMBALAGENS 1200</vt:lpstr>
      <vt:lpstr>HARMONY EMBALAGENS 1199</vt:lpstr>
      <vt:lpstr>FAVINCO EMBALAGENS 1197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2026-09-17T11:42:36Z</cp:lastPrinted>
  <dcterms:created xsi:type="dcterms:W3CDTF">2026-07-02T17:42:15Z</dcterms:created>
  <dcterms:modified xsi:type="dcterms:W3CDTF">2026-09-17T17:23:50Z</dcterms:modified>
</cp:coreProperties>
</file>