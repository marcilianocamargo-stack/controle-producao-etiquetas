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79BB8E88-C4EE-4C9C-8D9E-EFC2CA5421EF}" xr6:coauthVersionLast="47" xr6:coauthVersionMax="47" xr10:uidLastSave="{00000000-0000-0000-0000-000000000000}"/>
  <bookViews>
    <workbookView xWindow="-38520" yWindow="-120" windowWidth="38640" windowHeight="21120" activeTab="6" xr2:uid="{00000000-000D-0000-FFFF-FFFF00000000}"/>
  </bookViews>
  <sheets>
    <sheet name="PCBOX EMBALAGENS 1339" sheetId="234" r:id="rId1"/>
    <sheet name="TOLECAIXAS 1337 P " sheetId="233" r:id="rId2"/>
    <sheet name="RM EMBALAGENS 1334" sheetId="232" r:id="rId3"/>
    <sheet name="ABAPEL EMBALAGENS 1333 P" sheetId="231" r:id="rId4"/>
    <sheet name="RENOVAPEL 1332" sheetId="230" r:id="rId5"/>
    <sheet name="DR EMBALAGENS 1331 P" sheetId="229" r:id="rId6"/>
    <sheet name="RM EMBALAGENS 1330 P" sheetId="228" r:id="rId7"/>
    <sheet name="FAVINCO EMBALAGENS 1329" sheetId="227" r:id="rId8"/>
    <sheet name="DR EMBALAGENS 1326 P" sheetId="226" r:id="rId9"/>
    <sheet name="HARMONY EMBALAGENS 1325 P" sheetId="225" r:id="rId10"/>
    <sheet name="HARMONY EMBALAGENS 1320 P" sheetId="224" r:id="rId11"/>
    <sheet name="FORBOX 1319 P" sheetId="223" r:id="rId12"/>
    <sheet name="PCBOX EMBALAGENS 1316 P" sheetId="222" r:id="rId13"/>
    <sheet name="FAVINCO EMBALAGENS 1314 P" sheetId="220" r:id="rId14"/>
    <sheet name="ABAPEL EMBALAGENS 1308 P" sheetId="215" r:id="rId15"/>
    <sheet name="RENOVAPEL 1306 P" sheetId="213" r:id="rId16"/>
    <sheet name="INTERNACIONAL - SEDAMED 1304 P" sheetId="212" r:id="rId17"/>
    <sheet name="RM EMBALAGENS 1303 P" sheetId="211" r:id="rId18"/>
    <sheet name="HARMONY EMBALAGENS 1301 P" sheetId="209" r:id="rId19"/>
    <sheet name="HARMONY EMBALAGENS 1285 P" sheetId="202" r:id="rId2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13" i="230" l="1"/>
  <c r="G13" i="230"/>
  <c r="Q16" i="225" l="1"/>
  <c r="G16" i="225"/>
  <c r="Q8" i="226"/>
  <c r="G8" i="226"/>
  <c r="Q8" i="222"/>
  <c r="G8" i="222"/>
  <c r="G7" i="223"/>
  <c r="Q7" i="223"/>
  <c r="Q12" i="220" l="1"/>
  <c r="G12" i="220"/>
  <c r="Q9" i="213"/>
  <c r="G9" i="213"/>
  <c r="G10" i="215" l="1"/>
  <c r="Q10" i="215"/>
</calcChain>
</file>

<file path=xl/sharedStrings.xml><?xml version="1.0" encoding="utf-8"?>
<sst xmlns="http://schemas.openxmlformats.org/spreadsheetml/2006/main" count="3767" uniqueCount="390">
  <si>
    <t>Seq.Prod</t>
  </si>
  <si>
    <t>P.O.</t>
  </si>
  <si>
    <t>Data Pedido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</si>
  <si>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</si>
  <si>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</si>
  <si>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</si>
  <si>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</si>
  <si>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</si>
  <si>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</si>
  <si>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</si>
  <si>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</si>
  <si>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</si>
  <si>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</si>
  <si>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</si>
  <si>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</si>
  <si>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</si>
  <si>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</si>
  <si>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</si>
  <si>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</si>
  <si>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</si>
  <si>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</si>
  <si>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</si>
  <si>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</si>
  <si>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</si>
  <si>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</si>
  <si>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</si>
  <si>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</si>
  <si>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</si>
  <si>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</si>
  <si>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</si>
  <si>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</si>
  <si>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</si>
  <si>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</si>
  <si>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</si>
  <si>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</si>
  <si>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</si>
  <si>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1</t>
  </si>
  <si>
    <t>TLQ120</t>
  </si>
  <si>
    <t>TLQ125</t>
  </si>
  <si>
    <t>P35B</t>
  </si>
  <si>
    <t>P55D</t>
  </si>
  <si>
    <t>5</t>
  </si>
  <si>
    <t>P40B</t>
  </si>
  <si>
    <t>8</t>
  </si>
  <si>
    <t>OP</t>
  </si>
  <si>
    <t>7</t>
  </si>
  <si>
    <t>P70D</t>
  </si>
  <si>
    <t>P25C</t>
  </si>
  <si>
    <t>HARMONY EMBALAGENS</t>
  </si>
  <si>
    <t>13</t>
  </si>
  <si>
    <t>786x1450</t>
  </si>
  <si>
    <t>P45B</t>
  </si>
  <si>
    <t>991x1280</t>
  </si>
  <si>
    <t>976x1250</t>
  </si>
  <si>
    <t>1000x1569</t>
  </si>
  <si>
    <t>856x2120</t>
  </si>
  <si>
    <t>118x600x118</t>
  </si>
  <si>
    <t>1514x2583</t>
  </si>
  <si>
    <t>899x1500</t>
  </si>
  <si>
    <t>253x373x253</t>
  </si>
  <si>
    <t>966x1500</t>
  </si>
  <si>
    <t>TLQ140</t>
  </si>
  <si>
    <t>P70C</t>
  </si>
  <si>
    <t>AMOSTRA</t>
  </si>
  <si>
    <t>1196x1938</t>
  </si>
  <si>
    <t>10</t>
  </si>
  <si>
    <t>80x134x80</t>
  </si>
  <si>
    <t>1225x2531</t>
  </si>
  <si>
    <t>227x751x227</t>
  </si>
  <si>
    <t>888x1519</t>
  </si>
  <si>
    <t>155x124x155</t>
  </si>
  <si>
    <t>1000x1380</t>
  </si>
  <si>
    <t>976x2080</t>
  </si>
  <si>
    <t>73x810x73</t>
  </si>
  <si>
    <t>1176x1890</t>
  </si>
  <si>
    <t>168x820x168</t>
  </si>
  <si>
    <t>1436x2050</t>
  </si>
  <si>
    <t>173x1070x173</t>
  </si>
  <si>
    <t>RM EMBALAGENS</t>
  </si>
  <si>
    <t>14/10/2026</t>
  </si>
  <si>
    <t>PCBOX EMBALAGENS</t>
  </si>
  <si>
    <t>1014</t>
  </si>
  <si>
    <t>1040x1982</t>
  </si>
  <si>
    <t>1149x2140</t>
  </si>
  <si>
    <t>86x103x152x103x86</t>
  </si>
  <si>
    <t>1156x1967</t>
  </si>
  <si>
    <t>78x128x78</t>
  </si>
  <si>
    <t>1174x2006</t>
  </si>
  <si>
    <t>121x335x121</t>
  </si>
  <si>
    <t>1153x1628</t>
  </si>
  <si>
    <t>126x150x126</t>
  </si>
  <si>
    <t>1364x1629</t>
  </si>
  <si>
    <t>183x978x183</t>
  </si>
  <si>
    <t>1078x1529</t>
  </si>
  <si>
    <t>110x309x110</t>
  </si>
  <si>
    <t>1105x2519</t>
  </si>
  <si>
    <t>278x529x278</t>
  </si>
  <si>
    <t>2-1014</t>
  </si>
  <si>
    <t>665x1559</t>
  </si>
  <si>
    <t>178x289x178</t>
  </si>
  <si>
    <t>695x2079</t>
  </si>
  <si>
    <t>173x329x173</t>
  </si>
  <si>
    <t>PROGRAMAÇÃO ONDULADEIRA - HARMONY EMBALAGENS  —  OF: 001285</t>
  </si>
  <si>
    <t>RENOVAPEL</t>
  </si>
  <si>
    <t>819x2200</t>
  </si>
  <si>
    <t>133x533x133</t>
  </si>
  <si>
    <t>FORBOX</t>
  </si>
  <si>
    <t>IPE EMBALAGENS</t>
  </si>
  <si>
    <t>20/10/2026</t>
  </si>
  <si>
    <t>802x1913</t>
  </si>
  <si>
    <t>201x380x201</t>
  </si>
  <si>
    <t>20-10-26</t>
  </si>
  <si>
    <t>844x1559</t>
  </si>
  <si>
    <t>160x504x160</t>
  </si>
  <si>
    <t>1024x1559</t>
  </si>
  <si>
    <t>160x684x160</t>
  </si>
  <si>
    <t>995x1780</t>
  </si>
  <si>
    <t>1494x1575</t>
  </si>
  <si>
    <t>220x1034x220</t>
  </si>
  <si>
    <t>PROGRAMAÇÃO ONDULADEIRA - HARMONY EMBALAGENS  —  OF: 001301</t>
  </si>
  <si>
    <t>1248x1420</t>
  </si>
  <si>
    <t>19</t>
  </si>
  <si>
    <t>73x825x73</t>
  </si>
  <si>
    <t>103x740x103</t>
  </si>
  <si>
    <t>1020x1870</t>
  </si>
  <si>
    <t>1156x1990</t>
  </si>
  <si>
    <t>1176x1870</t>
  </si>
  <si>
    <t>353x450x353</t>
  </si>
  <si>
    <t>Padrão 1000x1000</t>
  </si>
  <si>
    <t>113x905x113</t>
  </si>
  <si>
    <t>1236x2318</t>
  </si>
  <si>
    <t>163x890x163</t>
  </si>
  <si>
    <t>686x1250</t>
  </si>
  <si>
    <t>73x520x73</t>
  </si>
  <si>
    <t>756x1430</t>
  </si>
  <si>
    <t>148x440x148</t>
  </si>
  <si>
    <t>73x620x73</t>
  </si>
  <si>
    <t>792x2480</t>
  </si>
  <si>
    <t>281x210x281</t>
  </si>
  <si>
    <t>PROGRAMAÇÃO ONDULADEIRA - RM EMBALAGENS  —  OF: 001303</t>
  </si>
  <si>
    <t>1420x2020</t>
  </si>
  <si>
    <t>21/10/2026</t>
  </si>
  <si>
    <t>SEDAMED</t>
  </si>
  <si>
    <t>1520x2020</t>
  </si>
  <si>
    <t>150x1100x150</t>
  </si>
  <si>
    <t>INTERNACIONAL COUROS</t>
  </si>
  <si>
    <t>PROGRAMAÇÃO ONDULADEIRA - INTERNACIONAL COUROS - SEDAMED  —  OF: 001304</t>
  </si>
  <si>
    <t>872x1555</t>
  </si>
  <si>
    <t>176x500x176</t>
  </si>
  <si>
    <t>12</t>
  </si>
  <si>
    <t>926x1490</t>
  </si>
  <si>
    <t>76x150x76</t>
  </si>
  <si>
    <t>712x1855</t>
  </si>
  <si>
    <t>226x240x226</t>
  </si>
  <si>
    <t>1024x1255</t>
  </si>
  <si>
    <t>151x200x151</t>
  </si>
  <si>
    <t>PROGRAMAÇÃO ONDULADEIRA - RENOVAPEL  —  OF: 001306</t>
  </si>
  <si>
    <t>1002x2280</t>
  </si>
  <si>
    <t>211x560x211</t>
  </si>
  <si>
    <t>8338</t>
  </si>
  <si>
    <t>ABAPEL EMBALAGENS</t>
  </si>
  <si>
    <t>1566x1808</t>
  </si>
  <si>
    <t>898x2010</t>
  </si>
  <si>
    <t>164x550x164</t>
  </si>
  <si>
    <t>8340</t>
  </si>
  <si>
    <t>1190x1288</t>
  </si>
  <si>
    <t>155x275x155</t>
  </si>
  <si>
    <t>PROGRAMAÇÃO ONDULADEIRA - ABAPEL EMBALAGENS  —  OF: 001308</t>
  </si>
  <si>
    <t>8346</t>
  </si>
  <si>
    <t>261x115x261</t>
  </si>
  <si>
    <t>657x1764</t>
  </si>
  <si>
    <t>22/10/2026</t>
  </si>
  <si>
    <t>P55C</t>
  </si>
  <si>
    <t>14</t>
  </si>
  <si>
    <t>84x245x84</t>
  </si>
  <si>
    <t>846x1550</t>
  </si>
  <si>
    <t>162x320x162</t>
  </si>
  <si>
    <t>664x1615</t>
  </si>
  <si>
    <t>935x1780</t>
  </si>
  <si>
    <t>100x105x100</t>
  </si>
  <si>
    <t>096</t>
  </si>
  <si>
    <t>P50B</t>
  </si>
  <si>
    <t>FAVINCO EMBALAGENS</t>
  </si>
  <si>
    <t>816x1544</t>
  </si>
  <si>
    <t>146x106x146</t>
  </si>
  <si>
    <t>095</t>
  </si>
  <si>
    <t>PROGRAMAÇÃO ONDULADEIRA - FAVINCO EMBALAGENS  —  OF: 001314</t>
  </si>
  <si>
    <t>1108x2363</t>
  </si>
  <si>
    <t>267x554x267</t>
  </si>
  <si>
    <t>1858</t>
  </si>
  <si>
    <t>1464x2403</t>
  </si>
  <si>
    <t>297x850x297</t>
  </si>
  <si>
    <t>267x960x267</t>
  </si>
  <si>
    <t>PROGRAMAÇÃO ONDULADEIRA - PCBOX EMBALAGENS  —  OF: 001316</t>
  </si>
  <si>
    <t>097</t>
  </si>
  <si>
    <t>1040x1820</t>
  </si>
  <si>
    <t>1020x2090</t>
  </si>
  <si>
    <t>1020x1910</t>
  </si>
  <si>
    <t>23/10/2026</t>
  </si>
  <si>
    <t>098</t>
  </si>
  <si>
    <t>127x155x127</t>
  </si>
  <si>
    <t>838x1282</t>
  </si>
  <si>
    <t>102x105x102</t>
  </si>
  <si>
    <t>947x1944</t>
  </si>
  <si>
    <t>1098x2120</t>
  </si>
  <si>
    <t>128x283x128</t>
  </si>
  <si>
    <t>1410R</t>
  </si>
  <si>
    <t>1260x1470</t>
  </si>
  <si>
    <t>PROGRAMAÇÃO ONDULADEIRA - FORBOX  —  OF: 001319</t>
  </si>
  <si>
    <t>850x1910</t>
  </si>
  <si>
    <t>091026</t>
  </si>
  <si>
    <t>09/10/2026</t>
  </si>
  <si>
    <t>824x1213</t>
  </si>
  <si>
    <t>1020x1640</t>
  </si>
  <si>
    <t>1006x2391</t>
  </si>
  <si>
    <t>243x500x243</t>
  </si>
  <si>
    <t>2091026</t>
  </si>
  <si>
    <t>1104x2079</t>
  </si>
  <si>
    <t>205x674x205</t>
  </si>
  <si>
    <t>1156x2451</t>
  </si>
  <si>
    <t>243x650x243</t>
  </si>
  <si>
    <t>1216x1711</t>
  </si>
  <si>
    <t>213x770x213</t>
  </si>
  <si>
    <t>624x1439</t>
  </si>
  <si>
    <t>150x304x150</t>
  </si>
  <si>
    <t>1256x2611</t>
  </si>
  <si>
    <t>283x670x283</t>
  </si>
  <si>
    <t>644x1539</t>
  </si>
  <si>
    <t>175x274x175</t>
  </si>
  <si>
    <t>PROGRAMAÇÃO ONDULADEIRA - HARMONY EMBALAGENS  —  OF: 001320</t>
  </si>
  <si>
    <t>099</t>
  </si>
  <si>
    <t>1100x2090</t>
  </si>
  <si>
    <t>1140x1508</t>
  </si>
  <si>
    <t>126x120x126</t>
  </si>
  <si>
    <t>8349</t>
  </si>
  <si>
    <t>705x1247</t>
  </si>
  <si>
    <t>85x515x85</t>
  </si>
  <si>
    <t>1862</t>
  </si>
  <si>
    <t>206x904x206</t>
  </si>
  <si>
    <t>1336x1877</t>
  </si>
  <si>
    <t>1174x1384</t>
  </si>
  <si>
    <t>111X119X111</t>
  </si>
  <si>
    <t>24/10/2026</t>
  </si>
  <si>
    <t>1864</t>
  </si>
  <si>
    <t>195x660x195</t>
  </si>
  <si>
    <t>6</t>
  </si>
  <si>
    <t>1070x2557</t>
  </si>
  <si>
    <t>1344x1909</t>
  </si>
  <si>
    <t>158x1008x158</t>
  </si>
  <si>
    <t>23-10-26</t>
  </si>
  <si>
    <t>1051x2044</t>
  </si>
  <si>
    <t>207x207x207x207x203</t>
  </si>
  <si>
    <t>1140x1723</t>
  </si>
  <si>
    <t>179x202x179</t>
  </si>
  <si>
    <t>644x1449</t>
  </si>
  <si>
    <t>153x318x153</t>
  </si>
  <si>
    <t>684x1879</t>
  </si>
  <si>
    <t>180x304x180</t>
  </si>
  <si>
    <t>938x1349</t>
  </si>
  <si>
    <t>128x203x128</t>
  </si>
  <si>
    <t>724x1769</t>
  </si>
  <si>
    <t>173x358x173</t>
  </si>
  <si>
    <t>1028x1249</t>
  </si>
  <si>
    <t>125x254x125</t>
  </si>
  <si>
    <t>1187x1758</t>
  </si>
  <si>
    <t>103x183x103</t>
  </si>
  <si>
    <t>PROGRAMAÇÃO ONDULADEIRA - HARMONY EMBALAGENS  —  OF: 001325</t>
  </si>
  <si>
    <t>1200x1580</t>
  </si>
  <si>
    <t>22102026</t>
  </si>
  <si>
    <t>DR EMBALAGENS</t>
  </si>
  <si>
    <t>940x1860</t>
  </si>
  <si>
    <t>1100x2180</t>
  </si>
  <si>
    <t>WTL120</t>
  </si>
  <si>
    <t>PW40B</t>
  </si>
  <si>
    <t>1190x1850</t>
  </si>
  <si>
    <t>PROGRAMAÇÃO ONDULADEIRA - DR EMBALAGENS  —  OF: 001326</t>
  </si>
  <si>
    <t>26/10/2026</t>
  </si>
  <si>
    <t>2-09-10-26</t>
  </si>
  <si>
    <t>26-10-26</t>
  </si>
  <si>
    <t>153x333x153</t>
  </si>
  <si>
    <t>659x1849</t>
  </si>
  <si>
    <t>158x343x158</t>
  </si>
  <si>
    <t>679x1909</t>
  </si>
  <si>
    <t>153x373x153</t>
  </si>
  <si>
    <t>699x1859</t>
  </si>
  <si>
    <t>1112x1480</t>
  </si>
  <si>
    <t>74x125x74</t>
  </si>
  <si>
    <t>PROGRAMAÇÃO ONDULADEIRA - FAVINCO EMBALAGENS  —  OF: 001329</t>
  </si>
  <si>
    <t>1020x1580</t>
  </si>
  <si>
    <t>21</t>
  </si>
  <si>
    <t>25/10/2026</t>
  </si>
  <si>
    <t>1116x2150</t>
  </si>
  <si>
    <t>77x120x77</t>
  </si>
  <si>
    <t>1180x1400</t>
  </si>
  <si>
    <t>145x290x145</t>
  </si>
  <si>
    <t>932x1980</t>
  </si>
  <si>
    <t>102x100x102</t>
  </si>
  <si>
    <t>1082x2020</t>
  </si>
  <si>
    <t>82x190x82</t>
  </si>
  <si>
    <t>789x1460</t>
  </si>
  <si>
    <t>980x1480</t>
  </si>
  <si>
    <t>1154x1700</t>
  </si>
  <si>
    <t>90x198x90</t>
  </si>
  <si>
    <t>1142x1780</t>
  </si>
  <si>
    <t>52x270x52</t>
  </si>
  <si>
    <t>1028x2100</t>
  </si>
  <si>
    <t>127x250x127</t>
  </si>
  <si>
    <t>971x2080</t>
  </si>
  <si>
    <t>218x40x475x218</t>
  </si>
  <si>
    <t>PROGRAMAÇÃO ONDULADEIRA - RM EMBALAGENS  —  OF: 001330</t>
  </si>
  <si>
    <t>da</t>
  </si>
  <si>
    <t>840x1660</t>
  </si>
  <si>
    <t>SN</t>
  </si>
  <si>
    <t>27/10/2026</t>
  </si>
  <si>
    <t>PROGRAMAÇÃO ONDULADEIRA - DR EMBALAGENS  —  OF: 001331</t>
  </si>
  <si>
    <t>953x1994</t>
  </si>
  <si>
    <t>94x123x94</t>
  </si>
  <si>
    <t>11</t>
  </si>
  <si>
    <t>28/10/2026</t>
  </si>
  <si>
    <t>856x1235</t>
  </si>
  <si>
    <t>119x180x119</t>
  </si>
  <si>
    <t>15</t>
  </si>
  <si>
    <t>989x1550</t>
  </si>
  <si>
    <t>79x165x79</t>
  </si>
  <si>
    <t>1091x1235</t>
  </si>
  <si>
    <t>121x115x121</t>
  </si>
  <si>
    <t>964x1850</t>
  </si>
  <si>
    <t>111x250x111</t>
  </si>
  <si>
    <t>1076x1870</t>
  </si>
  <si>
    <t>106x140x106</t>
  </si>
  <si>
    <t>1199x2110</t>
  </si>
  <si>
    <t>94x205x94</t>
  </si>
  <si>
    <t>1196x1235</t>
  </si>
  <si>
    <t>121x150x121</t>
  </si>
  <si>
    <t>1076x2090</t>
  </si>
  <si>
    <t>101x150x101</t>
  </si>
  <si>
    <t>PW50C</t>
  </si>
  <si>
    <t>PROGRAMAÇÃO ONDULADEIRA - RENOVAPEL  —  OF: 001332</t>
  </si>
  <si>
    <t>938x2160</t>
  </si>
  <si>
    <t>8362</t>
  </si>
  <si>
    <t>1104x1560</t>
  </si>
  <si>
    <t>146x250x146</t>
  </si>
  <si>
    <t>587x2390</t>
  </si>
  <si>
    <t>201x165x201</t>
  </si>
  <si>
    <t>1154x2060</t>
  </si>
  <si>
    <t>802x1780</t>
  </si>
  <si>
    <t>131x520x131</t>
  </si>
  <si>
    <t>1156x1529</t>
  </si>
  <si>
    <t>154x260x154</t>
  </si>
  <si>
    <t>948x1229</t>
  </si>
  <si>
    <t>131x202x131</t>
  </si>
  <si>
    <t>PROGRAMAÇÃO ONDULADEIRA - ABAPEL EMBALAGENS  —  OF: 001333</t>
  </si>
  <si>
    <t>998x2285</t>
  </si>
  <si>
    <t>22</t>
  </si>
  <si>
    <t>1120x1240</t>
  </si>
  <si>
    <t>1328x1357</t>
  </si>
  <si>
    <t>1090x1712</t>
  </si>
  <si>
    <t>385x125x385x125x50</t>
  </si>
  <si>
    <t>1235x2580</t>
  </si>
  <si>
    <t>1261x2030</t>
  </si>
  <si>
    <t>751x1270</t>
  </si>
  <si>
    <t>455x145x455x145x50</t>
  </si>
  <si>
    <t>1341x2070</t>
  </si>
  <si>
    <t>248x825x248</t>
  </si>
  <si>
    <t>666x1390</t>
  </si>
  <si>
    <t>138x370x138</t>
  </si>
  <si>
    <t>1511x1450</t>
  </si>
  <si>
    <t>PROGRAMAÇÃO ONDULADEIRA - RM EMBALAGENS  —  OF: 001334</t>
  </si>
  <si>
    <t>156x240x156</t>
  </si>
  <si>
    <t>1124x1315</t>
  </si>
  <si>
    <t>187x103x373x103x187</t>
  </si>
  <si>
    <t>973x1902</t>
  </si>
  <si>
    <t>2-23</t>
  </si>
  <si>
    <t>1140x1840</t>
  </si>
  <si>
    <t>281026</t>
  </si>
  <si>
    <t>TOLECAIXAS</t>
  </si>
  <si>
    <t>980x1270</t>
  </si>
  <si>
    <t>940x2180</t>
  </si>
  <si>
    <t>1190x2150</t>
  </si>
  <si>
    <t>PROGRAMAÇÃO ONDULADEIRA - TOLECAIXAS  —  OF: 001337</t>
  </si>
  <si>
    <t>8358</t>
  </si>
  <si>
    <t>191x210x191</t>
  </si>
  <si>
    <t>612x1640</t>
  </si>
  <si>
    <t>169x280x169</t>
  </si>
  <si>
    <t>638x1470</t>
  </si>
  <si>
    <t>181x280x181</t>
  </si>
  <si>
    <t>662x2101</t>
  </si>
  <si>
    <t>1020x3420</t>
  </si>
  <si>
    <t>1870</t>
  </si>
  <si>
    <t>PROGRAMAÇÃO ONDULADEIRA - PCBOX EMBALAGENS  —  OF: 001339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</si>
</sst>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16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3"/>
      <color rgb="FFFF0000"/>
      <name val="Calibri"/>
      <family val="2"/>
    </font>
    <font>
      <sz val="11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</fills>
  <borders count="5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</borders>
  <cellStyleXfs count="8">
    <xf numFmtId="0" fontId="0" fillId="0" borderId="0"/>
    <xf numFmtId="0" fontId="3" fillId="0" borderId="0"/>
    <xf numFmtId="0" fontId="5" fillId="0" borderId="0"/>
    <xf numFmtId="0" fontId="7" fillId="0" borderId="0"/>
    <xf numFmtId="0" fontId="8" fillId="0" borderId="0"/>
    <xf numFmtId="0" fontId="9" fillId="0" borderId="0"/>
    <xf numFmtId="0" fontId="3" fillId="0" borderId="0"/>
    <xf numFmtId="0" fontId="3" fillId="0" borderId="0"/>
  </cellStyleXfs>
  <cellXfs count="77">
    <xf numFmtId="0" fontId="0" fillId="0" borderId="0" xfId="0" applyFont="1" applyAlignment="1"/>
    <xf numFmtId="0" fontId="3" fillId="0" borderId="0" xfId="1"/>
    <xf numFmtId="0" fontId="3" fillId="0" borderId="0" xfId="1" applyAlignment="1">
      <alignment horizontal="center" vertical="center"/>
    </xf>
    <xf numFmtId="0" fontId="9" fillId="0" borderId="0" xfId="5"/>
    <xf numFmtId="0" fontId="11" fillId="4" borderId="1" xfId="5" applyFont="1" applyFill="1" applyBorder="1" applyAlignment="1">
      <alignment horizontal="center" vertical="center" wrapText="1"/>
    </xf>
    <xf numFmtId="0" fontId="9" fillId="3" borderId="1" xfId="5" applyFill="1" applyBorder="1" applyAlignment="1">
      <alignment horizontal="center" vertical="center"/>
    </xf>
    <xf numFmtId="0" fontId="10" fillId="3" borderId="1" xfId="5" applyFont="1" applyFill="1" applyBorder="1" applyAlignment="1">
      <alignment horizontal="center" vertical="center"/>
    </xf>
    <xf numFmtId="164" fontId="9" fillId="3" borderId="1" xfId="5" applyNumberFormat="1" applyFill="1" applyBorder="1" applyAlignment="1">
      <alignment horizontal="center" vertical="center"/>
    </xf>
    <xf numFmtId="165" fontId="9" fillId="3" borderId="1" xfId="5" applyNumberFormat="1" applyFill="1" applyBorder="1" applyAlignment="1">
      <alignment horizontal="center" vertical="center"/>
    </xf>
    <xf numFmtId="166" fontId="9" fillId="3" borderId="1" xfId="5" applyNumberFormat="1" applyFill="1" applyBorder="1" applyAlignment="1">
      <alignment horizontal="center" vertical="center"/>
    </xf>
    <xf numFmtId="2" fontId="9" fillId="3" borderId="1" xfId="5" applyNumberFormat="1" applyFill="1" applyBorder="1" applyAlignment="1">
      <alignment horizontal="center" vertical="center"/>
    </xf>
    <xf numFmtId="0" fontId="9" fillId="0" borderId="0" xfId="5" applyAlignment="1">
      <alignment horizontal="center" vertical="center"/>
    </xf>
    <xf numFmtId="0" fontId="10" fillId="2" borderId="1" xfId="5" applyFont="1" applyFill="1" applyBorder="1" applyAlignment="1">
      <alignment horizontal="center" vertical="center"/>
    </xf>
    <xf numFmtId="0" fontId="0" fillId="0" borderId="2" xfId="0" applyFont="1" applyBorder="1" applyAlignment="1">
      <alignment horizontal="center" vertical="center" wrapText="1"/>
    </xf>
    <xf numFmtId="49" fontId="0" fillId="0" borderId="2" xfId="0" applyNumberFormat="1" applyFont="1" applyBorder="1" applyAlignment="1">
      <alignment horizontal="center" vertical="center" wrapText="1"/>
    </xf>
    <xf numFmtId="164" fontId="0" fillId="0" borderId="2" xfId="0" applyNumberFormat="1" applyFont="1" applyBorder="1" applyAlignment="1">
      <alignment horizontal="center" vertical="center" wrapText="1"/>
    </xf>
    <xf numFmtId="165" fontId="0" fillId="0" borderId="2" xfId="0" applyNumberFormat="1" applyFont="1" applyBorder="1" applyAlignment="1">
      <alignment horizontal="center" vertical="center" wrapText="1"/>
    </xf>
    <xf numFmtId="166" fontId="0" fillId="0" borderId="2" xfId="0" applyNumberFormat="1" applyFont="1" applyBorder="1" applyAlignment="1">
      <alignment horizontal="center" vertical="center" wrapText="1"/>
    </xf>
    <xf numFmtId="2" fontId="0" fillId="0" borderId="2" xfId="0" applyNumberFormat="1" applyFont="1" applyBorder="1" applyAlignment="1">
      <alignment horizontal="center" vertical="center" wrapText="1"/>
    </xf>
    <xf numFmtId="0" fontId="9" fillId="0" borderId="0" xfId="5" applyAlignment="1">
      <alignment horizontal="center"/>
    </xf>
    <xf numFmtId="0" fontId="0" fillId="0" borderId="0" xfId="0" applyFont="1" applyAlignment="1">
      <alignment horizontal="center" vertical="center" wrapText="1"/>
    </xf>
    <xf numFmtId="49" fontId="0" fillId="0" borderId="0" xfId="0" applyNumberFormat="1" applyFont="1" applyAlignment="1">
      <alignment horizontal="center" vertical="center" wrapText="1"/>
    </xf>
    <xf numFmtId="164" fontId="0" fillId="0" borderId="0" xfId="0" applyNumberFormat="1" applyFont="1" applyAlignment="1">
      <alignment horizontal="center" vertical="center" wrapText="1"/>
    </xf>
    <xf numFmtId="165" fontId="0" fillId="0" borderId="0" xfId="0" applyNumberFormat="1" applyFont="1" applyAlignment="1">
      <alignment horizontal="center" vertical="center" wrapText="1"/>
    </xf>
    <xf numFmtId="166" fontId="0" fillId="0" borderId="0" xfId="0" applyNumberFormat="1" applyFont="1" applyAlignment="1">
      <alignment horizontal="center" vertical="center" wrapText="1"/>
    </xf>
    <xf numFmtId="2" fontId="0" fillId="0" borderId="0" xfId="0" applyNumberFormat="1" applyFont="1" applyAlignment="1">
      <alignment horizontal="center" vertical="center" wrapText="1"/>
    </xf>
    <xf numFmtId="0" fontId="11" fillId="4" borderId="3" xfId="5" applyFont="1" applyFill="1" applyBorder="1" applyAlignment="1">
      <alignment horizontal="center" vertical="center" wrapText="1"/>
    </xf>
    <xf numFmtId="0" fontId="9" fillId="3" borderId="2" xfId="5" applyFill="1" applyBorder="1" applyAlignment="1">
      <alignment horizontal="center" vertical="center"/>
    </xf>
    <xf numFmtId="0" fontId="10" fillId="3" borderId="2" xfId="5" applyFont="1" applyFill="1" applyBorder="1" applyAlignment="1">
      <alignment horizontal="center" vertical="center"/>
    </xf>
    <xf numFmtId="164" fontId="9" fillId="3" borderId="2" xfId="5" applyNumberFormat="1" applyFill="1" applyBorder="1" applyAlignment="1">
      <alignment horizontal="center" vertical="center"/>
    </xf>
    <xf numFmtId="165" fontId="9" fillId="3" borderId="2" xfId="5" applyNumberFormat="1" applyFill="1" applyBorder="1" applyAlignment="1">
      <alignment horizontal="center" vertical="center"/>
    </xf>
    <xf numFmtId="166" fontId="9" fillId="3" borderId="2" xfId="5" applyNumberFormat="1" applyFill="1" applyBorder="1" applyAlignment="1">
      <alignment horizontal="center" vertical="center"/>
    </xf>
    <xf numFmtId="2" fontId="9" fillId="3" borderId="2" xfId="5" applyNumberFormat="1" applyFill="1" applyBorder="1" applyAlignment="1">
      <alignment horizontal="center" vertical="center"/>
    </xf>
    <xf numFmtId="0" fontId="10" fillId="2" borderId="2" xfId="5" applyFont="1" applyFill="1" applyBorder="1" applyAlignment="1">
      <alignment horizontal="center" vertical="center"/>
    </xf>
    <xf numFmtId="0" fontId="10" fillId="2" borderId="4" xfId="5" applyFont="1" applyFill="1" applyBorder="1" applyAlignment="1">
      <alignment horizontal="left"/>
    </xf>
    <xf numFmtId="0" fontId="10" fillId="2" borderId="4" xfId="5" applyFont="1" applyFill="1" applyBorder="1" applyAlignment="1">
      <alignment horizontal="right"/>
    </xf>
    <xf numFmtId="0" fontId="9" fillId="0" borderId="0" xfId="5" applyAlignment="1"/>
    <xf numFmtId="0" fontId="4" fillId="2" borderId="1" xfId="1" applyFont="1" applyFill="1" applyBorder="1" applyAlignment="1">
      <alignment horizontal="center" vertical="center"/>
    </xf>
    <xf numFmtId="0" fontId="3" fillId="3" borderId="1" xfId="1" applyFill="1" applyBorder="1" applyAlignment="1">
      <alignment horizontal="center" vertical="center"/>
    </xf>
    <xf numFmtId="166" fontId="3" fillId="3" borderId="1" xfId="1" applyNumberFormat="1" applyFill="1" applyBorder="1" applyAlignment="1">
      <alignment horizontal="center" vertical="center"/>
    </xf>
    <xf numFmtId="164" fontId="3" fillId="3" borderId="1" xfId="1" applyNumberFormat="1" applyFill="1" applyBorder="1" applyAlignment="1">
      <alignment horizontal="center" vertical="center"/>
    </xf>
    <xf numFmtId="2" fontId="3" fillId="3" borderId="1" xfId="1" applyNumberFormat="1" applyFill="1" applyBorder="1" applyAlignment="1">
      <alignment horizontal="center" vertical="center"/>
    </xf>
    <xf numFmtId="165" fontId="3" fillId="3" borderId="1" xfId="1" applyNumberFormat="1" applyFill="1" applyBorder="1" applyAlignment="1">
      <alignment horizontal="center" vertical="center"/>
    </xf>
    <xf numFmtId="0" fontId="4" fillId="3" borderId="1" xfId="1" applyFont="1" applyFill="1" applyBorder="1" applyAlignment="1">
      <alignment horizontal="center" vertical="center"/>
    </xf>
    <xf numFmtId="0" fontId="3" fillId="0" borderId="0" xfId="7" applyAlignment="1">
      <alignment horizontal="center" vertical="center"/>
    </xf>
    <xf numFmtId="0" fontId="3" fillId="3" borderId="1" xfId="7" applyFill="1" applyBorder="1" applyAlignment="1">
      <alignment horizontal="center" vertical="center"/>
    </xf>
    <xf numFmtId="166" fontId="3" fillId="3" borderId="1" xfId="7" applyNumberFormat="1" applyFill="1" applyBorder="1" applyAlignment="1">
      <alignment horizontal="center" vertical="center"/>
    </xf>
    <xf numFmtId="164" fontId="3" fillId="3" borderId="1" xfId="7" applyNumberFormat="1" applyFill="1" applyBorder="1" applyAlignment="1">
      <alignment horizontal="center" vertical="center"/>
    </xf>
    <xf numFmtId="2" fontId="3" fillId="3" borderId="1" xfId="7" applyNumberFormat="1" applyFill="1" applyBorder="1" applyAlignment="1">
      <alignment horizontal="center" vertical="center"/>
    </xf>
    <xf numFmtId="165" fontId="3" fillId="3" borderId="1" xfId="7" applyNumberFormat="1" applyFill="1" applyBorder="1" applyAlignment="1">
      <alignment horizontal="center" vertical="center"/>
    </xf>
    <xf numFmtId="0" fontId="4" fillId="3" borderId="1" xfId="7" applyFont="1" applyFill="1" applyBorder="1" applyAlignment="1">
      <alignment horizontal="center" vertical="center"/>
    </xf>
    <xf numFmtId="0" fontId="2" fillId="4" borderId="1" xfId="1" applyFont="1" applyFill="1" applyBorder="1" applyAlignment="1">
      <alignment horizontal="center" vertical="center" wrapText="1"/>
    </xf>
    <xf numFmtId="0" fontId="9" fillId="0" borderId="2" xfId="5" applyBorder="1" applyAlignment="1">
      <alignment horizontal="center" vertical="center"/>
    </xf>
    <xf numFmtId="0" fontId="0" fillId="0" borderId="2" xfId="0" applyFont="1" applyBorder="1" applyAlignment="1">
      <alignment horizontal="center" vertical="center"/>
    </xf>
    <xf numFmtId="0" fontId="3" fillId="3" borderId="2" xfId="5" applyFont="1" applyFill="1" applyBorder="1" applyAlignment="1">
      <alignment horizontal="center" vertical="center"/>
    </xf>
    <xf numFmtId="0" fontId="10" fillId="2" borderId="4" xfId="5" applyFont="1" applyFill="1" applyBorder="1" applyAlignment="1">
      <alignment horizontal="center" vertical="center"/>
    </xf>
    <xf numFmtId="49" fontId="14" fillId="0" borderId="2" xfId="0" applyNumberFormat="1" applyFont="1" applyBorder="1" applyAlignment="1">
      <alignment horizontal="center" vertical="center" wrapText="1"/>
    </xf>
    <xf numFmtId="0" fontId="10" fillId="2" borderId="1" xfId="5" applyFont="1" applyFill="1" applyBorder="1" applyAlignment="1">
      <alignment horizontal="right"/>
    </xf>
    <xf numFmtId="0" fontId="10" fillId="2" borderId="1" xfId="5" applyFont="1" applyFill="1" applyBorder="1" applyAlignment="1">
      <alignment horizontal="left"/>
    </xf>
    <xf numFmtId="0" fontId="9" fillId="3" borderId="1" xfId="5" applyFill="1" applyBorder="1" applyAlignment="1">
      <alignment horizontal="right"/>
    </xf>
    <xf numFmtId="166" fontId="9" fillId="3" borderId="1" xfId="5" applyNumberFormat="1" applyFill="1" applyBorder="1" applyAlignment="1">
      <alignment horizontal="right"/>
    </xf>
    <xf numFmtId="164" fontId="9" fillId="3" borderId="1" xfId="5" applyNumberFormat="1" applyFill="1" applyBorder="1" applyAlignment="1">
      <alignment horizontal="right"/>
    </xf>
    <xf numFmtId="2" fontId="9" fillId="3" borderId="1" xfId="5" applyNumberFormat="1" applyFill="1" applyBorder="1" applyAlignment="1">
      <alignment horizontal="right"/>
    </xf>
    <xf numFmtId="165" fontId="9" fillId="3" borderId="1" xfId="5" applyNumberFormat="1" applyFill="1" applyBorder="1" applyAlignment="1">
      <alignment horizontal="right"/>
    </xf>
    <xf numFmtId="0" fontId="9" fillId="3" borderId="1" xfId="5" applyFill="1" applyBorder="1" applyAlignment="1">
      <alignment horizontal="left"/>
    </xf>
    <xf numFmtId="164" fontId="9" fillId="3" borderId="1" xfId="5" applyNumberFormat="1" applyFill="1" applyBorder="1" applyAlignment="1">
      <alignment horizontal="left"/>
    </xf>
    <xf numFmtId="0" fontId="10" fillId="3" borderId="1" xfId="5" applyFont="1" applyFill="1" applyBorder="1" applyAlignment="1">
      <alignment horizontal="left"/>
    </xf>
    <xf numFmtId="0" fontId="12" fillId="0" borderId="0" xfId="5" applyFont="1"/>
    <xf numFmtId="0" fontId="6" fillId="0" borderId="0" xfId="5" applyFont="1"/>
    <xf numFmtId="0" fontId="6" fillId="0" borderId="0" xfId="1" applyFont="1"/>
    <xf numFmtId="0" fontId="6" fillId="0" borderId="0" xfId="5" applyFont="1" applyAlignment="1">
      <alignment horizontal="center" vertical="center"/>
    </xf>
    <xf numFmtId="49" fontId="1" fillId="0" borderId="2" xfId="0" applyNumberFormat="1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164" fontId="1" fillId="0" borderId="2" xfId="0" applyNumberFormat="1" applyFont="1" applyBorder="1" applyAlignment="1">
      <alignment horizontal="center" vertical="center" wrapText="1"/>
    </xf>
    <xf numFmtId="165" fontId="1" fillId="0" borderId="2" xfId="0" applyNumberFormat="1" applyFont="1" applyBorder="1" applyAlignment="1">
      <alignment horizontal="center" vertical="center" wrapText="1"/>
    </xf>
    <xf numFmtId="166" fontId="1" fillId="0" borderId="2" xfId="0" applyNumberFormat="1" applyFont="1" applyBorder="1" applyAlignment="1">
      <alignment horizontal="center" vertical="center" wrapText="1"/>
    </xf>
    <xf numFmtId="2" fontId="1" fillId="0" borderId="2" xfId="0" applyNumberFormat="1" applyFont="1" applyBorder="1" applyAlignment="1">
      <alignment horizontal="center" vertical="center" wrapText="1"/>
    </xf>
  </cellXfs>
  <cellStyles count="8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4 2" xfId="6" xr:uid="{8BC5BB71-AA1C-4B8E-9C6B-BB1FAEA11546}"/>
    <cellStyle name="Normal 5" xfId="4" xr:uid="{76F4BEFF-C688-4D35-9AA7-FE078B85BB07}"/>
    <cellStyle name="Normal 6" xfId="5" xr:uid="{31F266F8-D672-4957-8B65-75367377C392}"/>
    <cellStyle name="Normal 6 2" xfId="7" xr:uid="{B5B0617E-455B-4583-B440-875DD8797115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E8C6B-9DD0-41B6-895B-7CC4FCCCB8AC}">
  <dimension ref="A1:AC4"/>
  <sheetViews>
    <sheetView workbookViewId="0">
      <selection activeCell="X42" sqref="X42"/>
    </sheetView>
  </sheetViews>
  <sheetFormatPr defaultRowHeight="14.4" x14ac:dyDescent="0.3"/>
  <cols>
    <col min="1" max="1" width="3.6640625" style="3" customWidth="1"/>
    <col min="2" max="2" width="20.77734375" style="3" hidden="1" customWidth="1"/>
    <col min="3" max="3" width="5.44140625" style="3" customWidth="1"/>
    <col min="4" max="4" width="11.77734375" style="3" hidden="1" customWidth="1"/>
    <col min="5" max="5" width="7.33203125" style="3" customWidth="1"/>
    <col min="6" max="6" width="5.77734375" style="3" customWidth="1"/>
    <col min="7" max="7" width="4.6640625" style="3" customWidth="1"/>
    <col min="8" max="8" width="6" style="3" customWidth="1"/>
    <col min="9" max="9" width="6.5546875" style="3" customWidth="1"/>
    <col min="10" max="10" width="7.44140625" style="3" customWidth="1"/>
    <col min="11" max="11" width="10.44140625" style="3" customWidth="1"/>
    <col min="12" max="12" width="7.21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21875" style="3" customWidth="1"/>
    <col min="18" max="19" width="6.5546875" style="3" customWidth="1"/>
    <col min="20" max="20" width="6.33203125" style="3" customWidth="1"/>
    <col min="21" max="21" width="11.77734375" style="3" hidden="1" customWidth="1"/>
    <col min="22" max="22" width="8.77734375" style="3" hidden="1" customWidth="1"/>
    <col min="23" max="23" width="7.44140625" style="3" customWidth="1"/>
    <col min="24" max="24" width="7.5546875" style="3" customWidth="1"/>
    <col min="25" max="25" width="8.109375" style="3" customWidth="1"/>
    <col min="26" max="26" width="8" style="3" customWidth="1"/>
    <col min="27" max="27" width="10.21875" style="3" customWidth="1"/>
    <col min="28" max="28" width="4.77734375" style="3" customWidth="1"/>
    <col min="29" max="29" width="11.21875" style="3" customWidth="1"/>
    <col min="30" max="16384" width="8.88671875" style="3"/>
  </cols>
  <sheetData>
    <row r="1" spans="1:29" ht="18" customHeight="1" x14ac:dyDescent="0.35">
      <c r="A1" s="67" t="s">
        <v>389</v>
      </c>
      <c r="B1" s="67" t="s">
        <v>26</v>
      </c>
      <c r="C1" s="67" t="s">
        <v>26</v>
      </c>
      <c r="D1" s="67" t="s">
        <v>26</v>
      </c>
      <c r="E1" s="67" t="s">
        <v>26</v>
      </c>
      <c r="F1" s="67" t="s">
        <v>26</v>
      </c>
      <c r="G1" s="67" t="s">
        <v>26</v>
      </c>
      <c r="H1" s="67" t="s">
        <v>26</v>
      </c>
      <c r="I1" s="67" t="s">
        <v>26</v>
      </c>
      <c r="J1" s="67" t="s">
        <v>26</v>
      </c>
      <c r="K1" s="67" t="s">
        <v>26</v>
      </c>
      <c r="L1" s="67" t="s">
        <v>26</v>
      </c>
      <c r="M1" s="67" t="s">
        <v>26</v>
      </c>
      <c r="N1" s="67" t="s">
        <v>26</v>
      </c>
      <c r="O1" s="67" t="s">
        <v>26</v>
      </c>
      <c r="P1" s="67" t="s">
        <v>26</v>
      </c>
      <c r="Q1" s="67" t="s">
        <v>26</v>
      </c>
      <c r="R1" s="67" t="s">
        <v>26</v>
      </c>
      <c r="S1" s="67" t="s">
        <v>26</v>
      </c>
      <c r="T1" s="67" t="s">
        <v>26</v>
      </c>
      <c r="U1" s="67" t="s">
        <v>26</v>
      </c>
      <c r="V1" s="67" t="s">
        <v>26</v>
      </c>
      <c r="W1" s="67" t="s">
        <v>26</v>
      </c>
      <c r="X1" s="67" t="s">
        <v>26</v>
      </c>
      <c r="Y1" s="67" t="s">
        <v>26</v>
      </c>
      <c r="Z1" s="67" t="s">
        <v>26</v>
      </c>
      <c r="AA1" s="67" t="s">
        <v>26</v>
      </c>
      <c r="AB1" s="67" t="s">
        <v>26</v>
      </c>
      <c r="AC1" s="67" t="s">
        <v>26</v>
      </c>
    </row>
    <row r="2" spans="1:29" ht="46.8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x14ac:dyDescent="0.3">
      <c r="A3" s="64">
        <v>1</v>
      </c>
      <c r="B3" s="66" t="s">
        <v>80</v>
      </c>
      <c r="C3" s="64" t="s">
        <v>34</v>
      </c>
      <c r="D3" s="64" t="s">
        <v>318</v>
      </c>
      <c r="E3" s="64">
        <v>263223</v>
      </c>
      <c r="F3" s="64" t="s">
        <v>388</v>
      </c>
      <c r="G3" s="64">
        <v>800</v>
      </c>
      <c r="H3" s="65">
        <v>1</v>
      </c>
      <c r="I3" s="65">
        <v>3.4</v>
      </c>
      <c r="J3" s="64" t="s">
        <v>26</v>
      </c>
      <c r="K3" s="64" t="s">
        <v>32</v>
      </c>
      <c r="L3" s="64" t="s">
        <v>26</v>
      </c>
      <c r="M3" s="61">
        <v>2720</v>
      </c>
      <c r="N3" s="63">
        <v>2720</v>
      </c>
      <c r="O3" s="60">
        <v>0.75560000000000005</v>
      </c>
      <c r="P3" s="62">
        <v>45.33</v>
      </c>
      <c r="Q3" s="59">
        <v>870.4</v>
      </c>
      <c r="R3" s="59">
        <v>1</v>
      </c>
      <c r="S3" s="59">
        <v>1050</v>
      </c>
      <c r="T3" s="61">
        <v>1</v>
      </c>
      <c r="U3" s="59">
        <v>50</v>
      </c>
      <c r="V3" s="60">
        <v>4.7600000000000003E-2</v>
      </c>
      <c r="W3" s="59" t="s">
        <v>27</v>
      </c>
      <c r="X3" s="59" t="s">
        <v>27</v>
      </c>
      <c r="Y3" s="59" t="s">
        <v>27</v>
      </c>
      <c r="Z3" s="59" t="s">
        <v>26</v>
      </c>
      <c r="AA3" s="59" t="s">
        <v>26</v>
      </c>
      <c r="AB3" s="59" t="s">
        <v>31</v>
      </c>
      <c r="AC3" s="59" t="s">
        <v>387</v>
      </c>
    </row>
    <row r="4" spans="1:29" x14ac:dyDescent="0.3">
      <c r="A4" s="58" t="s">
        <v>26</v>
      </c>
      <c r="B4" s="58" t="s">
        <v>26</v>
      </c>
      <c r="C4" s="58" t="s">
        <v>26</v>
      </c>
      <c r="D4" s="58" t="s">
        <v>26</v>
      </c>
      <c r="E4" s="58" t="s">
        <v>26</v>
      </c>
      <c r="F4" s="58" t="s">
        <v>26</v>
      </c>
      <c r="G4" s="58">
        <v>800</v>
      </c>
      <c r="H4" s="58" t="s">
        <v>26</v>
      </c>
      <c r="I4" s="58" t="s">
        <v>26</v>
      </c>
      <c r="J4" s="58" t="s">
        <v>26</v>
      </c>
      <c r="K4" s="58" t="s">
        <v>26</v>
      </c>
      <c r="L4" s="58" t="s">
        <v>26</v>
      </c>
      <c r="M4" s="57" t="s">
        <v>26</v>
      </c>
      <c r="N4" s="57" t="s">
        <v>26</v>
      </c>
      <c r="O4" s="57" t="s">
        <v>26</v>
      </c>
      <c r="P4" s="57" t="s">
        <v>26</v>
      </c>
      <c r="Q4" s="57">
        <v>870.4</v>
      </c>
      <c r="R4" s="57" t="s">
        <v>26</v>
      </c>
      <c r="S4" s="57" t="s">
        <v>26</v>
      </c>
      <c r="T4" s="57" t="s">
        <v>26</v>
      </c>
      <c r="U4" s="57" t="s">
        <v>26</v>
      </c>
      <c r="V4" s="57" t="s">
        <v>26</v>
      </c>
      <c r="W4" s="57" t="s">
        <v>26</v>
      </c>
      <c r="X4" s="57" t="s">
        <v>26</v>
      </c>
      <c r="Y4" s="57" t="s">
        <v>26</v>
      </c>
      <c r="Z4" s="57" t="s">
        <v>26</v>
      </c>
      <c r="AA4" s="57" t="s">
        <v>26</v>
      </c>
      <c r="AB4" s="57" t="s">
        <v>26</v>
      </c>
      <c r="AC4" s="57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442BF-0D9E-40BD-9FD4-04AFCF356976}">
  <sheetPr>
    <pageSetUpPr fitToPage="1"/>
  </sheetPr>
  <dimension ref="A1:AC7"/>
  <sheetViews>
    <sheetView workbookViewId="0">
      <selection activeCell="J39" sqref="J39"/>
    </sheetView>
  </sheetViews>
  <sheetFormatPr defaultRowHeight="14.4" x14ac:dyDescent="0.3"/>
  <cols>
    <col min="1" max="1" width="4.441406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7.77734375" style="3" customWidth="1"/>
    <col min="6" max="6" width="6.88671875" style="3" customWidth="1"/>
    <col min="7" max="7" width="6.21875" style="3" customWidth="1"/>
    <col min="8" max="8" width="6.5546875" style="3" customWidth="1"/>
    <col min="9" max="9" width="7.44140625" style="3" customWidth="1"/>
    <col min="10" max="10" width="8.109375" style="3" customWidth="1"/>
    <col min="11" max="11" width="7.44140625" style="3" customWidth="1"/>
    <col min="12" max="12" width="7.21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" style="3" customWidth="1"/>
    <col min="18" max="18" width="5.109375" style="3" hidden="1" customWidth="1"/>
    <col min="19" max="19" width="6.21875" style="3" hidden="1" customWidth="1"/>
    <col min="20" max="20" width="6.77734375" style="3" hidden="1" customWidth="1"/>
    <col min="21" max="21" width="11.77734375" style="3" hidden="1" customWidth="1"/>
    <col min="22" max="22" width="8.77734375" style="3" hidden="1" customWidth="1"/>
    <col min="23" max="23" width="7.33203125" style="3" customWidth="1"/>
    <col min="24" max="25" width="8.44140625" style="3" customWidth="1"/>
    <col min="26" max="27" width="9.21875" style="3" customWidth="1"/>
    <col min="28" max="28" width="5.109375" style="3" customWidth="1"/>
    <col min="29" max="29" width="11.77734375" style="3" customWidth="1"/>
    <col min="30" max="16384" width="8.88671875" style="3"/>
  </cols>
  <sheetData>
    <row r="1" spans="1:29" ht="18" customHeight="1" x14ac:dyDescent="0.35">
      <c r="A1" s="68" t="s">
        <v>379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39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ht="25.05" customHeight="1" x14ac:dyDescent="0.3">
      <c r="A3" s="64">
        <v>1</v>
      </c>
      <c r="B3" s="66" t="s">
        <v>375</v>
      </c>
      <c r="C3" s="64" t="s">
        <v>42</v>
      </c>
      <c r="D3" s="64" t="s">
        <v>318</v>
      </c>
      <c r="E3" s="64">
        <v>263218</v>
      </c>
      <c r="F3" s="64" t="s">
        <v>374</v>
      </c>
      <c r="G3" s="64">
        <v>3052</v>
      </c>
      <c r="H3" s="65">
        <v>0.39</v>
      </c>
      <c r="I3" s="65">
        <v>0.71</v>
      </c>
      <c r="J3" s="64" t="s">
        <v>26</v>
      </c>
      <c r="K3" s="64" t="s">
        <v>32</v>
      </c>
      <c r="L3" s="64" t="s">
        <v>26</v>
      </c>
      <c r="M3" s="61">
        <v>845.09900000000005</v>
      </c>
      <c r="N3" s="63">
        <v>541.70000000000005</v>
      </c>
      <c r="O3" s="60">
        <v>3.7600000000000001E-2</v>
      </c>
      <c r="P3" s="62">
        <v>2.2599999999999998</v>
      </c>
      <c r="Q3" s="59">
        <v>300</v>
      </c>
      <c r="R3" s="59">
        <v>4</v>
      </c>
      <c r="S3" s="59">
        <v>1600</v>
      </c>
      <c r="T3" s="61">
        <v>1.56</v>
      </c>
      <c r="U3" s="59">
        <v>40</v>
      </c>
      <c r="V3" s="60">
        <v>2.5000000000000001E-2</v>
      </c>
      <c r="W3" s="59" t="s">
        <v>28</v>
      </c>
      <c r="X3" s="59" t="s">
        <v>27</v>
      </c>
      <c r="Y3" s="59" t="s">
        <v>28</v>
      </c>
      <c r="Z3" s="59" t="s">
        <v>26</v>
      </c>
      <c r="AA3" s="59" t="s">
        <v>26</v>
      </c>
      <c r="AB3" s="59" t="s">
        <v>36</v>
      </c>
      <c r="AC3" s="59" t="s">
        <v>378</v>
      </c>
    </row>
    <row r="4" spans="1:29" ht="25.05" customHeight="1" x14ac:dyDescent="0.3">
      <c r="A4" s="64">
        <v>2</v>
      </c>
      <c r="B4" s="66" t="s">
        <v>375</v>
      </c>
      <c r="C4" s="64" t="s">
        <v>273</v>
      </c>
      <c r="D4" s="64" t="s">
        <v>318</v>
      </c>
      <c r="E4" s="64">
        <v>263216</v>
      </c>
      <c r="F4" s="64" t="s">
        <v>374</v>
      </c>
      <c r="G4" s="64">
        <v>2068</v>
      </c>
      <c r="H4" s="65">
        <v>0.72</v>
      </c>
      <c r="I4" s="65">
        <v>0.92</v>
      </c>
      <c r="J4" s="64" t="s">
        <v>26</v>
      </c>
      <c r="K4" s="64" t="s">
        <v>32</v>
      </c>
      <c r="L4" s="64" t="s">
        <v>26</v>
      </c>
      <c r="M4" s="61">
        <v>1369.8430000000001</v>
      </c>
      <c r="N4" s="63">
        <v>951.3</v>
      </c>
      <c r="O4" s="60">
        <v>0.1321</v>
      </c>
      <c r="P4" s="62">
        <v>7.93</v>
      </c>
      <c r="Q4" s="59">
        <v>500</v>
      </c>
      <c r="R4" s="59">
        <v>2</v>
      </c>
      <c r="S4" s="59">
        <v>1500</v>
      </c>
      <c r="T4" s="61">
        <v>1.44</v>
      </c>
      <c r="U4" s="59">
        <v>60</v>
      </c>
      <c r="V4" s="60">
        <v>0.04</v>
      </c>
      <c r="W4" s="59" t="s">
        <v>272</v>
      </c>
      <c r="X4" s="59" t="s">
        <v>28</v>
      </c>
      <c r="Y4" s="59" t="s">
        <v>33</v>
      </c>
      <c r="Z4" s="59" t="s">
        <v>26</v>
      </c>
      <c r="AA4" s="59" t="s">
        <v>26</v>
      </c>
      <c r="AB4" s="59" t="s">
        <v>31</v>
      </c>
      <c r="AC4" s="59" t="s">
        <v>377</v>
      </c>
    </row>
    <row r="5" spans="1:29" ht="25.05" customHeight="1" x14ac:dyDescent="0.3">
      <c r="A5" s="64">
        <v>3</v>
      </c>
      <c r="B5" s="66" t="s">
        <v>375</v>
      </c>
      <c r="C5" s="64" t="s">
        <v>273</v>
      </c>
      <c r="D5" s="64" t="s">
        <v>318</v>
      </c>
      <c r="E5" s="64">
        <v>263217</v>
      </c>
      <c r="F5" s="64" t="s">
        <v>374</v>
      </c>
      <c r="G5" s="64">
        <v>2283</v>
      </c>
      <c r="H5" s="65">
        <v>0.48</v>
      </c>
      <c r="I5" s="65">
        <v>1.25</v>
      </c>
      <c r="J5" s="64" t="s">
        <v>26</v>
      </c>
      <c r="K5" s="64" t="s">
        <v>32</v>
      </c>
      <c r="L5" s="64" t="s">
        <v>26</v>
      </c>
      <c r="M5" s="61">
        <v>1369.8</v>
      </c>
      <c r="N5" s="63">
        <v>951.3</v>
      </c>
      <c r="O5" s="60">
        <v>8.8099999999999998E-2</v>
      </c>
      <c r="P5" s="62">
        <v>5.28</v>
      </c>
      <c r="Q5" s="59">
        <v>500</v>
      </c>
      <c r="R5" s="59">
        <v>3</v>
      </c>
      <c r="S5" s="59">
        <v>1500</v>
      </c>
      <c r="T5" s="61">
        <v>1.44</v>
      </c>
      <c r="U5" s="59">
        <v>60</v>
      </c>
      <c r="V5" s="60">
        <v>0.04</v>
      </c>
      <c r="W5" s="59" t="s">
        <v>272</v>
      </c>
      <c r="X5" s="59" t="s">
        <v>28</v>
      </c>
      <c r="Y5" s="59" t="s">
        <v>33</v>
      </c>
      <c r="Z5" s="59" t="s">
        <v>26</v>
      </c>
      <c r="AA5" s="59" t="s">
        <v>26</v>
      </c>
      <c r="AB5" s="59" t="s">
        <v>29</v>
      </c>
      <c r="AC5" s="59" t="s">
        <v>376</v>
      </c>
    </row>
    <row r="6" spans="1:29" ht="25.05" customHeight="1" x14ac:dyDescent="0.3">
      <c r="A6" s="64">
        <v>4</v>
      </c>
      <c r="B6" s="66" t="s">
        <v>375</v>
      </c>
      <c r="C6" s="64" t="s">
        <v>42</v>
      </c>
      <c r="D6" s="64" t="s">
        <v>318</v>
      </c>
      <c r="E6" s="64">
        <v>263219</v>
      </c>
      <c r="F6" s="64" t="s">
        <v>374</v>
      </c>
      <c r="G6" s="64">
        <v>3869</v>
      </c>
      <c r="H6" s="65">
        <v>0.56000000000000005</v>
      </c>
      <c r="I6" s="65">
        <v>0.91</v>
      </c>
      <c r="J6" s="64" t="s">
        <v>26</v>
      </c>
      <c r="K6" s="64" t="s">
        <v>32</v>
      </c>
      <c r="L6" s="64" t="s">
        <v>26</v>
      </c>
      <c r="M6" s="61">
        <v>1971.6420000000001</v>
      </c>
      <c r="N6" s="63">
        <v>1760.4</v>
      </c>
      <c r="O6" s="60">
        <v>0.2445</v>
      </c>
      <c r="P6" s="62">
        <v>14.67</v>
      </c>
      <c r="Q6" s="59">
        <v>699.9</v>
      </c>
      <c r="R6" s="59">
        <v>2</v>
      </c>
      <c r="S6" s="59">
        <v>1150</v>
      </c>
      <c r="T6" s="61">
        <v>1.1200000000000001</v>
      </c>
      <c r="U6" s="59">
        <v>30</v>
      </c>
      <c r="V6" s="60">
        <v>2.6100000000000002E-2</v>
      </c>
      <c r="W6" s="59" t="s">
        <v>28</v>
      </c>
      <c r="X6" s="59" t="s">
        <v>27</v>
      </c>
      <c r="Y6" s="59" t="s">
        <v>28</v>
      </c>
      <c r="Z6" s="59" t="s">
        <v>26</v>
      </c>
      <c r="AA6" s="59" t="s">
        <v>26</v>
      </c>
      <c r="AB6" s="59" t="s">
        <v>29</v>
      </c>
      <c r="AC6" s="59" t="s">
        <v>373</v>
      </c>
    </row>
    <row r="7" spans="1:29" ht="25.05" customHeight="1" x14ac:dyDescent="0.3">
      <c r="A7" s="58" t="s">
        <v>26</v>
      </c>
      <c r="B7" s="58" t="s">
        <v>26</v>
      </c>
      <c r="C7" s="58" t="s">
        <v>26</v>
      </c>
      <c r="D7" s="58" t="s">
        <v>26</v>
      </c>
      <c r="E7" s="58" t="s">
        <v>26</v>
      </c>
      <c r="F7" s="58" t="s">
        <v>26</v>
      </c>
      <c r="G7" s="58">
        <v>11272</v>
      </c>
      <c r="H7" s="58" t="s">
        <v>26</v>
      </c>
      <c r="I7" s="58" t="s">
        <v>26</v>
      </c>
      <c r="J7" s="58" t="s">
        <v>26</v>
      </c>
      <c r="K7" s="58" t="s">
        <v>26</v>
      </c>
      <c r="L7" s="58" t="s">
        <v>26</v>
      </c>
      <c r="M7" s="57" t="s">
        <v>26</v>
      </c>
      <c r="N7" s="57" t="s">
        <v>26</v>
      </c>
      <c r="O7" s="57" t="s">
        <v>26</v>
      </c>
      <c r="P7" s="57" t="s">
        <v>26</v>
      </c>
      <c r="Q7" s="57">
        <v>1999.9</v>
      </c>
      <c r="R7" s="57" t="s">
        <v>26</v>
      </c>
      <c r="S7" s="57" t="s">
        <v>26</v>
      </c>
      <c r="T7" s="57" t="s">
        <v>26</v>
      </c>
      <c r="U7" s="57" t="s">
        <v>26</v>
      </c>
      <c r="V7" s="57" t="s">
        <v>26</v>
      </c>
      <c r="W7" s="57" t="s">
        <v>26</v>
      </c>
      <c r="X7" s="57" t="s">
        <v>26</v>
      </c>
      <c r="Y7" s="57" t="s">
        <v>26</v>
      </c>
      <c r="Z7" s="57" t="s">
        <v>26</v>
      </c>
      <c r="AA7" s="57" t="s">
        <v>26</v>
      </c>
      <c r="AB7" s="57" t="s">
        <v>26</v>
      </c>
      <c r="AC7" s="57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C85DB-BECD-46B1-B65B-09B696E32E2C}">
  <dimension ref="A1:AC14"/>
  <sheetViews>
    <sheetView workbookViewId="0">
      <selection activeCell="G20" sqref="G20"/>
    </sheetView>
  </sheetViews>
  <sheetFormatPr defaultRowHeight="14.4" x14ac:dyDescent="0.3"/>
  <cols>
    <col min="1" max="1" width="4.77734375" style="3" customWidth="1"/>
    <col min="2" max="2" width="20.77734375" style="3" hidden="1" customWidth="1"/>
    <col min="3" max="3" width="6.33203125" style="3" customWidth="1"/>
    <col min="4" max="4" width="11.77734375" style="3" hidden="1" customWidth="1"/>
    <col min="5" max="5" width="7.33203125" style="3" customWidth="1"/>
    <col min="6" max="6" width="4.88671875" style="3" customWidth="1"/>
    <col min="7" max="7" width="6.21875" style="3" customWidth="1"/>
    <col min="8" max="8" width="6.88671875" style="3" customWidth="1"/>
    <col min="9" max="9" width="7.5546875" style="3" customWidth="1"/>
    <col min="10" max="10" width="7.44140625" style="3" customWidth="1"/>
    <col min="11" max="11" width="18.88671875" style="3" customWidth="1"/>
    <col min="12" max="12" width="8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21875" style="3" customWidth="1"/>
    <col min="18" max="18" width="4.88671875" style="3" customWidth="1"/>
    <col min="19" max="19" width="6.33203125" style="3" hidden="1" customWidth="1"/>
    <col min="20" max="21" width="11.77734375" style="3" hidden="1" customWidth="1"/>
    <col min="22" max="22" width="8.77734375" style="3" hidden="1" customWidth="1"/>
    <col min="23" max="23" width="7.77734375" style="3" customWidth="1"/>
    <col min="24" max="24" width="8" style="3" customWidth="1"/>
    <col min="25" max="26" width="7.88671875" style="3" customWidth="1"/>
    <col min="27" max="27" width="7.5546875" style="3" customWidth="1"/>
    <col min="28" max="28" width="4.6640625" style="3" customWidth="1"/>
    <col min="29" max="29" width="10.21875" style="3" customWidth="1"/>
    <col min="30" max="16384" width="8.88671875" style="3"/>
  </cols>
  <sheetData>
    <row r="1" spans="1:29" ht="18" customHeight="1" x14ac:dyDescent="0.35">
      <c r="A1" s="67" t="s">
        <v>367</v>
      </c>
      <c r="B1" s="67" t="s">
        <v>26</v>
      </c>
      <c r="C1" s="67" t="s">
        <v>26</v>
      </c>
      <c r="D1" s="67" t="s">
        <v>26</v>
      </c>
      <c r="E1" s="67" t="s">
        <v>26</v>
      </c>
      <c r="F1" s="67" t="s">
        <v>26</v>
      </c>
      <c r="G1" s="67" t="s">
        <v>26</v>
      </c>
      <c r="H1" s="67" t="s">
        <v>26</v>
      </c>
      <c r="I1" s="67" t="s">
        <v>26</v>
      </c>
      <c r="J1" s="67" t="s">
        <v>26</v>
      </c>
      <c r="K1" s="67" t="s">
        <v>26</v>
      </c>
      <c r="L1" s="67" t="s">
        <v>26</v>
      </c>
      <c r="M1" s="67" t="s">
        <v>26</v>
      </c>
      <c r="N1" s="67" t="s">
        <v>26</v>
      </c>
      <c r="O1" s="67" t="s">
        <v>26</v>
      </c>
      <c r="P1" s="67" t="s">
        <v>26</v>
      </c>
      <c r="Q1" s="67" t="s">
        <v>26</v>
      </c>
      <c r="R1" s="67" t="s">
        <v>26</v>
      </c>
      <c r="S1" s="67" t="s">
        <v>26</v>
      </c>
      <c r="T1" s="67" t="s">
        <v>26</v>
      </c>
      <c r="U1" s="67" t="s">
        <v>26</v>
      </c>
      <c r="V1" s="67" t="s">
        <v>26</v>
      </c>
      <c r="W1" s="67" t="s">
        <v>26</v>
      </c>
      <c r="X1" s="67" t="s">
        <v>26</v>
      </c>
      <c r="Y1" s="67" t="s">
        <v>26</v>
      </c>
      <c r="Z1" s="67" t="s">
        <v>26</v>
      </c>
      <c r="AA1" s="67" t="s">
        <v>26</v>
      </c>
      <c r="AB1" s="67" t="s">
        <v>26</v>
      </c>
      <c r="AC1" s="67" t="s">
        <v>26</v>
      </c>
    </row>
    <row r="2" spans="1:29" ht="30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/>
      <c r="B3" s="6" t="s">
        <v>78</v>
      </c>
      <c r="C3" s="5" t="s">
        <v>25</v>
      </c>
      <c r="D3" s="5" t="s">
        <v>276</v>
      </c>
      <c r="E3" s="5">
        <v>263210</v>
      </c>
      <c r="F3" s="5" t="s">
        <v>353</v>
      </c>
      <c r="G3" s="5">
        <v>400</v>
      </c>
      <c r="H3" s="7">
        <v>1.4910000000000001</v>
      </c>
      <c r="I3" s="7">
        <v>1.43</v>
      </c>
      <c r="J3" s="5" t="s">
        <v>26</v>
      </c>
      <c r="K3" s="5" t="s">
        <v>32</v>
      </c>
      <c r="L3" s="5" t="s">
        <v>26</v>
      </c>
      <c r="M3" s="7">
        <v>852.85199999999998</v>
      </c>
      <c r="N3" s="8">
        <v>572</v>
      </c>
      <c r="O3" s="9">
        <v>0.15890000000000001</v>
      </c>
      <c r="P3" s="10">
        <v>9.5299999999999994</v>
      </c>
      <c r="Q3" s="5">
        <v>458.8</v>
      </c>
      <c r="R3" s="5">
        <v>1</v>
      </c>
      <c r="S3" s="5">
        <v>1550</v>
      </c>
      <c r="T3" s="7">
        <v>1.4910000000000001</v>
      </c>
      <c r="U3" s="5">
        <v>59</v>
      </c>
      <c r="V3" s="9">
        <v>3.8100000000000002E-2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29</v>
      </c>
      <c r="AC3" s="5" t="s">
        <v>366</v>
      </c>
    </row>
    <row r="4" spans="1:29" s="11" customFormat="1" ht="25.05" customHeight="1" x14ac:dyDescent="0.3">
      <c r="A4" s="5"/>
      <c r="B4" s="6" t="s">
        <v>78</v>
      </c>
      <c r="C4" s="5" t="s">
        <v>25</v>
      </c>
      <c r="D4" s="5" t="s">
        <v>276</v>
      </c>
      <c r="E4" s="5">
        <v>263206</v>
      </c>
      <c r="F4" s="5" t="s">
        <v>353</v>
      </c>
      <c r="G4" s="5">
        <v>650</v>
      </c>
      <c r="H4" s="7">
        <v>0.64600000000000002</v>
      </c>
      <c r="I4" s="7">
        <v>1.37</v>
      </c>
      <c r="J4" s="5" t="s">
        <v>26</v>
      </c>
      <c r="K4" s="5" t="s">
        <v>365</v>
      </c>
      <c r="L4" s="5" t="s">
        <v>26</v>
      </c>
      <c r="M4" s="7">
        <v>575.26300000000003</v>
      </c>
      <c r="N4" s="8">
        <v>445.3</v>
      </c>
      <c r="O4" s="9">
        <v>6.1800000000000001E-2</v>
      </c>
      <c r="P4" s="10">
        <v>3.71</v>
      </c>
      <c r="Q4" s="5">
        <v>309.5</v>
      </c>
      <c r="R4" s="5">
        <v>2</v>
      </c>
      <c r="S4" s="5">
        <v>1350</v>
      </c>
      <c r="T4" s="7">
        <v>1.292</v>
      </c>
      <c r="U4" s="5">
        <v>58</v>
      </c>
      <c r="V4" s="9">
        <v>4.2999999999999997E-2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30</v>
      </c>
      <c r="AC4" s="5" t="s">
        <v>364</v>
      </c>
    </row>
    <row r="5" spans="1:29" s="11" customFormat="1" ht="25.05" customHeight="1" x14ac:dyDescent="0.3">
      <c r="A5" s="5"/>
      <c r="B5" s="6" t="s">
        <v>78</v>
      </c>
      <c r="C5" s="5" t="s">
        <v>25</v>
      </c>
      <c r="D5" s="5" t="s">
        <v>276</v>
      </c>
      <c r="E5" s="5">
        <v>263207</v>
      </c>
      <c r="F5" s="5" t="s">
        <v>353</v>
      </c>
      <c r="G5" s="5">
        <v>300</v>
      </c>
      <c r="H5" s="7">
        <v>1.321</v>
      </c>
      <c r="I5" s="7">
        <v>2.0499999999999998</v>
      </c>
      <c r="J5" s="5" t="s">
        <v>26</v>
      </c>
      <c r="K5" s="5" t="s">
        <v>363</v>
      </c>
      <c r="L5" s="5" t="s">
        <v>26</v>
      </c>
      <c r="M5" s="7">
        <v>812.41499999999996</v>
      </c>
      <c r="N5" s="8">
        <v>615</v>
      </c>
      <c r="O5" s="9">
        <v>0.17080000000000001</v>
      </c>
      <c r="P5" s="10">
        <v>10.25</v>
      </c>
      <c r="Q5" s="5">
        <v>437.1</v>
      </c>
      <c r="R5" s="5">
        <v>1</v>
      </c>
      <c r="S5" s="5">
        <v>1350</v>
      </c>
      <c r="T5" s="7">
        <v>1.321</v>
      </c>
      <c r="U5" s="5">
        <v>29</v>
      </c>
      <c r="V5" s="9">
        <v>2.1499999999999998E-2</v>
      </c>
      <c r="W5" s="5" t="s">
        <v>27</v>
      </c>
      <c r="X5" s="5" t="s">
        <v>28</v>
      </c>
      <c r="Y5" s="5" t="s">
        <v>27</v>
      </c>
      <c r="Z5" s="5" t="s">
        <v>27</v>
      </c>
      <c r="AA5" s="5" t="s">
        <v>27</v>
      </c>
      <c r="AB5" s="5" t="s">
        <v>31</v>
      </c>
      <c r="AC5" s="5" t="s">
        <v>362</v>
      </c>
    </row>
    <row r="6" spans="1:29" s="11" customFormat="1" ht="25.05" customHeight="1" x14ac:dyDescent="0.3">
      <c r="A6" s="5"/>
      <c r="B6" s="6" t="s">
        <v>78</v>
      </c>
      <c r="C6" s="5" t="s">
        <v>25</v>
      </c>
      <c r="D6" s="5" t="s">
        <v>276</v>
      </c>
      <c r="E6" s="5">
        <v>263208</v>
      </c>
      <c r="F6" s="5" t="s">
        <v>353</v>
      </c>
      <c r="G6" s="5">
        <v>610</v>
      </c>
      <c r="H6" s="7">
        <v>1.25</v>
      </c>
      <c r="I6" s="7">
        <v>0.73099999999999998</v>
      </c>
      <c r="J6" s="5" t="s">
        <v>26</v>
      </c>
      <c r="K6" s="5" t="s">
        <v>361</v>
      </c>
      <c r="L6" s="5" t="s">
        <v>26</v>
      </c>
      <c r="M6" s="7">
        <v>557.38699999999994</v>
      </c>
      <c r="N6" s="8">
        <v>445.9</v>
      </c>
      <c r="O6" s="9">
        <v>0.1239</v>
      </c>
      <c r="P6" s="10">
        <v>7.43</v>
      </c>
      <c r="Q6" s="5">
        <v>299.89999999999998</v>
      </c>
      <c r="R6" s="5">
        <v>1</v>
      </c>
      <c r="S6" s="5">
        <v>1300</v>
      </c>
      <c r="T6" s="7">
        <v>1.25</v>
      </c>
      <c r="U6" s="5">
        <v>50</v>
      </c>
      <c r="V6" s="9">
        <v>3.85E-2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30</v>
      </c>
      <c r="AC6" s="5" t="s">
        <v>360</v>
      </c>
    </row>
    <row r="7" spans="1:29" s="11" customFormat="1" ht="25.05" customHeight="1" x14ac:dyDescent="0.3">
      <c r="A7" s="5"/>
      <c r="B7" s="6" t="s">
        <v>78</v>
      </c>
      <c r="C7" s="5" t="s">
        <v>25</v>
      </c>
      <c r="D7" s="5" t="s">
        <v>276</v>
      </c>
      <c r="E7" s="5">
        <v>263212</v>
      </c>
      <c r="F7" s="5" t="s">
        <v>353</v>
      </c>
      <c r="G7" s="5">
        <v>230</v>
      </c>
      <c r="H7" s="7">
        <v>1.2410000000000001</v>
      </c>
      <c r="I7" s="7">
        <v>2.0099999999999998</v>
      </c>
      <c r="J7" s="5" t="s">
        <v>26</v>
      </c>
      <c r="K7" s="5" t="s">
        <v>32</v>
      </c>
      <c r="L7" s="5" t="s">
        <v>26</v>
      </c>
      <c r="M7" s="7">
        <v>573.71400000000006</v>
      </c>
      <c r="N7" s="8">
        <v>462.3</v>
      </c>
      <c r="O7" s="9">
        <v>0.12839999999999999</v>
      </c>
      <c r="P7" s="10">
        <v>7.7</v>
      </c>
      <c r="Q7" s="5">
        <v>308.7</v>
      </c>
      <c r="R7" s="5">
        <v>1</v>
      </c>
      <c r="S7" s="5">
        <v>1300</v>
      </c>
      <c r="T7" s="7">
        <v>1.2410000000000001</v>
      </c>
      <c r="U7" s="5">
        <v>59</v>
      </c>
      <c r="V7" s="9">
        <v>4.5400000000000003E-2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31</v>
      </c>
      <c r="AC7" s="5" t="s">
        <v>359</v>
      </c>
    </row>
    <row r="8" spans="1:29" s="11" customFormat="1" ht="25.05" customHeight="1" x14ac:dyDescent="0.3">
      <c r="A8" s="5"/>
      <c r="B8" s="6" t="s">
        <v>78</v>
      </c>
      <c r="C8" s="5" t="s">
        <v>25</v>
      </c>
      <c r="D8" s="5" t="s">
        <v>276</v>
      </c>
      <c r="E8" s="5">
        <v>263211</v>
      </c>
      <c r="F8" s="5" t="s">
        <v>353</v>
      </c>
      <c r="G8" s="5">
        <v>180</v>
      </c>
      <c r="H8" s="7">
        <v>1.2150000000000001</v>
      </c>
      <c r="I8" s="7">
        <v>2.56</v>
      </c>
      <c r="J8" s="5" t="s">
        <v>26</v>
      </c>
      <c r="K8" s="5" t="s">
        <v>32</v>
      </c>
      <c r="L8" s="5" t="s">
        <v>26</v>
      </c>
      <c r="M8" s="7">
        <v>559.87199999999996</v>
      </c>
      <c r="N8" s="8">
        <v>460.8</v>
      </c>
      <c r="O8" s="9">
        <v>0.128</v>
      </c>
      <c r="P8" s="10">
        <v>7.68</v>
      </c>
      <c r="Q8" s="5">
        <v>301.2</v>
      </c>
      <c r="R8" s="5">
        <v>1</v>
      </c>
      <c r="S8" s="5">
        <v>1250</v>
      </c>
      <c r="T8" s="7">
        <v>1.2150000000000001</v>
      </c>
      <c r="U8" s="5">
        <v>35</v>
      </c>
      <c r="V8" s="9">
        <v>2.8000000000000001E-2</v>
      </c>
      <c r="W8" s="5" t="s">
        <v>27</v>
      </c>
      <c r="X8" s="5" t="s">
        <v>28</v>
      </c>
      <c r="Y8" s="5" t="s">
        <v>27</v>
      </c>
      <c r="Z8" s="5" t="s">
        <v>27</v>
      </c>
      <c r="AA8" s="5" t="s">
        <v>27</v>
      </c>
      <c r="AB8" s="5" t="s">
        <v>36</v>
      </c>
      <c r="AC8" s="5" t="s">
        <v>358</v>
      </c>
    </row>
    <row r="9" spans="1:29" s="11" customFormat="1" ht="25.05" customHeight="1" x14ac:dyDescent="0.3">
      <c r="A9" s="5"/>
      <c r="B9" s="6" t="s">
        <v>78</v>
      </c>
      <c r="C9" s="5" t="s">
        <v>25</v>
      </c>
      <c r="D9" s="5" t="s">
        <v>276</v>
      </c>
      <c r="E9" s="5">
        <v>263209</v>
      </c>
      <c r="F9" s="5" t="s">
        <v>353</v>
      </c>
      <c r="G9" s="5">
        <v>620</v>
      </c>
      <c r="H9" s="7">
        <v>1.07</v>
      </c>
      <c r="I9" s="7">
        <v>0.84599999999999997</v>
      </c>
      <c r="J9" s="5" t="s">
        <v>26</v>
      </c>
      <c r="K9" s="5" t="s">
        <v>357</v>
      </c>
      <c r="L9" s="5" t="s">
        <v>26</v>
      </c>
      <c r="M9" s="7">
        <v>561.23599999999999</v>
      </c>
      <c r="N9" s="8">
        <v>524.5</v>
      </c>
      <c r="O9" s="9">
        <v>0.1457</v>
      </c>
      <c r="P9" s="10">
        <v>8.74</v>
      </c>
      <c r="Q9" s="5">
        <v>301.89999999999998</v>
      </c>
      <c r="R9" s="5">
        <v>1</v>
      </c>
      <c r="S9" s="5">
        <v>1100</v>
      </c>
      <c r="T9" s="7">
        <v>1.07</v>
      </c>
      <c r="U9" s="5">
        <v>30</v>
      </c>
      <c r="V9" s="9">
        <v>2.7300000000000001E-2</v>
      </c>
      <c r="W9" s="5" t="s">
        <v>27</v>
      </c>
      <c r="X9" s="5" t="s">
        <v>28</v>
      </c>
      <c r="Y9" s="5" t="s">
        <v>27</v>
      </c>
      <c r="Z9" s="5" t="s">
        <v>27</v>
      </c>
      <c r="AA9" s="5" t="s">
        <v>27</v>
      </c>
      <c r="AB9" s="5" t="s">
        <v>31</v>
      </c>
      <c r="AC9" s="5" t="s">
        <v>356</v>
      </c>
    </row>
    <row r="10" spans="1:29" s="11" customFormat="1" ht="25.05" customHeight="1" x14ac:dyDescent="0.3">
      <c r="A10" s="5"/>
      <c r="B10" s="6" t="s">
        <v>78</v>
      </c>
      <c r="C10" s="5" t="s">
        <v>34</v>
      </c>
      <c r="D10" s="5" t="s">
        <v>276</v>
      </c>
      <c r="E10" s="5">
        <v>263203</v>
      </c>
      <c r="F10" s="5" t="s">
        <v>353</v>
      </c>
      <c r="G10" s="5">
        <v>600</v>
      </c>
      <c r="H10" s="7">
        <v>1.3080000000000001</v>
      </c>
      <c r="I10" s="7">
        <v>1.337</v>
      </c>
      <c r="J10" s="5" t="s">
        <v>26</v>
      </c>
      <c r="K10" s="5" t="s">
        <v>32</v>
      </c>
      <c r="L10" s="5" t="s">
        <v>26</v>
      </c>
      <c r="M10" s="7">
        <v>1049.278</v>
      </c>
      <c r="N10" s="8">
        <v>802.2</v>
      </c>
      <c r="O10" s="9">
        <v>0.2228</v>
      </c>
      <c r="P10" s="10">
        <v>13.37</v>
      </c>
      <c r="Q10" s="5">
        <v>335.8</v>
      </c>
      <c r="R10" s="5">
        <v>1</v>
      </c>
      <c r="S10" s="5">
        <v>1350</v>
      </c>
      <c r="T10" s="7">
        <v>1.3080000000000001</v>
      </c>
      <c r="U10" s="5">
        <v>42</v>
      </c>
      <c r="V10" s="9">
        <v>3.1099999999999999E-2</v>
      </c>
      <c r="W10" s="5" t="s">
        <v>27</v>
      </c>
      <c r="X10" s="5" t="s">
        <v>27</v>
      </c>
      <c r="Y10" s="5" t="s">
        <v>27</v>
      </c>
      <c r="Z10" s="5" t="s">
        <v>26</v>
      </c>
      <c r="AA10" s="5" t="s">
        <v>26</v>
      </c>
      <c r="AB10" s="5" t="s">
        <v>31</v>
      </c>
      <c r="AC10" s="5" t="s">
        <v>355</v>
      </c>
    </row>
    <row r="11" spans="1:29" s="11" customFormat="1" ht="25.05" customHeight="1" x14ac:dyDescent="0.3">
      <c r="A11" s="5"/>
      <c r="B11" s="6" t="s">
        <v>78</v>
      </c>
      <c r="C11" s="5" t="s">
        <v>34</v>
      </c>
      <c r="D11" s="5" t="s">
        <v>276</v>
      </c>
      <c r="E11" s="5">
        <v>263202</v>
      </c>
      <c r="F11" s="5" t="s">
        <v>353</v>
      </c>
      <c r="G11" s="5">
        <v>1000</v>
      </c>
      <c r="H11" s="7">
        <v>0.82</v>
      </c>
      <c r="I11" s="7">
        <v>1.2</v>
      </c>
      <c r="J11" s="5" t="s">
        <v>26</v>
      </c>
      <c r="K11" s="5" t="s">
        <v>32</v>
      </c>
      <c r="L11" s="5" t="s">
        <v>26</v>
      </c>
      <c r="M11" s="7">
        <v>984</v>
      </c>
      <c r="N11" s="8">
        <v>600</v>
      </c>
      <c r="O11" s="9">
        <v>8.3299999999999999E-2</v>
      </c>
      <c r="P11" s="10">
        <v>5</v>
      </c>
      <c r="Q11" s="5">
        <v>314.89999999999998</v>
      </c>
      <c r="R11" s="5">
        <v>2</v>
      </c>
      <c r="S11" s="5">
        <v>1150</v>
      </c>
      <c r="T11" s="7">
        <v>1.64</v>
      </c>
      <c r="U11" s="5">
        <v>-490</v>
      </c>
      <c r="V11" s="9">
        <v>-0.42609999999999998</v>
      </c>
      <c r="W11" s="5" t="s">
        <v>27</v>
      </c>
      <c r="X11" s="5" t="s">
        <v>27</v>
      </c>
      <c r="Y11" s="5" t="s">
        <v>27</v>
      </c>
      <c r="Z11" s="5" t="s">
        <v>26</v>
      </c>
      <c r="AA11" s="5" t="s">
        <v>26</v>
      </c>
      <c r="AB11" s="5" t="s">
        <v>31</v>
      </c>
      <c r="AC11" s="5" t="s">
        <v>340</v>
      </c>
    </row>
    <row r="12" spans="1:29" s="11" customFormat="1" ht="25.05" customHeight="1" x14ac:dyDescent="0.3">
      <c r="A12" s="5"/>
      <c r="B12" s="6" t="s">
        <v>78</v>
      </c>
      <c r="C12" s="5" t="s">
        <v>34</v>
      </c>
      <c r="D12" s="5" t="s">
        <v>276</v>
      </c>
      <c r="E12" s="5">
        <v>263204</v>
      </c>
      <c r="F12" s="5" t="s">
        <v>353</v>
      </c>
      <c r="G12" s="5">
        <v>800</v>
      </c>
      <c r="H12" s="7">
        <v>1.1000000000000001</v>
      </c>
      <c r="I12" s="7">
        <v>1.22</v>
      </c>
      <c r="J12" s="5" t="s">
        <v>26</v>
      </c>
      <c r="K12" s="5" t="s">
        <v>32</v>
      </c>
      <c r="L12" s="5" t="s">
        <v>26</v>
      </c>
      <c r="M12" s="7">
        <v>1073.5999999999999</v>
      </c>
      <c r="N12" s="8">
        <v>976</v>
      </c>
      <c r="O12" s="9">
        <v>0.27110000000000001</v>
      </c>
      <c r="P12" s="10">
        <v>16.27</v>
      </c>
      <c r="Q12" s="5">
        <v>343.6</v>
      </c>
      <c r="R12" s="5">
        <v>1</v>
      </c>
      <c r="S12" s="5">
        <v>1150</v>
      </c>
      <c r="T12" s="7">
        <v>1.1000000000000001</v>
      </c>
      <c r="U12" s="5">
        <v>50</v>
      </c>
      <c r="V12" s="9">
        <v>4.3499999999999997E-2</v>
      </c>
      <c r="W12" s="5" t="s">
        <v>27</v>
      </c>
      <c r="X12" s="5" t="s">
        <v>27</v>
      </c>
      <c r="Y12" s="5" t="s">
        <v>27</v>
      </c>
      <c r="Z12" s="5" t="s">
        <v>26</v>
      </c>
      <c r="AA12" s="5" t="s">
        <v>26</v>
      </c>
      <c r="AB12" s="5" t="s">
        <v>31</v>
      </c>
      <c r="AC12" s="5" t="s">
        <v>354</v>
      </c>
    </row>
    <row r="13" spans="1:29" s="11" customFormat="1" ht="25.05" customHeight="1" x14ac:dyDescent="0.3">
      <c r="A13" s="5"/>
      <c r="B13" s="6" t="s">
        <v>78</v>
      </c>
      <c r="C13" s="5" t="s">
        <v>34</v>
      </c>
      <c r="D13" s="5" t="s">
        <v>276</v>
      </c>
      <c r="E13" s="5">
        <v>263205</v>
      </c>
      <c r="F13" s="5" t="s">
        <v>353</v>
      </c>
      <c r="G13" s="5">
        <v>600</v>
      </c>
      <c r="H13" s="7">
        <v>0.97799999999999998</v>
      </c>
      <c r="I13" s="7">
        <v>2.2650000000000001</v>
      </c>
      <c r="J13" s="5" t="s">
        <v>26</v>
      </c>
      <c r="K13" s="5" t="s">
        <v>32</v>
      </c>
      <c r="L13" s="5" t="s">
        <v>26</v>
      </c>
      <c r="M13" s="7">
        <v>1329.1020000000001</v>
      </c>
      <c r="N13" s="8">
        <v>1359</v>
      </c>
      <c r="O13" s="9">
        <v>0.3775</v>
      </c>
      <c r="P13" s="10">
        <v>22.65</v>
      </c>
      <c r="Q13" s="5">
        <v>425.3</v>
      </c>
      <c r="R13" s="5">
        <v>1</v>
      </c>
      <c r="S13" s="5">
        <v>1000</v>
      </c>
      <c r="T13" s="7">
        <v>0.97799999999999998</v>
      </c>
      <c r="U13" s="5">
        <v>22</v>
      </c>
      <c r="V13" s="9">
        <v>2.1999999999999999E-2</v>
      </c>
      <c r="W13" s="5" t="s">
        <v>27</v>
      </c>
      <c r="X13" s="5" t="s">
        <v>27</v>
      </c>
      <c r="Y13" s="5" t="s">
        <v>27</v>
      </c>
      <c r="Z13" s="5" t="s">
        <v>26</v>
      </c>
      <c r="AA13" s="5" t="s">
        <v>26</v>
      </c>
      <c r="AB13" s="5" t="s">
        <v>31</v>
      </c>
      <c r="AC13" s="5" t="s">
        <v>352</v>
      </c>
    </row>
    <row r="14" spans="1:29" s="11" customFormat="1" ht="25.05" customHeight="1" x14ac:dyDescent="0.3">
      <c r="A14" s="12" t="s">
        <v>26</v>
      </c>
      <c r="B14" s="12" t="s">
        <v>26</v>
      </c>
      <c r="C14" s="12" t="s">
        <v>26</v>
      </c>
      <c r="D14" s="12" t="s">
        <v>26</v>
      </c>
      <c r="E14" s="12" t="s">
        <v>26</v>
      </c>
      <c r="F14" s="12" t="s">
        <v>26</v>
      </c>
      <c r="G14" s="12">
        <v>5990</v>
      </c>
      <c r="H14" s="12" t="s">
        <v>26</v>
      </c>
      <c r="I14" s="12" t="s">
        <v>26</v>
      </c>
      <c r="J14" s="12" t="s">
        <v>26</v>
      </c>
      <c r="K14" s="12" t="s">
        <v>26</v>
      </c>
      <c r="L14" s="12" t="s">
        <v>26</v>
      </c>
      <c r="M14" s="12" t="s">
        <v>26</v>
      </c>
      <c r="N14" s="12" t="s">
        <v>26</v>
      </c>
      <c r="O14" s="12" t="s">
        <v>26</v>
      </c>
      <c r="P14" s="12" t="s">
        <v>26</v>
      </c>
      <c r="Q14" s="12">
        <v>3836.6</v>
      </c>
      <c r="R14" s="12" t="s">
        <v>26</v>
      </c>
      <c r="S14" s="12" t="s">
        <v>26</v>
      </c>
      <c r="T14" s="12" t="s">
        <v>26</v>
      </c>
      <c r="U14" s="12" t="s">
        <v>26</v>
      </c>
      <c r="V14" s="12" t="s">
        <v>26</v>
      </c>
      <c r="W14" s="12" t="s">
        <v>26</v>
      </c>
      <c r="X14" s="12" t="s">
        <v>26</v>
      </c>
      <c r="Y14" s="12" t="s">
        <v>26</v>
      </c>
      <c r="Z14" s="12" t="s">
        <v>26</v>
      </c>
      <c r="AA14" s="12" t="s">
        <v>26</v>
      </c>
      <c r="AB14" s="12" t="s">
        <v>26</v>
      </c>
      <c r="AC14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641DE-4A1A-427E-816D-1E2406EBED3B}">
  <sheetPr>
    <pageSetUpPr fitToPage="1"/>
  </sheetPr>
  <dimension ref="A1:AC14"/>
  <sheetViews>
    <sheetView workbookViewId="0">
      <selection activeCell="Y39" sqref="Y39"/>
    </sheetView>
  </sheetViews>
  <sheetFormatPr defaultRowHeight="14.4" x14ac:dyDescent="0.3"/>
  <cols>
    <col min="1" max="1" width="5" style="3" customWidth="1"/>
    <col min="2" max="2" width="20.77734375" style="3" hidden="1" customWidth="1"/>
    <col min="3" max="3" width="6" style="3" customWidth="1"/>
    <col min="4" max="4" width="11.77734375" style="3" hidden="1" customWidth="1"/>
    <col min="5" max="5" width="8.109375" style="3" customWidth="1"/>
    <col min="6" max="6" width="5.109375" style="3" customWidth="1"/>
    <col min="7" max="7" width="5.6640625" style="3" customWidth="1"/>
    <col min="8" max="8" width="6.109375" style="3" customWidth="1"/>
    <col min="9" max="9" width="7.109375" style="3" customWidth="1"/>
    <col min="10" max="10" width="8.5546875" style="3" customWidth="1"/>
    <col min="11" max="11" width="12.21875" style="3" customWidth="1"/>
    <col min="12" max="12" width="8.441406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5546875" style="3" customWidth="1"/>
    <col min="18" max="18" width="4.33203125" style="3" hidden="1" customWidth="1"/>
    <col min="19" max="19" width="13.77734375" style="3" hidden="1" customWidth="1"/>
    <col min="20" max="21" width="11.77734375" style="3" hidden="1" customWidth="1"/>
    <col min="22" max="22" width="8.77734375" style="3" hidden="1" customWidth="1"/>
    <col min="23" max="23" width="7.77734375" style="3" customWidth="1"/>
    <col min="24" max="24" width="8" style="3" customWidth="1"/>
    <col min="25" max="25" width="7.77734375" style="3" customWidth="1"/>
    <col min="26" max="26" width="7.5546875" style="3" customWidth="1"/>
    <col min="27" max="27" width="7.88671875" style="3" customWidth="1"/>
    <col min="28" max="28" width="4.21875" style="3" customWidth="1"/>
    <col min="29" max="29" width="16.77734375" style="3" customWidth="1"/>
    <col min="30" max="16384" width="8.88671875" style="3"/>
  </cols>
  <sheetData>
    <row r="1" spans="1:29" ht="18" customHeight="1" x14ac:dyDescent="0.35">
      <c r="A1" s="68" t="s">
        <v>351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42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 x14ac:dyDescent="0.3">
      <c r="A3" s="27"/>
      <c r="B3" s="28" t="s">
        <v>160</v>
      </c>
      <c r="C3" s="27" t="s">
        <v>25</v>
      </c>
      <c r="D3" s="27" t="s">
        <v>313</v>
      </c>
      <c r="E3" s="27">
        <v>263200</v>
      </c>
      <c r="F3" s="27" t="s">
        <v>339</v>
      </c>
      <c r="G3" s="27">
        <v>950</v>
      </c>
      <c r="H3" s="29">
        <v>0.46400000000000002</v>
      </c>
      <c r="I3" s="29">
        <v>1.2090000000000001</v>
      </c>
      <c r="J3" s="27" t="s">
        <v>26</v>
      </c>
      <c r="K3" s="27" t="s">
        <v>350</v>
      </c>
      <c r="L3" s="27" t="s">
        <v>26</v>
      </c>
      <c r="M3" s="29">
        <v>532.92700000000002</v>
      </c>
      <c r="N3" s="30">
        <v>382.9</v>
      </c>
      <c r="O3" s="31">
        <v>3.5400000000000001E-2</v>
      </c>
      <c r="P3" s="32">
        <v>2.13</v>
      </c>
      <c r="Q3" s="27">
        <v>286.7</v>
      </c>
      <c r="R3" s="27">
        <v>3</v>
      </c>
      <c r="S3" s="27">
        <v>1450</v>
      </c>
      <c r="T3" s="29">
        <v>1.3919999999999999</v>
      </c>
      <c r="U3" s="27">
        <v>58</v>
      </c>
      <c r="V3" s="31">
        <v>0.04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29</v>
      </c>
      <c r="AC3" s="27" t="s">
        <v>349</v>
      </c>
    </row>
    <row r="4" spans="1:29" s="11" customFormat="1" ht="25.05" customHeight="1" x14ac:dyDescent="0.3">
      <c r="A4" s="13"/>
      <c r="B4" s="71" t="s">
        <v>160</v>
      </c>
      <c r="C4" s="71" t="s">
        <v>25</v>
      </c>
      <c r="D4" s="71" t="s">
        <v>313</v>
      </c>
      <c r="E4" s="72">
        <v>263222</v>
      </c>
      <c r="F4" s="71" t="s">
        <v>380</v>
      </c>
      <c r="G4" s="72">
        <v>850</v>
      </c>
      <c r="H4" s="73">
        <v>0.64200000000000002</v>
      </c>
      <c r="I4" s="73">
        <v>2.081</v>
      </c>
      <c r="J4" s="13"/>
      <c r="K4" s="71" t="s">
        <v>385</v>
      </c>
      <c r="L4" s="13"/>
      <c r="M4" s="73">
        <v>1135.6020000000001</v>
      </c>
      <c r="N4" s="74">
        <v>884.4</v>
      </c>
      <c r="O4" s="75">
        <v>0.12280000000000001</v>
      </c>
      <c r="P4" s="76">
        <v>7.37</v>
      </c>
      <c r="Q4" s="72">
        <v>611</v>
      </c>
      <c r="R4" s="72">
        <v>2</v>
      </c>
      <c r="S4" s="72">
        <v>1350</v>
      </c>
      <c r="T4" s="73">
        <v>1.284</v>
      </c>
      <c r="U4" s="72">
        <v>66</v>
      </c>
      <c r="V4" s="75">
        <v>4.8899999999999999E-2</v>
      </c>
      <c r="W4" s="71" t="s">
        <v>27</v>
      </c>
      <c r="X4" s="71" t="s">
        <v>28</v>
      </c>
      <c r="Y4" s="71" t="s">
        <v>27</v>
      </c>
      <c r="Z4" s="71" t="s">
        <v>27</v>
      </c>
      <c r="AA4" s="71" t="s">
        <v>27</v>
      </c>
      <c r="AB4" s="71" t="s">
        <v>41</v>
      </c>
      <c r="AC4" s="71" t="s">
        <v>386</v>
      </c>
    </row>
    <row r="5" spans="1:29" s="11" customFormat="1" ht="25.05" customHeight="1" x14ac:dyDescent="0.3">
      <c r="A5" s="13"/>
      <c r="B5" s="71" t="s">
        <v>160</v>
      </c>
      <c r="C5" s="71" t="s">
        <v>25</v>
      </c>
      <c r="D5" s="71" t="s">
        <v>313</v>
      </c>
      <c r="E5" s="72">
        <v>263221</v>
      </c>
      <c r="F5" s="71" t="s">
        <v>380</v>
      </c>
      <c r="G5" s="72">
        <v>650</v>
      </c>
      <c r="H5" s="73">
        <v>0.61799999999999999</v>
      </c>
      <c r="I5" s="73">
        <v>1.45</v>
      </c>
      <c r="J5" s="13"/>
      <c r="K5" s="71" t="s">
        <v>383</v>
      </c>
      <c r="L5" s="13"/>
      <c r="M5" s="73">
        <v>582.46500000000003</v>
      </c>
      <c r="N5" s="74">
        <v>471.3</v>
      </c>
      <c r="O5" s="75">
        <v>6.5500000000000003E-2</v>
      </c>
      <c r="P5" s="76">
        <v>3.93</v>
      </c>
      <c r="Q5" s="72">
        <v>313.39999999999998</v>
      </c>
      <c r="R5" s="72">
        <v>2</v>
      </c>
      <c r="S5" s="72">
        <v>1300</v>
      </c>
      <c r="T5" s="73">
        <v>1.236</v>
      </c>
      <c r="U5" s="72">
        <v>64</v>
      </c>
      <c r="V5" s="75">
        <v>4.9200000000000001E-2</v>
      </c>
      <c r="W5" s="71" t="s">
        <v>27</v>
      </c>
      <c r="X5" s="71" t="s">
        <v>28</v>
      </c>
      <c r="Y5" s="71" t="s">
        <v>27</v>
      </c>
      <c r="Z5" s="71" t="s">
        <v>27</v>
      </c>
      <c r="AA5" s="71" t="s">
        <v>27</v>
      </c>
      <c r="AB5" s="71" t="s">
        <v>30</v>
      </c>
      <c r="AC5" s="71" t="s">
        <v>384</v>
      </c>
    </row>
    <row r="6" spans="1:29" s="11" customFormat="1" ht="25.05" customHeight="1" x14ac:dyDescent="0.3">
      <c r="A6" s="27"/>
      <c r="B6" s="28" t="s">
        <v>160</v>
      </c>
      <c r="C6" s="27" t="s">
        <v>25</v>
      </c>
      <c r="D6" s="27" t="s">
        <v>313</v>
      </c>
      <c r="E6" s="27">
        <v>263199</v>
      </c>
      <c r="F6" s="27" t="s">
        <v>339</v>
      </c>
      <c r="G6" s="27">
        <v>620</v>
      </c>
      <c r="H6" s="29">
        <v>0.56799999999999995</v>
      </c>
      <c r="I6" s="29">
        <v>1.5089999999999999</v>
      </c>
      <c r="J6" s="27" t="s">
        <v>26</v>
      </c>
      <c r="K6" s="27" t="s">
        <v>348</v>
      </c>
      <c r="L6" s="27" t="s">
        <v>26</v>
      </c>
      <c r="M6" s="29">
        <v>531.40899999999999</v>
      </c>
      <c r="N6" s="30">
        <v>467.8</v>
      </c>
      <c r="O6" s="31">
        <v>6.5000000000000002E-2</v>
      </c>
      <c r="P6" s="32">
        <v>3.9</v>
      </c>
      <c r="Q6" s="27">
        <v>285.89999999999998</v>
      </c>
      <c r="R6" s="27">
        <v>2</v>
      </c>
      <c r="S6" s="27">
        <v>1200</v>
      </c>
      <c r="T6" s="29">
        <v>1.1359999999999999</v>
      </c>
      <c r="U6" s="27">
        <v>64</v>
      </c>
      <c r="V6" s="31">
        <v>5.33E-2</v>
      </c>
      <c r="W6" s="27" t="s">
        <v>27</v>
      </c>
      <c r="X6" s="27" t="s">
        <v>28</v>
      </c>
      <c r="Y6" s="27" t="s">
        <v>27</v>
      </c>
      <c r="Z6" s="27" t="s">
        <v>27</v>
      </c>
      <c r="AA6" s="27" t="s">
        <v>27</v>
      </c>
      <c r="AB6" s="27" t="s">
        <v>31</v>
      </c>
      <c r="AC6" s="27" t="s">
        <v>347</v>
      </c>
    </row>
    <row r="7" spans="1:29" s="11" customFormat="1" ht="25.05" customHeight="1" x14ac:dyDescent="0.3">
      <c r="A7" s="27"/>
      <c r="B7" s="28" t="s">
        <v>160</v>
      </c>
      <c r="C7" s="27" t="s">
        <v>47</v>
      </c>
      <c r="D7" s="27" t="s">
        <v>313</v>
      </c>
      <c r="E7" s="27">
        <v>263197</v>
      </c>
      <c r="F7" s="27" t="s">
        <v>339</v>
      </c>
      <c r="G7" s="27">
        <v>660</v>
      </c>
      <c r="H7" s="29">
        <v>0.78200000000000003</v>
      </c>
      <c r="I7" s="29">
        <v>1.76</v>
      </c>
      <c r="J7" s="27" t="s">
        <v>26</v>
      </c>
      <c r="K7" s="27" t="s">
        <v>346</v>
      </c>
      <c r="L7" s="27" t="s">
        <v>26</v>
      </c>
      <c r="M7" s="29">
        <v>908.37099999999998</v>
      </c>
      <c r="N7" s="30">
        <v>580.79999999999995</v>
      </c>
      <c r="O7" s="31">
        <v>8.0699999999999994E-2</v>
      </c>
      <c r="P7" s="32">
        <v>4.84</v>
      </c>
      <c r="Q7" s="27">
        <v>299.8</v>
      </c>
      <c r="R7" s="27">
        <v>2</v>
      </c>
      <c r="S7" s="27">
        <v>1600</v>
      </c>
      <c r="T7" s="29">
        <v>1.5640000000000001</v>
      </c>
      <c r="U7" s="27">
        <v>36</v>
      </c>
      <c r="V7" s="31">
        <v>2.2499999999999999E-2</v>
      </c>
      <c r="W7" s="27" t="s">
        <v>27</v>
      </c>
      <c r="X7" s="27" t="s">
        <v>27</v>
      </c>
      <c r="Y7" s="27" t="s">
        <v>27</v>
      </c>
      <c r="Z7" s="27" t="s">
        <v>26</v>
      </c>
      <c r="AA7" s="27" t="s">
        <v>26</v>
      </c>
      <c r="AB7" s="27" t="s">
        <v>29</v>
      </c>
      <c r="AC7" s="27" t="s">
        <v>345</v>
      </c>
    </row>
    <row r="8" spans="1:29" s="11" customFormat="1" ht="25.05" customHeight="1" x14ac:dyDescent="0.3">
      <c r="A8" s="27"/>
      <c r="B8" s="28" t="s">
        <v>160</v>
      </c>
      <c r="C8" s="27" t="s">
        <v>47</v>
      </c>
      <c r="D8" s="27" t="s">
        <v>313</v>
      </c>
      <c r="E8" s="27">
        <v>263194</v>
      </c>
      <c r="F8" s="27" t="s">
        <v>339</v>
      </c>
      <c r="G8" s="27">
        <v>770</v>
      </c>
      <c r="H8" s="29">
        <v>0.56699999999999995</v>
      </c>
      <c r="I8" s="29">
        <v>2.04</v>
      </c>
      <c r="J8" s="27" t="s">
        <v>26</v>
      </c>
      <c r="K8" s="27" t="s">
        <v>343</v>
      </c>
      <c r="L8" s="27" t="s">
        <v>26</v>
      </c>
      <c r="M8" s="29">
        <v>890.64400000000001</v>
      </c>
      <c r="N8" s="30">
        <v>785.4</v>
      </c>
      <c r="O8" s="31">
        <v>0.1091</v>
      </c>
      <c r="P8" s="32">
        <v>6.54</v>
      </c>
      <c r="Q8" s="27">
        <v>293.89999999999998</v>
      </c>
      <c r="R8" s="27">
        <v>2</v>
      </c>
      <c r="S8" s="27">
        <v>1200</v>
      </c>
      <c r="T8" s="29">
        <v>1.1339999999999999</v>
      </c>
      <c r="U8" s="27">
        <v>66</v>
      </c>
      <c r="V8" s="31">
        <v>5.5E-2</v>
      </c>
      <c r="W8" s="27" t="s">
        <v>27</v>
      </c>
      <c r="X8" s="27" t="s">
        <v>27</v>
      </c>
      <c r="Y8" s="27" t="s">
        <v>27</v>
      </c>
      <c r="Z8" s="27" t="s">
        <v>26</v>
      </c>
      <c r="AA8" s="27" t="s">
        <v>26</v>
      </c>
      <c r="AB8" s="27" t="s">
        <v>31</v>
      </c>
      <c r="AC8" s="27" t="s">
        <v>344</v>
      </c>
    </row>
    <row r="9" spans="1:29" s="11" customFormat="1" ht="25.05" customHeight="1" x14ac:dyDescent="0.3">
      <c r="A9" s="27"/>
      <c r="B9" s="28" t="s">
        <v>160</v>
      </c>
      <c r="C9" s="27" t="s">
        <v>47</v>
      </c>
      <c r="D9" s="27" t="s">
        <v>313</v>
      </c>
      <c r="E9" s="27">
        <v>263195</v>
      </c>
      <c r="F9" s="27" t="s">
        <v>339</v>
      </c>
      <c r="G9" s="27">
        <v>660</v>
      </c>
      <c r="H9" s="29">
        <v>0.56699999999999995</v>
      </c>
      <c r="I9" s="29">
        <v>2.37</v>
      </c>
      <c r="J9" s="27" t="s">
        <v>26</v>
      </c>
      <c r="K9" s="27" t="s">
        <v>343</v>
      </c>
      <c r="L9" s="27" t="s">
        <v>26</v>
      </c>
      <c r="M9" s="29">
        <v>886.90099999999995</v>
      </c>
      <c r="N9" s="30">
        <v>782.1</v>
      </c>
      <c r="O9" s="31">
        <v>0.1086</v>
      </c>
      <c r="P9" s="32">
        <v>6.52</v>
      </c>
      <c r="Q9" s="27">
        <v>292.7</v>
      </c>
      <c r="R9" s="27">
        <v>2</v>
      </c>
      <c r="S9" s="27">
        <v>1200</v>
      </c>
      <c r="T9" s="29">
        <v>1.1339999999999999</v>
      </c>
      <c r="U9" s="27">
        <v>66</v>
      </c>
      <c r="V9" s="31">
        <v>5.5E-2</v>
      </c>
      <c r="W9" s="27" t="s">
        <v>27</v>
      </c>
      <c r="X9" s="27" t="s">
        <v>27</v>
      </c>
      <c r="Y9" s="27" t="s">
        <v>27</v>
      </c>
      <c r="Z9" s="27" t="s">
        <v>26</v>
      </c>
      <c r="AA9" s="27" t="s">
        <v>26</v>
      </c>
      <c r="AB9" s="27" t="s">
        <v>29</v>
      </c>
      <c r="AC9" s="27" t="s">
        <v>342</v>
      </c>
    </row>
    <row r="10" spans="1:29" s="11" customFormat="1" ht="25.05" customHeight="1" x14ac:dyDescent="0.3">
      <c r="A10" s="27"/>
      <c r="B10" s="28" t="s">
        <v>160</v>
      </c>
      <c r="C10" s="27" t="s">
        <v>47</v>
      </c>
      <c r="D10" s="27" t="s">
        <v>313</v>
      </c>
      <c r="E10" s="27">
        <v>263201</v>
      </c>
      <c r="F10" s="27" t="s">
        <v>339</v>
      </c>
      <c r="G10" s="27">
        <v>1200</v>
      </c>
      <c r="H10" s="29">
        <v>0.54200000000000004</v>
      </c>
      <c r="I10" s="29">
        <v>1.54</v>
      </c>
      <c r="J10" s="27" t="s">
        <v>26</v>
      </c>
      <c r="K10" s="27" t="s">
        <v>341</v>
      </c>
      <c r="L10" s="27" t="s">
        <v>26</v>
      </c>
      <c r="M10" s="29">
        <v>1001.616</v>
      </c>
      <c r="N10" s="30">
        <v>924</v>
      </c>
      <c r="O10" s="31">
        <v>0.1283</v>
      </c>
      <c r="P10" s="32">
        <v>7.7</v>
      </c>
      <c r="Q10" s="27">
        <v>330.5</v>
      </c>
      <c r="R10" s="27">
        <v>2</v>
      </c>
      <c r="S10" s="27">
        <v>1150</v>
      </c>
      <c r="T10" s="29">
        <v>1.0840000000000001</v>
      </c>
      <c r="U10" s="27">
        <v>66</v>
      </c>
      <c r="V10" s="31">
        <v>5.74E-2</v>
      </c>
      <c r="W10" s="27" t="s">
        <v>27</v>
      </c>
      <c r="X10" s="27" t="s">
        <v>27</v>
      </c>
      <c r="Y10" s="27" t="s">
        <v>27</v>
      </c>
      <c r="Z10" s="27" t="s">
        <v>26</v>
      </c>
      <c r="AA10" s="27" t="s">
        <v>26</v>
      </c>
      <c r="AB10" s="27" t="s">
        <v>31</v>
      </c>
      <c r="AC10" s="27" t="s">
        <v>340</v>
      </c>
    </row>
    <row r="11" spans="1:29" s="11" customFormat="1" ht="25.05" customHeight="1" x14ac:dyDescent="0.3">
      <c r="A11" s="27"/>
      <c r="B11" s="28" t="s">
        <v>160</v>
      </c>
      <c r="C11" s="27" t="s">
        <v>47</v>
      </c>
      <c r="D11" s="27" t="s">
        <v>313</v>
      </c>
      <c r="E11" s="27">
        <v>263198</v>
      </c>
      <c r="F11" s="27" t="s">
        <v>339</v>
      </c>
      <c r="G11" s="27">
        <v>825</v>
      </c>
      <c r="H11" s="29">
        <v>1.0980000000000001</v>
      </c>
      <c r="I11" s="29">
        <v>1.1000000000000001</v>
      </c>
      <c r="J11" s="27" t="s">
        <v>26</v>
      </c>
      <c r="K11" s="27" t="s">
        <v>32</v>
      </c>
      <c r="L11" s="27" t="s">
        <v>26</v>
      </c>
      <c r="M11" s="29">
        <v>996.43499999999995</v>
      </c>
      <c r="N11" s="30">
        <v>907.5</v>
      </c>
      <c r="O11" s="31">
        <v>0.25209999999999999</v>
      </c>
      <c r="P11" s="32">
        <v>15.13</v>
      </c>
      <c r="Q11" s="27">
        <v>328.8</v>
      </c>
      <c r="R11" s="27">
        <v>1</v>
      </c>
      <c r="S11" s="27">
        <v>1150</v>
      </c>
      <c r="T11" s="29">
        <v>1.0980000000000001</v>
      </c>
      <c r="U11" s="27">
        <v>52</v>
      </c>
      <c r="V11" s="31">
        <v>4.5199999999999997E-2</v>
      </c>
      <c r="W11" s="27" t="s">
        <v>27</v>
      </c>
      <c r="X11" s="27" t="s">
        <v>27</v>
      </c>
      <c r="Y11" s="27" t="s">
        <v>27</v>
      </c>
      <c r="Z11" s="27" t="s">
        <v>26</v>
      </c>
      <c r="AA11" s="27" t="s">
        <v>26</v>
      </c>
      <c r="AB11" s="27" t="s">
        <v>29</v>
      </c>
      <c r="AC11" s="27" t="s">
        <v>128</v>
      </c>
    </row>
    <row r="12" spans="1:29" s="11" customFormat="1" ht="25.05" customHeight="1" x14ac:dyDescent="0.3">
      <c r="A12" s="27"/>
      <c r="B12" s="28" t="s">
        <v>160</v>
      </c>
      <c r="C12" s="27" t="s">
        <v>47</v>
      </c>
      <c r="D12" s="27" t="s">
        <v>313</v>
      </c>
      <c r="E12" s="27">
        <v>263196</v>
      </c>
      <c r="F12" s="27" t="s">
        <v>339</v>
      </c>
      <c r="G12" s="27">
        <v>825</v>
      </c>
      <c r="H12" s="29">
        <v>0.91800000000000004</v>
      </c>
      <c r="I12" s="29">
        <v>1.07</v>
      </c>
      <c r="J12" s="27" t="s">
        <v>26</v>
      </c>
      <c r="K12" s="27" t="s">
        <v>32</v>
      </c>
      <c r="L12" s="27" t="s">
        <v>26</v>
      </c>
      <c r="M12" s="29">
        <v>810.36500000000001</v>
      </c>
      <c r="N12" s="30">
        <v>882.8</v>
      </c>
      <c r="O12" s="31">
        <v>0.2452</v>
      </c>
      <c r="P12" s="32">
        <v>14.71</v>
      </c>
      <c r="Q12" s="27">
        <v>267.39999999999998</v>
      </c>
      <c r="R12" s="27">
        <v>1</v>
      </c>
      <c r="S12" s="27">
        <v>950</v>
      </c>
      <c r="T12" s="29">
        <v>0.91800000000000004</v>
      </c>
      <c r="U12" s="27">
        <v>32</v>
      </c>
      <c r="V12" s="31">
        <v>3.3700000000000001E-2</v>
      </c>
      <c r="W12" s="27" t="s">
        <v>27</v>
      </c>
      <c r="X12" s="27" t="s">
        <v>27</v>
      </c>
      <c r="Y12" s="27" t="s">
        <v>27</v>
      </c>
      <c r="Z12" s="27" t="s">
        <v>26</v>
      </c>
      <c r="AA12" s="27" t="s">
        <v>26</v>
      </c>
      <c r="AB12" s="27" t="s">
        <v>31</v>
      </c>
      <c r="AC12" s="27" t="s">
        <v>338</v>
      </c>
    </row>
    <row r="13" spans="1:29" s="11" customFormat="1" ht="25.05" customHeight="1" x14ac:dyDescent="0.3">
      <c r="A13" s="13"/>
      <c r="B13" s="71" t="s">
        <v>160</v>
      </c>
      <c r="C13" s="71" t="s">
        <v>34</v>
      </c>
      <c r="D13" s="71" t="s">
        <v>313</v>
      </c>
      <c r="E13" s="72">
        <v>263220</v>
      </c>
      <c r="F13" s="71" t="s">
        <v>380</v>
      </c>
      <c r="G13" s="72">
        <v>1750</v>
      </c>
      <c r="H13" s="73">
        <v>0.59199999999999997</v>
      </c>
      <c r="I13" s="73">
        <v>1.62</v>
      </c>
      <c r="J13" s="13"/>
      <c r="K13" s="71" t="s">
        <v>381</v>
      </c>
      <c r="L13" s="13"/>
      <c r="M13" s="73">
        <v>1678.32</v>
      </c>
      <c r="N13" s="74">
        <v>1417.5</v>
      </c>
      <c r="O13" s="75">
        <v>0.19689999999999999</v>
      </c>
      <c r="P13" s="76">
        <v>11.81</v>
      </c>
      <c r="Q13" s="72">
        <v>537.1</v>
      </c>
      <c r="R13" s="72">
        <v>2</v>
      </c>
      <c r="S13" s="72">
        <v>1250</v>
      </c>
      <c r="T13" s="73">
        <v>1.1839999999999999</v>
      </c>
      <c r="U13" s="72">
        <v>66</v>
      </c>
      <c r="V13" s="75">
        <v>5.28E-2</v>
      </c>
      <c r="W13" s="71" t="s">
        <v>27</v>
      </c>
      <c r="X13" s="71" t="s">
        <v>27</v>
      </c>
      <c r="Y13" s="71" t="s">
        <v>27</v>
      </c>
      <c r="Z13" s="14"/>
      <c r="AA13" s="14"/>
      <c r="AB13" s="71" t="s">
        <v>41</v>
      </c>
      <c r="AC13" s="71" t="s">
        <v>382</v>
      </c>
    </row>
    <row r="14" spans="1:29" s="11" customFormat="1" ht="25.05" customHeight="1" x14ac:dyDescent="0.3">
      <c r="A14" s="33" t="s">
        <v>26</v>
      </c>
      <c r="B14" s="33" t="s">
        <v>26</v>
      </c>
      <c r="C14" s="33" t="s">
        <v>26</v>
      </c>
      <c r="D14" s="33" t="s">
        <v>26</v>
      </c>
      <c r="E14" s="33" t="s">
        <v>26</v>
      </c>
      <c r="F14" s="33" t="s">
        <v>26</v>
      </c>
      <c r="G14" s="33">
        <v>6510</v>
      </c>
      <c r="H14" s="33" t="s">
        <v>26</v>
      </c>
      <c r="I14" s="33" t="s">
        <v>26</v>
      </c>
      <c r="J14" s="33" t="s">
        <v>26</v>
      </c>
      <c r="K14" s="33" t="s">
        <v>26</v>
      </c>
      <c r="L14" s="33" t="s">
        <v>26</v>
      </c>
      <c r="M14" s="33" t="s">
        <v>26</v>
      </c>
      <c r="N14" s="33" t="s">
        <v>26</v>
      </c>
      <c r="O14" s="33" t="s">
        <v>26</v>
      </c>
      <c r="P14" s="33" t="s">
        <v>26</v>
      </c>
      <c r="Q14" s="33">
        <v>2385.6999999999998</v>
      </c>
      <c r="R14" s="33" t="s">
        <v>26</v>
      </c>
      <c r="S14" s="33" t="s">
        <v>26</v>
      </c>
      <c r="T14" s="33" t="s">
        <v>26</v>
      </c>
      <c r="U14" s="33" t="s">
        <v>26</v>
      </c>
      <c r="V14" s="33" t="s">
        <v>26</v>
      </c>
      <c r="W14" s="33" t="s">
        <v>26</v>
      </c>
      <c r="X14" s="33" t="s">
        <v>26</v>
      </c>
      <c r="Y14" s="33" t="s">
        <v>26</v>
      </c>
      <c r="Z14" s="33" t="s">
        <v>26</v>
      </c>
      <c r="AA14" s="33" t="s">
        <v>26</v>
      </c>
      <c r="AB14" s="33" t="s">
        <v>26</v>
      </c>
      <c r="AC14" s="3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DE1188-1E53-4704-82B3-7505316EE0BA}">
  <dimension ref="A1:AC13"/>
  <sheetViews>
    <sheetView workbookViewId="0">
      <selection activeCell="K25" sqref="K25"/>
    </sheetView>
  </sheetViews>
  <sheetFormatPr defaultRowHeight="14.4" x14ac:dyDescent="0.3"/>
  <cols>
    <col min="1" max="1" width="4.33203125" style="3" customWidth="1"/>
    <col min="2" max="2" width="20.77734375" style="3" customWidth="1"/>
    <col min="3" max="3" width="8.109375" style="3" customWidth="1"/>
    <col min="4" max="4" width="11.77734375" style="3" hidden="1" customWidth="1"/>
    <col min="5" max="5" width="7.77734375" style="3" customWidth="1"/>
    <col min="6" max="6" width="5.109375" style="3" customWidth="1"/>
    <col min="7" max="7" width="7" style="3" customWidth="1"/>
    <col min="8" max="8" width="7.5546875" style="3" customWidth="1"/>
    <col min="9" max="9" width="6.6640625" style="3" customWidth="1"/>
    <col min="10" max="10" width="9.109375" style="3" customWidth="1"/>
    <col min="11" max="11" width="12.6640625" style="3" customWidth="1"/>
    <col min="12" max="12" width="9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77734375" style="3" customWidth="1"/>
    <col min="18" max="18" width="8.77734375" style="3" hidden="1" customWidth="1"/>
    <col min="19" max="19" width="13.77734375" style="3" hidden="1" customWidth="1"/>
    <col min="20" max="21" width="11.77734375" style="3" hidden="1" customWidth="1"/>
    <col min="22" max="22" width="8.77734375" style="3" hidden="1" customWidth="1"/>
    <col min="23" max="23" width="10" style="3" customWidth="1"/>
    <col min="24" max="24" width="9.44140625" style="3" customWidth="1"/>
    <col min="25" max="25" width="10.5546875" style="3" customWidth="1"/>
    <col min="26" max="27" width="11.77734375" style="3" hidden="1" customWidth="1"/>
    <col min="28" max="28" width="5.5546875" style="3" customWidth="1"/>
    <col min="29" max="29" width="11.44140625" style="3" customWidth="1"/>
    <col min="30" max="16384" width="8.88671875" style="3"/>
  </cols>
  <sheetData>
    <row r="1" spans="1:29" ht="18" customHeight="1" x14ac:dyDescent="0.35">
      <c r="A1" s="67" t="s">
        <v>337</v>
      </c>
      <c r="B1" s="67" t="s">
        <v>26</v>
      </c>
      <c r="C1" s="67" t="s">
        <v>26</v>
      </c>
      <c r="D1" s="67" t="s">
        <v>26</v>
      </c>
      <c r="E1" s="67" t="s">
        <v>26</v>
      </c>
      <c r="F1" s="67" t="s">
        <v>26</v>
      </c>
      <c r="G1" s="67" t="s">
        <v>26</v>
      </c>
      <c r="H1" s="67" t="s">
        <v>26</v>
      </c>
      <c r="I1" s="67" t="s">
        <v>26</v>
      </c>
      <c r="J1" s="67" t="s">
        <v>26</v>
      </c>
      <c r="K1" s="67" t="s">
        <v>26</v>
      </c>
      <c r="L1" s="67" t="s">
        <v>26</v>
      </c>
      <c r="M1" s="67" t="s">
        <v>26</v>
      </c>
      <c r="N1" s="67" t="s">
        <v>26</v>
      </c>
      <c r="O1" s="67" t="s">
        <v>26</v>
      </c>
      <c r="P1" s="67" t="s">
        <v>26</v>
      </c>
      <c r="Q1" s="67" t="s">
        <v>26</v>
      </c>
      <c r="R1" s="67" t="s">
        <v>26</v>
      </c>
      <c r="S1" s="67" t="s">
        <v>26</v>
      </c>
      <c r="T1" s="67" t="s">
        <v>26</v>
      </c>
      <c r="U1" s="67" t="s">
        <v>26</v>
      </c>
      <c r="V1" s="67" t="s">
        <v>26</v>
      </c>
      <c r="W1" s="67" t="s">
        <v>26</v>
      </c>
      <c r="X1" s="67" t="s">
        <v>26</v>
      </c>
      <c r="Y1" s="67" t="s">
        <v>26</v>
      </c>
      <c r="Z1" s="67" t="s">
        <v>26</v>
      </c>
      <c r="AA1" s="67" t="s">
        <v>26</v>
      </c>
      <c r="AB1" s="67" t="s">
        <v>26</v>
      </c>
      <c r="AC1" s="67" t="s">
        <v>26</v>
      </c>
    </row>
    <row r="2" spans="1:29" ht="41.4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x14ac:dyDescent="0.3">
      <c r="A3" s="5"/>
      <c r="B3" s="6" t="s">
        <v>103</v>
      </c>
      <c r="C3" s="5" t="s">
        <v>336</v>
      </c>
      <c r="D3" s="5" t="s">
        <v>318</v>
      </c>
      <c r="E3" s="5">
        <v>263189</v>
      </c>
      <c r="F3" s="5" t="s">
        <v>321</v>
      </c>
      <c r="G3" s="5">
        <v>1000</v>
      </c>
      <c r="H3" s="7">
        <v>0.35199999999999998</v>
      </c>
      <c r="I3" s="7">
        <v>1.0349999999999999</v>
      </c>
      <c r="J3" s="5" t="s">
        <v>26</v>
      </c>
      <c r="K3" s="5" t="s">
        <v>335</v>
      </c>
      <c r="L3" s="5" t="s">
        <v>26</v>
      </c>
      <c r="M3" s="7">
        <v>364.32</v>
      </c>
      <c r="N3" s="8">
        <v>258.8</v>
      </c>
      <c r="O3" s="9">
        <v>1.7999999999999999E-2</v>
      </c>
      <c r="P3" s="10">
        <v>1.08</v>
      </c>
      <c r="Q3" s="5">
        <v>116.6</v>
      </c>
      <c r="R3" s="5">
        <v>4</v>
      </c>
      <c r="S3" s="5">
        <v>1450</v>
      </c>
      <c r="T3" s="7">
        <v>1.4079999999999999</v>
      </c>
      <c r="U3" s="5">
        <v>42</v>
      </c>
      <c r="V3" s="9">
        <v>2.9000000000000001E-2</v>
      </c>
      <c r="W3" s="5" t="s">
        <v>27</v>
      </c>
      <c r="X3" s="5" t="s">
        <v>27</v>
      </c>
      <c r="Y3" s="5" t="s">
        <v>27</v>
      </c>
      <c r="Z3" s="5" t="s">
        <v>26</v>
      </c>
      <c r="AA3" s="5" t="s">
        <v>26</v>
      </c>
      <c r="AB3" s="5" t="s">
        <v>36</v>
      </c>
      <c r="AC3" s="5" t="s">
        <v>334</v>
      </c>
    </row>
    <row r="4" spans="1:29" s="11" customFormat="1" x14ac:dyDescent="0.3">
      <c r="A4" s="5"/>
      <c r="B4" s="6" t="s">
        <v>103</v>
      </c>
      <c r="C4" s="5" t="s">
        <v>51</v>
      </c>
      <c r="D4" s="5" t="s">
        <v>318</v>
      </c>
      <c r="E4" s="5">
        <v>263188</v>
      </c>
      <c r="F4" s="5" t="s">
        <v>321</v>
      </c>
      <c r="G4" s="5">
        <v>500</v>
      </c>
      <c r="H4" s="7">
        <v>0.39200000000000002</v>
      </c>
      <c r="I4" s="7">
        <v>1.2150000000000001</v>
      </c>
      <c r="J4" s="5" t="s">
        <v>26</v>
      </c>
      <c r="K4" s="5" t="s">
        <v>333</v>
      </c>
      <c r="L4" s="5" t="s">
        <v>26</v>
      </c>
      <c r="M4" s="7">
        <v>238.14</v>
      </c>
      <c r="N4" s="8">
        <v>151.9</v>
      </c>
      <c r="O4" s="9">
        <v>1.0500000000000001E-2</v>
      </c>
      <c r="P4" s="10">
        <v>0.63</v>
      </c>
      <c r="Q4" s="5">
        <v>86.9</v>
      </c>
      <c r="R4" s="5">
        <v>4</v>
      </c>
      <c r="S4" s="5">
        <v>1600</v>
      </c>
      <c r="T4" s="7">
        <v>1.5680000000000001</v>
      </c>
      <c r="U4" s="5">
        <v>32</v>
      </c>
      <c r="V4" s="9">
        <v>0.02</v>
      </c>
      <c r="W4" s="5" t="s">
        <v>38</v>
      </c>
      <c r="X4" s="5" t="s">
        <v>28</v>
      </c>
      <c r="Y4" s="5" t="s">
        <v>27</v>
      </c>
      <c r="Z4" s="5" t="s">
        <v>26</v>
      </c>
      <c r="AA4" s="5" t="s">
        <v>26</v>
      </c>
      <c r="AB4" s="5" t="s">
        <v>36</v>
      </c>
      <c r="AC4" s="5" t="s">
        <v>332</v>
      </c>
    </row>
    <row r="5" spans="1:29" s="11" customFormat="1" x14ac:dyDescent="0.3">
      <c r="A5" s="5"/>
      <c r="B5" s="6" t="s">
        <v>103</v>
      </c>
      <c r="C5" s="5" t="s">
        <v>51</v>
      </c>
      <c r="D5" s="5" t="s">
        <v>318</v>
      </c>
      <c r="E5" s="5">
        <v>263187</v>
      </c>
      <c r="F5" s="5" t="s">
        <v>321</v>
      </c>
      <c r="G5" s="5">
        <v>1000</v>
      </c>
      <c r="H5" s="7">
        <v>0.39300000000000002</v>
      </c>
      <c r="I5" s="7">
        <v>1.0449999999999999</v>
      </c>
      <c r="J5" s="5" t="s">
        <v>26</v>
      </c>
      <c r="K5" s="5" t="s">
        <v>331</v>
      </c>
      <c r="L5" s="5" t="s">
        <v>26</v>
      </c>
      <c r="M5" s="7">
        <v>410.685</v>
      </c>
      <c r="N5" s="8">
        <v>261.3</v>
      </c>
      <c r="O5" s="9">
        <v>1.8100000000000002E-2</v>
      </c>
      <c r="P5" s="10">
        <v>1.0900000000000001</v>
      </c>
      <c r="Q5" s="5">
        <v>149.9</v>
      </c>
      <c r="R5" s="5">
        <v>4</v>
      </c>
      <c r="S5" s="5">
        <v>1600</v>
      </c>
      <c r="T5" s="7">
        <v>1.5720000000000001</v>
      </c>
      <c r="U5" s="5">
        <v>28</v>
      </c>
      <c r="V5" s="9">
        <v>1.7500000000000002E-2</v>
      </c>
      <c r="W5" s="5" t="s">
        <v>38</v>
      </c>
      <c r="X5" s="5" t="s">
        <v>28</v>
      </c>
      <c r="Y5" s="5" t="s">
        <v>27</v>
      </c>
      <c r="Z5" s="5" t="s">
        <v>26</v>
      </c>
      <c r="AA5" s="5" t="s">
        <v>26</v>
      </c>
      <c r="AB5" s="5" t="s">
        <v>36</v>
      </c>
      <c r="AC5" s="5" t="s">
        <v>330</v>
      </c>
    </row>
    <row r="6" spans="1:29" s="11" customFormat="1" x14ac:dyDescent="0.3">
      <c r="A6" s="5"/>
      <c r="B6" s="6" t="s">
        <v>103</v>
      </c>
      <c r="C6" s="5" t="s">
        <v>51</v>
      </c>
      <c r="D6" s="5" t="s">
        <v>318</v>
      </c>
      <c r="E6" s="5">
        <v>263190</v>
      </c>
      <c r="F6" s="5" t="s">
        <v>321</v>
      </c>
      <c r="G6" s="5">
        <v>600</v>
      </c>
      <c r="H6" s="7">
        <v>0.35199999999999998</v>
      </c>
      <c r="I6" s="7">
        <v>0.92500000000000004</v>
      </c>
      <c r="J6" s="5" t="s">
        <v>26</v>
      </c>
      <c r="K6" s="5" t="s">
        <v>329</v>
      </c>
      <c r="L6" s="5" t="s">
        <v>26</v>
      </c>
      <c r="M6" s="7">
        <v>195.36</v>
      </c>
      <c r="N6" s="8">
        <v>138.80000000000001</v>
      </c>
      <c r="O6" s="9">
        <v>9.5999999999999992E-3</v>
      </c>
      <c r="P6" s="10">
        <v>0.57999999999999996</v>
      </c>
      <c r="Q6" s="5">
        <v>71.3</v>
      </c>
      <c r="R6" s="5">
        <v>4</v>
      </c>
      <c r="S6" s="5">
        <v>1450</v>
      </c>
      <c r="T6" s="7">
        <v>1.4079999999999999</v>
      </c>
      <c r="U6" s="5">
        <v>42</v>
      </c>
      <c r="V6" s="9">
        <v>2.9000000000000001E-2</v>
      </c>
      <c r="W6" s="5" t="s">
        <v>38</v>
      </c>
      <c r="X6" s="5" t="s">
        <v>28</v>
      </c>
      <c r="Y6" s="5" t="s">
        <v>27</v>
      </c>
      <c r="Z6" s="5" t="s">
        <v>26</v>
      </c>
      <c r="AA6" s="5" t="s">
        <v>26</v>
      </c>
      <c r="AB6" s="5" t="s">
        <v>36</v>
      </c>
      <c r="AC6" s="5" t="s">
        <v>328</v>
      </c>
    </row>
    <row r="7" spans="1:29" s="11" customFormat="1" x14ac:dyDescent="0.3">
      <c r="A7" s="5"/>
      <c r="B7" s="6" t="s">
        <v>103</v>
      </c>
      <c r="C7" s="5" t="s">
        <v>51</v>
      </c>
      <c r="D7" s="5" t="s">
        <v>318</v>
      </c>
      <c r="E7" s="5">
        <v>263193</v>
      </c>
      <c r="F7" s="5">
        <v>11</v>
      </c>
      <c r="G7" s="5">
        <v>1100</v>
      </c>
      <c r="H7" s="7">
        <v>0.47199999999999998</v>
      </c>
      <c r="I7" s="7">
        <v>0.91500000000000004</v>
      </c>
      <c r="J7" s="5" t="s">
        <v>26</v>
      </c>
      <c r="K7" s="5" t="s">
        <v>327</v>
      </c>
      <c r="L7" s="5" t="s">
        <v>26</v>
      </c>
      <c r="M7" s="7">
        <v>475.06799999999998</v>
      </c>
      <c r="N7" s="8">
        <v>335.5</v>
      </c>
      <c r="O7" s="9">
        <v>3.1099999999999999E-2</v>
      </c>
      <c r="P7" s="10">
        <v>1.86</v>
      </c>
      <c r="Q7" s="5">
        <v>173.4</v>
      </c>
      <c r="R7" s="5">
        <v>3</v>
      </c>
      <c r="S7" s="5">
        <v>1450</v>
      </c>
      <c r="T7" s="7">
        <v>1.4159999999999999</v>
      </c>
      <c r="U7" s="5">
        <v>34</v>
      </c>
      <c r="V7" s="9">
        <v>2.3400000000000001E-2</v>
      </c>
      <c r="W7" s="5" t="s">
        <v>38</v>
      </c>
      <c r="X7" s="5" t="s">
        <v>28</v>
      </c>
      <c r="Y7" s="5" t="s">
        <v>27</v>
      </c>
      <c r="Z7" s="5" t="s">
        <v>26</v>
      </c>
      <c r="AA7" s="5" t="s">
        <v>26</v>
      </c>
      <c r="AB7" s="5" t="s">
        <v>36</v>
      </c>
      <c r="AC7" s="5" t="s">
        <v>326</v>
      </c>
    </row>
    <row r="8" spans="1:29" s="11" customFormat="1" x14ac:dyDescent="0.3">
      <c r="A8" s="5"/>
      <c r="B8" s="6" t="s">
        <v>103</v>
      </c>
      <c r="C8" s="5" t="s">
        <v>51</v>
      </c>
      <c r="D8" s="5" t="s">
        <v>318</v>
      </c>
      <c r="E8" s="5">
        <v>263185</v>
      </c>
      <c r="F8" s="5" t="s">
        <v>321</v>
      </c>
      <c r="G8" s="5">
        <v>1000</v>
      </c>
      <c r="H8" s="7">
        <v>0.35699999999999998</v>
      </c>
      <c r="I8" s="7">
        <v>1.2150000000000001</v>
      </c>
      <c r="J8" s="5" t="s">
        <v>26</v>
      </c>
      <c r="K8" s="5" t="s">
        <v>325</v>
      </c>
      <c r="L8" s="5" t="s">
        <v>26</v>
      </c>
      <c r="M8" s="7">
        <v>433.755</v>
      </c>
      <c r="N8" s="8">
        <v>303.8</v>
      </c>
      <c r="O8" s="9">
        <v>2.1100000000000001E-2</v>
      </c>
      <c r="P8" s="10">
        <v>1.27</v>
      </c>
      <c r="Q8" s="5">
        <v>158.30000000000001</v>
      </c>
      <c r="R8" s="5">
        <v>4</v>
      </c>
      <c r="S8" s="5">
        <v>1450</v>
      </c>
      <c r="T8" s="7">
        <v>1.4279999999999999</v>
      </c>
      <c r="U8" s="5">
        <v>22</v>
      </c>
      <c r="V8" s="9">
        <v>1.52E-2</v>
      </c>
      <c r="W8" s="5" t="s">
        <v>38</v>
      </c>
      <c r="X8" s="5" t="s">
        <v>28</v>
      </c>
      <c r="Y8" s="5" t="s">
        <v>27</v>
      </c>
      <c r="Z8" s="5" t="s">
        <v>26</v>
      </c>
      <c r="AA8" s="5" t="s">
        <v>26</v>
      </c>
      <c r="AB8" s="5" t="s">
        <v>36</v>
      </c>
      <c r="AC8" s="5" t="s">
        <v>324</v>
      </c>
    </row>
    <row r="9" spans="1:29" s="11" customFormat="1" x14ac:dyDescent="0.3">
      <c r="A9" s="5"/>
      <c r="B9" s="6" t="s">
        <v>103</v>
      </c>
      <c r="C9" s="5" t="s">
        <v>51</v>
      </c>
      <c r="D9" s="5" t="s">
        <v>318</v>
      </c>
      <c r="E9" s="5">
        <v>263191</v>
      </c>
      <c r="F9" s="5">
        <v>11</v>
      </c>
      <c r="G9" s="5">
        <v>4000</v>
      </c>
      <c r="H9" s="7">
        <v>0.32300000000000001</v>
      </c>
      <c r="I9" s="7">
        <v>0.76500000000000001</v>
      </c>
      <c r="J9" s="5" t="s">
        <v>26</v>
      </c>
      <c r="K9" s="5" t="s">
        <v>323</v>
      </c>
      <c r="L9" s="5" t="s">
        <v>26</v>
      </c>
      <c r="M9" s="7">
        <v>988.38</v>
      </c>
      <c r="N9" s="8">
        <v>765</v>
      </c>
      <c r="O9" s="9">
        <v>5.3100000000000001E-2</v>
      </c>
      <c r="P9" s="10">
        <v>3.19</v>
      </c>
      <c r="Q9" s="5">
        <v>360.8</v>
      </c>
      <c r="R9" s="5">
        <v>4</v>
      </c>
      <c r="S9" s="5">
        <v>1350</v>
      </c>
      <c r="T9" s="7">
        <v>1.292</v>
      </c>
      <c r="U9" s="5">
        <v>58</v>
      </c>
      <c r="V9" s="9">
        <v>4.2999999999999997E-2</v>
      </c>
      <c r="W9" s="5" t="s">
        <v>38</v>
      </c>
      <c r="X9" s="5" t="s">
        <v>28</v>
      </c>
      <c r="Y9" s="5" t="s">
        <v>27</v>
      </c>
      <c r="Z9" s="5" t="s">
        <v>26</v>
      </c>
      <c r="AA9" s="5" t="s">
        <v>26</v>
      </c>
      <c r="AB9" s="5" t="s">
        <v>31</v>
      </c>
      <c r="AC9" s="5" t="s">
        <v>322</v>
      </c>
    </row>
    <row r="10" spans="1:29" s="11" customFormat="1" x14ac:dyDescent="0.3">
      <c r="A10" s="5"/>
      <c r="B10" s="6" t="s">
        <v>103</v>
      </c>
      <c r="C10" s="5" t="s">
        <v>51</v>
      </c>
      <c r="D10" s="5" t="s">
        <v>318</v>
      </c>
      <c r="E10" s="5">
        <v>263186</v>
      </c>
      <c r="F10" s="5" t="s">
        <v>321</v>
      </c>
      <c r="G10" s="5">
        <v>1500</v>
      </c>
      <c r="H10" s="7">
        <v>0.41799999999999998</v>
      </c>
      <c r="I10" s="7">
        <v>1.2150000000000001</v>
      </c>
      <c r="J10" s="5" t="s">
        <v>26</v>
      </c>
      <c r="K10" s="5" t="s">
        <v>320</v>
      </c>
      <c r="L10" s="5" t="s">
        <v>26</v>
      </c>
      <c r="M10" s="7">
        <v>761.80499999999995</v>
      </c>
      <c r="N10" s="8">
        <v>607.5</v>
      </c>
      <c r="O10" s="9">
        <v>5.6300000000000003E-2</v>
      </c>
      <c r="P10" s="10">
        <v>3.38</v>
      </c>
      <c r="Q10" s="5">
        <v>278.10000000000002</v>
      </c>
      <c r="R10" s="5">
        <v>3</v>
      </c>
      <c r="S10" s="5">
        <v>1300</v>
      </c>
      <c r="T10" s="7">
        <v>1.254</v>
      </c>
      <c r="U10" s="5">
        <v>46</v>
      </c>
      <c r="V10" s="9">
        <v>3.5400000000000001E-2</v>
      </c>
      <c r="W10" s="5" t="s">
        <v>38</v>
      </c>
      <c r="X10" s="5" t="s">
        <v>28</v>
      </c>
      <c r="Y10" s="5" t="s">
        <v>27</v>
      </c>
      <c r="Z10" s="5" t="s">
        <v>26</v>
      </c>
      <c r="AA10" s="5" t="s">
        <v>26</v>
      </c>
      <c r="AB10" s="5" t="s">
        <v>31</v>
      </c>
      <c r="AC10" s="5" t="s">
        <v>319</v>
      </c>
    </row>
    <row r="11" spans="1:29" s="11" customFormat="1" x14ac:dyDescent="0.3">
      <c r="A11" s="5"/>
      <c r="B11" s="6" t="s">
        <v>103</v>
      </c>
      <c r="C11" s="5" t="s">
        <v>51</v>
      </c>
      <c r="D11" s="5" t="s">
        <v>318</v>
      </c>
      <c r="E11" s="5">
        <v>263192</v>
      </c>
      <c r="F11" s="5" t="s">
        <v>317</v>
      </c>
      <c r="G11" s="5">
        <v>1000</v>
      </c>
      <c r="H11" s="7">
        <v>0.311</v>
      </c>
      <c r="I11" s="7">
        <v>0.98699999999999999</v>
      </c>
      <c r="J11" s="5" t="s">
        <v>26</v>
      </c>
      <c r="K11" s="5" t="s">
        <v>316</v>
      </c>
      <c r="L11" s="5" t="s">
        <v>26</v>
      </c>
      <c r="M11" s="7">
        <v>306.95699999999999</v>
      </c>
      <c r="N11" s="8">
        <v>246.8</v>
      </c>
      <c r="O11" s="9">
        <v>1.7100000000000001E-2</v>
      </c>
      <c r="P11" s="10">
        <v>1.03</v>
      </c>
      <c r="Q11" s="5">
        <v>112</v>
      </c>
      <c r="R11" s="5">
        <v>4</v>
      </c>
      <c r="S11" s="5">
        <v>1300</v>
      </c>
      <c r="T11" s="7">
        <v>1.244</v>
      </c>
      <c r="U11" s="5">
        <v>56</v>
      </c>
      <c r="V11" s="9">
        <v>4.3099999999999999E-2</v>
      </c>
      <c r="W11" s="5" t="s">
        <v>38</v>
      </c>
      <c r="X11" s="5" t="s">
        <v>28</v>
      </c>
      <c r="Y11" s="5" t="s">
        <v>27</v>
      </c>
      <c r="Z11" s="5" t="s">
        <v>26</v>
      </c>
      <c r="AA11" s="5" t="s">
        <v>26</v>
      </c>
      <c r="AB11" s="5" t="s">
        <v>36</v>
      </c>
      <c r="AC11" s="5" t="s">
        <v>315</v>
      </c>
    </row>
    <row r="12" spans="1:29" s="11" customFormat="1" x14ac:dyDescent="0.3">
      <c r="A12" s="20"/>
      <c r="B12" s="6" t="s">
        <v>103</v>
      </c>
      <c r="C12" s="21" t="s">
        <v>51</v>
      </c>
      <c r="D12" s="21" t="s">
        <v>276</v>
      </c>
      <c r="E12" s="20">
        <v>263213</v>
      </c>
      <c r="F12" s="21" t="s">
        <v>321</v>
      </c>
      <c r="G12" s="20">
        <v>600</v>
      </c>
      <c r="H12" s="22">
        <v>0.55200000000000005</v>
      </c>
      <c r="I12" s="22">
        <v>1.2949999999999999</v>
      </c>
      <c r="J12" s="20"/>
      <c r="K12" s="21" t="s">
        <v>368</v>
      </c>
      <c r="L12" s="20"/>
      <c r="M12" s="22">
        <v>428.904</v>
      </c>
      <c r="N12" s="23">
        <v>388.5</v>
      </c>
      <c r="O12" s="24">
        <v>5.3999999999999999E-2</v>
      </c>
      <c r="P12" s="25">
        <v>3.24</v>
      </c>
      <c r="Q12" s="20">
        <v>156.5</v>
      </c>
      <c r="R12" s="20">
        <v>2</v>
      </c>
      <c r="S12" s="20">
        <v>1150</v>
      </c>
      <c r="T12" s="22">
        <v>1.1040000000000001</v>
      </c>
      <c r="U12" s="20">
        <v>46</v>
      </c>
      <c r="V12" s="24">
        <v>0.04</v>
      </c>
      <c r="W12" s="21" t="s">
        <v>38</v>
      </c>
      <c r="X12" s="21" t="s">
        <v>28</v>
      </c>
      <c r="Y12" s="21" t="s">
        <v>27</v>
      </c>
      <c r="Z12" s="21"/>
      <c r="AA12" s="21"/>
      <c r="AB12" s="21" t="s">
        <v>36</v>
      </c>
      <c r="AC12" s="21" t="s">
        <v>369</v>
      </c>
    </row>
    <row r="13" spans="1:29" s="11" customFormat="1" x14ac:dyDescent="0.3">
      <c r="A13" s="12" t="s">
        <v>26</v>
      </c>
      <c r="B13" s="12" t="s">
        <v>26</v>
      </c>
      <c r="C13" s="12" t="s">
        <v>26</v>
      </c>
      <c r="D13" s="12" t="s">
        <v>26</v>
      </c>
      <c r="E13" s="12" t="s">
        <v>26</v>
      </c>
      <c r="F13" s="12" t="s">
        <v>26</v>
      </c>
      <c r="G13" s="12">
        <f>SUM(G3:G12)</f>
        <v>12300</v>
      </c>
      <c r="H13" s="12" t="s">
        <v>26</v>
      </c>
      <c r="I13" s="12" t="s">
        <v>26</v>
      </c>
      <c r="J13" s="12" t="s">
        <v>26</v>
      </c>
      <c r="K13" s="12" t="s">
        <v>26</v>
      </c>
      <c r="L13" s="12" t="s">
        <v>26</v>
      </c>
      <c r="M13" s="12" t="s">
        <v>26</v>
      </c>
      <c r="N13" s="12" t="s">
        <v>26</v>
      </c>
      <c r="O13" s="12" t="s">
        <v>26</v>
      </c>
      <c r="P13" s="12" t="s">
        <v>26</v>
      </c>
      <c r="Q13" s="12">
        <f>SUM(Q3:Q12)</f>
        <v>1663.8000000000002</v>
      </c>
      <c r="R13" s="12" t="s">
        <v>26</v>
      </c>
      <c r="S13" s="12" t="s">
        <v>26</v>
      </c>
      <c r="T13" s="12" t="s">
        <v>26</v>
      </c>
      <c r="U13" s="12" t="s">
        <v>26</v>
      </c>
      <c r="V13" s="12" t="s">
        <v>26</v>
      </c>
      <c r="W13" s="12" t="s">
        <v>26</v>
      </c>
      <c r="X13" s="12" t="s">
        <v>26</v>
      </c>
      <c r="Y13" s="12" t="s">
        <v>26</v>
      </c>
      <c r="Z13" s="12" t="s">
        <v>26</v>
      </c>
      <c r="AA13" s="12" t="s">
        <v>26</v>
      </c>
      <c r="AB13" s="12" t="s">
        <v>26</v>
      </c>
      <c r="AC13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76541-8A07-44CE-BAFB-8FFE79D12798}">
  <dimension ref="A1:AC14"/>
  <sheetViews>
    <sheetView workbookViewId="0">
      <selection sqref="A1:AC1"/>
    </sheetView>
  </sheetViews>
  <sheetFormatPr defaultRowHeight="14.4" x14ac:dyDescent="0.3"/>
  <cols>
    <col min="1" max="1" width="3.554687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7.21875" style="3" customWidth="1"/>
    <col min="6" max="6" width="4.21875" style="3" customWidth="1"/>
    <col min="7" max="7" width="6" style="3" customWidth="1"/>
    <col min="8" max="8" width="6.109375" style="3" customWidth="1"/>
    <col min="9" max="9" width="5.77734375" style="3" customWidth="1"/>
    <col min="10" max="10" width="8" style="3" customWidth="1"/>
    <col min="11" max="11" width="7.88671875" style="3" customWidth="1"/>
    <col min="12" max="12" width="7.441406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88671875" style="3" customWidth="1"/>
    <col min="18" max="18" width="3.88671875" style="3" customWidth="1"/>
    <col min="19" max="19" width="7.21875" style="3" customWidth="1"/>
    <col min="20" max="20" width="7" style="3" customWidth="1"/>
    <col min="21" max="21" width="11.77734375" style="3" hidden="1" customWidth="1"/>
    <col min="22" max="22" width="8.77734375" style="3" hidden="1" customWidth="1"/>
    <col min="23" max="23" width="8.5546875" style="3" customWidth="1"/>
    <col min="24" max="24" width="7.88671875" style="3" customWidth="1"/>
    <col min="25" max="25" width="7.33203125" style="3" customWidth="1"/>
    <col min="26" max="26" width="6.6640625" style="3" customWidth="1"/>
    <col min="27" max="27" width="6.88671875" style="3" customWidth="1"/>
    <col min="28" max="28" width="4" style="3" customWidth="1"/>
    <col min="29" max="29" width="10.44140625" style="3" customWidth="1"/>
    <col min="30" max="16384" width="8.88671875" style="3"/>
  </cols>
  <sheetData>
    <row r="1" spans="1:29" ht="18" customHeight="1" x14ac:dyDescent="0.35">
      <c r="A1" s="68" t="s">
        <v>314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39.6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x14ac:dyDescent="0.3">
      <c r="B3" s="66" t="s">
        <v>269</v>
      </c>
      <c r="C3" s="64" t="s">
        <v>273</v>
      </c>
      <c r="D3" s="64" t="s">
        <v>313</v>
      </c>
      <c r="E3" s="64">
        <v>263184</v>
      </c>
      <c r="F3" s="64" t="s">
        <v>312</v>
      </c>
      <c r="G3" s="64">
        <v>3055</v>
      </c>
      <c r="H3" s="65">
        <v>0.46</v>
      </c>
      <c r="I3" s="65">
        <v>0.92</v>
      </c>
      <c r="J3" s="64" t="s">
        <v>26</v>
      </c>
      <c r="K3" s="64" t="s">
        <v>32</v>
      </c>
      <c r="L3" s="64" t="s">
        <v>26</v>
      </c>
      <c r="M3" s="61">
        <v>1292.876</v>
      </c>
      <c r="N3" s="63">
        <v>936.9</v>
      </c>
      <c r="O3" s="60">
        <v>8.6699999999999999E-2</v>
      </c>
      <c r="P3" s="62">
        <v>5.2</v>
      </c>
      <c r="Q3" s="59">
        <v>471.9</v>
      </c>
      <c r="R3" s="59">
        <v>3</v>
      </c>
      <c r="S3" s="59">
        <v>1400</v>
      </c>
      <c r="T3" s="61">
        <v>1.38</v>
      </c>
      <c r="U3" s="59">
        <v>20</v>
      </c>
      <c r="V3" s="60">
        <v>1.43E-2</v>
      </c>
      <c r="W3" s="59" t="s">
        <v>272</v>
      </c>
      <c r="X3" s="59" t="s">
        <v>28</v>
      </c>
      <c r="Y3" s="59" t="s">
        <v>33</v>
      </c>
      <c r="Z3" s="59" t="s">
        <v>26</v>
      </c>
      <c r="AA3" s="59" t="s">
        <v>26</v>
      </c>
      <c r="AB3" s="59" t="s">
        <v>31</v>
      </c>
      <c r="AC3" s="59" t="s">
        <v>270</v>
      </c>
    </row>
    <row r="4" spans="1:29" x14ac:dyDescent="0.3">
      <c r="A4" s="64"/>
      <c r="B4" s="66" t="s">
        <v>269</v>
      </c>
      <c r="C4" s="64" t="s">
        <v>273</v>
      </c>
      <c r="D4" s="64" t="s">
        <v>313</v>
      </c>
      <c r="E4" s="64">
        <v>263183</v>
      </c>
      <c r="F4" s="64" t="s">
        <v>312</v>
      </c>
      <c r="G4" s="64">
        <v>1500</v>
      </c>
      <c r="H4" s="65">
        <v>0.41</v>
      </c>
      <c r="I4" s="65">
        <v>0.82</v>
      </c>
      <c r="J4" s="64" t="s">
        <v>26</v>
      </c>
      <c r="K4" s="64" t="s">
        <v>32</v>
      </c>
      <c r="L4" s="64" t="s">
        <v>26</v>
      </c>
      <c r="M4" s="61">
        <v>504.3</v>
      </c>
      <c r="N4" s="63">
        <v>410</v>
      </c>
      <c r="O4" s="60">
        <v>3.7999999999999999E-2</v>
      </c>
      <c r="P4" s="62">
        <v>2.2799999999999998</v>
      </c>
      <c r="Q4" s="59">
        <v>184.1</v>
      </c>
      <c r="R4" s="59">
        <v>3</v>
      </c>
      <c r="S4" s="59">
        <v>1250</v>
      </c>
      <c r="T4" s="61">
        <v>1.23</v>
      </c>
      <c r="U4" s="59">
        <v>20</v>
      </c>
      <c r="V4" s="60">
        <v>1.6E-2</v>
      </c>
      <c r="W4" s="59" t="s">
        <v>272</v>
      </c>
      <c r="X4" s="59" t="s">
        <v>28</v>
      </c>
      <c r="Y4" s="59" t="s">
        <v>33</v>
      </c>
      <c r="Z4" s="59" t="s">
        <v>26</v>
      </c>
      <c r="AA4" s="59" t="s">
        <v>26</v>
      </c>
      <c r="AB4" s="59" t="s">
        <v>36</v>
      </c>
      <c r="AC4" s="59" t="s">
        <v>311</v>
      </c>
    </row>
    <row r="5" spans="1:29" x14ac:dyDescent="0.3">
      <c r="A5" s="58" t="s">
        <v>26</v>
      </c>
      <c r="B5" s="58" t="s">
        <v>26</v>
      </c>
      <c r="C5" s="58" t="s">
        <v>26</v>
      </c>
      <c r="D5" s="58" t="s">
        <v>26</v>
      </c>
      <c r="E5" s="58" t="s">
        <v>26</v>
      </c>
      <c r="F5" s="58" t="s">
        <v>26</v>
      </c>
      <c r="G5" s="58">
        <v>4555</v>
      </c>
      <c r="H5" s="58" t="s">
        <v>26</v>
      </c>
      <c r="I5" s="58" t="s">
        <v>26</v>
      </c>
      <c r="J5" s="58" t="s">
        <v>26</v>
      </c>
      <c r="K5" s="58" t="s">
        <v>26</v>
      </c>
      <c r="L5" s="58" t="s">
        <v>26</v>
      </c>
      <c r="M5" s="57" t="s">
        <v>26</v>
      </c>
      <c r="N5" s="57" t="s">
        <v>26</v>
      </c>
      <c r="O5" s="57" t="s">
        <v>26</v>
      </c>
      <c r="P5" s="57" t="s">
        <v>26</v>
      </c>
      <c r="Q5" s="57">
        <v>656</v>
      </c>
      <c r="R5" s="57" t="s">
        <v>26</v>
      </c>
      <c r="S5" s="57" t="s">
        <v>26</v>
      </c>
      <c r="T5" s="57" t="s">
        <v>26</v>
      </c>
      <c r="U5" s="57" t="s">
        <v>26</v>
      </c>
      <c r="V5" s="57" t="s">
        <v>26</v>
      </c>
      <c r="W5" s="57" t="s">
        <v>26</v>
      </c>
      <c r="X5" s="57" t="s">
        <v>26</v>
      </c>
      <c r="Y5" s="57" t="s">
        <v>26</v>
      </c>
      <c r="Z5" s="57" t="s">
        <v>26</v>
      </c>
      <c r="AA5" s="57" t="s">
        <v>26</v>
      </c>
      <c r="AB5" s="57" t="s">
        <v>26</v>
      </c>
      <c r="AC5" s="57" t="s">
        <v>26</v>
      </c>
    </row>
    <row r="14" spans="1:29" x14ac:dyDescent="0.3">
      <c r="I14" s="3" t="s">
        <v>310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A896A-4E1B-41A1-B94C-622986A48BAC}">
  <dimension ref="A1:AC16"/>
  <sheetViews>
    <sheetView tabSelected="1" workbookViewId="0">
      <selection activeCell="AD32" sqref="AD32"/>
    </sheetView>
  </sheetViews>
  <sheetFormatPr defaultRowHeight="14.4" x14ac:dyDescent="0.3"/>
  <cols>
    <col min="1" max="1" width="5.77734375" style="3" customWidth="1"/>
    <col min="2" max="2" width="20.77734375" style="3" hidden="1" customWidth="1"/>
    <col min="3" max="3" width="5.33203125" style="3" customWidth="1"/>
    <col min="4" max="4" width="11.77734375" style="3" hidden="1" customWidth="1"/>
    <col min="5" max="5" width="7.88671875" style="3" customWidth="1"/>
    <col min="6" max="6" width="5.6640625" style="3" customWidth="1"/>
    <col min="7" max="7" width="6.33203125" style="3" customWidth="1"/>
    <col min="8" max="8" width="6.5546875" style="3" customWidth="1"/>
    <col min="9" max="9" width="7.21875" style="3" customWidth="1"/>
    <col min="10" max="10" width="7.5546875" style="3" customWidth="1"/>
    <col min="11" max="11" width="21" style="3" customWidth="1"/>
    <col min="12" max="12" width="7.77734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21875" style="3" customWidth="1"/>
    <col min="18" max="18" width="4.5546875" style="3" hidden="1" customWidth="1"/>
    <col min="19" max="19" width="7.21875" style="3" hidden="1" customWidth="1"/>
    <col min="20" max="20" width="6.44140625" style="3" hidden="1" customWidth="1"/>
    <col min="21" max="21" width="11.77734375" style="3" hidden="1" customWidth="1"/>
    <col min="22" max="22" width="8.77734375" style="3" hidden="1" customWidth="1"/>
    <col min="23" max="23" width="7.21875" style="3" customWidth="1"/>
    <col min="24" max="24" width="7.33203125" style="3" customWidth="1"/>
    <col min="25" max="25" width="7.6640625" style="3" customWidth="1"/>
    <col min="26" max="26" width="7.33203125" style="3" customWidth="1"/>
    <col min="27" max="27" width="7.44140625" style="3" customWidth="1"/>
    <col min="28" max="28" width="4.5546875" style="3" customWidth="1"/>
    <col min="29" max="29" width="9.44140625" style="3" customWidth="1"/>
    <col min="30" max="16384" width="8.88671875" style="3"/>
  </cols>
  <sheetData>
    <row r="1" spans="1:29" ht="18" customHeight="1" x14ac:dyDescent="0.35">
      <c r="A1" s="68" t="s">
        <v>309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39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/>
      <c r="B3" s="6" t="s">
        <v>78</v>
      </c>
      <c r="C3" s="5" t="s">
        <v>25</v>
      </c>
      <c r="D3" s="5" t="s">
        <v>290</v>
      </c>
      <c r="E3" s="5">
        <v>263174</v>
      </c>
      <c r="F3" s="5" t="s">
        <v>289</v>
      </c>
      <c r="G3" s="5">
        <v>550</v>
      </c>
      <c r="H3" s="7">
        <v>0.95099999999999996</v>
      </c>
      <c r="I3" s="7">
        <v>2.06</v>
      </c>
      <c r="J3" s="5" t="s">
        <v>26</v>
      </c>
      <c r="K3" s="5" t="s">
        <v>308</v>
      </c>
      <c r="L3" s="5" t="s">
        <v>26</v>
      </c>
      <c r="M3" s="7">
        <v>1077.4829999999999</v>
      </c>
      <c r="N3" s="8">
        <v>1133</v>
      </c>
      <c r="O3" s="9">
        <v>0.31469999999999998</v>
      </c>
      <c r="P3" s="10">
        <v>18.88</v>
      </c>
      <c r="Q3" s="5">
        <v>579.70000000000005</v>
      </c>
      <c r="R3" s="5">
        <v>1</v>
      </c>
      <c r="S3" s="5">
        <v>1000</v>
      </c>
      <c r="T3" s="7">
        <v>0.95099999999999996</v>
      </c>
      <c r="U3" s="5">
        <v>49</v>
      </c>
      <c r="V3" s="9">
        <v>4.9000000000000002E-2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29</v>
      </c>
      <c r="AC3" s="5" t="s">
        <v>307</v>
      </c>
    </row>
    <row r="4" spans="1:29" s="11" customFormat="1" ht="25.05" customHeight="1" x14ac:dyDescent="0.3">
      <c r="A4" s="5"/>
      <c r="B4" s="6" t="s">
        <v>78</v>
      </c>
      <c r="C4" s="5" t="s">
        <v>51</v>
      </c>
      <c r="D4" s="5" t="s">
        <v>290</v>
      </c>
      <c r="E4" s="5">
        <v>263182</v>
      </c>
      <c r="F4" s="5" t="s">
        <v>289</v>
      </c>
      <c r="G4" s="5">
        <v>1600</v>
      </c>
      <c r="H4" s="7">
        <v>0.504</v>
      </c>
      <c r="I4" s="7">
        <v>1.04</v>
      </c>
      <c r="J4" s="5" t="s">
        <v>26</v>
      </c>
      <c r="K4" s="5" t="s">
        <v>306</v>
      </c>
      <c r="L4" s="5" t="s">
        <v>26</v>
      </c>
      <c r="M4" s="7">
        <v>838.65599999999995</v>
      </c>
      <c r="N4" s="8">
        <v>554.70000000000005</v>
      </c>
      <c r="O4" s="9">
        <v>5.1400000000000001E-2</v>
      </c>
      <c r="P4" s="10">
        <v>3.08</v>
      </c>
      <c r="Q4" s="5">
        <v>306.10000000000002</v>
      </c>
      <c r="R4" s="5">
        <v>3</v>
      </c>
      <c r="S4" s="5">
        <v>1550</v>
      </c>
      <c r="T4" s="7">
        <v>1.512</v>
      </c>
      <c r="U4" s="5">
        <v>38</v>
      </c>
      <c r="V4" s="9">
        <v>2.4500000000000001E-2</v>
      </c>
      <c r="W4" s="5" t="s">
        <v>38</v>
      </c>
      <c r="X4" s="5" t="s">
        <v>28</v>
      </c>
      <c r="Y4" s="5" t="s">
        <v>27</v>
      </c>
      <c r="Z4" s="5" t="s">
        <v>26</v>
      </c>
      <c r="AA4" s="5" t="s">
        <v>26</v>
      </c>
      <c r="AB4" s="5" t="s">
        <v>36</v>
      </c>
      <c r="AC4" s="5" t="s">
        <v>305</v>
      </c>
    </row>
    <row r="5" spans="1:29" s="11" customFormat="1" ht="25.05" customHeight="1" x14ac:dyDescent="0.3">
      <c r="A5" s="20"/>
      <c r="B5" s="21" t="s">
        <v>78</v>
      </c>
      <c r="C5" s="21" t="s">
        <v>34</v>
      </c>
      <c r="D5" s="21" t="s">
        <v>290</v>
      </c>
      <c r="E5" s="20">
        <v>263181</v>
      </c>
      <c r="F5" s="21" t="s">
        <v>289</v>
      </c>
      <c r="G5" s="20">
        <v>3500</v>
      </c>
      <c r="H5" s="22">
        <v>0.374</v>
      </c>
      <c r="I5" s="22">
        <v>0.88</v>
      </c>
      <c r="J5" s="20"/>
      <c r="K5" s="21" t="s">
        <v>304</v>
      </c>
      <c r="L5" s="20"/>
      <c r="M5" s="22">
        <v>1151.92</v>
      </c>
      <c r="N5" s="23">
        <v>770</v>
      </c>
      <c r="O5" s="24">
        <v>5.3499999999999999E-2</v>
      </c>
      <c r="P5" s="25">
        <v>3.21</v>
      </c>
      <c r="Q5" s="20">
        <v>368.6</v>
      </c>
      <c r="R5" s="20">
        <v>4</v>
      </c>
      <c r="S5" s="20">
        <v>1550</v>
      </c>
      <c r="T5" s="22">
        <v>1.496</v>
      </c>
      <c r="U5" s="20">
        <v>54</v>
      </c>
      <c r="V5" s="24">
        <v>3.4799999999999998E-2</v>
      </c>
      <c r="W5" s="21" t="s">
        <v>27</v>
      </c>
      <c r="X5" s="21" t="s">
        <v>27</v>
      </c>
      <c r="Y5" s="21" t="s">
        <v>27</v>
      </c>
      <c r="Z5" s="21"/>
      <c r="AA5" s="21"/>
      <c r="AB5" s="21" t="s">
        <v>31</v>
      </c>
      <c r="AC5" s="21" t="s">
        <v>303</v>
      </c>
    </row>
    <row r="6" spans="1:29" s="11" customFormat="1" ht="25.05" customHeight="1" x14ac:dyDescent="0.3">
      <c r="A6" s="5"/>
      <c r="B6" s="6" t="s">
        <v>78</v>
      </c>
      <c r="C6" s="5" t="s">
        <v>34</v>
      </c>
      <c r="D6" s="5" t="s">
        <v>290</v>
      </c>
      <c r="E6" s="5">
        <v>263177</v>
      </c>
      <c r="F6" s="5" t="s">
        <v>289</v>
      </c>
      <c r="G6" s="5">
        <v>3000</v>
      </c>
      <c r="H6" s="7">
        <v>0.378</v>
      </c>
      <c r="I6" s="7">
        <v>0.84</v>
      </c>
      <c r="J6" s="5" t="s">
        <v>26</v>
      </c>
      <c r="K6" s="5" t="s">
        <v>302</v>
      </c>
      <c r="L6" s="5" t="s">
        <v>26</v>
      </c>
      <c r="M6" s="7">
        <v>952.56</v>
      </c>
      <c r="N6" s="8">
        <v>630</v>
      </c>
      <c r="O6" s="9">
        <v>4.3700000000000003E-2</v>
      </c>
      <c r="P6" s="10">
        <v>2.63</v>
      </c>
      <c r="Q6" s="5">
        <v>304.8</v>
      </c>
      <c r="R6" s="5">
        <v>4</v>
      </c>
      <c r="S6" s="5">
        <v>1550</v>
      </c>
      <c r="T6" s="7">
        <v>1.512</v>
      </c>
      <c r="U6" s="5">
        <v>38</v>
      </c>
      <c r="V6" s="9">
        <v>2.4500000000000001E-2</v>
      </c>
      <c r="W6" s="5" t="s">
        <v>27</v>
      </c>
      <c r="X6" s="5" t="s">
        <v>27</v>
      </c>
      <c r="Y6" s="5" t="s">
        <v>27</v>
      </c>
      <c r="Z6" s="5" t="s">
        <v>26</v>
      </c>
      <c r="AA6" s="5" t="s">
        <v>26</v>
      </c>
      <c r="AB6" s="5" t="s">
        <v>31</v>
      </c>
      <c r="AC6" s="5" t="s">
        <v>301</v>
      </c>
    </row>
    <row r="7" spans="1:29" s="11" customFormat="1" ht="25.05" customHeight="1" x14ac:dyDescent="0.3">
      <c r="A7" s="5"/>
      <c r="B7" s="6" t="s">
        <v>78</v>
      </c>
      <c r="C7" s="5" t="s">
        <v>34</v>
      </c>
      <c r="D7" s="5" t="s">
        <v>290</v>
      </c>
      <c r="E7" s="5">
        <v>263172</v>
      </c>
      <c r="F7" s="5" t="s">
        <v>289</v>
      </c>
      <c r="G7" s="5">
        <v>3000</v>
      </c>
      <c r="H7" s="7">
        <v>0.48</v>
      </c>
      <c r="I7" s="7">
        <v>0.73</v>
      </c>
      <c r="J7" s="5" t="s">
        <v>26</v>
      </c>
      <c r="K7" s="5" t="s">
        <v>32</v>
      </c>
      <c r="L7" s="5" t="s">
        <v>26</v>
      </c>
      <c r="M7" s="7">
        <v>1051.2</v>
      </c>
      <c r="N7" s="8">
        <v>730</v>
      </c>
      <c r="O7" s="9">
        <v>6.7599999999999993E-2</v>
      </c>
      <c r="P7" s="10">
        <v>4.0599999999999996</v>
      </c>
      <c r="Q7" s="5">
        <v>336.4</v>
      </c>
      <c r="R7" s="5">
        <v>3</v>
      </c>
      <c r="S7" s="5">
        <v>1500</v>
      </c>
      <c r="T7" s="7">
        <v>1.44</v>
      </c>
      <c r="U7" s="5">
        <v>60</v>
      </c>
      <c r="V7" s="9">
        <v>0.04</v>
      </c>
      <c r="W7" s="5" t="s">
        <v>27</v>
      </c>
      <c r="X7" s="5" t="s">
        <v>27</v>
      </c>
      <c r="Y7" s="5" t="s">
        <v>27</v>
      </c>
      <c r="Z7" s="5" t="s">
        <v>26</v>
      </c>
      <c r="AA7" s="5" t="s">
        <v>26</v>
      </c>
      <c r="AB7" s="5" t="s">
        <v>31</v>
      </c>
      <c r="AC7" s="5" t="s">
        <v>300</v>
      </c>
    </row>
    <row r="8" spans="1:29" s="11" customFormat="1" ht="25.05" customHeight="1" x14ac:dyDescent="0.3">
      <c r="A8" s="5"/>
      <c r="B8" s="6" t="s">
        <v>78</v>
      </c>
      <c r="C8" s="5" t="s">
        <v>51</v>
      </c>
      <c r="D8" s="5" t="s">
        <v>290</v>
      </c>
      <c r="E8" s="5">
        <v>263175</v>
      </c>
      <c r="F8" s="5" t="s">
        <v>289</v>
      </c>
      <c r="G8" s="5">
        <v>1000</v>
      </c>
      <c r="H8" s="7">
        <v>1.44</v>
      </c>
      <c r="I8" s="7">
        <v>0.76900000000000002</v>
      </c>
      <c r="J8" s="5" t="s">
        <v>26</v>
      </c>
      <c r="K8" s="5" t="s">
        <v>32</v>
      </c>
      <c r="L8" s="5" t="s">
        <v>26</v>
      </c>
      <c r="M8" s="7">
        <v>1107.3599999999999</v>
      </c>
      <c r="N8" s="8">
        <v>769</v>
      </c>
      <c r="O8" s="9">
        <v>0.21360000000000001</v>
      </c>
      <c r="P8" s="10">
        <v>12.82</v>
      </c>
      <c r="Q8" s="5">
        <v>404.2</v>
      </c>
      <c r="R8" s="5">
        <v>1</v>
      </c>
      <c r="S8" s="5">
        <v>1500</v>
      </c>
      <c r="T8" s="7">
        <v>1.44</v>
      </c>
      <c r="U8" s="5">
        <v>60</v>
      </c>
      <c r="V8" s="9">
        <v>0.04</v>
      </c>
      <c r="W8" s="5" t="s">
        <v>38</v>
      </c>
      <c r="X8" s="5" t="s">
        <v>28</v>
      </c>
      <c r="Y8" s="5" t="s">
        <v>27</v>
      </c>
      <c r="Z8" s="5" t="s">
        <v>26</v>
      </c>
      <c r="AA8" s="5" t="s">
        <v>26</v>
      </c>
      <c r="AB8" s="5" t="s">
        <v>29</v>
      </c>
      <c r="AC8" s="5" t="s">
        <v>299</v>
      </c>
    </row>
    <row r="9" spans="1:29" s="11" customFormat="1" ht="25.05" customHeight="1" x14ac:dyDescent="0.3">
      <c r="A9" s="5"/>
      <c r="B9" s="6" t="s">
        <v>78</v>
      </c>
      <c r="C9" s="5" t="s">
        <v>34</v>
      </c>
      <c r="D9" s="5" t="s">
        <v>290</v>
      </c>
      <c r="E9" s="5">
        <v>263178</v>
      </c>
      <c r="F9" s="5" t="s">
        <v>289</v>
      </c>
      <c r="G9" s="5">
        <v>3000</v>
      </c>
      <c r="H9" s="7">
        <v>0.35399999999999998</v>
      </c>
      <c r="I9" s="7">
        <v>1</v>
      </c>
      <c r="J9" s="5" t="s">
        <v>26</v>
      </c>
      <c r="K9" s="5" t="s">
        <v>298</v>
      </c>
      <c r="L9" s="5" t="s">
        <v>26</v>
      </c>
      <c r="M9" s="7">
        <v>1062</v>
      </c>
      <c r="N9" s="8">
        <v>750</v>
      </c>
      <c r="O9" s="9">
        <v>5.21E-2</v>
      </c>
      <c r="P9" s="10">
        <v>3.13</v>
      </c>
      <c r="Q9" s="5">
        <v>339.8</v>
      </c>
      <c r="R9" s="5">
        <v>4</v>
      </c>
      <c r="S9" s="5">
        <v>1450</v>
      </c>
      <c r="T9" s="7">
        <v>1.4159999999999999</v>
      </c>
      <c r="U9" s="5">
        <v>34</v>
      </c>
      <c r="V9" s="9">
        <v>2.3400000000000001E-2</v>
      </c>
      <c r="W9" s="5" t="s">
        <v>27</v>
      </c>
      <c r="X9" s="5" t="s">
        <v>27</v>
      </c>
      <c r="Y9" s="5" t="s">
        <v>27</v>
      </c>
      <c r="Z9" s="5" t="s">
        <v>26</v>
      </c>
      <c r="AA9" s="5" t="s">
        <v>26</v>
      </c>
      <c r="AB9" s="5" t="s">
        <v>31</v>
      </c>
      <c r="AC9" s="5" t="s">
        <v>297</v>
      </c>
    </row>
    <row r="10" spans="1:29" s="11" customFormat="1" ht="25.05" customHeight="1" x14ac:dyDescent="0.3">
      <c r="A10" s="20"/>
      <c r="B10" s="21" t="s">
        <v>78</v>
      </c>
      <c r="C10" s="21" t="s">
        <v>34</v>
      </c>
      <c r="D10" s="21" t="s">
        <v>318</v>
      </c>
      <c r="E10" s="20">
        <v>263215</v>
      </c>
      <c r="F10" s="21" t="s">
        <v>372</v>
      </c>
      <c r="G10" s="20">
        <v>600</v>
      </c>
      <c r="H10" s="22">
        <v>1.3080000000000001</v>
      </c>
      <c r="I10" s="22">
        <v>1.337</v>
      </c>
      <c r="J10" s="20"/>
      <c r="K10" s="21" t="s">
        <v>32</v>
      </c>
      <c r="L10" s="20"/>
      <c r="M10" s="22">
        <v>1049.278</v>
      </c>
      <c r="N10" s="23">
        <v>802.2</v>
      </c>
      <c r="O10" s="24">
        <v>0.2228</v>
      </c>
      <c r="P10" s="25">
        <v>13.37</v>
      </c>
      <c r="Q10" s="20">
        <v>335.8</v>
      </c>
      <c r="R10" s="20">
        <v>1</v>
      </c>
      <c r="S10" s="20">
        <v>1350</v>
      </c>
      <c r="T10" s="22">
        <v>1.3080000000000001</v>
      </c>
      <c r="U10" s="20">
        <v>42</v>
      </c>
      <c r="V10" s="24">
        <v>3.1099999999999999E-2</v>
      </c>
      <c r="W10" s="21" t="s">
        <v>27</v>
      </c>
      <c r="X10" s="21" t="s">
        <v>27</v>
      </c>
      <c r="Y10" s="21" t="s">
        <v>27</v>
      </c>
      <c r="Z10" s="21"/>
      <c r="AA10" s="21"/>
      <c r="AB10" s="21" t="s">
        <v>31</v>
      </c>
      <c r="AC10" s="21" t="s">
        <v>355</v>
      </c>
    </row>
    <row r="11" spans="1:29" s="11" customFormat="1" ht="25.05" customHeight="1" x14ac:dyDescent="0.3">
      <c r="A11" s="5"/>
      <c r="B11" s="6" t="s">
        <v>78</v>
      </c>
      <c r="C11" s="5" t="s">
        <v>34</v>
      </c>
      <c r="D11" s="5" t="s">
        <v>290</v>
      </c>
      <c r="E11" s="5">
        <v>263173</v>
      </c>
      <c r="F11" s="5" t="s">
        <v>289</v>
      </c>
      <c r="G11" s="5">
        <v>5000</v>
      </c>
      <c r="H11" s="7">
        <v>0.30399999999999999</v>
      </c>
      <c r="I11" s="7">
        <v>0.98</v>
      </c>
      <c r="J11" s="5" t="s">
        <v>26</v>
      </c>
      <c r="K11" s="5" t="s">
        <v>296</v>
      </c>
      <c r="L11" s="5" t="s">
        <v>26</v>
      </c>
      <c r="M11" s="7">
        <v>1489.6</v>
      </c>
      <c r="N11" s="8">
        <v>1225</v>
      </c>
      <c r="O11" s="9">
        <v>8.5099999999999995E-2</v>
      </c>
      <c r="P11" s="10">
        <v>5.0999999999999996</v>
      </c>
      <c r="Q11" s="5">
        <v>476.7</v>
      </c>
      <c r="R11" s="5">
        <v>4</v>
      </c>
      <c r="S11" s="5">
        <v>1250</v>
      </c>
      <c r="T11" s="7">
        <v>1.216</v>
      </c>
      <c r="U11" s="5">
        <v>34</v>
      </c>
      <c r="V11" s="9">
        <v>2.7199999999999998E-2</v>
      </c>
      <c r="W11" s="5" t="s">
        <v>27</v>
      </c>
      <c r="X11" s="5" t="s">
        <v>27</v>
      </c>
      <c r="Y11" s="5" t="s">
        <v>27</v>
      </c>
      <c r="Z11" s="5" t="s">
        <v>26</v>
      </c>
      <c r="AA11" s="5" t="s">
        <v>26</v>
      </c>
      <c r="AB11" s="5" t="s">
        <v>29</v>
      </c>
      <c r="AC11" s="5" t="s">
        <v>295</v>
      </c>
    </row>
    <row r="12" spans="1:29" s="11" customFormat="1" ht="25.05" customHeight="1" x14ac:dyDescent="0.3">
      <c r="A12" s="5"/>
      <c r="B12" s="6" t="s">
        <v>78</v>
      </c>
      <c r="C12" s="5" t="s">
        <v>51</v>
      </c>
      <c r="D12" s="5" t="s">
        <v>290</v>
      </c>
      <c r="E12" s="5">
        <v>263176</v>
      </c>
      <c r="F12" s="5" t="s">
        <v>289</v>
      </c>
      <c r="G12" s="5">
        <v>2000</v>
      </c>
      <c r="H12" s="7">
        <v>0.57999999999999996</v>
      </c>
      <c r="I12" s="7">
        <v>1.38</v>
      </c>
      <c r="J12" s="5" t="s">
        <v>26</v>
      </c>
      <c r="K12" s="5" t="s">
        <v>294</v>
      </c>
      <c r="L12" s="5" t="s">
        <v>26</v>
      </c>
      <c r="M12" s="7">
        <v>1600.8</v>
      </c>
      <c r="N12" s="8">
        <v>1380</v>
      </c>
      <c r="O12" s="9">
        <v>0.19170000000000001</v>
      </c>
      <c r="P12" s="10">
        <v>11.5</v>
      </c>
      <c r="Q12" s="5">
        <v>584.29999999999995</v>
      </c>
      <c r="R12" s="5">
        <v>2</v>
      </c>
      <c r="S12" s="5">
        <v>1200</v>
      </c>
      <c r="T12" s="7">
        <v>1.1599999999999999</v>
      </c>
      <c r="U12" s="5">
        <v>40</v>
      </c>
      <c r="V12" s="9">
        <v>3.3300000000000003E-2</v>
      </c>
      <c r="W12" s="5" t="s">
        <v>38</v>
      </c>
      <c r="X12" s="5" t="s">
        <v>28</v>
      </c>
      <c r="Y12" s="5" t="s">
        <v>27</v>
      </c>
      <c r="Z12" s="5" t="s">
        <v>26</v>
      </c>
      <c r="AA12" s="5" t="s">
        <v>26</v>
      </c>
      <c r="AB12" s="5" t="s">
        <v>29</v>
      </c>
      <c r="AC12" s="5" t="s">
        <v>293</v>
      </c>
    </row>
    <row r="13" spans="1:29" s="11" customFormat="1" ht="25.05" customHeight="1" x14ac:dyDescent="0.3">
      <c r="A13" s="5"/>
      <c r="B13" s="6" t="s">
        <v>78</v>
      </c>
      <c r="C13" s="5" t="s">
        <v>34</v>
      </c>
      <c r="D13" s="5" t="s">
        <v>290</v>
      </c>
      <c r="E13" s="5">
        <v>263180</v>
      </c>
      <c r="F13" s="5" t="s">
        <v>289</v>
      </c>
      <c r="G13" s="5">
        <v>6000</v>
      </c>
      <c r="H13" s="7">
        <v>0.27400000000000002</v>
      </c>
      <c r="I13" s="7">
        <v>0.71</v>
      </c>
      <c r="J13" s="5" t="s">
        <v>26</v>
      </c>
      <c r="K13" s="5" t="s">
        <v>292</v>
      </c>
      <c r="L13" s="5" t="s">
        <v>26</v>
      </c>
      <c r="M13" s="7">
        <v>1167.24</v>
      </c>
      <c r="N13" s="8">
        <v>1065</v>
      </c>
      <c r="O13" s="9">
        <v>7.3999999999999996E-2</v>
      </c>
      <c r="P13" s="10">
        <v>4.4400000000000004</v>
      </c>
      <c r="Q13" s="5">
        <v>373.5</v>
      </c>
      <c r="R13" s="5">
        <v>4</v>
      </c>
      <c r="S13" s="5">
        <v>1150</v>
      </c>
      <c r="T13" s="7">
        <v>1.0960000000000001</v>
      </c>
      <c r="U13" s="5">
        <v>54</v>
      </c>
      <c r="V13" s="9">
        <v>4.7E-2</v>
      </c>
      <c r="W13" s="5" t="s">
        <v>27</v>
      </c>
      <c r="X13" s="5" t="s">
        <v>27</v>
      </c>
      <c r="Y13" s="5" t="s">
        <v>27</v>
      </c>
      <c r="Z13" s="5" t="s">
        <v>26</v>
      </c>
      <c r="AA13" s="5" t="s">
        <v>26</v>
      </c>
      <c r="AB13" s="5" t="s">
        <v>31</v>
      </c>
      <c r="AC13" s="5" t="s">
        <v>291</v>
      </c>
    </row>
    <row r="14" spans="1:29" s="11" customFormat="1" ht="25.05" customHeight="1" x14ac:dyDescent="0.3">
      <c r="A14" s="20"/>
      <c r="B14" s="21" t="s">
        <v>78</v>
      </c>
      <c r="C14" s="21" t="s">
        <v>34</v>
      </c>
      <c r="D14" s="21" t="s">
        <v>318</v>
      </c>
      <c r="E14" s="20">
        <v>263214</v>
      </c>
      <c r="F14" s="21" t="s">
        <v>372</v>
      </c>
      <c r="G14" s="20">
        <v>1070</v>
      </c>
      <c r="H14" s="22">
        <v>0.95299999999999996</v>
      </c>
      <c r="I14" s="22">
        <v>0.94099999999999995</v>
      </c>
      <c r="J14" s="20"/>
      <c r="K14" s="21" t="s">
        <v>370</v>
      </c>
      <c r="L14" s="20"/>
      <c r="M14" s="22">
        <v>959.54700000000003</v>
      </c>
      <c r="N14" s="23">
        <v>1006.9</v>
      </c>
      <c r="O14" s="24">
        <v>0.2797</v>
      </c>
      <c r="P14" s="25">
        <v>16.78</v>
      </c>
      <c r="Q14" s="20">
        <v>307.10000000000002</v>
      </c>
      <c r="R14" s="20">
        <v>1</v>
      </c>
      <c r="S14" s="20">
        <v>1000</v>
      </c>
      <c r="T14" s="22">
        <v>0.95299999999999996</v>
      </c>
      <c r="U14" s="20">
        <v>47</v>
      </c>
      <c r="V14" s="24">
        <v>4.7E-2</v>
      </c>
      <c r="W14" s="21" t="s">
        <v>27</v>
      </c>
      <c r="X14" s="21" t="s">
        <v>27</v>
      </c>
      <c r="Y14" s="21" t="s">
        <v>27</v>
      </c>
      <c r="Z14" s="21"/>
      <c r="AA14" s="21"/>
      <c r="AB14" s="21" t="s">
        <v>31</v>
      </c>
      <c r="AC14" s="21" t="s">
        <v>371</v>
      </c>
    </row>
    <row r="15" spans="1:29" s="11" customFormat="1" ht="25.05" customHeight="1" x14ac:dyDescent="0.3">
      <c r="A15" s="5"/>
      <c r="B15" s="6" t="s">
        <v>78</v>
      </c>
      <c r="C15" s="5" t="s">
        <v>34</v>
      </c>
      <c r="D15" s="5" t="s">
        <v>290</v>
      </c>
      <c r="E15" s="5">
        <v>263179</v>
      </c>
      <c r="F15" s="5" t="s">
        <v>289</v>
      </c>
      <c r="G15" s="5">
        <v>611</v>
      </c>
      <c r="H15" s="7">
        <v>1</v>
      </c>
      <c r="I15" s="7">
        <v>1.56</v>
      </c>
      <c r="J15" s="5" t="s">
        <v>26</v>
      </c>
      <c r="K15" s="5" t="s">
        <v>32</v>
      </c>
      <c r="L15" s="5" t="s">
        <v>26</v>
      </c>
      <c r="M15" s="7">
        <v>953.16</v>
      </c>
      <c r="N15" s="8">
        <v>953.2</v>
      </c>
      <c r="O15" s="9">
        <v>0.26479999999999998</v>
      </c>
      <c r="P15" s="10">
        <v>15.89</v>
      </c>
      <c r="Q15" s="5">
        <v>305</v>
      </c>
      <c r="R15" s="5">
        <v>1</v>
      </c>
      <c r="S15" s="5">
        <v>1050</v>
      </c>
      <c r="T15" s="7">
        <v>1</v>
      </c>
      <c r="U15" s="5">
        <v>50</v>
      </c>
      <c r="V15" s="9">
        <v>4.7600000000000003E-2</v>
      </c>
      <c r="W15" s="5" t="s">
        <v>27</v>
      </c>
      <c r="X15" s="5" t="s">
        <v>27</v>
      </c>
      <c r="Y15" s="5" t="s">
        <v>27</v>
      </c>
      <c r="Z15" s="5" t="s">
        <v>26</v>
      </c>
      <c r="AA15" s="5" t="s">
        <v>26</v>
      </c>
      <c r="AB15" s="5" t="s">
        <v>31</v>
      </c>
      <c r="AC15" s="5" t="s">
        <v>288</v>
      </c>
    </row>
    <row r="16" spans="1:29" s="11" customFormat="1" ht="25.05" customHeight="1" x14ac:dyDescent="0.3">
      <c r="A16" s="12" t="s">
        <v>26</v>
      </c>
      <c r="B16" s="12" t="s">
        <v>26</v>
      </c>
      <c r="C16" s="12" t="s">
        <v>26</v>
      </c>
      <c r="D16" s="12" t="s">
        <v>26</v>
      </c>
      <c r="E16" s="12" t="s">
        <v>26</v>
      </c>
      <c r="F16" s="12" t="s">
        <v>26</v>
      </c>
      <c r="G16" s="12">
        <v>31761</v>
      </c>
      <c r="H16" s="12" t="s">
        <v>26</v>
      </c>
      <c r="I16" s="12" t="s">
        <v>26</v>
      </c>
      <c r="J16" s="12" t="s">
        <v>26</v>
      </c>
      <c r="K16" s="12" t="s">
        <v>26</v>
      </c>
      <c r="L16" s="12" t="s">
        <v>26</v>
      </c>
      <c r="M16" s="12" t="s">
        <v>26</v>
      </c>
      <c r="N16" s="12" t="s">
        <v>26</v>
      </c>
      <c r="O16" s="12" t="s">
        <v>26</v>
      </c>
      <c r="P16" s="12" t="s">
        <v>26</v>
      </c>
      <c r="Q16" s="12">
        <v>4326.5</v>
      </c>
      <c r="R16" s="12" t="s">
        <v>26</v>
      </c>
      <c r="S16" s="12" t="s">
        <v>26</v>
      </c>
      <c r="T16" s="12" t="s">
        <v>26</v>
      </c>
      <c r="U16" s="12" t="s">
        <v>26</v>
      </c>
      <c r="V16" s="12" t="s">
        <v>26</v>
      </c>
      <c r="W16" s="12" t="s">
        <v>26</v>
      </c>
      <c r="X16" s="12" t="s">
        <v>26</v>
      </c>
      <c r="Y16" s="12" t="s">
        <v>26</v>
      </c>
      <c r="Z16" s="12" t="s">
        <v>26</v>
      </c>
      <c r="AA16" s="12" t="s">
        <v>26</v>
      </c>
      <c r="AB16" s="12" t="s">
        <v>26</v>
      </c>
      <c r="AC16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376BD4-9135-4008-9D2E-90AD42133DFD}">
  <dimension ref="A1:AC4"/>
  <sheetViews>
    <sheetView workbookViewId="0">
      <selection activeCell="AE25" sqref="AE25"/>
    </sheetView>
  </sheetViews>
  <sheetFormatPr defaultRowHeight="14.4" x14ac:dyDescent="0.3"/>
  <cols>
    <col min="1" max="1" width="3.5546875" style="3" customWidth="1"/>
    <col min="2" max="2" width="20.77734375" style="3" hidden="1" customWidth="1"/>
    <col min="3" max="3" width="5.44140625" style="3" customWidth="1"/>
    <col min="4" max="4" width="0.109375" style="3" customWidth="1"/>
    <col min="5" max="5" width="7.33203125" style="3" customWidth="1"/>
    <col min="6" max="6" width="4.109375" style="3" customWidth="1"/>
    <col min="7" max="7" width="6" style="3" customWidth="1"/>
    <col min="8" max="8" width="6.33203125" style="3" customWidth="1"/>
    <col min="9" max="9" width="6.88671875" style="3" customWidth="1"/>
    <col min="10" max="10" width="6.33203125" style="3" customWidth="1"/>
    <col min="11" max="11" width="11.21875" style="3" customWidth="1"/>
    <col min="12" max="12" width="6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33203125" style="3" customWidth="1"/>
    <col min="18" max="18" width="4.21875" style="3" customWidth="1"/>
    <col min="19" max="19" width="5.6640625" style="3" customWidth="1"/>
    <col min="20" max="20" width="6" style="3" customWidth="1"/>
    <col min="21" max="21" width="11.77734375" style="3" hidden="1" customWidth="1"/>
    <col min="22" max="22" width="8.77734375" style="3" hidden="1" customWidth="1"/>
    <col min="23" max="23" width="7.6640625" style="3" customWidth="1"/>
    <col min="24" max="24" width="7.5546875" style="3" customWidth="1"/>
    <col min="25" max="25" width="7.88671875" style="3" customWidth="1"/>
    <col min="26" max="26" width="6.77734375" style="3" customWidth="1"/>
    <col min="27" max="27" width="6.44140625" style="3" customWidth="1"/>
    <col min="28" max="28" width="4.44140625" style="3" customWidth="1"/>
    <col min="29" max="29" width="11" style="3" customWidth="1"/>
    <col min="30" max="16384" width="8.88671875" style="3"/>
  </cols>
  <sheetData>
    <row r="1" spans="1:29" ht="18" customHeight="1" x14ac:dyDescent="0.35">
      <c r="A1" s="67" t="s">
        <v>287</v>
      </c>
      <c r="B1" s="67" t="s">
        <v>26</v>
      </c>
      <c r="C1" s="67" t="s">
        <v>26</v>
      </c>
      <c r="D1" s="67" t="s">
        <v>26</v>
      </c>
      <c r="E1" s="67" t="s">
        <v>26</v>
      </c>
      <c r="F1" s="67" t="s">
        <v>26</v>
      </c>
      <c r="G1" s="67" t="s">
        <v>26</v>
      </c>
      <c r="H1" s="67" t="s">
        <v>26</v>
      </c>
      <c r="I1" s="67" t="s">
        <v>26</v>
      </c>
      <c r="J1" s="67" t="s">
        <v>26</v>
      </c>
      <c r="K1" s="67" t="s">
        <v>26</v>
      </c>
      <c r="L1" s="67" t="s">
        <v>26</v>
      </c>
      <c r="M1" s="67" t="s">
        <v>26</v>
      </c>
      <c r="N1" s="67" t="s">
        <v>26</v>
      </c>
      <c r="O1" s="67" t="s">
        <v>26</v>
      </c>
      <c r="P1" s="67" t="s">
        <v>26</v>
      </c>
      <c r="Q1" s="67" t="s">
        <v>26</v>
      </c>
      <c r="R1" s="67" t="s">
        <v>26</v>
      </c>
      <c r="S1" s="67" t="s">
        <v>26</v>
      </c>
      <c r="T1" s="67" t="s">
        <v>26</v>
      </c>
      <c r="U1" s="67" t="s">
        <v>26</v>
      </c>
      <c r="V1" s="67" t="s">
        <v>26</v>
      </c>
      <c r="W1" s="67" t="s">
        <v>26</v>
      </c>
      <c r="X1" s="67" t="s">
        <v>26</v>
      </c>
      <c r="Y1" s="67" t="s">
        <v>26</v>
      </c>
      <c r="Z1" s="67" t="s">
        <v>26</v>
      </c>
      <c r="AA1" s="67" t="s">
        <v>26</v>
      </c>
      <c r="AB1" s="67" t="s">
        <v>26</v>
      </c>
      <c r="AC1" s="67" t="s">
        <v>26</v>
      </c>
    </row>
    <row r="2" spans="1:29" ht="53.4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x14ac:dyDescent="0.3">
      <c r="A3" s="5">
        <v>1</v>
      </c>
      <c r="B3" s="6" t="s">
        <v>182</v>
      </c>
      <c r="C3" s="5" t="s">
        <v>34</v>
      </c>
      <c r="D3" s="5" t="s">
        <v>276</v>
      </c>
      <c r="E3" s="5">
        <v>263171</v>
      </c>
      <c r="F3" s="5" t="s">
        <v>45</v>
      </c>
      <c r="G3" s="5">
        <v>2000</v>
      </c>
      <c r="H3" s="7">
        <v>0.27300000000000002</v>
      </c>
      <c r="I3" s="7">
        <v>0.73</v>
      </c>
      <c r="J3" s="5" t="s">
        <v>26</v>
      </c>
      <c r="K3" s="5" t="s">
        <v>286</v>
      </c>
      <c r="L3" s="5" t="s">
        <v>26</v>
      </c>
      <c r="M3" s="7">
        <v>398.58</v>
      </c>
      <c r="N3" s="8">
        <v>365</v>
      </c>
      <c r="O3" s="9">
        <v>2.53E-2</v>
      </c>
      <c r="P3" s="10">
        <v>1.52</v>
      </c>
      <c r="Q3" s="5">
        <v>127.5</v>
      </c>
      <c r="R3" s="5">
        <v>4</v>
      </c>
      <c r="S3" s="5">
        <v>1150</v>
      </c>
      <c r="T3" s="7">
        <v>1.0920000000000001</v>
      </c>
      <c r="U3" s="5">
        <v>58</v>
      </c>
      <c r="V3" s="9">
        <v>5.04E-2</v>
      </c>
      <c r="W3" s="5" t="s">
        <v>27</v>
      </c>
      <c r="X3" s="5" t="s">
        <v>27</v>
      </c>
      <c r="Y3" s="5" t="s">
        <v>27</v>
      </c>
      <c r="Z3" s="5" t="s">
        <v>26</v>
      </c>
      <c r="AA3" s="5" t="s">
        <v>26</v>
      </c>
      <c r="AB3" s="5" t="s">
        <v>36</v>
      </c>
      <c r="AC3" s="5" t="s">
        <v>285</v>
      </c>
    </row>
    <row r="4" spans="1:29" s="11" customFormat="1" x14ac:dyDescent="0.3">
      <c r="A4" s="12" t="s">
        <v>26</v>
      </c>
      <c r="B4" s="12" t="s">
        <v>26</v>
      </c>
      <c r="C4" s="12" t="s">
        <v>26</v>
      </c>
      <c r="D4" s="12" t="s">
        <v>26</v>
      </c>
      <c r="E4" s="12" t="s">
        <v>26</v>
      </c>
      <c r="F4" s="12" t="s">
        <v>26</v>
      </c>
      <c r="G4" s="12">
        <v>2000</v>
      </c>
      <c r="H4" s="12" t="s">
        <v>26</v>
      </c>
      <c r="I4" s="12" t="s">
        <v>26</v>
      </c>
      <c r="J4" s="12" t="s">
        <v>26</v>
      </c>
      <c r="K4" s="12" t="s">
        <v>26</v>
      </c>
      <c r="L4" s="12" t="s">
        <v>26</v>
      </c>
      <c r="M4" s="12" t="s">
        <v>26</v>
      </c>
      <c r="N4" s="12" t="s">
        <v>26</v>
      </c>
      <c r="O4" s="12" t="s">
        <v>26</v>
      </c>
      <c r="P4" s="12" t="s">
        <v>26</v>
      </c>
      <c r="Q4" s="12">
        <v>127.5</v>
      </c>
      <c r="R4" s="12" t="s">
        <v>26</v>
      </c>
      <c r="S4" s="12" t="s">
        <v>26</v>
      </c>
      <c r="T4" s="12" t="s">
        <v>26</v>
      </c>
      <c r="U4" s="12" t="s">
        <v>26</v>
      </c>
      <c r="V4" s="12" t="s">
        <v>26</v>
      </c>
      <c r="W4" s="12" t="s">
        <v>26</v>
      </c>
      <c r="X4" s="12" t="s">
        <v>26</v>
      </c>
      <c r="Y4" s="12" t="s">
        <v>26</v>
      </c>
      <c r="Z4" s="12" t="s">
        <v>26</v>
      </c>
      <c r="AA4" s="12" t="s">
        <v>26</v>
      </c>
      <c r="AB4" s="12" t="s">
        <v>26</v>
      </c>
      <c r="AC4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AF92E-7FEE-4676-895E-492157477C87}">
  <sheetPr>
    <pageSetUpPr fitToPage="1"/>
  </sheetPr>
  <dimension ref="A1:AC8"/>
  <sheetViews>
    <sheetView workbookViewId="0">
      <selection activeCell="T16" sqref="T16"/>
    </sheetView>
  </sheetViews>
  <sheetFormatPr defaultRowHeight="14.4" x14ac:dyDescent="0.3"/>
  <cols>
    <col min="1" max="1" width="4.44140625" style="3" customWidth="1"/>
    <col min="2" max="2" width="0.109375" style="3" hidden="1" customWidth="1"/>
    <col min="3" max="3" width="7.109375" style="3" customWidth="1"/>
    <col min="4" max="4" width="11.77734375" style="3" hidden="1" customWidth="1"/>
    <col min="5" max="5" width="7.44140625" style="3" customWidth="1"/>
    <col min="6" max="6" width="9.109375" style="3" customWidth="1"/>
    <col min="7" max="7" width="6.5546875" style="3" customWidth="1"/>
    <col min="8" max="8" width="6.109375" style="3" customWidth="1"/>
    <col min="9" max="9" width="6.44140625" style="3" customWidth="1"/>
    <col min="10" max="10" width="6.5546875" style="3" customWidth="1"/>
    <col min="11" max="11" width="8" style="3" customWidth="1"/>
    <col min="12" max="12" width="6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109375" style="3" customWidth="1"/>
    <col min="18" max="18" width="4" style="3" customWidth="1"/>
    <col min="19" max="19" width="7" style="3" customWidth="1"/>
    <col min="20" max="20" width="6.6640625" style="3" customWidth="1"/>
    <col min="21" max="21" width="11.77734375" style="3" hidden="1" customWidth="1"/>
    <col min="22" max="22" width="8.77734375" style="3" hidden="1" customWidth="1"/>
    <col min="23" max="23" width="8.109375" style="3" customWidth="1"/>
    <col min="24" max="25" width="8" style="3" customWidth="1"/>
    <col min="26" max="26" width="7.5546875" style="3" customWidth="1"/>
    <col min="27" max="27" width="7.21875" style="3" customWidth="1"/>
    <col min="28" max="28" width="4.88671875" style="3" customWidth="1"/>
    <col min="29" max="29" width="11" style="3" customWidth="1"/>
    <col min="30" max="16384" width="8.88671875" style="3"/>
  </cols>
  <sheetData>
    <row r="1" spans="1:29" ht="18" customHeight="1" x14ac:dyDescent="0.35">
      <c r="A1" s="68" t="s">
        <v>275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54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 x14ac:dyDescent="0.3">
      <c r="A3" s="27"/>
      <c r="B3" s="28" t="s">
        <v>269</v>
      </c>
      <c r="C3" s="27" t="s">
        <v>34</v>
      </c>
      <c r="D3" s="27" t="s">
        <v>171</v>
      </c>
      <c r="E3" s="27">
        <v>263165</v>
      </c>
      <c r="F3" s="27" t="s">
        <v>268</v>
      </c>
      <c r="G3" s="27">
        <v>2000</v>
      </c>
      <c r="H3" s="29">
        <v>0.39</v>
      </c>
      <c r="I3" s="29">
        <v>0.61</v>
      </c>
      <c r="J3" s="27" t="s">
        <v>26</v>
      </c>
      <c r="K3" s="27" t="s">
        <v>32</v>
      </c>
      <c r="L3" s="27" t="s">
        <v>26</v>
      </c>
      <c r="M3" s="29">
        <v>475.8</v>
      </c>
      <c r="N3" s="30">
        <v>305</v>
      </c>
      <c r="O3" s="31">
        <v>2.12E-2</v>
      </c>
      <c r="P3" s="32">
        <v>1.27</v>
      </c>
      <c r="Q3" s="27">
        <v>152.30000000000001</v>
      </c>
      <c r="R3" s="27">
        <v>4</v>
      </c>
      <c r="S3" s="27">
        <v>1600</v>
      </c>
      <c r="T3" s="29">
        <v>1.56</v>
      </c>
      <c r="U3" s="27">
        <v>40</v>
      </c>
      <c r="V3" s="31">
        <v>2.5000000000000001E-2</v>
      </c>
      <c r="W3" s="27" t="s">
        <v>27</v>
      </c>
      <c r="X3" s="27" t="s">
        <v>27</v>
      </c>
      <c r="Y3" s="27" t="s">
        <v>27</v>
      </c>
      <c r="Z3" s="27" t="s">
        <v>26</v>
      </c>
      <c r="AA3" s="27" t="s">
        <v>26</v>
      </c>
      <c r="AB3" s="27" t="s">
        <v>36</v>
      </c>
      <c r="AC3" s="27" t="s">
        <v>274</v>
      </c>
    </row>
    <row r="4" spans="1:29" s="11" customFormat="1" ht="25.05" customHeight="1" x14ac:dyDescent="0.3">
      <c r="A4" s="27"/>
      <c r="B4" s="28" t="s">
        <v>269</v>
      </c>
      <c r="C4" s="27" t="s">
        <v>34</v>
      </c>
      <c r="D4" s="27" t="s">
        <v>171</v>
      </c>
      <c r="E4" s="27">
        <v>263163</v>
      </c>
      <c r="F4" s="27" t="s">
        <v>268</v>
      </c>
      <c r="G4" s="27">
        <v>1000</v>
      </c>
      <c r="H4" s="29">
        <v>0.36</v>
      </c>
      <c r="I4" s="29">
        <v>0.72</v>
      </c>
      <c r="J4" s="27" t="s">
        <v>26</v>
      </c>
      <c r="K4" s="27" t="s">
        <v>32</v>
      </c>
      <c r="L4" s="27" t="s">
        <v>26</v>
      </c>
      <c r="M4" s="29">
        <v>259.2</v>
      </c>
      <c r="N4" s="30">
        <v>180</v>
      </c>
      <c r="O4" s="31">
        <v>1.2500000000000001E-2</v>
      </c>
      <c r="P4" s="32">
        <v>0.75</v>
      </c>
      <c r="Q4" s="27">
        <v>82.9</v>
      </c>
      <c r="R4" s="27">
        <v>4</v>
      </c>
      <c r="S4" s="27">
        <v>1500</v>
      </c>
      <c r="T4" s="29">
        <v>1.44</v>
      </c>
      <c r="U4" s="27">
        <v>60</v>
      </c>
      <c r="V4" s="31">
        <v>0.04</v>
      </c>
      <c r="W4" s="27" t="s">
        <v>27</v>
      </c>
      <c r="X4" s="27" t="s">
        <v>27</v>
      </c>
      <c r="Y4" s="27" t="s">
        <v>27</v>
      </c>
      <c r="Z4" s="27" t="s">
        <v>26</v>
      </c>
      <c r="AA4" s="27" t="s">
        <v>26</v>
      </c>
      <c r="AB4" s="27" t="s">
        <v>36</v>
      </c>
      <c r="AC4" s="27" t="s">
        <v>271</v>
      </c>
    </row>
    <row r="5" spans="1:29" s="11" customFormat="1" ht="25.05" customHeight="1" x14ac:dyDescent="0.3">
      <c r="A5" s="27"/>
      <c r="B5" s="28" t="s">
        <v>269</v>
      </c>
      <c r="C5" s="27" t="s">
        <v>273</v>
      </c>
      <c r="D5" s="27" t="s">
        <v>171</v>
      </c>
      <c r="E5" s="27">
        <v>263166</v>
      </c>
      <c r="F5" s="27" t="s">
        <v>268</v>
      </c>
      <c r="G5" s="27">
        <v>3000</v>
      </c>
      <c r="H5" s="29">
        <v>0.36</v>
      </c>
      <c r="I5" s="29">
        <v>0.72</v>
      </c>
      <c r="J5" s="27" t="s">
        <v>26</v>
      </c>
      <c r="K5" s="27" t="s">
        <v>32</v>
      </c>
      <c r="L5" s="27" t="s">
        <v>26</v>
      </c>
      <c r="M5" s="29">
        <v>777.6</v>
      </c>
      <c r="N5" s="30">
        <v>540</v>
      </c>
      <c r="O5" s="31">
        <v>3.7499999999999999E-2</v>
      </c>
      <c r="P5" s="32">
        <v>2.25</v>
      </c>
      <c r="Q5" s="27">
        <v>283.8</v>
      </c>
      <c r="R5" s="27">
        <v>4</v>
      </c>
      <c r="S5" s="27">
        <v>1500</v>
      </c>
      <c r="T5" s="29">
        <v>1.44</v>
      </c>
      <c r="U5" s="27">
        <v>60</v>
      </c>
      <c r="V5" s="31">
        <v>0.04</v>
      </c>
      <c r="W5" s="27" t="s">
        <v>272</v>
      </c>
      <c r="X5" s="27" t="s">
        <v>28</v>
      </c>
      <c r="Y5" s="27" t="s">
        <v>33</v>
      </c>
      <c r="Z5" s="27" t="s">
        <v>26</v>
      </c>
      <c r="AA5" s="27" t="s">
        <v>26</v>
      </c>
      <c r="AB5" s="27" t="s">
        <v>36</v>
      </c>
      <c r="AC5" s="27" t="s">
        <v>271</v>
      </c>
    </row>
    <row r="6" spans="1:29" s="11" customFormat="1" ht="25.05" customHeight="1" x14ac:dyDescent="0.3">
      <c r="A6" s="13"/>
      <c r="B6" s="14" t="s">
        <v>269</v>
      </c>
      <c r="C6" s="14" t="s">
        <v>39</v>
      </c>
      <c r="D6" s="14" t="s">
        <v>171</v>
      </c>
      <c r="E6" s="13">
        <v>263162</v>
      </c>
      <c r="F6" s="14" t="s">
        <v>268</v>
      </c>
      <c r="G6" s="13">
        <v>10000</v>
      </c>
      <c r="H6" s="15">
        <v>0.46</v>
      </c>
      <c r="I6" s="15">
        <v>0.92</v>
      </c>
      <c r="J6" s="13"/>
      <c r="K6" s="14" t="s">
        <v>32</v>
      </c>
      <c r="L6" s="13"/>
      <c r="M6" s="15">
        <v>4232</v>
      </c>
      <c r="N6" s="16">
        <v>3066.7</v>
      </c>
      <c r="O6" s="17">
        <v>0.28399999999999997</v>
      </c>
      <c r="P6" s="18">
        <v>17.04</v>
      </c>
      <c r="Q6" s="13">
        <v>1460</v>
      </c>
      <c r="R6" s="13">
        <v>3</v>
      </c>
      <c r="S6" s="13">
        <v>1400</v>
      </c>
      <c r="T6" s="15">
        <v>1.38</v>
      </c>
      <c r="U6" s="13">
        <v>20</v>
      </c>
      <c r="V6" s="17">
        <v>1.43E-2</v>
      </c>
      <c r="W6" s="14" t="s">
        <v>28</v>
      </c>
      <c r="X6" s="14" t="s">
        <v>28</v>
      </c>
      <c r="Y6" s="14" t="s">
        <v>27</v>
      </c>
      <c r="Z6" s="14"/>
      <c r="AA6" s="14"/>
      <c r="AB6" s="14" t="s">
        <v>45</v>
      </c>
      <c r="AC6" s="14" t="s">
        <v>270</v>
      </c>
    </row>
    <row r="7" spans="1:29" s="11" customFormat="1" ht="25.05" customHeight="1" x14ac:dyDescent="0.3">
      <c r="A7" s="27"/>
      <c r="B7" s="28" t="s">
        <v>269</v>
      </c>
      <c r="C7" s="27" t="s">
        <v>34</v>
      </c>
      <c r="D7" s="27" t="s">
        <v>171</v>
      </c>
      <c r="E7" s="27">
        <v>263164</v>
      </c>
      <c r="F7" s="27" t="s">
        <v>268</v>
      </c>
      <c r="G7" s="27">
        <v>2500</v>
      </c>
      <c r="H7" s="29">
        <v>0.59</v>
      </c>
      <c r="I7" s="29">
        <v>0.78</v>
      </c>
      <c r="J7" s="27" t="s">
        <v>26</v>
      </c>
      <c r="K7" s="27" t="s">
        <v>32</v>
      </c>
      <c r="L7" s="27" t="s">
        <v>26</v>
      </c>
      <c r="M7" s="29">
        <v>1150.5</v>
      </c>
      <c r="N7" s="30">
        <v>975</v>
      </c>
      <c r="O7" s="31">
        <v>0.13539999999999999</v>
      </c>
      <c r="P7" s="32">
        <v>8.1300000000000008</v>
      </c>
      <c r="Q7" s="27">
        <v>368.2</v>
      </c>
      <c r="R7" s="27">
        <v>2</v>
      </c>
      <c r="S7" s="27">
        <v>1200</v>
      </c>
      <c r="T7" s="29">
        <v>1.18</v>
      </c>
      <c r="U7" s="27">
        <v>20</v>
      </c>
      <c r="V7" s="31">
        <v>1.67E-2</v>
      </c>
      <c r="W7" s="27" t="s">
        <v>27</v>
      </c>
      <c r="X7" s="27" t="s">
        <v>27</v>
      </c>
      <c r="Y7" s="27" t="s">
        <v>27</v>
      </c>
      <c r="Z7" s="27" t="s">
        <v>26</v>
      </c>
      <c r="AA7" s="27" t="s">
        <v>26</v>
      </c>
      <c r="AB7" s="27" t="s">
        <v>31</v>
      </c>
      <c r="AC7" s="27" t="s">
        <v>267</v>
      </c>
    </row>
    <row r="8" spans="1:29" s="11" customFormat="1" ht="25.05" customHeight="1" x14ac:dyDescent="0.3">
      <c r="A8" s="55" t="s">
        <v>26</v>
      </c>
      <c r="B8" s="55" t="s">
        <v>26</v>
      </c>
      <c r="C8" s="55" t="s">
        <v>26</v>
      </c>
      <c r="D8" s="55" t="s">
        <v>26</v>
      </c>
      <c r="E8" s="55" t="s">
        <v>26</v>
      </c>
      <c r="F8" s="55" t="s">
        <v>26</v>
      </c>
      <c r="G8" s="55">
        <f>SUM(G3:G7)</f>
        <v>18500</v>
      </c>
      <c r="H8" s="55" t="s">
        <v>26</v>
      </c>
      <c r="I8" s="55" t="s">
        <v>26</v>
      </c>
      <c r="J8" s="55" t="s">
        <v>26</v>
      </c>
      <c r="K8" s="55" t="s">
        <v>26</v>
      </c>
      <c r="L8" s="55" t="s">
        <v>26</v>
      </c>
      <c r="M8" s="55" t="s">
        <v>26</v>
      </c>
      <c r="N8" s="55" t="s">
        <v>26</v>
      </c>
      <c r="O8" s="55" t="s">
        <v>26</v>
      </c>
      <c r="P8" s="55" t="s">
        <v>26</v>
      </c>
      <c r="Q8" s="55">
        <f>SUM(Q3:Q7)</f>
        <v>2347.1999999999998</v>
      </c>
      <c r="R8" s="55" t="s">
        <v>26</v>
      </c>
      <c r="S8" s="55" t="s">
        <v>26</v>
      </c>
      <c r="T8" s="55" t="s">
        <v>26</v>
      </c>
      <c r="U8" s="55" t="s">
        <v>26</v>
      </c>
      <c r="V8" s="55" t="s">
        <v>26</v>
      </c>
      <c r="W8" s="55" t="s">
        <v>26</v>
      </c>
      <c r="X8" s="55" t="s">
        <v>26</v>
      </c>
      <c r="Y8" s="55" t="s">
        <v>26</v>
      </c>
      <c r="Z8" s="55" t="s">
        <v>26</v>
      </c>
      <c r="AA8" s="55" t="s">
        <v>26</v>
      </c>
      <c r="AB8" s="55" t="s">
        <v>26</v>
      </c>
      <c r="AC8" s="55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12A3B-04B8-4776-9DC5-293342451E63}">
  <sheetPr>
    <pageSetUpPr fitToPage="1"/>
  </sheetPr>
  <dimension ref="A1:AC16"/>
  <sheetViews>
    <sheetView workbookViewId="0">
      <selection activeCell="AE8" sqref="AE8"/>
    </sheetView>
  </sheetViews>
  <sheetFormatPr defaultRowHeight="14.4" x14ac:dyDescent="0.3"/>
  <cols>
    <col min="1" max="1" width="5" style="3" customWidth="1"/>
    <col min="2" max="2" width="23.109375" style="3" hidden="1" customWidth="1"/>
    <col min="3" max="3" width="6.33203125" style="3" customWidth="1"/>
    <col min="4" max="4" width="11.77734375" style="3" hidden="1" customWidth="1"/>
    <col min="5" max="5" width="7.6640625" style="3" customWidth="1"/>
    <col min="6" max="6" width="9.33203125" style="3" customWidth="1"/>
    <col min="7" max="7" width="5" style="3" customWidth="1"/>
    <col min="8" max="8" width="6.44140625" style="3" customWidth="1"/>
    <col min="9" max="9" width="7.5546875" style="3" customWidth="1"/>
    <col min="10" max="10" width="6.44140625" style="3" customWidth="1"/>
    <col min="11" max="11" width="21" style="3" customWidth="1"/>
    <col min="12" max="12" width="7.21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33203125" style="3" customWidth="1"/>
    <col min="18" max="18" width="4.77734375" style="3" customWidth="1"/>
    <col min="19" max="19" width="7" style="3" customWidth="1"/>
    <col min="20" max="20" width="6.6640625" style="3" customWidth="1"/>
    <col min="21" max="21" width="11.77734375" style="3" hidden="1" customWidth="1"/>
    <col min="22" max="22" width="8.77734375" style="3" hidden="1" customWidth="1"/>
    <col min="23" max="23" width="8.21875" style="3" customWidth="1"/>
    <col min="24" max="24" width="7.88671875" style="3" customWidth="1"/>
    <col min="25" max="25" width="7.33203125" style="3" customWidth="1"/>
    <col min="26" max="26" width="7.5546875" style="3" customWidth="1"/>
    <col min="27" max="27" width="7.33203125" style="3" customWidth="1"/>
    <col min="28" max="28" width="4.77734375" style="3" customWidth="1"/>
    <col min="29" max="29" width="10.6640625" style="3" customWidth="1"/>
    <col min="30" max="16384" width="8.88671875" style="3"/>
  </cols>
  <sheetData>
    <row r="1" spans="1:29" ht="18" customHeight="1" x14ac:dyDescent="0.35">
      <c r="A1" s="68" t="s">
        <v>266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42.6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 x14ac:dyDescent="0.3">
      <c r="A3" s="27"/>
      <c r="B3" s="28" t="s">
        <v>48</v>
      </c>
      <c r="C3" s="27" t="s">
        <v>25</v>
      </c>
      <c r="D3" s="27" t="s">
        <v>198</v>
      </c>
      <c r="E3" s="27">
        <v>263156</v>
      </c>
      <c r="F3" s="27" t="s">
        <v>249</v>
      </c>
      <c r="G3" s="27">
        <v>500</v>
      </c>
      <c r="H3" s="29">
        <v>0.38900000000000001</v>
      </c>
      <c r="I3" s="29">
        <v>0.86899999999999999</v>
      </c>
      <c r="J3" s="27" t="s">
        <v>26</v>
      </c>
      <c r="K3" s="27" t="s">
        <v>265</v>
      </c>
      <c r="L3" s="27" t="s">
        <v>26</v>
      </c>
      <c r="M3" s="29">
        <v>169.02099999999999</v>
      </c>
      <c r="N3" s="30">
        <v>108.6</v>
      </c>
      <c r="O3" s="31">
        <v>7.4999999999999997E-3</v>
      </c>
      <c r="P3" s="32">
        <v>0.45</v>
      </c>
      <c r="Q3" s="27">
        <v>90.9</v>
      </c>
      <c r="R3" s="27">
        <v>4</v>
      </c>
      <c r="S3" s="27">
        <v>1600</v>
      </c>
      <c r="T3" s="29">
        <v>1.556</v>
      </c>
      <c r="U3" s="27">
        <v>44</v>
      </c>
      <c r="V3" s="31">
        <v>2.75E-2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36</v>
      </c>
      <c r="AC3" s="27" t="s">
        <v>264</v>
      </c>
    </row>
    <row r="4" spans="1:29" s="11" customFormat="1" ht="25.05" customHeight="1" x14ac:dyDescent="0.3">
      <c r="A4" s="27"/>
      <c r="B4" s="28" t="s">
        <v>48</v>
      </c>
      <c r="C4" s="27" t="s">
        <v>25</v>
      </c>
      <c r="D4" s="27" t="s">
        <v>198</v>
      </c>
      <c r="E4" s="27">
        <v>263160</v>
      </c>
      <c r="F4" s="27" t="s">
        <v>249</v>
      </c>
      <c r="G4" s="27">
        <v>300</v>
      </c>
      <c r="H4" s="29">
        <v>0.504</v>
      </c>
      <c r="I4" s="29">
        <v>1.2290000000000001</v>
      </c>
      <c r="J4" s="27" t="s">
        <v>26</v>
      </c>
      <c r="K4" s="27" t="s">
        <v>263</v>
      </c>
      <c r="L4" s="27" t="s">
        <v>26</v>
      </c>
      <c r="M4" s="29">
        <v>185.82499999999999</v>
      </c>
      <c r="N4" s="30">
        <v>122.9</v>
      </c>
      <c r="O4" s="31">
        <v>1.14E-2</v>
      </c>
      <c r="P4" s="32">
        <v>0.68</v>
      </c>
      <c r="Q4" s="27">
        <v>100</v>
      </c>
      <c r="R4" s="27">
        <v>3</v>
      </c>
      <c r="S4" s="27">
        <v>1550</v>
      </c>
      <c r="T4" s="29">
        <v>1.512</v>
      </c>
      <c r="U4" s="27">
        <v>38</v>
      </c>
      <c r="V4" s="31">
        <v>2.4500000000000001E-2</v>
      </c>
      <c r="W4" s="27" t="s">
        <v>27</v>
      </c>
      <c r="X4" s="27" t="s">
        <v>28</v>
      </c>
      <c r="Y4" s="27" t="s">
        <v>27</v>
      </c>
      <c r="Z4" s="27" t="s">
        <v>27</v>
      </c>
      <c r="AA4" s="27" t="s">
        <v>27</v>
      </c>
      <c r="AB4" s="27" t="s">
        <v>36</v>
      </c>
      <c r="AC4" s="27" t="s">
        <v>262</v>
      </c>
    </row>
    <row r="5" spans="1:29" s="11" customFormat="1" ht="25.05" customHeight="1" x14ac:dyDescent="0.3">
      <c r="A5" s="27"/>
      <c r="B5" s="28" t="s">
        <v>48</v>
      </c>
      <c r="C5" s="27" t="s">
        <v>25</v>
      </c>
      <c r="D5" s="27" t="s">
        <v>198</v>
      </c>
      <c r="E5" s="27">
        <v>263153</v>
      </c>
      <c r="F5" s="27" t="s">
        <v>249</v>
      </c>
      <c r="G5" s="27">
        <v>150</v>
      </c>
      <c r="H5" s="29">
        <v>0.70399999999999996</v>
      </c>
      <c r="I5" s="29">
        <v>1.7490000000000001</v>
      </c>
      <c r="J5" s="27" t="s">
        <v>26</v>
      </c>
      <c r="K5" s="27" t="s">
        <v>261</v>
      </c>
      <c r="L5" s="27" t="s">
        <v>26</v>
      </c>
      <c r="M5" s="29">
        <v>184.69399999999999</v>
      </c>
      <c r="N5" s="30">
        <v>131.19999999999999</v>
      </c>
      <c r="O5" s="31">
        <v>1.8200000000000001E-2</v>
      </c>
      <c r="P5" s="32">
        <v>1.0900000000000001</v>
      </c>
      <c r="Q5" s="27">
        <v>99.4</v>
      </c>
      <c r="R5" s="27">
        <v>2</v>
      </c>
      <c r="S5" s="27">
        <v>1450</v>
      </c>
      <c r="T5" s="29">
        <v>1.4079999999999999</v>
      </c>
      <c r="U5" s="27">
        <v>42</v>
      </c>
      <c r="V5" s="31">
        <v>2.9000000000000001E-2</v>
      </c>
      <c r="W5" s="27" t="s">
        <v>27</v>
      </c>
      <c r="X5" s="27" t="s">
        <v>28</v>
      </c>
      <c r="Y5" s="27" t="s">
        <v>27</v>
      </c>
      <c r="Z5" s="27" t="s">
        <v>27</v>
      </c>
      <c r="AA5" s="27" t="s">
        <v>27</v>
      </c>
      <c r="AB5" s="27" t="s">
        <v>36</v>
      </c>
      <c r="AC5" s="27" t="s">
        <v>260</v>
      </c>
    </row>
    <row r="6" spans="1:29" s="11" customFormat="1" ht="25.05" customHeight="1" x14ac:dyDescent="0.3">
      <c r="A6" s="27"/>
      <c r="B6" s="28" t="s">
        <v>48</v>
      </c>
      <c r="C6" s="27" t="s">
        <v>25</v>
      </c>
      <c r="D6" s="27" t="s">
        <v>198</v>
      </c>
      <c r="E6" s="27">
        <v>263155</v>
      </c>
      <c r="F6" s="27" t="s">
        <v>249</v>
      </c>
      <c r="G6" s="27">
        <v>300</v>
      </c>
      <c r="H6" s="29">
        <v>0.45900000000000002</v>
      </c>
      <c r="I6" s="29">
        <v>1.329</v>
      </c>
      <c r="J6" s="27" t="s">
        <v>26</v>
      </c>
      <c r="K6" s="27" t="s">
        <v>259</v>
      </c>
      <c r="L6" s="27" t="s">
        <v>26</v>
      </c>
      <c r="M6" s="29">
        <v>183.00299999999999</v>
      </c>
      <c r="N6" s="30">
        <v>132.9</v>
      </c>
      <c r="O6" s="31">
        <v>1.23E-2</v>
      </c>
      <c r="P6" s="32">
        <v>0.74</v>
      </c>
      <c r="Q6" s="27">
        <v>98.5</v>
      </c>
      <c r="R6" s="27">
        <v>3</v>
      </c>
      <c r="S6" s="27">
        <v>1400</v>
      </c>
      <c r="T6" s="29">
        <v>1.377</v>
      </c>
      <c r="U6" s="27">
        <v>23</v>
      </c>
      <c r="V6" s="31">
        <v>1.6400000000000001E-2</v>
      </c>
      <c r="W6" s="27" t="s">
        <v>27</v>
      </c>
      <c r="X6" s="27" t="s">
        <v>28</v>
      </c>
      <c r="Y6" s="27" t="s">
        <v>27</v>
      </c>
      <c r="Z6" s="27" t="s">
        <v>27</v>
      </c>
      <c r="AA6" s="27" t="s">
        <v>27</v>
      </c>
      <c r="AB6" s="27" t="s">
        <v>36</v>
      </c>
      <c r="AC6" s="27" t="s">
        <v>258</v>
      </c>
    </row>
    <row r="7" spans="1:29" s="11" customFormat="1" ht="25.05" customHeight="1" x14ac:dyDescent="0.3">
      <c r="A7" s="27"/>
      <c r="B7" s="28" t="s">
        <v>48</v>
      </c>
      <c r="C7" s="27" t="s">
        <v>25</v>
      </c>
      <c r="D7" s="27" t="s">
        <v>198</v>
      </c>
      <c r="E7" s="27">
        <v>263157</v>
      </c>
      <c r="F7" s="27" t="s">
        <v>249</v>
      </c>
      <c r="G7" s="27">
        <v>405</v>
      </c>
      <c r="H7" s="29">
        <v>0.66400000000000003</v>
      </c>
      <c r="I7" s="29">
        <v>1.859</v>
      </c>
      <c r="J7" s="27" t="s">
        <v>26</v>
      </c>
      <c r="K7" s="27" t="s">
        <v>257</v>
      </c>
      <c r="L7" s="27" t="s">
        <v>26</v>
      </c>
      <c r="M7" s="29">
        <v>499.92200000000003</v>
      </c>
      <c r="N7" s="30">
        <v>376.4</v>
      </c>
      <c r="O7" s="31">
        <v>5.2299999999999999E-2</v>
      </c>
      <c r="P7" s="32">
        <v>3.14</v>
      </c>
      <c r="Q7" s="27">
        <v>269</v>
      </c>
      <c r="R7" s="27">
        <v>2</v>
      </c>
      <c r="S7" s="27">
        <v>1350</v>
      </c>
      <c r="T7" s="29">
        <v>1.3280000000000001</v>
      </c>
      <c r="U7" s="27">
        <v>22</v>
      </c>
      <c r="V7" s="31">
        <v>1.6299999999999999E-2</v>
      </c>
      <c r="W7" s="27" t="s">
        <v>27</v>
      </c>
      <c r="X7" s="27" t="s">
        <v>28</v>
      </c>
      <c r="Y7" s="27" t="s">
        <v>27</v>
      </c>
      <c r="Z7" s="27" t="s">
        <v>27</v>
      </c>
      <c r="AA7" s="27" t="s">
        <v>27</v>
      </c>
      <c r="AB7" s="27" t="s">
        <v>29</v>
      </c>
      <c r="AC7" s="27" t="s">
        <v>256</v>
      </c>
    </row>
    <row r="8" spans="1:29" s="11" customFormat="1" ht="25.05" customHeight="1" x14ac:dyDescent="0.3">
      <c r="A8" s="27"/>
      <c r="B8" s="28" t="s">
        <v>48</v>
      </c>
      <c r="C8" s="27" t="s">
        <v>25</v>
      </c>
      <c r="D8" s="27" t="s">
        <v>198</v>
      </c>
      <c r="E8" s="27">
        <v>263154</v>
      </c>
      <c r="F8" s="27" t="s">
        <v>249</v>
      </c>
      <c r="G8" s="27">
        <v>200</v>
      </c>
      <c r="H8" s="29">
        <v>0.624</v>
      </c>
      <c r="I8" s="29">
        <v>1.429</v>
      </c>
      <c r="J8" s="27" t="s">
        <v>26</v>
      </c>
      <c r="K8" s="27" t="s">
        <v>255</v>
      </c>
      <c r="L8" s="27" t="s">
        <v>26</v>
      </c>
      <c r="M8" s="29">
        <v>178.339</v>
      </c>
      <c r="N8" s="30">
        <v>142.9</v>
      </c>
      <c r="O8" s="31">
        <v>1.9800000000000002E-2</v>
      </c>
      <c r="P8" s="32">
        <v>1.19</v>
      </c>
      <c r="Q8" s="27">
        <v>95.9</v>
      </c>
      <c r="R8" s="27">
        <v>2</v>
      </c>
      <c r="S8" s="27">
        <v>1300</v>
      </c>
      <c r="T8" s="29">
        <v>1.248</v>
      </c>
      <c r="U8" s="27">
        <v>52</v>
      </c>
      <c r="V8" s="31">
        <v>0.04</v>
      </c>
      <c r="W8" s="27" t="s">
        <v>27</v>
      </c>
      <c r="X8" s="27" t="s">
        <v>28</v>
      </c>
      <c r="Y8" s="27" t="s">
        <v>27</v>
      </c>
      <c r="Z8" s="27" t="s">
        <v>27</v>
      </c>
      <c r="AA8" s="27" t="s">
        <v>27</v>
      </c>
      <c r="AB8" s="27" t="s">
        <v>31</v>
      </c>
      <c r="AC8" s="27" t="s">
        <v>254</v>
      </c>
    </row>
    <row r="9" spans="1:29" s="11" customFormat="1" ht="25.05" customHeight="1" x14ac:dyDescent="0.3">
      <c r="A9" s="27"/>
      <c r="B9" s="28" t="s">
        <v>48</v>
      </c>
      <c r="C9" s="27" t="s">
        <v>25</v>
      </c>
      <c r="D9" s="27" t="s">
        <v>198</v>
      </c>
      <c r="E9" s="27">
        <v>263159</v>
      </c>
      <c r="F9" s="27" t="s">
        <v>249</v>
      </c>
      <c r="G9" s="27">
        <v>600</v>
      </c>
      <c r="H9" s="29">
        <v>0.56000000000000005</v>
      </c>
      <c r="I9" s="29">
        <v>1.7030000000000001</v>
      </c>
      <c r="J9" s="27" t="s">
        <v>26</v>
      </c>
      <c r="K9" s="27" t="s">
        <v>253</v>
      </c>
      <c r="L9" s="27" t="s">
        <v>26</v>
      </c>
      <c r="M9" s="29">
        <v>572.20799999999997</v>
      </c>
      <c r="N9" s="30">
        <v>510.9</v>
      </c>
      <c r="O9" s="31">
        <v>7.0999999999999994E-2</v>
      </c>
      <c r="P9" s="32">
        <v>4.26</v>
      </c>
      <c r="Q9" s="27">
        <v>307.8</v>
      </c>
      <c r="R9" s="27">
        <v>2</v>
      </c>
      <c r="S9" s="27">
        <v>1150</v>
      </c>
      <c r="T9" s="29">
        <v>1.1200000000000001</v>
      </c>
      <c r="U9" s="27">
        <v>30</v>
      </c>
      <c r="V9" s="31">
        <v>2.6100000000000002E-2</v>
      </c>
      <c r="W9" s="27" t="s">
        <v>27</v>
      </c>
      <c r="X9" s="27" t="s">
        <v>28</v>
      </c>
      <c r="Y9" s="27" t="s">
        <v>27</v>
      </c>
      <c r="Z9" s="27" t="s">
        <v>27</v>
      </c>
      <c r="AA9" s="27" t="s">
        <v>27</v>
      </c>
      <c r="AB9" s="27" t="s">
        <v>31</v>
      </c>
      <c r="AC9" s="27" t="s">
        <v>252</v>
      </c>
    </row>
    <row r="10" spans="1:29" s="11" customFormat="1" ht="25.05" customHeight="1" x14ac:dyDescent="0.3">
      <c r="A10" s="27"/>
      <c r="B10" s="28" t="s">
        <v>48</v>
      </c>
      <c r="C10" s="27" t="s">
        <v>25</v>
      </c>
      <c r="D10" s="27" t="s">
        <v>198</v>
      </c>
      <c r="E10" s="27">
        <v>263158</v>
      </c>
      <c r="F10" s="27" t="s">
        <v>249</v>
      </c>
      <c r="G10" s="27">
        <v>300</v>
      </c>
      <c r="H10" s="29">
        <v>1.0309999999999999</v>
      </c>
      <c r="I10" s="29">
        <v>2.024</v>
      </c>
      <c r="J10" s="27" t="s">
        <v>26</v>
      </c>
      <c r="K10" s="27" t="s">
        <v>251</v>
      </c>
      <c r="L10" s="27" t="s">
        <v>26</v>
      </c>
      <c r="M10" s="29">
        <v>626.02300000000002</v>
      </c>
      <c r="N10" s="30">
        <v>607.20000000000005</v>
      </c>
      <c r="O10" s="31">
        <v>0.16869999999999999</v>
      </c>
      <c r="P10" s="32">
        <v>10.119999999999999</v>
      </c>
      <c r="Q10" s="27">
        <v>336.8</v>
      </c>
      <c r="R10" s="27">
        <v>1</v>
      </c>
      <c r="S10" s="27">
        <v>1100</v>
      </c>
      <c r="T10" s="29">
        <v>1.0309999999999999</v>
      </c>
      <c r="U10" s="27">
        <v>69</v>
      </c>
      <c r="V10" s="31">
        <v>6.2700000000000006E-2</v>
      </c>
      <c r="W10" s="27" t="s">
        <v>27</v>
      </c>
      <c r="X10" s="27" t="s">
        <v>28</v>
      </c>
      <c r="Y10" s="27" t="s">
        <v>27</v>
      </c>
      <c r="Z10" s="27" t="s">
        <v>27</v>
      </c>
      <c r="AA10" s="27" t="s">
        <v>27</v>
      </c>
      <c r="AB10" s="27" t="s">
        <v>31</v>
      </c>
      <c r="AC10" s="27" t="s">
        <v>250</v>
      </c>
    </row>
    <row r="11" spans="1:29" s="11" customFormat="1" ht="25.05" customHeight="1" x14ac:dyDescent="0.3">
      <c r="A11" s="13"/>
      <c r="B11" s="28" t="s">
        <v>48</v>
      </c>
      <c r="C11" s="14" t="s">
        <v>46</v>
      </c>
      <c r="D11" s="14" t="s">
        <v>276</v>
      </c>
      <c r="E11" s="13">
        <v>263167</v>
      </c>
      <c r="F11" s="27" t="s">
        <v>277</v>
      </c>
      <c r="G11" s="13">
        <v>500</v>
      </c>
      <c r="H11" s="15">
        <v>0.98599999999999999</v>
      </c>
      <c r="I11" s="15">
        <v>2.371</v>
      </c>
      <c r="J11" s="13"/>
      <c r="K11" s="14" t="s">
        <v>215</v>
      </c>
      <c r="L11" s="13"/>
      <c r="M11" s="15">
        <v>1168.903</v>
      </c>
      <c r="N11" s="16">
        <v>1185.5</v>
      </c>
      <c r="O11" s="17">
        <v>0.32929999999999998</v>
      </c>
      <c r="P11" s="18">
        <v>19.760000000000002</v>
      </c>
      <c r="Q11" s="13">
        <v>738.7</v>
      </c>
      <c r="R11" s="13">
        <v>1</v>
      </c>
      <c r="S11" s="13">
        <v>1050</v>
      </c>
      <c r="T11" s="15">
        <v>0.98599999999999999</v>
      </c>
      <c r="U11" s="13">
        <v>64</v>
      </c>
      <c r="V11" s="17">
        <v>6.0999999999999999E-2</v>
      </c>
      <c r="W11" s="14" t="s">
        <v>28</v>
      </c>
      <c r="X11" s="14" t="s">
        <v>37</v>
      </c>
      <c r="Y11" s="14" t="s">
        <v>27</v>
      </c>
      <c r="Z11" s="14" t="s">
        <v>27</v>
      </c>
      <c r="AA11" s="14" t="s">
        <v>28</v>
      </c>
      <c r="AB11" s="14" t="s">
        <v>29</v>
      </c>
      <c r="AC11" s="14" t="s">
        <v>214</v>
      </c>
    </row>
    <row r="12" spans="1:29" s="11" customFormat="1" ht="25.05" customHeight="1" x14ac:dyDescent="0.3">
      <c r="A12" s="27"/>
      <c r="B12" s="28" t="s">
        <v>48</v>
      </c>
      <c r="C12" s="27" t="s">
        <v>42</v>
      </c>
      <c r="D12" s="27" t="s">
        <v>198</v>
      </c>
      <c r="E12" s="27">
        <v>263161</v>
      </c>
      <c r="F12" s="27" t="s">
        <v>249</v>
      </c>
      <c r="G12" s="27">
        <v>200</v>
      </c>
      <c r="H12" s="29">
        <v>1.3240000000000001</v>
      </c>
      <c r="I12" s="29">
        <v>1.889</v>
      </c>
      <c r="J12" s="27" t="s">
        <v>26</v>
      </c>
      <c r="K12" s="27" t="s">
        <v>248</v>
      </c>
      <c r="L12" s="27" t="s">
        <v>26</v>
      </c>
      <c r="M12" s="29">
        <v>500.20699999999999</v>
      </c>
      <c r="N12" s="30">
        <v>377.8</v>
      </c>
      <c r="O12" s="31">
        <v>0.10489999999999999</v>
      </c>
      <c r="P12" s="32">
        <v>6.3</v>
      </c>
      <c r="Q12" s="27">
        <v>177.6</v>
      </c>
      <c r="R12" s="27">
        <v>1</v>
      </c>
      <c r="S12" s="27">
        <v>1350</v>
      </c>
      <c r="T12" s="29">
        <v>1.3240000000000001</v>
      </c>
      <c r="U12" s="27">
        <v>26</v>
      </c>
      <c r="V12" s="31">
        <v>1.9300000000000001E-2</v>
      </c>
      <c r="W12" s="27" t="s">
        <v>28</v>
      </c>
      <c r="X12" s="27" t="s">
        <v>27</v>
      </c>
      <c r="Y12" s="27" t="s">
        <v>28</v>
      </c>
      <c r="Z12" s="27" t="s">
        <v>26</v>
      </c>
      <c r="AA12" s="27" t="s">
        <v>26</v>
      </c>
      <c r="AB12" s="27" t="s">
        <v>36</v>
      </c>
      <c r="AC12" s="27" t="s">
        <v>247</v>
      </c>
    </row>
    <row r="13" spans="1:29" s="11" customFormat="1" ht="25.05" customHeight="1" x14ac:dyDescent="0.3">
      <c r="A13" s="13"/>
      <c r="B13" s="56" t="s">
        <v>48</v>
      </c>
      <c r="C13" s="14" t="s">
        <v>62</v>
      </c>
      <c r="D13" s="14" t="s">
        <v>276</v>
      </c>
      <c r="E13" s="13">
        <v>263170</v>
      </c>
      <c r="F13" s="14" t="s">
        <v>278</v>
      </c>
      <c r="G13" s="13">
        <v>200</v>
      </c>
      <c r="H13" s="15">
        <v>0.67900000000000005</v>
      </c>
      <c r="I13" s="15">
        <v>1.839</v>
      </c>
      <c r="J13" s="13"/>
      <c r="K13" s="14" t="s">
        <v>283</v>
      </c>
      <c r="L13" s="13"/>
      <c r="M13" s="15">
        <v>249.73599999999999</v>
      </c>
      <c r="N13" s="16">
        <v>183.9</v>
      </c>
      <c r="O13" s="17">
        <v>2.5499999999999998E-2</v>
      </c>
      <c r="P13" s="18">
        <v>1.53</v>
      </c>
      <c r="Q13" s="13">
        <v>117.4</v>
      </c>
      <c r="R13" s="13">
        <v>2</v>
      </c>
      <c r="S13" s="13">
        <v>1400</v>
      </c>
      <c r="T13" s="15">
        <v>1.3580000000000001</v>
      </c>
      <c r="U13" s="13">
        <v>42</v>
      </c>
      <c r="V13" s="17">
        <v>0.03</v>
      </c>
      <c r="W13" s="14" t="s">
        <v>61</v>
      </c>
      <c r="X13" s="14" t="s">
        <v>38</v>
      </c>
      <c r="Y13" s="14" t="s">
        <v>61</v>
      </c>
      <c r="Z13" s="14"/>
      <c r="AA13" s="14"/>
      <c r="AB13" s="14" t="s">
        <v>36</v>
      </c>
      <c r="AC13" s="14" t="s">
        <v>284</v>
      </c>
    </row>
    <row r="14" spans="1:29" s="11" customFormat="1" ht="25.05" customHeight="1" x14ac:dyDescent="0.3">
      <c r="A14" s="13"/>
      <c r="B14" s="56" t="s">
        <v>48</v>
      </c>
      <c r="C14" s="14" t="s">
        <v>62</v>
      </c>
      <c r="D14" s="14" t="s">
        <v>276</v>
      </c>
      <c r="E14" s="13">
        <v>263169</v>
      </c>
      <c r="F14" s="14" t="s">
        <v>278</v>
      </c>
      <c r="G14" s="13">
        <v>200</v>
      </c>
      <c r="H14" s="15">
        <v>0.65900000000000003</v>
      </c>
      <c r="I14" s="15">
        <v>1.889</v>
      </c>
      <c r="J14" s="13"/>
      <c r="K14" s="14" t="s">
        <v>281</v>
      </c>
      <c r="L14" s="13"/>
      <c r="M14" s="15">
        <v>248.97</v>
      </c>
      <c r="N14" s="16">
        <v>188.9</v>
      </c>
      <c r="O14" s="17">
        <v>2.6200000000000001E-2</v>
      </c>
      <c r="P14" s="18">
        <v>1.57</v>
      </c>
      <c r="Q14" s="13">
        <v>117</v>
      </c>
      <c r="R14" s="13">
        <v>2</v>
      </c>
      <c r="S14" s="13">
        <v>1350</v>
      </c>
      <c r="T14" s="15">
        <v>1.3180000000000001</v>
      </c>
      <c r="U14" s="13">
        <v>32</v>
      </c>
      <c r="V14" s="17">
        <v>2.3699999999999999E-2</v>
      </c>
      <c r="W14" s="14" t="s">
        <v>61</v>
      </c>
      <c r="X14" s="14" t="s">
        <v>38</v>
      </c>
      <c r="Y14" s="14" t="s">
        <v>61</v>
      </c>
      <c r="Z14" s="14"/>
      <c r="AA14" s="14"/>
      <c r="AB14" s="14" t="s">
        <v>36</v>
      </c>
      <c r="AC14" s="14" t="s">
        <v>282</v>
      </c>
    </row>
    <row r="15" spans="1:29" s="11" customFormat="1" ht="25.05" customHeight="1" x14ac:dyDescent="0.3">
      <c r="A15" s="13"/>
      <c r="B15" s="56" t="s">
        <v>48</v>
      </c>
      <c r="C15" s="14" t="s">
        <v>62</v>
      </c>
      <c r="D15" s="14" t="s">
        <v>276</v>
      </c>
      <c r="E15" s="13">
        <v>263168</v>
      </c>
      <c r="F15" s="14" t="s">
        <v>278</v>
      </c>
      <c r="G15" s="13">
        <v>600</v>
      </c>
      <c r="H15" s="15">
        <v>0.63900000000000001</v>
      </c>
      <c r="I15" s="15">
        <v>1.829</v>
      </c>
      <c r="J15" s="13"/>
      <c r="K15" s="14" t="s">
        <v>279</v>
      </c>
      <c r="L15" s="13"/>
      <c r="M15" s="15">
        <v>701.23900000000003</v>
      </c>
      <c r="N15" s="16">
        <v>548.70000000000005</v>
      </c>
      <c r="O15" s="17">
        <v>7.6200000000000004E-2</v>
      </c>
      <c r="P15" s="18">
        <v>4.57</v>
      </c>
      <c r="Q15" s="13">
        <v>329.6</v>
      </c>
      <c r="R15" s="13">
        <v>2</v>
      </c>
      <c r="S15" s="13">
        <v>1300</v>
      </c>
      <c r="T15" s="15">
        <v>1.278</v>
      </c>
      <c r="U15" s="13">
        <v>22</v>
      </c>
      <c r="V15" s="17">
        <v>1.6899999999999998E-2</v>
      </c>
      <c r="W15" s="14" t="s">
        <v>61</v>
      </c>
      <c r="X15" s="14" t="s">
        <v>38</v>
      </c>
      <c r="Y15" s="14" t="s">
        <v>61</v>
      </c>
      <c r="Z15" s="14"/>
      <c r="AA15" s="14"/>
      <c r="AB15" s="14" t="s">
        <v>31</v>
      </c>
      <c r="AC15" s="14" t="s">
        <v>280</v>
      </c>
    </row>
    <row r="16" spans="1:29" s="11" customFormat="1" ht="25.05" customHeight="1" x14ac:dyDescent="0.3">
      <c r="A16" s="55" t="s">
        <v>26</v>
      </c>
      <c r="B16" s="55" t="s">
        <v>26</v>
      </c>
      <c r="C16" s="55" t="s">
        <v>26</v>
      </c>
      <c r="D16" s="55" t="s">
        <v>26</v>
      </c>
      <c r="E16" s="55" t="s">
        <v>26</v>
      </c>
      <c r="F16" s="55" t="s">
        <v>26</v>
      </c>
      <c r="G16" s="55">
        <f>SUM(G3:G15)</f>
        <v>4455</v>
      </c>
      <c r="H16" s="55" t="s">
        <v>26</v>
      </c>
      <c r="I16" s="55" t="s">
        <v>26</v>
      </c>
      <c r="J16" s="55" t="s">
        <v>26</v>
      </c>
      <c r="K16" s="55" t="s">
        <v>26</v>
      </c>
      <c r="L16" s="55" t="s">
        <v>26</v>
      </c>
      <c r="M16" s="55" t="s">
        <v>26</v>
      </c>
      <c r="N16" s="55" t="s">
        <v>26</v>
      </c>
      <c r="O16" s="55" t="s">
        <v>26</v>
      </c>
      <c r="P16" s="55" t="s">
        <v>26</v>
      </c>
      <c r="Q16" s="55">
        <f>SUM(Q3:Q15)</f>
        <v>2878.6</v>
      </c>
      <c r="R16" s="55" t="s">
        <v>26</v>
      </c>
      <c r="S16" s="55" t="s">
        <v>26</v>
      </c>
      <c r="T16" s="55" t="s">
        <v>26</v>
      </c>
      <c r="U16" s="55" t="s">
        <v>26</v>
      </c>
      <c r="V16" s="55" t="s">
        <v>26</v>
      </c>
      <c r="W16" s="55" t="s">
        <v>26</v>
      </c>
      <c r="X16" s="55" t="s">
        <v>26</v>
      </c>
      <c r="Y16" s="55" t="s">
        <v>26</v>
      </c>
      <c r="Z16" s="55" t="s">
        <v>26</v>
      </c>
      <c r="AA16" s="55" t="s">
        <v>26</v>
      </c>
      <c r="AB16" s="55" t="s">
        <v>26</v>
      </c>
      <c r="AC16" s="55" t="s">
        <v>26</v>
      </c>
    </row>
  </sheetData>
  <mergeCells count="1">
    <mergeCell ref="A1:AC1"/>
  </mergeCells>
  <phoneticPr fontId="15" type="noConversion"/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58927-1660-45D0-841B-7E0811204F27}">
  <sheetPr>
    <pageSetUpPr fitToPage="1"/>
  </sheetPr>
  <dimension ref="A1:AC13"/>
  <sheetViews>
    <sheetView workbookViewId="0">
      <selection activeCell="A9" sqref="A9:XFD9"/>
    </sheetView>
  </sheetViews>
  <sheetFormatPr defaultRowHeight="14.4" x14ac:dyDescent="0.3"/>
  <cols>
    <col min="1" max="1" width="4.21875" style="3" customWidth="1"/>
    <col min="2" max="2" width="20.77734375" style="3" hidden="1" customWidth="1"/>
    <col min="3" max="3" width="6" style="3" customWidth="1"/>
    <col min="4" max="4" width="11.77734375" style="3" hidden="1" customWidth="1"/>
    <col min="5" max="5" width="7.5546875" style="3" customWidth="1"/>
    <col min="6" max="6" width="7.77734375" style="3" customWidth="1"/>
    <col min="7" max="7" width="6.88671875" style="3" customWidth="1"/>
    <col min="8" max="8" width="6.6640625" style="3" customWidth="1"/>
    <col min="9" max="9" width="7" style="3" customWidth="1"/>
    <col min="10" max="10" width="8.33203125" style="3" customWidth="1"/>
    <col min="11" max="11" width="12.88671875" style="3" customWidth="1"/>
    <col min="12" max="12" width="8.332031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77734375" style="3" customWidth="1"/>
    <col min="18" max="18" width="4.5546875" style="3" customWidth="1"/>
    <col min="19" max="19" width="6.77734375" style="3" customWidth="1"/>
    <col min="20" max="20" width="6.44140625" style="3" customWidth="1"/>
    <col min="21" max="21" width="11.77734375" style="3" hidden="1" customWidth="1"/>
    <col min="22" max="22" width="8.77734375" style="3" hidden="1" customWidth="1"/>
    <col min="23" max="23" width="8.6640625" style="3" customWidth="1"/>
    <col min="24" max="24" width="7.77734375" style="3" customWidth="1"/>
    <col min="25" max="25" width="7.33203125" style="3" customWidth="1"/>
    <col min="26" max="26" width="7.88671875" style="3" customWidth="1"/>
    <col min="27" max="27" width="7.77734375" style="3" customWidth="1"/>
    <col min="28" max="28" width="4" style="3" customWidth="1"/>
    <col min="29" max="29" width="9.44140625" style="3" customWidth="1"/>
    <col min="30" max="16384" width="8.88671875" style="3"/>
  </cols>
  <sheetData>
    <row r="1" spans="1:29" ht="18" customHeight="1" x14ac:dyDescent="0.35">
      <c r="A1" s="68" t="s">
        <v>229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43.8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 x14ac:dyDescent="0.3">
      <c r="A3" s="27">
        <v>1</v>
      </c>
      <c r="B3" s="28" t="s">
        <v>48</v>
      </c>
      <c r="C3" s="27" t="s">
        <v>25</v>
      </c>
      <c r="D3" s="27" t="s">
        <v>211</v>
      </c>
      <c r="E3" s="27">
        <v>263144</v>
      </c>
      <c r="F3" s="27" t="s">
        <v>210</v>
      </c>
      <c r="G3" s="27">
        <v>200</v>
      </c>
      <c r="H3" s="29">
        <v>0.624</v>
      </c>
      <c r="I3" s="29">
        <v>1.5189999999999999</v>
      </c>
      <c r="J3" s="27" t="s">
        <v>26</v>
      </c>
      <c r="K3" s="27" t="s">
        <v>228</v>
      </c>
      <c r="L3" s="27" t="s">
        <v>26</v>
      </c>
      <c r="M3" s="29">
        <v>189.571</v>
      </c>
      <c r="N3" s="30">
        <v>151.9</v>
      </c>
      <c r="O3" s="31">
        <v>2.1100000000000001E-2</v>
      </c>
      <c r="P3" s="32">
        <v>1.27</v>
      </c>
      <c r="Q3" s="27">
        <v>102</v>
      </c>
      <c r="R3" s="27">
        <v>2</v>
      </c>
      <c r="S3" s="27">
        <v>1300</v>
      </c>
      <c r="T3" s="29">
        <v>1.248</v>
      </c>
      <c r="U3" s="27">
        <v>52</v>
      </c>
      <c r="V3" s="31">
        <v>0.04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31</v>
      </c>
      <c r="AC3" s="27" t="s">
        <v>227</v>
      </c>
    </row>
    <row r="4" spans="1:29" s="11" customFormat="1" ht="25.05" customHeight="1" x14ac:dyDescent="0.3">
      <c r="A4" s="27">
        <v>2</v>
      </c>
      <c r="B4" s="28" t="s">
        <v>48</v>
      </c>
      <c r="C4" s="27" t="s">
        <v>46</v>
      </c>
      <c r="D4" s="27" t="s">
        <v>211</v>
      </c>
      <c r="E4" s="27">
        <v>263139</v>
      </c>
      <c r="F4" s="27" t="s">
        <v>216</v>
      </c>
      <c r="G4" s="27">
        <v>600</v>
      </c>
      <c r="H4" s="29">
        <v>1.236</v>
      </c>
      <c r="I4" s="29">
        <v>2.5910000000000002</v>
      </c>
      <c r="J4" s="27" t="s">
        <v>26</v>
      </c>
      <c r="K4" s="27" t="s">
        <v>226</v>
      </c>
      <c r="L4" s="27" t="s">
        <v>26</v>
      </c>
      <c r="M4" s="29">
        <v>1921.4860000000001</v>
      </c>
      <c r="N4" s="30">
        <v>1554.6</v>
      </c>
      <c r="O4" s="31">
        <v>0.43180000000000002</v>
      </c>
      <c r="P4" s="32">
        <v>25.91</v>
      </c>
      <c r="Q4" s="27">
        <v>1214.4000000000001</v>
      </c>
      <c r="R4" s="27">
        <v>1</v>
      </c>
      <c r="S4" s="27">
        <v>1300</v>
      </c>
      <c r="T4" s="29">
        <v>1.236</v>
      </c>
      <c r="U4" s="27">
        <v>64</v>
      </c>
      <c r="V4" s="31">
        <v>4.9200000000000001E-2</v>
      </c>
      <c r="W4" s="27" t="s">
        <v>28</v>
      </c>
      <c r="X4" s="27" t="s">
        <v>37</v>
      </c>
      <c r="Y4" s="27" t="s">
        <v>27</v>
      </c>
      <c r="Z4" s="27" t="s">
        <v>27</v>
      </c>
      <c r="AA4" s="27" t="s">
        <v>28</v>
      </c>
      <c r="AB4" s="27" t="s">
        <v>30</v>
      </c>
      <c r="AC4" s="27" t="s">
        <v>225</v>
      </c>
    </row>
    <row r="5" spans="1:29" s="11" customFormat="1" ht="25.05" customHeight="1" x14ac:dyDescent="0.3">
      <c r="A5" s="27">
        <v>3</v>
      </c>
      <c r="B5" s="28" t="s">
        <v>48</v>
      </c>
      <c r="C5" s="27" t="s">
        <v>25</v>
      </c>
      <c r="D5" s="27" t="s">
        <v>211</v>
      </c>
      <c r="E5" s="27">
        <v>263142</v>
      </c>
      <c r="F5" s="27" t="s">
        <v>210</v>
      </c>
      <c r="G5" s="27">
        <v>250</v>
      </c>
      <c r="H5" s="29">
        <v>0.60399999999999998</v>
      </c>
      <c r="I5" s="29">
        <v>1.419</v>
      </c>
      <c r="J5" s="27" t="s">
        <v>26</v>
      </c>
      <c r="K5" s="27" t="s">
        <v>224</v>
      </c>
      <c r="L5" s="27" t="s">
        <v>26</v>
      </c>
      <c r="M5" s="29">
        <v>214.26900000000001</v>
      </c>
      <c r="N5" s="30">
        <v>177.4</v>
      </c>
      <c r="O5" s="31">
        <v>2.46E-2</v>
      </c>
      <c r="P5" s="32">
        <v>1.48</v>
      </c>
      <c r="Q5" s="27">
        <v>115.3</v>
      </c>
      <c r="R5" s="27">
        <v>2</v>
      </c>
      <c r="S5" s="27">
        <v>1250</v>
      </c>
      <c r="T5" s="29">
        <v>1.208</v>
      </c>
      <c r="U5" s="27">
        <v>42</v>
      </c>
      <c r="V5" s="31">
        <v>3.3599999999999998E-2</v>
      </c>
      <c r="W5" s="27" t="s">
        <v>27</v>
      </c>
      <c r="X5" s="27" t="s">
        <v>28</v>
      </c>
      <c r="Y5" s="27" t="s">
        <v>27</v>
      </c>
      <c r="Z5" s="27" t="s">
        <v>27</v>
      </c>
      <c r="AA5" s="27" t="s">
        <v>27</v>
      </c>
      <c r="AB5" s="27" t="s">
        <v>31</v>
      </c>
      <c r="AC5" s="27" t="s">
        <v>223</v>
      </c>
    </row>
    <row r="6" spans="1:29" s="11" customFormat="1" ht="25.05" customHeight="1" x14ac:dyDescent="0.3">
      <c r="A6" s="27">
        <v>4</v>
      </c>
      <c r="B6" s="28" t="s">
        <v>48</v>
      </c>
      <c r="C6" s="27" t="s">
        <v>46</v>
      </c>
      <c r="D6" s="27" t="s">
        <v>211</v>
      </c>
      <c r="E6" s="27">
        <v>263138</v>
      </c>
      <c r="F6" s="27" t="s">
        <v>216</v>
      </c>
      <c r="G6" s="27">
        <v>1200</v>
      </c>
      <c r="H6" s="29">
        <v>1.196</v>
      </c>
      <c r="I6" s="29">
        <v>1.6910000000000001</v>
      </c>
      <c r="J6" s="27" t="s">
        <v>26</v>
      </c>
      <c r="K6" s="27" t="s">
        <v>222</v>
      </c>
      <c r="L6" s="27" t="s">
        <v>26</v>
      </c>
      <c r="M6" s="29">
        <v>2426.9229999999998</v>
      </c>
      <c r="N6" s="30">
        <v>2029.2</v>
      </c>
      <c r="O6" s="31">
        <v>0.56369999999999998</v>
      </c>
      <c r="P6" s="32">
        <v>33.82</v>
      </c>
      <c r="Q6" s="27">
        <v>1533.8</v>
      </c>
      <c r="R6" s="27">
        <v>1</v>
      </c>
      <c r="S6" s="27">
        <v>1250</v>
      </c>
      <c r="T6" s="29">
        <v>1.196</v>
      </c>
      <c r="U6" s="27">
        <v>54</v>
      </c>
      <c r="V6" s="31">
        <v>4.3200000000000002E-2</v>
      </c>
      <c r="W6" s="27" t="s">
        <v>28</v>
      </c>
      <c r="X6" s="27" t="s">
        <v>37</v>
      </c>
      <c r="Y6" s="27" t="s">
        <v>27</v>
      </c>
      <c r="Z6" s="27" t="s">
        <v>27</v>
      </c>
      <c r="AA6" s="27" t="s">
        <v>28</v>
      </c>
      <c r="AB6" s="27" t="s">
        <v>45</v>
      </c>
      <c r="AC6" s="27" t="s">
        <v>221</v>
      </c>
    </row>
    <row r="7" spans="1:29" s="11" customFormat="1" ht="25.05" customHeight="1" x14ac:dyDescent="0.3">
      <c r="A7" s="27">
        <v>5</v>
      </c>
      <c r="B7" s="28" t="s">
        <v>48</v>
      </c>
      <c r="C7" s="27" t="s">
        <v>46</v>
      </c>
      <c r="D7" s="27" t="s">
        <v>211</v>
      </c>
      <c r="E7" s="27">
        <v>263141</v>
      </c>
      <c r="F7" s="27" t="s">
        <v>216</v>
      </c>
      <c r="G7" s="27">
        <v>600</v>
      </c>
      <c r="H7" s="29">
        <v>1.1359999999999999</v>
      </c>
      <c r="I7" s="29">
        <v>2.431</v>
      </c>
      <c r="J7" s="27" t="s">
        <v>26</v>
      </c>
      <c r="K7" s="27" t="s">
        <v>220</v>
      </c>
      <c r="L7" s="27" t="s">
        <v>26</v>
      </c>
      <c r="M7" s="29">
        <v>1656.97</v>
      </c>
      <c r="N7" s="30">
        <v>1458.6</v>
      </c>
      <c r="O7" s="31">
        <v>0.4052</v>
      </c>
      <c r="P7" s="32">
        <v>24.31</v>
      </c>
      <c r="Q7" s="27">
        <v>1047.2</v>
      </c>
      <c r="R7" s="27">
        <v>1</v>
      </c>
      <c r="S7" s="27">
        <v>1200</v>
      </c>
      <c r="T7" s="29">
        <v>1.1359999999999999</v>
      </c>
      <c r="U7" s="27">
        <v>64</v>
      </c>
      <c r="V7" s="31">
        <v>5.33E-2</v>
      </c>
      <c r="W7" s="27" t="s">
        <v>28</v>
      </c>
      <c r="X7" s="27" t="s">
        <v>37</v>
      </c>
      <c r="Y7" s="27" t="s">
        <v>27</v>
      </c>
      <c r="Z7" s="27" t="s">
        <v>27</v>
      </c>
      <c r="AA7" s="27" t="s">
        <v>28</v>
      </c>
      <c r="AB7" s="27" t="s">
        <v>30</v>
      </c>
      <c r="AC7" s="27" t="s">
        <v>219</v>
      </c>
    </row>
    <row r="8" spans="1:29" s="11" customFormat="1" ht="25.05" customHeight="1" x14ac:dyDescent="0.3">
      <c r="A8" s="27">
        <v>6</v>
      </c>
      <c r="B8" s="28" t="s">
        <v>48</v>
      </c>
      <c r="C8" s="27" t="s">
        <v>25</v>
      </c>
      <c r="D8" s="27" t="s">
        <v>211</v>
      </c>
      <c r="E8" s="27">
        <v>263146</v>
      </c>
      <c r="F8" s="27" t="s">
        <v>210</v>
      </c>
      <c r="G8" s="27">
        <v>250</v>
      </c>
      <c r="H8" s="29">
        <v>1.0840000000000001</v>
      </c>
      <c r="I8" s="29">
        <v>2.0590000000000002</v>
      </c>
      <c r="J8" s="27" t="s">
        <v>26</v>
      </c>
      <c r="K8" s="27" t="s">
        <v>218</v>
      </c>
      <c r="L8" s="27" t="s">
        <v>26</v>
      </c>
      <c r="M8" s="29">
        <v>557.98900000000003</v>
      </c>
      <c r="N8" s="30">
        <v>514.79999999999995</v>
      </c>
      <c r="O8" s="31">
        <v>0.14299999999999999</v>
      </c>
      <c r="P8" s="32">
        <v>8.58</v>
      </c>
      <c r="Q8" s="27">
        <v>300.2</v>
      </c>
      <c r="R8" s="27">
        <v>1</v>
      </c>
      <c r="S8" s="27">
        <v>1150</v>
      </c>
      <c r="T8" s="29">
        <v>1.0840000000000001</v>
      </c>
      <c r="U8" s="27">
        <v>66</v>
      </c>
      <c r="V8" s="31">
        <v>5.74E-2</v>
      </c>
      <c r="W8" s="27" t="s">
        <v>27</v>
      </c>
      <c r="X8" s="27" t="s">
        <v>28</v>
      </c>
      <c r="Y8" s="27" t="s">
        <v>27</v>
      </c>
      <c r="Z8" s="27" t="s">
        <v>27</v>
      </c>
      <c r="AA8" s="27" t="s">
        <v>27</v>
      </c>
      <c r="AB8" s="27" t="s">
        <v>31</v>
      </c>
      <c r="AC8" s="27" t="s">
        <v>217</v>
      </c>
    </row>
    <row r="9" spans="1:29" s="11" customFormat="1" ht="25.05" customHeight="1" x14ac:dyDescent="0.3">
      <c r="A9" s="27">
        <v>7</v>
      </c>
      <c r="B9" s="28" t="s">
        <v>48</v>
      </c>
      <c r="C9" s="27" t="s">
        <v>62</v>
      </c>
      <c r="D9" s="27" t="s">
        <v>211</v>
      </c>
      <c r="E9" s="27">
        <v>263140</v>
      </c>
      <c r="F9" s="27" t="s">
        <v>216</v>
      </c>
      <c r="G9" s="27">
        <v>500</v>
      </c>
      <c r="H9" s="29">
        <v>0.98599999999999999</v>
      </c>
      <c r="I9" s="29">
        <v>2.371</v>
      </c>
      <c r="J9" s="27" t="s">
        <v>26</v>
      </c>
      <c r="K9" s="27" t="s">
        <v>215</v>
      </c>
      <c r="L9" s="27" t="s">
        <v>26</v>
      </c>
      <c r="M9" s="29">
        <v>1168.903</v>
      </c>
      <c r="N9" s="30">
        <v>1185.5</v>
      </c>
      <c r="O9" s="31">
        <v>0.32929999999999998</v>
      </c>
      <c r="P9" s="32">
        <v>19.760000000000002</v>
      </c>
      <c r="Q9" s="27">
        <v>549.4</v>
      </c>
      <c r="R9" s="27">
        <v>1</v>
      </c>
      <c r="S9" s="27">
        <v>1050</v>
      </c>
      <c r="T9" s="29">
        <v>0.98599999999999999</v>
      </c>
      <c r="U9" s="27">
        <v>64</v>
      </c>
      <c r="V9" s="31">
        <v>6.0999999999999999E-2</v>
      </c>
      <c r="W9" s="27" t="s">
        <v>61</v>
      </c>
      <c r="X9" s="27" t="s">
        <v>38</v>
      </c>
      <c r="Y9" s="27" t="s">
        <v>61</v>
      </c>
      <c r="Z9" s="27" t="s">
        <v>26</v>
      </c>
      <c r="AA9" s="27" t="s">
        <v>26</v>
      </c>
      <c r="AB9" s="27" t="s">
        <v>29</v>
      </c>
      <c r="AC9" s="27" t="s">
        <v>214</v>
      </c>
    </row>
    <row r="10" spans="1:29" s="11" customFormat="1" ht="25.05" customHeight="1" x14ac:dyDescent="0.3">
      <c r="A10" s="27">
        <v>8</v>
      </c>
      <c r="B10" s="28" t="s">
        <v>48</v>
      </c>
      <c r="C10" s="27" t="s">
        <v>34</v>
      </c>
      <c r="D10" s="27" t="s">
        <v>211</v>
      </c>
      <c r="E10" s="27">
        <v>263143</v>
      </c>
      <c r="F10" s="27" t="s">
        <v>210</v>
      </c>
      <c r="G10" s="27">
        <v>5000</v>
      </c>
      <c r="H10" s="29">
        <v>0.5</v>
      </c>
      <c r="I10" s="29">
        <v>0.81</v>
      </c>
      <c r="J10" s="27" t="s">
        <v>26</v>
      </c>
      <c r="K10" s="27" t="s">
        <v>32</v>
      </c>
      <c r="L10" s="27" t="s">
        <v>26</v>
      </c>
      <c r="M10" s="29">
        <v>2025</v>
      </c>
      <c r="N10" s="30">
        <v>1350</v>
      </c>
      <c r="O10" s="31">
        <v>0.125</v>
      </c>
      <c r="P10" s="32">
        <v>7.5</v>
      </c>
      <c r="Q10" s="27">
        <v>648</v>
      </c>
      <c r="R10" s="27">
        <v>3</v>
      </c>
      <c r="S10" s="27">
        <v>1550</v>
      </c>
      <c r="T10" s="29">
        <v>1.5</v>
      </c>
      <c r="U10" s="27">
        <v>50</v>
      </c>
      <c r="V10" s="31">
        <v>3.2300000000000002E-2</v>
      </c>
      <c r="W10" s="27" t="s">
        <v>27</v>
      </c>
      <c r="X10" s="27" t="s">
        <v>27</v>
      </c>
      <c r="Y10" s="27" t="s">
        <v>27</v>
      </c>
      <c r="Z10" s="27" t="s">
        <v>26</v>
      </c>
      <c r="AA10" s="27" t="s">
        <v>26</v>
      </c>
      <c r="AB10" s="27" t="s">
        <v>30</v>
      </c>
      <c r="AC10" s="27" t="s">
        <v>213</v>
      </c>
    </row>
    <row r="11" spans="1:29" s="11" customFormat="1" ht="25.05" customHeight="1" x14ac:dyDescent="0.3">
      <c r="A11" s="27">
        <v>9</v>
      </c>
      <c r="B11" s="28" t="s">
        <v>48</v>
      </c>
      <c r="C11" s="27" t="s">
        <v>34</v>
      </c>
      <c r="D11" s="27" t="s">
        <v>211</v>
      </c>
      <c r="E11" s="27">
        <v>263147</v>
      </c>
      <c r="F11" s="27" t="s">
        <v>210</v>
      </c>
      <c r="G11" s="27">
        <v>1100</v>
      </c>
      <c r="H11" s="29">
        <v>0.40200000000000002</v>
      </c>
      <c r="I11" s="29">
        <v>1.1930000000000001</v>
      </c>
      <c r="J11" s="27" t="s">
        <v>26</v>
      </c>
      <c r="K11" s="27" t="s">
        <v>90</v>
      </c>
      <c r="L11" s="27" t="s">
        <v>26</v>
      </c>
      <c r="M11" s="29">
        <v>527.54499999999996</v>
      </c>
      <c r="N11" s="30">
        <v>437.4</v>
      </c>
      <c r="O11" s="31">
        <v>4.0500000000000001E-2</v>
      </c>
      <c r="P11" s="32">
        <v>2.4300000000000002</v>
      </c>
      <c r="Q11" s="27">
        <v>168.8</v>
      </c>
      <c r="R11" s="27">
        <v>3</v>
      </c>
      <c r="S11" s="27">
        <v>1250</v>
      </c>
      <c r="T11" s="29">
        <v>1.206</v>
      </c>
      <c r="U11" s="27">
        <v>44</v>
      </c>
      <c r="V11" s="31">
        <v>3.5200000000000002E-2</v>
      </c>
      <c r="W11" s="27" t="s">
        <v>27</v>
      </c>
      <c r="X11" s="27" t="s">
        <v>27</v>
      </c>
      <c r="Y11" s="27" t="s">
        <v>27</v>
      </c>
      <c r="Z11" s="27" t="s">
        <v>26</v>
      </c>
      <c r="AA11" s="27" t="s">
        <v>26</v>
      </c>
      <c r="AB11" s="27" t="s">
        <v>31</v>
      </c>
      <c r="AC11" s="27" t="s">
        <v>212</v>
      </c>
    </row>
    <row r="12" spans="1:29" s="11" customFormat="1" ht="25.05" customHeight="1" x14ac:dyDescent="0.3">
      <c r="A12" s="27">
        <v>10</v>
      </c>
      <c r="B12" s="28" t="s">
        <v>48</v>
      </c>
      <c r="C12" s="27" t="s">
        <v>42</v>
      </c>
      <c r="D12" s="27" t="s">
        <v>211</v>
      </c>
      <c r="E12" s="27">
        <v>263145</v>
      </c>
      <c r="F12" s="27" t="s">
        <v>210</v>
      </c>
      <c r="G12" s="27">
        <v>1200</v>
      </c>
      <c r="H12" s="29">
        <v>0.83</v>
      </c>
      <c r="I12" s="29">
        <v>0.63</v>
      </c>
      <c r="J12" s="27" t="s">
        <v>26</v>
      </c>
      <c r="K12" s="27" t="s">
        <v>32</v>
      </c>
      <c r="L12" s="27" t="s">
        <v>26</v>
      </c>
      <c r="M12" s="29">
        <v>627.48</v>
      </c>
      <c r="N12" s="30">
        <v>756</v>
      </c>
      <c r="O12" s="31">
        <v>0.21</v>
      </c>
      <c r="P12" s="32">
        <v>12.6</v>
      </c>
      <c r="Q12" s="27">
        <v>222.8</v>
      </c>
      <c r="R12" s="27">
        <v>1</v>
      </c>
      <c r="S12" s="27">
        <v>850</v>
      </c>
      <c r="T12" s="29">
        <v>0.83</v>
      </c>
      <c r="U12" s="27">
        <v>20</v>
      </c>
      <c r="V12" s="31">
        <v>2.35E-2</v>
      </c>
      <c r="W12" s="27" t="s">
        <v>28</v>
      </c>
      <c r="X12" s="27" t="s">
        <v>27</v>
      </c>
      <c r="Y12" s="27" t="s">
        <v>28</v>
      </c>
      <c r="Z12" s="27" t="s">
        <v>26</v>
      </c>
      <c r="AA12" s="27" t="s">
        <v>26</v>
      </c>
      <c r="AB12" s="27" t="s">
        <v>36</v>
      </c>
      <c r="AC12" s="27" t="s">
        <v>209</v>
      </c>
    </row>
    <row r="13" spans="1:29" s="11" customFormat="1" ht="25.05" customHeight="1" x14ac:dyDescent="0.3">
      <c r="A13" s="33" t="s">
        <v>26</v>
      </c>
      <c r="B13" s="33" t="s">
        <v>26</v>
      </c>
      <c r="C13" s="33" t="s">
        <v>26</v>
      </c>
      <c r="D13" s="33" t="s">
        <v>26</v>
      </c>
      <c r="E13" s="33" t="s">
        <v>26</v>
      </c>
      <c r="F13" s="33" t="s">
        <v>26</v>
      </c>
      <c r="G13" s="33">
        <v>10900</v>
      </c>
      <c r="H13" s="33" t="s">
        <v>26</v>
      </c>
      <c r="I13" s="33" t="s">
        <v>26</v>
      </c>
      <c r="J13" s="33" t="s">
        <v>26</v>
      </c>
      <c r="K13" s="33" t="s">
        <v>26</v>
      </c>
      <c r="L13" s="33" t="s">
        <v>26</v>
      </c>
      <c r="M13" s="33" t="s">
        <v>26</v>
      </c>
      <c r="N13" s="33" t="s">
        <v>26</v>
      </c>
      <c r="O13" s="33" t="s">
        <v>26</v>
      </c>
      <c r="P13" s="33" t="s">
        <v>26</v>
      </c>
      <c r="Q13" s="33">
        <v>5901.8</v>
      </c>
      <c r="R13" s="33" t="s">
        <v>26</v>
      </c>
      <c r="S13" s="33" t="s">
        <v>26</v>
      </c>
      <c r="T13" s="33" t="s">
        <v>26</v>
      </c>
      <c r="U13" s="33" t="s">
        <v>26</v>
      </c>
      <c r="V13" s="33" t="s">
        <v>26</v>
      </c>
      <c r="W13" s="33" t="s">
        <v>26</v>
      </c>
      <c r="X13" s="33" t="s">
        <v>26</v>
      </c>
      <c r="Y13" s="33" t="s">
        <v>26</v>
      </c>
      <c r="Z13" s="33" t="s">
        <v>26</v>
      </c>
      <c r="AA13" s="33" t="s">
        <v>26</v>
      </c>
      <c r="AB13" s="33" t="s">
        <v>26</v>
      </c>
      <c r="AC13" s="3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61BF5-AFC6-4D3A-8DFD-E8129B7AB3E0}">
  <sheetPr>
    <pageSetUpPr fitToPage="1"/>
  </sheetPr>
  <dimension ref="A1:AC7"/>
  <sheetViews>
    <sheetView zoomScaleNormal="100" workbookViewId="0">
      <selection activeCell="C3" sqref="C3:C6"/>
    </sheetView>
  </sheetViews>
  <sheetFormatPr defaultRowHeight="14.4" x14ac:dyDescent="0.3"/>
  <cols>
    <col min="1" max="1" width="5.441406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9.6640625" style="1" customWidth="1"/>
    <col min="6" max="7" width="6.21875" style="1" customWidth="1"/>
    <col min="8" max="8" width="7.44140625" style="1" customWidth="1"/>
    <col min="9" max="9" width="7.109375" style="1" customWidth="1"/>
    <col min="10" max="10" width="9.33203125" style="1" customWidth="1"/>
    <col min="11" max="11" width="14.77734375" style="1" customWidth="1"/>
    <col min="12" max="12" width="9.1093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6640625" style="1" customWidth="1"/>
    <col min="18" max="18" width="4.5546875" style="1" customWidth="1"/>
    <col min="19" max="19" width="7.5546875" style="1" customWidth="1"/>
    <col min="20" max="20" width="6.44140625" style="1" customWidth="1"/>
    <col min="21" max="21" width="11.77734375" style="1" hidden="1" customWidth="1"/>
    <col min="22" max="22" width="8.77734375" style="1" hidden="1" customWidth="1"/>
    <col min="23" max="23" width="7.6640625" style="1" customWidth="1"/>
    <col min="24" max="24" width="7.109375" style="1" customWidth="1"/>
    <col min="25" max="25" width="7.44140625" style="1" customWidth="1"/>
    <col min="26" max="26" width="7.88671875" style="1" customWidth="1"/>
    <col min="27" max="27" width="7.109375" style="1" customWidth="1"/>
    <col min="28" max="28" width="5" style="1" customWidth="1"/>
    <col min="29" max="29" width="12" style="1" customWidth="1"/>
    <col min="30" max="16384" width="8.88671875" style="1"/>
  </cols>
  <sheetData>
    <row r="1" spans="1:29" ht="18" customHeight="1" x14ac:dyDescent="0.35">
      <c r="A1" s="69" t="s">
        <v>208</v>
      </c>
      <c r="B1" s="69" t="s">
        <v>26</v>
      </c>
      <c r="C1" s="69" t="s">
        <v>26</v>
      </c>
      <c r="D1" s="69" t="s">
        <v>26</v>
      </c>
      <c r="E1" s="69" t="s">
        <v>26</v>
      </c>
      <c r="F1" s="69" t="s">
        <v>26</v>
      </c>
      <c r="G1" s="69" t="s">
        <v>26</v>
      </c>
      <c r="H1" s="69" t="s">
        <v>26</v>
      </c>
      <c r="I1" s="69" t="s">
        <v>26</v>
      </c>
      <c r="J1" s="69" t="s">
        <v>26</v>
      </c>
      <c r="K1" s="69" t="s">
        <v>26</v>
      </c>
      <c r="L1" s="69" t="s">
        <v>26</v>
      </c>
      <c r="M1" s="69" t="s">
        <v>26</v>
      </c>
      <c r="N1" s="69" t="s">
        <v>26</v>
      </c>
      <c r="O1" s="69" t="s">
        <v>26</v>
      </c>
      <c r="P1" s="69" t="s">
        <v>26</v>
      </c>
      <c r="Q1" s="69" t="s">
        <v>26</v>
      </c>
      <c r="R1" s="69" t="s">
        <v>26</v>
      </c>
      <c r="S1" s="69" t="s">
        <v>26</v>
      </c>
      <c r="T1" s="69" t="s">
        <v>26</v>
      </c>
      <c r="U1" s="69" t="s">
        <v>26</v>
      </c>
      <c r="V1" s="69" t="s">
        <v>26</v>
      </c>
      <c r="W1" s="69" t="s">
        <v>26</v>
      </c>
      <c r="X1" s="69" t="s">
        <v>26</v>
      </c>
      <c r="Y1" s="69" t="s">
        <v>26</v>
      </c>
      <c r="Z1" s="69" t="s">
        <v>26</v>
      </c>
      <c r="AA1" s="69" t="s">
        <v>26</v>
      </c>
      <c r="AB1" s="69" t="s">
        <v>26</v>
      </c>
      <c r="AC1" s="69" t="s">
        <v>26</v>
      </c>
    </row>
    <row r="2" spans="1:29" ht="56.4" customHeight="1" x14ac:dyDescent="0.3">
      <c r="A2" s="51" t="s">
        <v>0</v>
      </c>
      <c r="B2" s="51" t="s">
        <v>35</v>
      </c>
      <c r="C2" s="51" t="s">
        <v>1</v>
      </c>
      <c r="D2" s="51" t="s">
        <v>2</v>
      </c>
      <c r="E2" s="51" t="s">
        <v>44</v>
      </c>
      <c r="F2" s="51" t="s">
        <v>3</v>
      </c>
      <c r="G2" s="51" t="s">
        <v>4</v>
      </c>
      <c r="H2" s="51" t="s">
        <v>5</v>
      </c>
      <c r="I2" s="51" t="s">
        <v>6</v>
      </c>
      <c r="J2" s="51" t="s">
        <v>26</v>
      </c>
      <c r="K2" s="51" t="s">
        <v>7</v>
      </c>
      <c r="L2" s="51" t="s">
        <v>26</v>
      </c>
      <c r="M2" s="51" t="s">
        <v>8</v>
      </c>
      <c r="N2" s="51" t="s">
        <v>9</v>
      </c>
      <c r="O2" s="51" t="s">
        <v>10</v>
      </c>
      <c r="P2" s="51" t="s">
        <v>11</v>
      </c>
      <c r="Q2" s="51" t="s">
        <v>12</v>
      </c>
      <c r="R2" s="51" t="s">
        <v>13</v>
      </c>
      <c r="S2" s="51" t="s">
        <v>14</v>
      </c>
      <c r="T2" s="51" t="s">
        <v>15</v>
      </c>
      <c r="U2" s="51" t="s">
        <v>16</v>
      </c>
      <c r="V2" s="51" t="s">
        <v>17</v>
      </c>
      <c r="W2" s="51" t="s">
        <v>18</v>
      </c>
      <c r="X2" s="51" t="s">
        <v>19</v>
      </c>
      <c r="Y2" s="51" t="s">
        <v>20</v>
      </c>
      <c r="Z2" s="51" t="s">
        <v>21</v>
      </c>
      <c r="AA2" s="51" t="s">
        <v>22</v>
      </c>
      <c r="AB2" s="51" t="s">
        <v>23</v>
      </c>
      <c r="AC2" s="51" t="s">
        <v>24</v>
      </c>
    </row>
    <row r="3" spans="1:29" s="2" customFormat="1" ht="25.05" customHeight="1" x14ac:dyDescent="0.3">
      <c r="A3" s="38"/>
      <c r="B3" s="43" t="s">
        <v>106</v>
      </c>
      <c r="C3" s="38" t="s">
        <v>40</v>
      </c>
      <c r="D3" s="38" t="s">
        <v>79</v>
      </c>
      <c r="E3" s="38">
        <v>263136</v>
      </c>
      <c r="F3" s="38" t="s">
        <v>206</v>
      </c>
      <c r="G3" s="38">
        <v>400</v>
      </c>
      <c r="H3" s="40">
        <v>1.24</v>
      </c>
      <c r="I3" s="40">
        <v>1.45</v>
      </c>
      <c r="J3" s="38" t="s">
        <v>26</v>
      </c>
      <c r="K3" s="38" t="s">
        <v>32</v>
      </c>
      <c r="L3" s="38" t="s">
        <v>26</v>
      </c>
      <c r="M3" s="40">
        <v>719.2</v>
      </c>
      <c r="N3" s="42">
        <v>580</v>
      </c>
      <c r="O3" s="39">
        <v>0.16109999999999999</v>
      </c>
      <c r="P3" s="41">
        <v>9.67</v>
      </c>
      <c r="Q3" s="38">
        <v>408.5</v>
      </c>
      <c r="R3" s="38">
        <v>1</v>
      </c>
      <c r="S3" s="38">
        <v>1300</v>
      </c>
      <c r="T3" s="40">
        <v>1.24</v>
      </c>
      <c r="U3" s="38">
        <v>60</v>
      </c>
      <c r="V3" s="39">
        <v>4.6199999999999998E-2</v>
      </c>
      <c r="W3" s="38" t="s">
        <v>33</v>
      </c>
      <c r="X3" s="38" t="s">
        <v>37</v>
      </c>
      <c r="Y3" s="38" t="s">
        <v>33</v>
      </c>
      <c r="Z3" s="38" t="s">
        <v>33</v>
      </c>
      <c r="AA3" s="38" t="s">
        <v>33</v>
      </c>
      <c r="AB3" s="38" t="s">
        <v>29</v>
      </c>
      <c r="AC3" s="38" t="s">
        <v>207</v>
      </c>
    </row>
    <row r="4" spans="1:29" s="44" customFormat="1" ht="25.05" customHeight="1" x14ac:dyDescent="0.3">
      <c r="A4" s="45"/>
      <c r="B4" s="50" t="s">
        <v>106</v>
      </c>
      <c r="C4" s="45" t="s">
        <v>40</v>
      </c>
      <c r="D4" s="45" t="s">
        <v>79</v>
      </c>
      <c r="E4" s="45">
        <v>263009</v>
      </c>
      <c r="F4" s="45">
        <v>1410</v>
      </c>
      <c r="G4" s="45">
        <v>1395</v>
      </c>
      <c r="H4" s="47">
        <v>0.879</v>
      </c>
      <c r="I4" s="47">
        <v>1.48</v>
      </c>
      <c r="J4" s="45" t="s">
        <v>26</v>
      </c>
      <c r="K4" s="45" t="s">
        <v>59</v>
      </c>
      <c r="L4" s="45" t="s">
        <v>26</v>
      </c>
      <c r="M4" s="47">
        <v>1814.7829999999999</v>
      </c>
      <c r="N4" s="49">
        <v>2064.6</v>
      </c>
      <c r="O4" s="46">
        <v>0.57350000000000001</v>
      </c>
      <c r="P4" s="48">
        <v>34.409999999999997</v>
      </c>
      <c r="Q4" s="45">
        <v>1030.8</v>
      </c>
      <c r="R4" s="45">
        <v>1</v>
      </c>
      <c r="S4" s="45">
        <v>900</v>
      </c>
      <c r="T4" s="47">
        <v>0.879</v>
      </c>
      <c r="U4" s="45">
        <v>21</v>
      </c>
      <c r="V4" s="46">
        <v>2.3300000000000001E-2</v>
      </c>
      <c r="W4" s="45" t="s">
        <v>33</v>
      </c>
      <c r="X4" s="45" t="s">
        <v>37</v>
      </c>
      <c r="Y4" s="45" t="s">
        <v>33</v>
      </c>
      <c r="Z4" s="45" t="s">
        <v>33</v>
      </c>
      <c r="AA4" s="45" t="s">
        <v>33</v>
      </c>
      <c r="AB4" s="45" t="s">
        <v>43</v>
      </c>
      <c r="AC4" s="45" t="s">
        <v>58</v>
      </c>
    </row>
    <row r="5" spans="1:29" s="2" customFormat="1" ht="25.05" customHeight="1" x14ac:dyDescent="0.3">
      <c r="A5" s="38"/>
      <c r="B5" s="43" t="s">
        <v>106</v>
      </c>
      <c r="C5" s="38" t="s">
        <v>40</v>
      </c>
      <c r="D5" s="38" t="s">
        <v>79</v>
      </c>
      <c r="E5" s="38">
        <v>263135</v>
      </c>
      <c r="F5" s="38" t="s">
        <v>206</v>
      </c>
      <c r="G5" s="38">
        <v>770</v>
      </c>
      <c r="H5" s="40">
        <v>0.79900000000000004</v>
      </c>
      <c r="I5" s="40">
        <v>1.0900000000000001</v>
      </c>
      <c r="J5" s="38" t="s">
        <v>26</v>
      </c>
      <c r="K5" s="38" t="s">
        <v>105</v>
      </c>
      <c r="L5" s="38" t="s">
        <v>26</v>
      </c>
      <c r="M5" s="40">
        <v>670.601</v>
      </c>
      <c r="N5" s="42">
        <v>839.3</v>
      </c>
      <c r="O5" s="39">
        <v>0.2331</v>
      </c>
      <c r="P5" s="41">
        <v>13.99</v>
      </c>
      <c r="Q5" s="38">
        <v>380.9</v>
      </c>
      <c r="R5" s="38">
        <v>1</v>
      </c>
      <c r="S5" s="38">
        <v>850</v>
      </c>
      <c r="T5" s="40">
        <v>0.79900000000000004</v>
      </c>
      <c r="U5" s="38">
        <v>51</v>
      </c>
      <c r="V5" s="39">
        <v>0.06</v>
      </c>
      <c r="W5" s="38" t="s">
        <v>33</v>
      </c>
      <c r="X5" s="38" t="s">
        <v>37</v>
      </c>
      <c r="Y5" s="38" t="s">
        <v>33</v>
      </c>
      <c r="Z5" s="38" t="s">
        <v>33</v>
      </c>
      <c r="AA5" s="38" t="s">
        <v>33</v>
      </c>
      <c r="AB5" s="38" t="s">
        <v>31</v>
      </c>
      <c r="AC5" s="38" t="s">
        <v>104</v>
      </c>
    </row>
    <row r="6" spans="1:29" s="2" customFormat="1" ht="25.05" customHeight="1" x14ac:dyDescent="0.3">
      <c r="A6" s="38"/>
      <c r="B6" s="43" t="s">
        <v>106</v>
      </c>
      <c r="C6" s="38" t="s">
        <v>172</v>
      </c>
      <c r="D6" s="38" t="s">
        <v>79</v>
      </c>
      <c r="E6" s="38">
        <v>263137</v>
      </c>
      <c r="F6" s="38" t="s">
        <v>206</v>
      </c>
      <c r="G6" s="38">
        <v>3300</v>
      </c>
      <c r="H6" s="40">
        <v>0.53900000000000003</v>
      </c>
      <c r="I6" s="40">
        <v>1.05</v>
      </c>
      <c r="J6" s="38" t="s">
        <v>26</v>
      </c>
      <c r="K6" s="38" t="s">
        <v>205</v>
      </c>
      <c r="L6" s="38" t="s">
        <v>26</v>
      </c>
      <c r="M6" s="40">
        <v>1867.635</v>
      </c>
      <c r="N6" s="42">
        <v>1732.5</v>
      </c>
      <c r="O6" s="39">
        <v>0.24060000000000001</v>
      </c>
      <c r="P6" s="41">
        <v>14.44</v>
      </c>
      <c r="Q6" s="38">
        <v>763.9</v>
      </c>
      <c r="R6" s="38">
        <v>2</v>
      </c>
      <c r="S6" s="38">
        <v>1100</v>
      </c>
      <c r="T6" s="40">
        <v>1.0780000000000001</v>
      </c>
      <c r="U6" s="38">
        <v>22</v>
      </c>
      <c r="V6" s="39">
        <v>0.02</v>
      </c>
      <c r="W6" s="38" t="s">
        <v>37</v>
      </c>
      <c r="X6" s="38" t="s">
        <v>37</v>
      </c>
      <c r="Y6" s="38" t="s">
        <v>28</v>
      </c>
      <c r="Z6" s="38" t="s">
        <v>26</v>
      </c>
      <c r="AA6" s="38" t="s">
        <v>26</v>
      </c>
      <c r="AB6" s="38" t="s">
        <v>29</v>
      </c>
      <c r="AC6" s="38" t="s">
        <v>204</v>
      </c>
    </row>
    <row r="7" spans="1:29" s="2" customFormat="1" ht="25.05" customHeight="1" x14ac:dyDescent="0.3">
      <c r="A7" s="37" t="s">
        <v>26</v>
      </c>
      <c r="B7" s="37" t="s">
        <v>26</v>
      </c>
      <c r="C7" s="37" t="s">
        <v>26</v>
      </c>
      <c r="D7" s="37" t="s">
        <v>26</v>
      </c>
      <c r="E7" s="37" t="s">
        <v>26</v>
      </c>
      <c r="F7" s="37" t="s">
        <v>26</v>
      </c>
      <c r="G7" s="37">
        <f>SUM(G3:G6)</f>
        <v>5865</v>
      </c>
      <c r="H7" s="37" t="s">
        <v>26</v>
      </c>
      <c r="I7" s="37" t="s">
        <v>26</v>
      </c>
      <c r="J7" s="37" t="s">
        <v>26</v>
      </c>
      <c r="K7" s="37" t="s">
        <v>26</v>
      </c>
      <c r="L7" s="37" t="s">
        <v>26</v>
      </c>
      <c r="M7" s="37" t="s">
        <v>26</v>
      </c>
      <c r="N7" s="37" t="s">
        <v>26</v>
      </c>
      <c r="O7" s="37" t="s">
        <v>26</v>
      </c>
      <c r="P7" s="37" t="s">
        <v>26</v>
      </c>
      <c r="Q7" s="37">
        <f>SUM(Q3:Q6)</f>
        <v>2584.1</v>
      </c>
      <c r="R7" s="37" t="s">
        <v>26</v>
      </c>
      <c r="S7" s="37" t="s">
        <v>26</v>
      </c>
      <c r="T7" s="37" t="s">
        <v>26</v>
      </c>
      <c r="U7" s="37" t="s">
        <v>26</v>
      </c>
      <c r="V7" s="37" t="s">
        <v>26</v>
      </c>
      <c r="W7" s="37" t="s">
        <v>26</v>
      </c>
      <c r="X7" s="37" t="s">
        <v>26</v>
      </c>
      <c r="Y7" s="37" t="s">
        <v>26</v>
      </c>
      <c r="Z7" s="37" t="s">
        <v>26</v>
      </c>
      <c r="AA7" s="37" t="s">
        <v>26</v>
      </c>
      <c r="AB7" s="37" t="s">
        <v>26</v>
      </c>
      <c r="AC7" s="37" t="s">
        <v>26</v>
      </c>
    </row>
  </sheetData>
  <mergeCells count="1">
    <mergeCell ref="A1:AC1"/>
  </mergeCells>
  <pageMargins left="0.511811024" right="0.511811024" top="1.1299999999999999" bottom="0.78740157499999996" header="0.31496062000000002" footer="0.31496062000000002"/>
  <pageSetup paperSize="9" scale="84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F2DE0-E86A-4F41-A1C8-A379C6B377A4}">
  <sheetPr>
    <pageSetUpPr fitToPage="1"/>
  </sheetPr>
  <dimension ref="A1:AC8"/>
  <sheetViews>
    <sheetView workbookViewId="0">
      <selection activeCell="AN36" sqref="AN36"/>
    </sheetView>
  </sheetViews>
  <sheetFormatPr defaultRowHeight="14.4" x14ac:dyDescent="0.3"/>
  <cols>
    <col min="1" max="1" width="3.6640625" style="3" customWidth="1"/>
    <col min="2" max="2" width="20.77734375" style="3" hidden="1" customWidth="1"/>
    <col min="3" max="3" width="6" style="3" customWidth="1"/>
    <col min="4" max="4" width="11.77734375" style="3" hidden="1" customWidth="1"/>
    <col min="5" max="5" width="7.5546875" style="3" customWidth="1"/>
    <col min="6" max="6" width="5.21875" style="3" customWidth="1"/>
    <col min="7" max="7" width="5.77734375" style="3" customWidth="1"/>
    <col min="8" max="8" width="6.6640625" style="3" customWidth="1"/>
    <col min="9" max="9" width="7.6640625" style="3" customWidth="1"/>
    <col min="10" max="10" width="7" style="3" customWidth="1"/>
    <col min="11" max="11" width="13.77734375" style="3" customWidth="1"/>
    <col min="12" max="12" width="6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21875" style="3" customWidth="1"/>
    <col min="18" max="18" width="4.88671875" style="3" customWidth="1"/>
    <col min="19" max="19" width="5.88671875" style="3" customWidth="1"/>
    <col min="20" max="20" width="6.33203125" style="3" customWidth="1"/>
    <col min="21" max="21" width="11.77734375" style="3" hidden="1" customWidth="1"/>
    <col min="22" max="22" width="8.77734375" style="3" hidden="1" customWidth="1"/>
    <col min="23" max="23" width="7.33203125" style="3" customWidth="1"/>
    <col min="24" max="24" width="7.5546875" style="3" customWidth="1"/>
    <col min="25" max="25" width="7.33203125" style="3" customWidth="1"/>
    <col min="26" max="26" width="7.21875" style="3" customWidth="1"/>
    <col min="27" max="27" width="7.44140625" style="3" customWidth="1"/>
    <col min="28" max="28" width="4.77734375" style="3" customWidth="1"/>
    <col min="29" max="29" width="10.88671875" style="3" customWidth="1"/>
    <col min="30" max="16384" width="8.88671875" style="3"/>
  </cols>
  <sheetData>
    <row r="1" spans="1:29" ht="18" customHeight="1" x14ac:dyDescent="0.35">
      <c r="A1" s="68" t="s">
        <v>193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50.4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/>
      <c r="B3" s="6" t="s">
        <v>80</v>
      </c>
      <c r="C3" s="5" t="s">
        <v>40</v>
      </c>
      <c r="D3" s="5" t="s">
        <v>171</v>
      </c>
      <c r="E3" s="5">
        <v>263129</v>
      </c>
      <c r="F3" s="5" t="s">
        <v>189</v>
      </c>
      <c r="G3" s="5">
        <v>500</v>
      </c>
      <c r="H3" s="7">
        <v>1.494</v>
      </c>
      <c r="I3" s="7">
        <v>2.5630000000000002</v>
      </c>
      <c r="J3" s="5" t="s">
        <v>26</v>
      </c>
      <c r="K3" s="5" t="s">
        <v>192</v>
      </c>
      <c r="L3" s="5" t="s">
        <v>26</v>
      </c>
      <c r="M3" s="7">
        <v>1914.5609999999999</v>
      </c>
      <c r="N3" s="8">
        <v>1281.5</v>
      </c>
      <c r="O3" s="9">
        <v>0.35599999999999998</v>
      </c>
      <c r="P3" s="10">
        <v>21.36</v>
      </c>
      <c r="Q3" s="5">
        <v>1087.5</v>
      </c>
      <c r="R3" s="5">
        <v>1</v>
      </c>
      <c r="S3" s="5">
        <v>1550</v>
      </c>
      <c r="T3" s="7">
        <v>1.494</v>
      </c>
      <c r="U3" s="5">
        <v>56</v>
      </c>
      <c r="V3" s="9">
        <v>3.61E-2</v>
      </c>
      <c r="W3" s="5" t="s">
        <v>33</v>
      </c>
      <c r="X3" s="5" t="s">
        <v>37</v>
      </c>
      <c r="Y3" s="5" t="s">
        <v>33</v>
      </c>
      <c r="Z3" s="5" t="s">
        <v>33</v>
      </c>
      <c r="AA3" s="5" t="s">
        <v>33</v>
      </c>
      <c r="AB3" s="5" t="s">
        <v>29</v>
      </c>
      <c r="AC3" s="5" t="s">
        <v>57</v>
      </c>
    </row>
    <row r="4" spans="1:29" s="11" customFormat="1" ht="25.05" customHeight="1" x14ac:dyDescent="0.3">
      <c r="A4" s="5"/>
      <c r="B4" s="6" t="s">
        <v>80</v>
      </c>
      <c r="C4" s="5" t="s">
        <v>40</v>
      </c>
      <c r="D4" s="5" t="s">
        <v>171</v>
      </c>
      <c r="E4" s="5">
        <v>263128</v>
      </c>
      <c r="F4" s="5" t="s">
        <v>189</v>
      </c>
      <c r="G4" s="5">
        <v>500</v>
      </c>
      <c r="H4" s="7">
        <v>1.444</v>
      </c>
      <c r="I4" s="7">
        <v>2.383</v>
      </c>
      <c r="J4" s="5" t="s">
        <v>26</v>
      </c>
      <c r="K4" s="5" t="s">
        <v>191</v>
      </c>
      <c r="L4" s="5" t="s">
        <v>26</v>
      </c>
      <c r="M4" s="7">
        <v>1720.5260000000001</v>
      </c>
      <c r="N4" s="8">
        <v>1191.5</v>
      </c>
      <c r="O4" s="9">
        <v>0.33100000000000002</v>
      </c>
      <c r="P4" s="10">
        <v>19.86</v>
      </c>
      <c r="Q4" s="5">
        <v>977.3</v>
      </c>
      <c r="R4" s="5">
        <v>1</v>
      </c>
      <c r="S4" s="5">
        <v>1500</v>
      </c>
      <c r="T4" s="7">
        <v>1.444</v>
      </c>
      <c r="U4" s="5">
        <v>56</v>
      </c>
      <c r="V4" s="9">
        <v>3.73E-2</v>
      </c>
      <c r="W4" s="5" t="s">
        <v>33</v>
      </c>
      <c r="X4" s="5" t="s">
        <v>37</v>
      </c>
      <c r="Y4" s="5" t="s">
        <v>33</v>
      </c>
      <c r="Z4" s="5" t="s">
        <v>33</v>
      </c>
      <c r="AA4" s="5" t="s">
        <v>33</v>
      </c>
      <c r="AB4" s="5" t="s">
        <v>29</v>
      </c>
      <c r="AC4" s="5" t="s">
        <v>190</v>
      </c>
    </row>
    <row r="5" spans="1:29" s="11" customFormat="1" ht="25.05" customHeight="1" x14ac:dyDescent="0.3">
      <c r="A5" s="5"/>
      <c r="B5" s="6" t="s">
        <v>80</v>
      </c>
      <c r="C5" s="5" t="s">
        <v>40</v>
      </c>
      <c r="D5" s="5" t="s">
        <v>171</v>
      </c>
      <c r="E5" s="5">
        <v>263127</v>
      </c>
      <c r="F5" s="5" t="s">
        <v>189</v>
      </c>
      <c r="G5" s="5">
        <v>500</v>
      </c>
      <c r="H5" s="7">
        <v>1.0880000000000001</v>
      </c>
      <c r="I5" s="7">
        <v>2.343</v>
      </c>
      <c r="J5" s="5" t="s">
        <v>26</v>
      </c>
      <c r="K5" s="5" t="s">
        <v>188</v>
      </c>
      <c r="L5" s="5" t="s">
        <v>26</v>
      </c>
      <c r="M5" s="7">
        <v>1274.5920000000001</v>
      </c>
      <c r="N5" s="8">
        <v>1171.5</v>
      </c>
      <c r="O5" s="9">
        <v>0.32540000000000002</v>
      </c>
      <c r="P5" s="10">
        <v>19.52</v>
      </c>
      <c r="Q5" s="5">
        <v>724</v>
      </c>
      <c r="R5" s="5">
        <v>1</v>
      </c>
      <c r="S5" s="5">
        <v>1150</v>
      </c>
      <c r="T5" s="7">
        <v>1.0880000000000001</v>
      </c>
      <c r="U5" s="5">
        <v>62</v>
      </c>
      <c r="V5" s="9">
        <v>5.3900000000000003E-2</v>
      </c>
      <c r="W5" s="5" t="s">
        <v>33</v>
      </c>
      <c r="X5" s="5" t="s">
        <v>37</v>
      </c>
      <c r="Y5" s="5" t="s">
        <v>33</v>
      </c>
      <c r="Z5" s="5" t="s">
        <v>33</v>
      </c>
      <c r="AA5" s="5" t="s">
        <v>33</v>
      </c>
      <c r="AB5" s="5" t="s">
        <v>29</v>
      </c>
      <c r="AC5" s="5" t="s">
        <v>187</v>
      </c>
    </row>
    <row r="6" spans="1:29" s="11" customFormat="1" ht="25.05" customHeight="1" x14ac:dyDescent="0.3">
      <c r="A6" s="20"/>
      <c r="B6" s="21" t="s">
        <v>80</v>
      </c>
      <c r="C6" s="21" t="s">
        <v>25</v>
      </c>
      <c r="D6" s="21" t="s">
        <v>242</v>
      </c>
      <c r="E6" s="20">
        <v>263152</v>
      </c>
      <c r="F6" s="21" t="s">
        <v>243</v>
      </c>
      <c r="G6" s="20">
        <v>1000</v>
      </c>
      <c r="H6" s="22">
        <v>1.05</v>
      </c>
      <c r="I6" s="22">
        <v>2.5369999999999999</v>
      </c>
      <c r="J6" s="20"/>
      <c r="K6" s="21" t="s">
        <v>244</v>
      </c>
      <c r="L6" s="20"/>
      <c r="M6" s="22">
        <v>2663.85</v>
      </c>
      <c r="N6" s="23">
        <v>2537</v>
      </c>
      <c r="O6" s="24">
        <v>0.70469999999999999</v>
      </c>
      <c r="P6" s="25">
        <v>42.28</v>
      </c>
      <c r="Q6" s="20">
        <v>1433.2</v>
      </c>
      <c r="R6" s="20">
        <v>1</v>
      </c>
      <c r="S6" s="20">
        <v>1100</v>
      </c>
      <c r="T6" s="22">
        <v>1.05</v>
      </c>
      <c r="U6" s="20">
        <v>50</v>
      </c>
      <c r="V6" s="24">
        <v>4.5499999999999999E-2</v>
      </c>
      <c r="W6" s="21" t="s">
        <v>27</v>
      </c>
      <c r="X6" s="21" t="s">
        <v>28</v>
      </c>
      <c r="Y6" s="21" t="s">
        <v>27</v>
      </c>
      <c r="Z6" s="21" t="s">
        <v>27</v>
      </c>
      <c r="AA6" s="21" t="s">
        <v>27</v>
      </c>
      <c r="AB6" s="21" t="s">
        <v>245</v>
      </c>
      <c r="AC6" s="21" t="s">
        <v>246</v>
      </c>
    </row>
    <row r="7" spans="1:29" s="11" customFormat="1" ht="25.05" customHeight="1" x14ac:dyDescent="0.3">
      <c r="A7" s="20"/>
      <c r="B7" s="21" t="s">
        <v>107</v>
      </c>
      <c r="C7" s="21" t="s">
        <v>34</v>
      </c>
      <c r="D7" s="21" t="s">
        <v>198</v>
      </c>
      <c r="E7" s="20">
        <v>263151</v>
      </c>
      <c r="F7" s="21" t="s">
        <v>237</v>
      </c>
      <c r="G7" s="20">
        <v>400</v>
      </c>
      <c r="H7" s="22">
        <v>1.3160000000000001</v>
      </c>
      <c r="I7" s="22">
        <v>1.857</v>
      </c>
      <c r="J7" s="20"/>
      <c r="K7" s="21" t="s">
        <v>238</v>
      </c>
      <c r="L7" s="20"/>
      <c r="M7" s="22">
        <v>977.52499999999998</v>
      </c>
      <c r="N7" s="23">
        <v>742.8</v>
      </c>
      <c r="O7" s="24">
        <v>0.20630000000000001</v>
      </c>
      <c r="P7" s="25">
        <v>12.38</v>
      </c>
      <c r="Q7" s="20">
        <v>312.8</v>
      </c>
      <c r="R7" s="20">
        <v>1</v>
      </c>
      <c r="S7" s="20">
        <v>1350</v>
      </c>
      <c r="T7" s="22">
        <v>1.3160000000000001</v>
      </c>
      <c r="U7" s="20">
        <v>34</v>
      </c>
      <c r="V7" s="24">
        <v>2.52E-2</v>
      </c>
      <c r="W7" s="21" t="s">
        <v>27</v>
      </c>
      <c r="X7" s="21" t="s">
        <v>27</v>
      </c>
      <c r="Y7" s="21" t="s">
        <v>27</v>
      </c>
      <c r="Z7" s="21"/>
      <c r="AA7" s="21"/>
      <c r="AB7" s="21" t="s">
        <v>36</v>
      </c>
      <c r="AC7" s="21" t="s">
        <v>239</v>
      </c>
    </row>
    <row r="8" spans="1:29" s="11" customFormat="1" ht="25.05" customHeight="1" x14ac:dyDescent="0.3">
      <c r="A8" s="12" t="s">
        <v>26</v>
      </c>
      <c r="B8" s="12" t="s">
        <v>26</v>
      </c>
      <c r="C8" s="12" t="s">
        <v>26</v>
      </c>
      <c r="D8" s="12" t="s">
        <v>26</v>
      </c>
      <c r="E8" s="12" t="s">
        <v>26</v>
      </c>
      <c r="F8" s="12" t="s">
        <v>26</v>
      </c>
      <c r="G8" s="12">
        <f>SUM(G3:G7)</f>
        <v>2900</v>
      </c>
      <c r="H8" s="12" t="s">
        <v>26</v>
      </c>
      <c r="I8" s="12" t="s">
        <v>26</v>
      </c>
      <c r="J8" s="12" t="s">
        <v>26</v>
      </c>
      <c r="K8" s="12" t="s">
        <v>26</v>
      </c>
      <c r="L8" s="12" t="s">
        <v>26</v>
      </c>
      <c r="M8" s="12" t="s">
        <v>26</v>
      </c>
      <c r="N8" s="12" t="s">
        <v>26</v>
      </c>
      <c r="O8" s="12" t="s">
        <v>26</v>
      </c>
      <c r="P8" s="12" t="s">
        <v>26</v>
      </c>
      <c r="Q8" s="12">
        <f>SUM(Q3:Q7)</f>
        <v>4534.8</v>
      </c>
      <c r="R8" s="12" t="s">
        <v>26</v>
      </c>
      <c r="S8" s="12" t="s">
        <v>26</v>
      </c>
      <c r="T8" s="12" t="s">
        <v>26</v>
      </c>
      <c r="U8" s="12" t="s">
        <v>26</v>
      </c>
      <c r="V8" s="12" t="s">
        <v>26</v>
      </c>
      <c r="W8" s="12" t="s">
        <v>26</v>
      </c>
      <c r="X8" s="12" t="s">
        <v>26</v>
      </c>
      <c r="Y8" s="12" t="s">
        <v>26</v>
      </c>
      <c r="Z8" s="12" t="s">
        <v>26</v>
      </c>
      <c r="AA8" s="12" t="s">
        <v>26</v>
      </c>
      <c r="AB8" s="12" t="s">
        <v>26</v>
      </c>
      <c r="AC8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73BF7-28CD-4751-87B0-079B5D844928}">
  <sheetPr>
    <pageSetUpPr fitToPage="1"/>
  </sheetPr>
  <dimension ref="A1:AC12"/>
  <sheetViews>
    <sheetView workbookViewId="0">
      <selection activeCell="K18" sqref="K18"/>
    </sheetView>
  </sheetViews>
  <sheetFormatPr defaultRowHeight="14.4" x14ac:dyDescent="0.3"/>
  <cols>
    <col min="1" max="1" width="4.77734375" style="3" customWidth="1"/>
    <col min="2" max="2" width="20.77734375" style="3" customWidth="1"/>
    <col min="3" max="3" width="6.21875" style="3" customWidth="1"/>
    <col min="4" max="4" width="11.77734375" style="3" hidden="1" customWidth="1"/>
    <col min="5" max="5" width="7.6640625" style="3" customWidth="1"/>
    <col min="6" max="6" width="4.88671875" style="3" customWidth="1"/>
    <col min="7" max="7" width="6.77734375" style="3" customWidth="1"/>
    <col min="8" max="8" width="5.5546875" style="3" customWidth="1"/>
    <col min="9" max="9" width="7.88671875" style="3" customWidth="1"/>
    <col min="10" max="10" width="7" style="3" customWidth="1"/>
    <col min="11" max="11" width="13.5546875" style="3" customWidth="1"/>
    <col min="12" max="12" width="7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109375" style="3" customWidth="1"/>
    <col min="18" max="18" width="4.77734375" style="3" customWidth="1"/>
    <col min="19" max="19" width="7.6640625" style="3" customWidth="1"/>
    <col min="20" max="20" width="7.33203125" style="3" customWidth="1"/>
    <col min="21" max="21" width="11.77734375" style="3" hidden="1" customWidth="1"/>
    <col min="22" max="22" width="8.77734375" style="3" hidden="1" customWidth="1"/>
    <col min="23" max="23" width="8.109375" style="3" customWidth="1"/>
    <col min="24" max="25" width="7.77734375" style="3" customWidth="1"/>
    <col min="26" max="27" width="7.88671875" style="3" customWidth="1"/>
    <col min="28" max="28" width="4.5546875" style="3" customWidth="1"/>
    <col min="29" max="29" width="11.6640625" style="3" customWidth="1"/>
    <col min="30" max="16384" width="8.88671875" style="3"/>
  </cols>
  <sheetData>
    <row r="1" spans="1:29" ht="18" customHeight="1" x14ac:dyDescent="0.35">
      <c r="A1" s="68" t="s">
        <v>186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42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9" customFormat="1" ht="25.05" customHeight="1" x14ac:dyDescent="0.3">
      <c r="A3" s="27"/>
      <c r="B3" s="28" t="s">
        <v>182</v>
      </c>
      <c r="C3" s="27" t="s">
        <v>25</v>
      </c>
      <c r="D3" s="27" t="s">
        <v>171</v>
      </c>
      <c r="E3" s="27">
        <v>263124</v>
      </c>
      <c r="F3" s="27" t="s">
        <v>185</v>
      </c>
      <c r="G3" s="27">
        <v>300</v>
      </c>
      <c r="H3" s="29">
        <v>0.39800000000000002</v>
      </c>
      <c r="I3" s="29">
        <v>1.524</v>
      </c>
      <c r="J3" s="27" t="s">
        <v>26</v>
      </c>
      <c r="K3" s="27" t="s">
        <v>184</v>
      </c>
      <c r="L3" s="27" t="s">
        <v>26</v>
      </c>
      <c r="M3" s="29">
        <v>181.96600000000001</v>
      </c>
      <c r="N3" s="30">
        <v>152.4</v>
      </c>
      <c r="O3" s="31">
        <v>1.41E-2</v>
      </c>
      <c r="P3" s="32">
        <v>0.85</v>
      </c>
      <c r="Q3" s="27">
        <v>97.9</v>
      </c>
      <c r="R3" s="27">
        <v>3</v>
      </c>
      <c r="S3" s="27">
        <v>1250</v>
      </c>
      <c r="T3" s="29">
        <v>1.194</v>
      </c>
      <c r="U3" s="27">
        <v>56</v>
      </c>
      <c r="V3" s="31">
        <v>4.48E-2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36</v>
      </c>
      <c r="AC3" s="27" t="s">
        <v>183</v>
      </c>
    </row>
    <row r="4" spans="1:29" s="19" customFormat="1" ht="25.05" customHeight="1" x14ac:dyDescent="0.3">
      <c r="A4" s="27"/>
      <c r="B4" s="28" t="s">
        <v>182</v>
      </c>
      <c r="C4" s="54" t="s">
        <v>181</v>
      </c>
      <c r="D4" s="27"/>
      <c r="E4" s="27">
        <v>253152</v>
      </c>
      <c r="F4" s="27">
        <v>100</v>
      </c>
      <c r="G4" s="27">
        <v>3000</v>
      </c>
      <c r="H4" s="29">
        <v>0.34100000000000003</v>
      </c>
      <c r="I4" s="29">
        <v>1.1539999999999999</v>
      </c>
      <c r="J4" s="27"/>
      <c r="K4" s="54" t="s">
        <v>241</v>
      </c>
      <c r="L4" s="27"/>
      <c r="M4" s="29"/>
      <c r="N4" s="30"/>
      <c r="O4" s="31"/>
      <c r="P4" s="32"/>
      <c r="Q4" s="27">
        <v>458.1</v>
      </c>
      <c r="R4" s="27">
        <v>4</v>
      </c>
      <c r="S4" s="27">
        <v>1400</v>
      </c>
      <c r="T4" s="29">
        <v>1.3640000000000001</v>
      </c>
      <c r="U4" s="27"/>
      <c r="V4" s="31"/>
      <c r="W4" s="54" t="s">
        <v>37</v>
      </c>
      <c r="X4" s="27" t="s">
        <v>28</v>
      </c>
      <c r="Y4" s="27" t="s">
        <v>27</v>
      </c>
      <c r="Z4" s="27"/>
      <c r="AA4" s="27"/>
      <c r="AB4" s="27">
        <v>2</v>
      </c>
      <c r="AC4" s="54" t="s">
        <v>240</v>
      </c>
    </row>
    <row r="5" spans="1:29" s="19" customFormat="1" ht="25.05" customHeight="1" x14ac:dyDescent="0.3">
      <c r="A5" s="13"/>
      <c r="B5" s="28" t="s">
        <v>182</v>
      </c>
      <c r="C5" s="14" t="s">
        <v>34</v>
      </c>
      <c r="D5" s="14" t="s">
        <v>171</v>
      </c>
      <c r="E5" s="13">
        <v>263131</v>
      </c>
      <c r="F5" s="14" t="s">
        <v>194</v>
      </c>
      <c r="G5" s="13">
        <v>1010</v>
      </c>
      <c r="H5" s="15">
        <v>0.69</v>
      </c>
      <c r="I5" s="15">
        <v>1</v>
      </c>
      <c r="J5" s="13"/>
      <c r="K5" s="14" t="s">
        <v>32</v>
      </c>
      <c r="L5" s="13"/>
      <c r="M5" s="15">
        <v>696.9</v>
      </c>
      <c r="N5" s="16">
        <v>505</v>
      </c>
      <c r="O5" s="17">
        <v>7.0099999999999996E-2</v>
      </c>
      <c r="P5" s="18">
        <v>4.21</v>
      </c>
      <c r="Q5" s="13">
        <v>223</v>
      </c>
      <c r="R5" s="13">
        <v>2</v>
      </c>
      <c r="S5" s="13">
        <v>1400</v>
      </c>
      <c r="T5" s="15">
        <v>1.38</v>
      </c>
      <c r="U5" s="13">
        <v>20</v>
      </c>
      <c r="V5" s="17">
        <v>1.43E-2</v>
      </c>
      <c r="W5" s="14" t="s">
        <v>27</v>
      </c>
      <c r="X5" s="14" t="s">
        <v>27</v>
      </c>
      <c r="Y5" s="14" t="s">
        <v>27</v>
      </c>
      <c r="Z5" s="14"/>
      <c r="AA5" s="14"/>
      <c r="AB5" s="14" t="s">
        <v>36</v>
      </c>
      <c r="AC5" s="14" t="s">
        <v>196</v>
      </c>
    </row>
    <row r="6" spans="1:29" s="19" customFormat="1" ht="25.05" customHeight="1" x14ac:dyDescent="0.3">
      <c r="A6" s="13"/>
      <c r="B6" s="28" t="s">
        <v>182</v>
      </c>
      <c r="C6" s="14" t="s">
        <v>34</v>
      </c>
      <c r="D6" s="14" t="s">
        <v>198</v>
      </c>
      <c r="E6" s="13">
        <v>263148</v>
      </c>
      <c r="F6" s="14" t="s">
        <v>230</v>
      </c>
      <c r="G6" s="13">
        <v>1000</v>
      </c>
      <c r="H6" s="15">
        <v>0.69</v>
      </c>
      <c r="I6" s="15">
        <v>1.08</v>
      </c>
      <c r="J6" s="13"/>
      <c r="K6" s="14" t="s">
        <v>32</v>
      </c>
      <c r="L6" s="13"/>
      <c r="M6" s="15">
        <v>745.2</v>
      </c>
      <c r="N6" s="16">
        <v>540</v>
      </c>
      <c r="O6" s="17">
        <v>7.4999999999999997E-2</v>
      </c>
      <c r="P6" s="18">
        <v>4.5</v>
      </c>
      <c r="Q6" s="13">
        <v>238.5</v>
      </c>
      <c r="R6" s="13">
        <v>2</v>
      </c>
      <c r="S6" s="13">
        <v>1400</v>
      </c>
      <c r="T6" s="15">
        <v>1.38</v>
      </c>
      <c r="U6" s="13">
        <v>20</v>
      </c>
      <c r="V6" s="17">
        <v>1.43E-2</v>
      </c>
      <c r="W6" s="14" t="s">
        <v>27</v>
      </c>
      <c r="X6" s="14" t="s">
        <v>27</v>
      </c>
      <c r="Y6" s="14" t="s">
        <v>27</v>
      </c>
      <c r="Z6" s="14"/>
      <c r="AA6" s="14"/>
      <c r="AB6" s="14" t="s">
        <v>36</v>
      </c>
      <c r="AC6" s="14" t="s">
        <v>231</v>
      </c>
    </row>
    <row r="7" spans="1:29" s="19" customFormat="1" ht="25.05" customHeight="1" x14ac:dyDescent="0.3">
      <c r="A7" s="13"/>
      <c r="B7" s="28" t="s">
        <v>182</v>
      </c>
      <c r="C7" s="14" t="s">
        <v>34</v>
      </c>
      <c r="D7" s="14" t="s">
        <v>198</v>
      </c>
      <c r="E7" s="13">
        <v>263134</v>
      </c>
      <c r="F7" s="14" t="s">
        <v>199</v>
      </c>
      <c r="G7" s="13">
        <v>1800</v>
      </c>
      <c r="H7" s="15">
        <v>0.309</v>
      </c>
      <c r="I7" s="15">
        <v>0.96199999999999997</v>
      </c>
      <c r="J7" s="13"/>
      <c r="K7" s="14" t="s">
        <v>202</v>
      </c>
      <c r="L7" s="13"/>
      <c r="M7" s="15">
        <v>535.06399999999996</v>
      </c>
      <c r="N7" s="16">
        <v>432.9</v>
      </c>
      <c r="O7" s="17">
        <v>3.0099999999999998E-2</v>
      </c>
      <c r="P7" s="18">
        <v>1.8</v>
      </c>
      <c r="Q7" s="13">
        <v>171.2</v>
      </c>
      <c r="R7" s="13">
        <v>4</v>
      </c>
      <c r="S7" s="13">
        <v>1300</v>
      </c>
      <c r="T7" s="15">
        <v>1.236</v>
      </c>
      <c r="U7" s="13">
        <v>64</v>
      </c>
      <c r="V7" s="17">
        <v>4.9200000000000001E-2</v>
      </c>
      <c r="W7" s="14" t="s">
        <v>27</v>
      </c>
      <c r="X7" s="14" t="s">
        <v>27</v>
      </c>
      <c r="Y7" s="14" t="s">
        <v>27</v>
      </c>
      <c r="Z7" s="14"/>
      <c r="AA7" s="14"/>
      <c r="AB7" s="14" t="s">
        <v>36</v>
      </c>
      <c r="AC7" s="14" t="s">
        <v>203</v>
      </c>
    </row>
    <row r="8" spans="1:29" s="19" customFormat="1" ht="25.05" customHeight="1" x14ac:dyDescent="0.3">
      <c r="A8" s="13"/>
      <c r="B8" s="28" t="s">
        <v>182</v>
      </c>
      <c r="C8" s="14" t="s">
        <v>34</v>
      </c>
      <c r="D8" s="14" t="s">
        <v>171</v>
      </c>
      <c r="E8" s="13">
        <v>263132</v>
      </c>
      <c r="F8" s="14" t="s">
        <v>194</v>
      </c>
      <c r="G8" s="13">
        <v>880</v>
      </c>
      <c r="H8" s="15">
        <v>0.63</v>
      </c>
      <c r="I8" s="15">
        <v>1</v>
      </c>
      <c r="J8" s="13"/>
      <c r="K8" s="14" t="s">
        <v>32</v>
      </c>
      <c r="L8" s="13"/>
      <c r="M8" s="15">
        <v>554.4</v>
      </c>
      <c r="N8" s="16">
        <v>440</v>
      </c>
      <c r="O8" s="17">
        <v>6.1100000000000002E-2</v>
      </c>
      <c r="P8" s="18">
        <v>3.67</v>
      </c>
      <c r="Q8" s="13">
        <v>177.4</v>
      </c>
      <c r="R8" s="13">
        <v>2</v>
      </c>
      <c r="S8" s="13">
        <v>1300</v>
      </c>
      <c r="T8" s="15">
        <v>1.26</v>
      </c>
      <c r="U8" s="13">
        <v>40</v>
      </c>
      <c r="V8" s="17">
        <v>3.0800000000000001E-2</v>
      </c>
      <c r="W8" s="14" t="s">
        <v>27</v>
      </c>
      <c r="X8" s="14" t="s">
        <v>27</v>
      </c>
      <c r="Y8" s="14" t="s">
        <v>27</v>
      </c>
      <c r="Z8" s="14"/>
      <c r="AA8" s="14"/>
      <c r="AB8" s="14" t="s">
        <v>36</v>
      </c>
      <c r="AC8" s="14" t="s">
        <v>197</v>
      </c>
    </row>
    <row r="9" spans="1:29" s="19" customFormat="1" ht="25.05" customHeight="1" x14ac:dyDescent="0.3">
      <c r="A9" s="13"/>
      <c r="B9" s="28" t="s">
        <v>182</v>
      </c>
      <c r="C9" s="14" t="s">
        <v>34</v>
      </c>
      <c r="D9" s="14" t="s">
        <v>198</v>
      </c>
      <c r="E9" s="13">
        <v>263133</v>
      </c>
      <c r="F9" s="14" t="s">
        <v>199</v>
      </c>
      <c r="G9" s="13">
        <v>1000</v>
      </c>
      <c r="H9" s="15">
        <v>0.40899999999999997</v>
      </c>
      <c r="I9" s="15">
        <v>1.262</v>
      </c>
      <c r="J9" s="13"/>
      <c r="K9" s="14" t="s">
        <v>200</v>
      </c>
      <c r="L9" s="13"/>
      <c r="M9" s="15">
        <v>516.15800000000002</v>
      </c>
      <c r="N9" s="16">
        <v>420.7</v>
      </c>
      <c r="O9" s="17">
        <v>3.9E-2</v>
      </c>
      <c r="P9" s="18">
        <v>2.34</v>
      </c>
      <c r="Q9" s="13">
        <v>165.2</v>
      </c>
      <c r="R9" s="13">
        <v>3</v>
      </c>
      <c r="S9" s="13">
        <v>1250</v>
      </c>
      <c r="T9" s="15">
        <v>1.2270000000000001</v>
      </c>
      <c r="U9" s="13">
        <v>23</v>
      </c>
      <c r="V9" s="17">
        <v>1.84E-2</v>
      </c>
      <c r="W9" s="14" t="s">
        <v>27</v>
      </c>
      <c r="X9" s="14" t="s">
        <v>27</v>
      </c>
      <c r="Y9" s="14" t="s">
        <v>27</v>
      </c>
      <c r="Z9" s="14"/>
      <c r="AA9" s="14"/>
      <c r="AB9" s="14" t="s">
        <v>31</v>
      </c>
      <c r="AC9" s="14" t="s">
        <v>201</v>
      </c>
    </row>
    <row r="10" spans="1:29" s="19" customFormat="1" ht="25.05" customHeight="1" x14ac:dyDescent="0.3">
      <c r="A10" s="13"/>
      <c r="B10" s="28" t="s">
        <v>182</v>
      </c>
      <c r="C10" s="14" t="s">
        <v>34</v>
      </c>
      <c r="D10" s="14" t="s">
        <v>171</v>
      </c>
      <c r="E10" s="13">
        <v>263130</v>
      </c>
      <c r="F10" s="14" t="s">
        <v>194</v>
      </c>
      <c r="G10" s="13">
        <v>1070</v>
      </c>
      <c r="H10" s="15">
        <v>0.6</v>
      </c>
      <c r="I10" s="15">
        <v>1.02</v>
      </c>
      <c r="J10" s="13"/>
      <c r="K10" s="14" t="s">
        <v>32</v>
      </c>
      <c r="L10" s="13"/>
      <c r="M10" s="15">
        <v>654.84</v>
      </c>
      <c r="N10" s="16">
        <v>545.70000000000005</v>
      </c>
      <c r="O10" s="17">
        <v>7.5800000000000006E-2</v>
      </c>
      <c r="P10" s="18">
        <v>4.55</v>
      </c>
      <c r="Q10" s="13">
        <v>209.5</v>
      </c>
      <c r="R10" s="13">
        <v>2</v>
      </c>
      <c r="S10" s="13">
        <v>1250</v>
      </c>
      <c r="T10" s="15">
        <v>1.2</v>
      </c>
      <c r="U10" s="13">
        <v>50</v>
      </c>
      <c r="V10" s="17">
        <v>0.04</v>
      </c>
      <c r="W10" s="14" t="s">
        <v>27</v>
      </c>
      <c r="X10" s="14" t="s">
        <v>27</v>
      </c>
      <c r="Y10" s="14" t="s">
        <v>27</v>
      </c>
      <c r="Z10" s="14"/>
      <c r="AA10" s="14"/>
      <c r="AB10" s="14" t="s">
        <v>36</v>
      </c>
      <c r="AC10" s="14" t="s">
        <v>195</v>
      </c>
    </row>
    <row r="11" spans="1:29" s="19" customFormat="1" ht="25.05" customHeight="1" x14ac:dyDescent="0.3">
      <c r="A11" s="27"/>
      <c r="B11" s="28" t="s">
        <v>182</v>
      </c>
      <c r="C11" s="27" t="s">
        <v>181</v>
      </c>
      <c r="D11" s="27" t="s">
        <v>171</v>
      </c>
      <c r="E11" s="27">
        <v>263125</v>
      </c>
      <c r="F11" s="27" t="s">
        <v>180</v>
      </c>
      <c r="G11" s="27">
        <v>3500</v>
      </c>
      <c r="H11" s="29">
        <v>0.30499999999999999</v>
      </c>
      <c r="I11" s="29">
        <v>0.88</v>
      </c>
      <c r="J11" s="27" t="s">
        <v>26</v>
      </c>
      <c r="K11" s="27" t="s">
        <v>179</v>
      </c>
      <c r="L11" s="27" t="s">
        <v>26</v>
      </c>
      <c r="M11" s="29">
        <v>939.4</v>
      </c>
      <c r="N11" s="30">
        <v>770</v>
      </c>
      <c r="O11" s="31">
        <v>5.3499999999999999E-2</v>
      </c>
      <c r="P11" s="32">
        <v>3.21</v>
      </c>
      <c r="Q11" s="27">
        <v>364.5</v>
      </c>
      <c r="R11" s="27">
        <v>4</v>
      </c>
      <c r="S11" s="27">
        <v>1250</v>
      </c>
      <c r="T11" s="29">
        <v>1.22</v>
      </c>
      <c r="U11" s="27">
        <v>30</v>
      </c>
      <c r="V11" s="31">
        <v>2.4E-2</v>
      </c>
      <c r="W11" s="27" t="s">
        <v>37</v>
      </c>
      <c r="X11" s="27" t="s">
        <v>28</v>
      </c>
      <c r="Y11" s="27" t="s">
        <v>28</v>
      </c>
      <c r="Z11" s="27" t="s">
        <v>26</v>
      </c>
      <c r="AA11" s="27" t="s">
        <v>26</v>
      </c>
      <c r="AB11" s="27" t="s">
        <v>31</v>
      </c>
      <c r="AC11" s="27" t="s">
        <v>178</v>
      </c>
    </row>
    <row r="12" spans="1:29" s="36" customFormat="1" ht="25.05" customHeight="1" x14ac:dyDescent="0.3">
      <c r="A12" s="34" t="s">
        <v>26</v>
      </c>
      <c r="B12" s="34" t="s">
        <v>26</v>
      </c>
      <c r="C12" s="34" t="s">
        <v>26</v>
      </c>
      <c r="D12" s="34" t="s">
        <v>26</v>
      </c>
      <c r="E12" s="34" t="s">
        <v>26</v>
      </c>
      <c r="F12" s="34" t="s">
        <v>26</v>
      </c>
      <c r="G12" s="34">
        <f>SUM(G3:G11)</f>
        <v>13560</v>
      </c>
      <c r="H12" s="34" t="s">
        <v>26</v>
      </c>
      <c r="I12" s="34" t="s">
        <v>26</v>
      </c>
      <c r="J12" s="34" t="s">
        <v>26</v>
      </c>
      <c r="K12" s="34" t="s">
        <v>26</v>
      </c>
      <c r="L12" s="34" t="s">
        <v>26</v>
      </c>
      <c r="M12" s="35" t="s">
        <v>26</v>
      </c>
      <c r="N12" s="35" t="s">
        <v>26</v>
      </c>
      <c r="O12" s="35" t="s">
        <v>26</v>
      </c>
      <c r="P12" s="35" t="s">
        <v>26</v>
      </c>
      <c r="Q12" s="35">
        <f>SUM(Q3:Q11)</f>
        <v>2105.3000000000002</v>
      </c>
      <c r="R12" s="35" t="s">
        <v>26</v>
      </c>
      <c r="S12" s="35" t="s">
        <v>26</v>
      </c>
      <c r="T12" s="35" t="s">
        <v>26</v>
      </c>
      <c r="U12" s="35" t="s">
        <v>26</v>
      </c>
      <c r="V12" s="35" t="s">
        <v>26</v>
      </c>
      <c r="W12" s="35" t="s">
        <v>26</v>
      </c>
      <c r="X12" s="35" t="s">
        <v>26</v>
      </c>
      <c r="Y12" s="35" t="s">
        <v>26</v>
      </c>
      <c r="Z12" s="35" t="s">
        <v>26</v>
      </c>
      <c r="AA12" s="35" t="s">
        <v>26</v>
      </c>
      <c r="AB12" s="35" t="s">
        <v>26</v>
      </c>
      <c r="AC12" s="35" t="s">
        <v>26</v>
      </c>
    </row>
  </sheetData>
  <mergeCells count="1">
    <mergeCell ref="A1:AC1"/>
  </mergeCells>
  <phoneticPr fontId="13" type="noConversion"/>
  <pageMargins left="0.511811024" right="0.511811024" top="1.26" bottom="0.78740157499999996" header="0.31496062000000002" footer="0.31496062000000002"/>
  <pageSetup paperSize="9" scale="88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EAC99-6742-48F6-A3B0-25CBD9E68343}">
  <sheetPr>
    <pageSetUpPr fitToPage="1"/>
  </sheetPr>
  <dimension ref="A1:AC10"/>
  <sheetViews>
    <sheetView workbookViewId="0">
      <selection activeCell="W25" sqref="W25"/>
    </sheetView>
  </sheetViews>
  <sheetFormatPr defaultRowHeight="14.4" x14ac:dyDescent="0.3"/>
  <cols>
    <col min="1" max="1" width="5" style="3" customWidth="1"/>
    <col min="2" max="2" width="20.77734375" style="3" hidden="1" customWidth="1"/>
    <col min="3" max="3" width="6.33203125" style="3" customWidth="1"/>
    <col min="4" max="4" width="11.77734375" style="3" hidden="1" customWidth="1"/>
    <col min="5" max="5" width="7.77734375" style="3" customWidth="1"/>
    <col min="6" max="6" width="6" style="3" customWidth="1"/>
    <col min="7" max="7" width="5.6640625" style="3" customWidth="1"/>
    <col min="8" max="8" width="9.77734375" style="3" customWidth="1"/>
    <col min="9" max="9" width="7.77734375" style="3" customWidth="1"/>
    <col min="10" max="10" width="7.21875" style="3" customWidth="1"/>
    <col min="11" max="11" width="14.109375" style="3" customWidth="1"/>
    <col min="12" max="12" width="7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77734375" style="3" customWidth="1"/>
    <col min="18" max="18" width="4.77734375" style="3" customWidth="1"/>
    <col min="19" max="19" width="6.6640625" style="3" customWidth="1"/>
    <col min="20" max="20" width="6.77734375" style="3" customWidth="1"/>
    <col min="21" max="21" width="11.77734375" style="3" hidden="1" customWidth="1"/>
    <col min="22" max="22" width="8.77734375" style="3" hidden="1" customWidth="1"/>
    <col min="23" max="23" width="7.5546875" style="3" customWidth="1"/>
    <col min="24" max="24" width="7.88671875" style="3" customWidth="1"/>
    <col min="25" max="25" width="8" style="3" customWidth="1"/>
    <col min="26" max="26" width="7.44140625" style="3" customWidth="1"/>
    <col min="27" max="27" width="8" style="3" customWidth="1"/>
    <col min="28" max="28" width="4.6640625" style="3" customWidth="1"/>
    <col min="29" max="29" width="10.21875" style="3" customWidth="1"/>
    <col min="30" max="16384" width="8.88671875" style="3"/>
  </cols>
  <sheetData>
    <row r="1" spans="1:29" ht="18" customHeight="1" x14ac:dyDescent="0.3">
      <c r="A1" s="70" t="s">
        <v>167</v>
      </c>
      <c r="B1" s="70" t="s">
        <v>26</v>
      </c>
      <c r="C1" s="70" t="s">
        <v>26</v>
      </c>
      <c r="D1" s="70" t="s">
        <v>26</v>
      </c>
      <c r="E1" s="70" t="s">
        <v>26</v>
      </c>
      <c r="F1" s="70" t="s">
        <v>26</v>
      </c>
      <c r="G1" s="70" t="s">
        <v>26</v>
      </c>
      <c r="H1" s="70" t="s">
        <v>26</v>
      </c>
      <c r="I1" s="70" t="s">
        <v>26</v>
      </c>
      <c r="J1" s="70" t="s">
        <v>26</v>
      </c>
      <c r="K1" s="70" t="s">
        <v>26</v>
      </c>
      <c r="L1" s="70" t="s">
        <v>26</v>
      </c>
      <c r="M1" s="70" t="s">
        <v>26</v>
      </c>
      <c r="N1" s="70" t="s">
        <v>26</v>
      </c>
      <c r="O1" s="70" t="s">
        <v>26</v>
      </c>
      <c r="P1" s="70" t="s">
        <v>26</v>
      </c>
      <c r="Q1" s="70" t="s">
        <v>26</v>
      </c>
      <c r="R1" s="70" t="s">
        <v>26</v>
      </c>
      <c r="S1" s="70" t="s">
        <v>26</v>
      </c>
      <c r="T1" s="70" t="s">
        <v>26</v>
      </c>
      <c r="U1" s="70" t="s">
        <v>26</v>
      </c>
      <c r="V1" s="70" t="s">
        <v>26</v>
      </c>
      <c r="W1" s="70" t="s">
        <v>26</v>
      </c>
      <c r="X1" s="70" t="s">
        <v>26</v>
      </c>
      <c r="Y1" s="70" t="s">
        <v>26</v>
      </c>
      <c r="Z1" s="70" t="s">
        <v>26</v>
      </c>
      <c r="AA1" s="70" t="s">
        <v>26</v>
      </c>
      <c r="AB1" s="70" t="s">
        <v>26</v>
      </c>
      <c r="AC1" s="70" t="s">
        <v>26</v>
      </c>
    </row>
    <row r="2" spans="1:29" ht="39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52" customFormat="1" ht="25.05" customHeight="1" x14ac:dyDescent="0.3">
      <c r="A3" s="27"/>
      <c r="B3" s="28" t="s">
        <v>160</v>
      </c>
      <c r="C3" s="27" t="s">
        <v>25</v>
      </c>
      <c r="D3" s="27" t="s">
        <v>198</v>
      </c>
      <c r="E3" s="27">
        <v>263150</v>
      </c>
      <c r="F3" s="27" t="s">
        <v>234</v>
      </c>
      <c r="G3" s="27">
        <v>650</v>
      </c>
      <c r="H3" s="29">
        <v>0.68500000000000005</v>
      </c>
      <c r="I3" s="29">
        <v>1.2270000000000001</v>
      </c>
      <c r="J3" s="27" t="s">
        <v>26</v>
      </c>
      <c r="K3" s="27" t="s">
        <v>236</v>
      </c>
      <c r="L3" s="27" t="s">
        <v>26</v>
      </c>
      <c r="M3" s="29">
        <v>546.322</v>
      </c>
      <c r="N3" s="30">
        <v>398.8</v>
      </c>
      <c r="O3" s="31">
        <v>5.5399999999999998E-2</v>
      </c>
      <c r="P3" s="32">
        <v>3.32</v>
      </c>
      <c r="Q3" s="27">
        <v>293.89999999999998</v>
      </c>
      <c r="R3" s="27">
        <v>2</v>
      </c>
      <c r="S3" s="27">
        <v>1400</v>
      </c>
      <c r="T3" s="29">
        <v>1.37</v>
      </c>
      <c r="U3" s="27">
        <v>30</v>
      </c>
      <c r="V3" s="31">
        <v>2.1399999999999999E-2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31</v>
      </c>
      <c r="AC3" s="27" t="s">
        <v>235</v>
      </c>
    </row>
    <row r="4" spans="1:29" s="53" customFormat="1" ht="25.05" customHeight="1" x14ac:dyDescent="0.3">
      <c r="A4" s="13"/>
      <c r="B4" s="14" t="s">
        <v>160</v>
      </c>
      <c r="C4" s="14" t="s">
        <v>25</v>
      </c>
      <c r="D4" s="14" t="s">
        <v>141</v>
      </c>
      <c r="E4" s="13">
        <v>263118</v>
      </c>
      <c r="F4" s="14" t="s">
        <v>168</v>
      </c>
      <c r="G4" s="13">
        <v>700</v>
      </c>
      <c r="H4" s="15">
        <v>0.63700000000000001</v>
      </c>
      <c r="I4" s="15">
        <v>1.744</v>
      </c>
      <c r="J4" s="13"/>
      <c r="K4" s="14" t="s">
        <v>169</v>
      </c>
      <c r="L4" s="13"/>
      <c r="M4" s="15">
        <v>777.65</v>
      </c>
      <c r="N4" s="16">
        <v>610.4</v>
      </c>
      <c r="O4" s="17">
        <v>8.48E-2</v>
      </c>
      <c r="P4" s="18">
        <v>5.09</v>
      </c>
      <c r="Q4" s="13">
        <v>418.4</v>
      </c>
      <c r="R4" s="13">
        <v>2</v>
      </c>
      <c r="S4" s="13">
        <v>1300</v>
      </c>
      <c r="T4" s="15">
        <v>1.274</v>
      </c>
      <c r="U4" s="13">
        <v>26</v>
      </c>
      <c r="V4" s="17">
        <v>0.02</v>
      </c>
      <c r="W4" s="14" t="s">
        <v>27</v>
      </c>
      <c r="X4" s="14" t="s">
        <v>28</v>
      </c>
      <c r="Y4" s="14" t="s">
        <v>27</v>
      </c>
      <c r="Z4" s="14" t="s">
        <v>27</v>
      </c>
      <c r="AA4" s="14" t="s">
        <v>27</v>
      </c>
      <c r="AB4" s="14" t="s">
        <v>30</v>
      </c>
      <c r="AC4" s="14" t="s">
        <v>170</v>
      </c>
    </row>
    <row r="5" spans="1:29" s="52" customFormat="1" ht="25.05" customHeight="1" x14ac:dyDescent="0.3">
      <c r="A5" s="27"/>
      <c r="B5" s="28" t="s">
        <v>160</v>
      </c>
      <c r="C5" s="27" t="s">
        <v>25</v>
      </c>
      <c r="D5" s="27" t="s">
        <v>108</v>
      </c>
      <c r="E5" s="27">
        <v>263109</v>
      </c>
      <c r="F5" s="27" t="s">
        <v>164</v>
      </c>
      <c r="G5" s="27">
        <v>1100</v>
      </c>
      <c r="H5" s="29">
        <v>0.58499999999999996</v>
      </c>
      <c r="I5" s="29">
        <v>1.268</v>
      </c>
      <c r="J5" s="27" t="s">
        <v>26</v>
      </c>
      <c r="K5" s="27" t="s">
        <v>166</v>
      </c>
      <c r="L5" s="27" t="s">
        <v>26</v>
      </c>
      <c r="M5" s="29">
        <v>815.95799999999997</v>
      </c>
      <c r="N5" s="30">
        <v>697.4</v>
      </c>
      <c r="O5" s="31">
        <v>9.69E-2</v>
      </c>
      <c r="P5" s="32">
        <v>5.81</v>
      </c>
      <c r="Q5" s="27">
        <v>439</v>
      </c>
      <c r="R5" s="27">
        <v>2</v>
      </c>
      <c r="S5" s="27">
        <v>1200</v>
      </c>
      <c r="T5" s="29">
        <v>1.17</v>
      </c>
      <c r="U5" s="27">
        <v>30</v>
      </c>
      <c r="V5" s="31">
        <v>2.5000000000000001E-2</v>
      </c>
      <c r="W5" s="27" t="s">
        <v>27</v>
      </c>
      <c r="X5" s="27" t="s">
        <v>28</v>
      </c>
      <c r="Y5" s="27" t="s">
        <v>27</v>
      </c>
      <c r="Z5" s="27" t="s">
        <v>27</v>
      </c>
      <c r="AA5" s="27" t="s">
        <v>27</v>
      </c>
      <c r="AB5" s="27" t="s">
        <v>29</v>
      </c>
      <c r="AC5" s="27" t="s">
        <v>165</v>
      </c>
    </row>
    <row r="6" spans="1:29" s="52" customFormat="1" ht="25.05" customHeight="1" x14ac:dyDescent="0.3">
      <c r="A6" s="27"/>
      <c r="B6" s="28" t="s">
        <v>160</v>
      </c>
      <c r="C6" s="27" t="s">
        <v>25</v>
      </c>
      <c r="D6" s="27" t="s">
        <v>108</v>
      </c>
      <c r="E6" s="27">
        <v>263108</v>
      </c>
      <c r="F6" s="27" t="s">
        <v>164</v>
      </c>
      <c r="G6" s="27">
        <v>310</v>
      </c>
      <c r="H6" s="29">
        <v>0.878</v>
      </c>
      <c r="I6" s="29">
        <v>1.99</v>
      </c>
      <c r="J6" s="27" t="s">
        <v>26</v>
      </c>
      <c r="K6" s="27" t="s">
        <v>163</v>
      </c>
      <c r="L6" s="27" t="s">
        <v>26</v>
      </c>
      <c r="M6" s="29">
        <v>541.63800000000003</v>
      </c>
      <c r="N6" s="30">
        <v>616.9</v>
      </c>
      <c r="O6" s="31">
        <v>0.1714</v>
      </c>
      <c r="P6" s="32">
        <v>10.28</v>
      </c>
      <c r="Q6" s="27">
        <v>291.39999999999998</v>
      </c>
      <c r="R6" s="27">
        <v>1</v>
      </c>
      <c r="S6" s="27">
        <v>900</v>
      </c>
      <c r="T6" s="29">
        <v>0.878</v>
      </c>
      <c r="U6" s="27">
        <v>22</v>
      </c>
      <c r="V6" s="31">
        <v>2.4400000000000002E-2</v>
      </c>
      <c r="W6" s="27" t="s">
        <v>27</v>
      </c>
      <c r="X6" s="27" t="s">
        <v>28</v>
      </c>
      <c r="Y6" s="27" t="s">
        <v>27</v>
      </c>
      <c r="Z6" s="27" t="s">
        <v>27</v>
      </c>
      <c r="AA6" s="27" t="s">
        <v>27</v>
      </c>
      <c r="AB6" s="27" t="s">
        <v>31</v>
      </c>
      <c r="AC6" s="27" t="s">
        <v>162</v>
      </c>
    </row>
    <row r="7" spans="1:29" s="52" customFormat="1" ht="25.05" customHeight="1" x14ac:dyDescent="0.3">
      <c r="A7" s="27"/>
      <c r="B7" s="28" t="s">
        <v>160</v>
      </c>
      <c r="C7" s="27" t="s">
        <v>47</v>
      </c>
      <c r="D7" s="27" t="s">
        <v>198</v>
      </c>
      <c r="E7" s="27">
        <v>263149</v>
      </c>
      <c r="F7" s="27" t="s">
        <v>234</v>
      </c>
      <c r="G7" s="27">
        <v>3000</v>
      </c>
      <c r="H7" s="29">
        <v>0.372</v>
      </c>
      <c r="I7" s="29">
        <v>1.1200000000000001</v>
      </c>
      <c r="J7" s="27" t="s">
        <v>26</v>
      </c>
      <c r="K7" s="27" t="s">
        <v>233</v>
      </c>
      <c r="L7" s="27" t="s">
        <v>26</v>
      </c>
      <c r="M7" s="29">
        <v>1249.92</v>
      </c>
      <c r="N7" s="30">
        <v>840</v>
      </c>
      <c r="O7" s="31">
        <v>5.8299999999999998E-2</v>
      </c>
      <c r="P7" s="32">
        <v>3.5</v>
      </c>
      <c r="Q7" s="27">
        <v>412.5</v>
      </c>
      <c r="R7" s="27">
        <v>4</v>
      </c>
      <c r="S7" s="27">
        <v>1550</v>
      </c>
      <c r="T7" s="29">
        <v>1.488</v>
      </c>
      <c r="U7" s="27">
        <v>62</v>
      </c>
      <c r="V7" s="31">
        <v>0.04</v>
      </c>
      <c r="W7" s="27" t="s">
        <v>27</v>
      </c>
      <c r="X7" s="27" t="s">
        <v>27</v>
      </c>
      <c r="Y7" s="27" t="s">
        <v>27</v>
      </c>
      <c r="Z7" s="27" t="s">
        <v>26</v>
      </c>
      <c r="AA7" s="27" t="s">
        <v>26</v>
      </c>
      <c r="AB7" s="27" t="s">
        <v>29</v>
      </c>
      <c r="AC7" s="27" t="s">
        <v>232</v>
      </c>
    </row>
    <row r="8" spans="1:29" s="52" customFormat="1" ht="25.05" customHeight="1" x14ac:dyDescent="0.3">
      <c r="A8" s="27"/>
      <c r="B8" s="28" t="s">
        <v>160</v>
      </c>
      <c r="C8" s="27" t="s">
        <v>47</v>
      </c>
      <c r="D8" s="27" t="s">
        <v>108</v>
      </c>
      <c r="E8" s="27">
        <v>263110</v>
      </c>
      <c r="F8" s="27" t="s">
        <v>159</v>
      </c>
      <c r="G8" s="27">
        <v>360</v>
      </c>
      <c r="H8" s="29">
        <v>1.546</v>
      </c>
      <c r="I8" s="29">
        <v>1.788</v>
      </c>
      <c r="J8" s="27" t="s">
        <v>26</v>
      </c>
      <c r="K8" s="27" t="s">
        <v>32</v>
      </c>
      <c r="L8" s="27" t="s">
        <v>26</v>
      </c>
      <c r="M8" s="29">
        <v>995.12900000000002</v>
      </c>
      <c r="N8" s="30">
        <v>643.70000000000005</v>
      </c>
      <c r="O8" s="31">
        <v>0.17879999999999999</v>
      </c>
      <c r="P8" s="32">
        <v>10.73</v>
      </c>
      <c r="Q8" s="27">
        <v>328.4</v>
      </c>
      <c r="R8" s="27">
        <v>1</v>
      </c>
      <c r="S8" s="27">
        <v>1600</v>
      </c>
      <c r="T8" s="29">
        <v>1.546</v>
      </c>
      <c r="U8" s="27">
        <v>54</v>
      </c>
      <c r="V8" s="31">
        <v>3.3799999999999997E-2</v>
      </c>
      <c r="W8" s="27" t="s">
        <v>27</v>
      </c>
      <c r="X8" s="27" t="s">
        <v>27</v>
      </c>
      <c r="Y8" s="27" t="s">
        <v>27</v>
      </c>
      <c r="Z8" s="27" t="s">
        <v>26</v>
      </c>
      <c r="AA8" s="27" t="s">
        <v>26</v>
      </c>
      <c r="AB8" s="27" t="s">
        <v>31</v>
      </c>
      <c r="AC8" s="27" t="s">
        <v>161</v>
      </c>
    </row>
    <row r="9" spans="1:29" s="52" customFormat="1" ht="25.05" customHeight="1" x14ac:dyDescent="0.3">
      <c r="A9" s="27"/>
      <c r="B9" s="28" t="s">
        <v>160</v>
      </c>
      <c r="C9" s="27" t="s">
        <v>47</v>
      </c>
      <c r="D9" s="27" t="s">
        <v>108</v>
      </c>
      <c r="E9" s="27">
        <v>263111</v>
      </c>
      <c r="F9" s="27" t="s">
        <v>159</v>
      </c>
      <c r="G9" s="27">
        <v>440</v>
      </c>
      <c r="H9" s="29">
        <v>0.98199999999999998</v>
      </c>
      <c r="I9" s="29">
        <v>2.2599999999999998</v>
      </c>
      <c r="J9" s="27" t="s">
        <v>26</v>
      </c>
      <c r="K9" s="27" t="s">
        <v>158</v>
      </c>
      <c r="L9" s="27" t="s">
        <v>26</v>
      </c>
      <c r="M9" s="29">
        <v>976.50099999999998</v>
      </c>
      <c r="N9" s="30">
        <v>994.4</v>
      </c>
      <c r="O9" s="31">
        <v>0.2762</v>
      </c>
      <c r="P9" s="32">
        <v>16.57</v>
      </c>
      <c r="Q9" s="27">
        <v>322.2</v>
      </c>
      <c r="R9" s="27">
        <v>1</v>
      </c>
      <c r="S9" s="27">
        <v>1050</v>
      </c>
      <c r="T9" s="29">
        <v>0.98199999999999998</v>
      </c>
      <c r="U9" s="27">
        <v>68</v>
      </c>
      <c r="V9" s="31">
        <v>6.4799999999999996E-2</v>
      </c>
      <c r="W9" s="27" t="s">
        <v>27</v>
      </c>
      <c r="X9" s="27" t="s">
        <v>27</v>
      </c>
      <c r="Y9" s="27" t="s">
        <v>27</v>
      </c>
      <c r="Z9" s="27" t="s">
        <v>26</v>
      </c>
      <c r="AA9" s="27" t="s">
        <v>26</v>
      </c>
      <c r="AB9" s="27" t="s">
        <v>31</v>
      </c>
      <c r="AC9" s="27" t="s">
        <v>157</v>
      </c>
    </row>
    <row r="10" spans="1:29" s="52" customFormat="1" ht="25.05" customHeight="1" x14ac:dyDescent="0.3">
      <c r="A10" s="33" t="s">
        <v>26</v>
      </c>
      <c r="B10" s="33" t="s">
        <v>26</v>
      </c>
      <c r="C10" s="33" t="s">
        <v>26</v>
      </c>
      <c r="D10" s="33" t="s">
        <v>26</v>
      </c>
      <c r="E10" s="33" t="s">
        <v>26</v>
      </c>
      <c r="F10" s="33" t="s">
        <v>26</v>
      </c>
      <c r="G10" s="33">
        <f>SUM(G4:G9)</f>
        <v>5910</v>
      </c>
      <c r="H10" s="33" t="s">
        <v>26</v>
      </c>
      <c r="I10" s="33" t="s">
        <v>26</v>
      </c>
      <c r="J10" s="33" t="s">
        <v>26</v>
      </c>
      <c r="K10" s="33" t="s">
        <v>26</v>
      </c>
      <c r="L10" s="33" t="s">
        <v>26</v>
      </c>
      <c r="M10" s="33" t="s">
        <v>26</v>
      </c>
      <c r="N10" s="33" t="s">
        <v>26</v>
      </c>
      <c r="O10" s="33" t="s">
        <v>26</v>
      </c>
      <c r="P10" s="33" t="s">
        <v>26</v>
      </c>
      <c r="Q10" s="33">
        <f>SUM(Q4:Q9)</f>
        <v>2211.8999999999996</v>
      </c>
      <c r="R10" s="33" t="s">
        <v>26</v>
      </c>
      <c r="S10" s="33" t="s">
        <v>26</v>
      </c>
      <c r="T10" s="33" t="s">
        <v>26</v>
      </c>
      <c r="U10" s="33" t="s">
        <v>26</v>
      </c>
      <c r="V10" s="33" t="s">
        <v>26</v>
      </c>
      <c r="W10" s="33" t="s">
        <v>26</v>
      </c>
      <c r="X10" s="33" t="s">
        <v>26</v>
      </c>
      <c r="Y10" s="33" t="s">
        <v>26</v>
      </c>
      <c r="Z10" s="33" t="s">
        <v>26</v>
      </c>
      <c r="AA10" s="33" t="s">
        <v>26</v>
      </c>
      <c r="AB10" s="33" t="s">
        <v>26</v>
      </c>
      <c r="AC10" s="3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8C72E-9CEE-46C6-B6B7-6CA169205FF9}">
  <sheetPr>
    <pageSetUpPr fitToPage="1"/>
  </sheetPr>
  <dimension ref="A1:AC10"/>
  <sheetViews>
    <sheetView workbookViewId="0">
      <selection activeCell="AI34" sqref="AI34"/>
    </sheetView>
  </sheetViews>
  <sheetFormatPr defaultRowHeight="14.4" x14ac:dyDescent="0.3"/>
  <cols>
    <col min="1" max="1" width="5.5546875" style="3" customWidth="1"/>
    <col min="2" max="2" width="20.77734375" style="3" hidden="1" customWidth="1"/>
    <col min="3" max="3" width="6.109375" style="3" customWidth="1"/>
    <col min="4" max="4" width="11.77734375" style="3" hidden="1" customWidth="1"/>
    <col min="5" max="5" width="7.5546875" style="3" customWidth="1"/>
    <col min="6" max="6" width="4.33203125" style="3" customWidth="1"/>
    <col min="7" max="7" width="5.88671875" style="3" customWidth="1"/>
    <col min="8" max="8" width="7" style="3" customWidth="1"/>
    <col min="9" max="9" width="7.21875" style="3" customWidth="1"/>
    <col min="10" max="10" width="7.88671875" style="3" customWidth="1"/>
    <col min="11" max="11" width="14.109375" style="3" customWidth="1"/>
    <col min="12" max="12" width="7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5546875" style="3" customWidth="1"/>
    <col min="18" max="18" width="4.21875" style="3" customWidth="1"/>
    <col min="19" max="19" width="6.21875" style="3" customWidth="1"/>
    <col min="20" max="20" width="5.77734375" style="3" customWidth="1"/>
    <col min="21" max="21" width="11.77734375" style="3" hidden="1" customWidth="1"/>
    <col min="22" max="22" width="8.77734375" style="3" hidden="1" customWidth="1"/>
    <col min="23" max="23" width="8" style="3" customWidth="1"/>
    <col min="24" max="24" width="7.88671875" style="3" customWidth="1"/>
    <col min="25" max="25" width="8.44140625" style="3" customWidth="1"/>
    <col min="26" max="26" width="9.6640625" style="3" customWidth="1"/>
    <col min="27" max="27" width="9" style="3" customWidth="1"/>
    <col min="28" max="28" width="4.33203125" style="3" customWidth="1"/>
    <col min="29" max="29" width="12" style="3" customWidth="1"/>
    <col min="30" max="16384" width="8.88671875" style="3"/>
  </cols>
  <sheetData>
    <row r="1" spans="1:29" ht="18" customHeight="1" x14ac:dyDescent="0.35">
      <c r="A1" s="68" t="s">
        <v>156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45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customFormat="1" ht="25.05" customHeight="1" x14ac:dyDescent="0.3">
      <c r="A3" s="13"/>
      <c r="B3" s="14" t="s">
        <v>103</v>
      </c>
      <c r="C3" s="14" t="s">
        <v>46</v>
      </c>
      <c r="D3" s="14" t="s">
        <v>171</v>
      </c>
      <c r="E3" s="13">
        <v>263123</v>
      </c>
      <c r="F3" s="14" t="s">
        <v>173</v>
      </c>
      <c r="G3" s="13">
        <v>200</v>
      </c>
      <c r="H3" s="15">
        <v>0.64400000000000002</v>
      </c>
      <c r="I3" s="15">
        <v>1.595</v>
      </c>
      <c r="J3" s="13"/>
      <c r="K3" s="14" t="s">
        <v>176</v>
      </c>
      <c r="L3" s="13"/>
      <c r="M3" s="15">
        <v>205.43600000000001</v>
      </c>
      <c r="N3" s="16">
        <v>159.5</v>
      </c>
      <c r="O3" s="17">
        <v>2.2200000000000001E-2</v>
      </c>
      <c r="P3" s="18">
        <v>1.33</v>
      </c>
      <c r="Q3" s="13">
        <v>129.80000000000001</v>
      </c>
      <c r="R3" s="13">
        <v>2</v>
      </c>
      <c r="S3" s="13">
        <v>1350</v>
      </c>
      <c r="T3" s="15">
        <v>1.288</v>
      </c>
      <c r="U3" s="13">
        <v>62</v>
      </c>
      <c r="V3" s="17">
        <v>4.5900000000000003E-2</v>
      </c>
      <c r="W3" s="14" t="s">
        <v>28</v>
      </c>
      <c r="X3" s="14" t="s">
        <v>37</v>
      </c>
      <c r="Y3" s="14" t="s">
        <v>27</v>
      </c>
      <c r="Z3" s="14" t="s">
        <v>27</v>
      </c>
      <c r="AA3" s="14" t="s">
        <v>28</v>
      </c>
      <c r="AB3" s="14" t="s">
        <v>31</v>
      </c>
      <c r="AC3" s="14" t="s">
        <v>177</v>
      </c>
    </row>
    <row r="4" spans="1:29" s="11" customFormat="1" ht="25.05" customHeight="1" x14ac:dyDescent="0.3">
      <c r="A4" s="27"/>
      <c r="B4" s="28" t="s">
        <v>103</v>
      </c>
      <c r="C4" s="27" t="s">
        <v>62</v>
      </c>
      <c r="D4" s="27" t="s">
        <v>141</v>
      </c>
      <c r="E4" s="27">
        <v>263083</v>
      </c>
      <c r="F4" s="27" t="s">
        <v>149</v>
      </c>
      <c r="G4" s="27">
        <v>200</v>
      </c>
      <c r="H4" s="29">
        <v>0.502</v>
      </c>
      <c r="I4" s="29">
        <v>1.2350000000000001</v>
      </c>
      <c r="J4" s="27" t="s">
        <v>26</v>
      </c>
      <c r="K4" s="27" t="s">
        <v>155</v>
      </c>
      <c r="L4" s="27" t="s">
        <v>26</v>
      </c>
      <c r="M4" s="29">
        <v>123.994</v>
      </c>
      <c r="N4" s="30">
        <v>82.3</v>
      </c>
      <c r="O4" s="31">
        <v>7.6E-3</v>
      </c>
      <c r="P4" s="32">
        <v>0.46</v>
      </c>
      <c r="Q4" s="27">
        <v>58.3</v>
      </c>
      <c r="R4" s="27">
        <v>3</v>
      </c>
      <c r="S4" s="27">
        <v>1550</v>
      </c>
      <c r="T4" s="29">
        <v>1.506</v>
      </c>
      <c r="U4" s="27">
        <v>44</v>
      </c>
      <c r="V4" s="31">
        <v>2.8400000000000002E-2</v>
      </c>
      <c r="W4" s="27" t="s">
        <v>61</v>
      </c>
      <c r="X4" s="27" t="s">
        <v>38</v>
      </c>
      <c r="Y4" s="27" t="s">
        <v>61</v>
      </c>
      <c r="Z4" s="27" t="s">
        <v>26</v>
      </c>
      <c r="AA4" s="27" t="s">
        <v>26</v>
      </c>
      <c r="AB4" s="27" t="s">
        <v>36</v>
      </c>
      <c r="AC4" s="27" t="s">
        <v>154</v>
      </c>
    </row>
    <row r="5" spans="1:29" s="11" customFormat="1" ht="25.05" customHeight="1" x14ac:dyDescent="0.3">
      <c r="A5" s="27"/>
      <c r="B5" s="28" t="s">
        <v>103</v>
      </c>
      <c r="C5" s="27" t="s">
        <v>62</v>
      </c>
      <c r="D5" s="27" t="s">
        <v>141</v>
      </c>
      <c r="E5" s="27">
        <v>263086</v>
      </c>
      <c r="F5" s="27" t="s">
        <v>149</v>
      </c>
      <c r="G5" s="27">
        <v>200</v>
      </c>
      <c r="H5" s="29">
        <v>0.69199999999999995</v>
      </c>
      <c r="I5" s="29">
        <v>1.835</v>
      </c>
      <c r="J5" s="27" t="s">
        <v>26</v>
      </c>
      <c r="K5" s="27" t="s">
        <v>153</v>
      </c>
      <c r="L5" s="27" t="s">
        <v>26</v>
      </c>
      <c r="M5" s="29">
        <v>253.964</v>
      </c>
      <c r="N5" s="30">
        <v>183.5</v>
      </c>
      <c r="O5" s="31">
        <v>2.5499999999999998E-2</v>
      </c>
      <c r="P5" s="32">
        <v>1.53</v>
      </c>
      <c r="Q5" s="27">
        <v>119.4</v>
      </c>
      <c r="R5" s="27">
        <v>2</v>
      </c>
      <c r="S5" s="27">
        <v>1450</v>
      </c>
      <c r="T5" s="29">
        <v>1.3839999999999999</v>
      </c>
      <c r="U5" s="27">
        <v>66</v>
      </c>
      <c r="V5" s="31">
        <v>4.5499999999999999E-2</v>
      </c>
      <c r="W5" s="27" t="s">
        <v>61</v>
      </c>
      <c r="X5" s="27" t="s">
        <v>38</v>
      </c>
      <c r="Y5" s="27" t="s">
        <v>61</v>
      </c>
      <c r="Z5" s="27" t="s">
        <v>26</v>
      </c>
      <c r="AA5" s="27" t="s">
        <v>26</v>
      </c>
      <c r="AB5" s="27" t="s">
        <v>36</v>
      </c>
      <c r="AC5" s="27" t="s">
        <v>152</v>
      </c>
    </row>
    <row r="6" spans="1:29" s="11" customFormat="1" ht="25.05" customHeight="1" x14ac:dyDescent="0.3">
      <c r="A6" s="27"/>
      <c r="B6" s="28" t="s">
        <v>103</v>
      </c>
      <c r="C6" s="27" t="s">
        <v>62</v>
      </c>
      <c r="D6" s="27" t="s">
        <v>141</v>
      </c>
      <c r="E6" s="27">
        <v>263085</v>
      </c>
      <c r="F6" s="27" t="s">
        <v>149</v>
      </c>
      <c r="G6" s="27">
        <v>200</v>
      </c>
      <c r="H6" s="29">
        <v>0.30199999999999999</v>
      </c>
      <c r="I6" s="29">
        <v>0.73499999999999999</v>
      </c>
      <c r="J6" s="27" t="s">
        <v>26</v>
      </c>
      <c r="K6" s="27" t="s">
        <v>151</v>
      </c>
      <c r="L6" s="27" t="s">
        <v>26</v>
      </c>
      <c r="M6" s="29">
        <v>44.393999999999998</v>
      </c>
      <c r="N6" s="30">
        <v>36.799999999999997</v>
      </c>
      <c r="O6" s="31">
        <v>2.5999999999999999E-3</v>
      </c>
      <c r="P6" s="32">
        <v>0.15</v>
      </c>
      <c r="Q6" s="27">
        <v>20.9</v>
      </c>
      <c r="R6" s="27">
        <v>4</v>
      </c>
      <c r="S6" s="27">
        <v>1250</v>
      </c>
      <c r="T6" s="29">
        <v>1.208</v>
      </c>
      <c r="U6" s="27">
        <v>42</v>
      </c>
      <c r="V6" s="31">
        <v>3.3599999999999998E-2</v>
      </c>
      <c r="W6" s="27" t="s">
        <v>61</v>
      </c>
      <c r="X6" s="27" t="s">
        <v>38</v>
      </c>
      <c r="Y6" s="27" t="s">
        <v>61</v>
      </c>
      <c r="Z6" s="27" t="s">
        <v>26</v>
      </c>
      <c r="AA6" s="27" t="s">
        <v>26</v>
      </c>
      <c r="AB6" s="27" t="s">
        <v>36</v>
      </c>
      <c r="AC6" s="27" t="s">
        <v>150</v>
      </c>
    </row>
    <row r="7" spans="1:29" s="11" customFormat="1" ht="25.05" customHeight="1" x14ac:dyDescent="0.3">
      <c r="A7" s="27"/>
      <c r="B7" s="28" t="s">
        <v>103</v>
      </c>
      <c r="C7" s="27" t="s">
        <v>62</v>
      </c>
      <c r="D7" s="27" t="s">
        <v>141</v>
      </c>
      <c r="E7" s="27">
        <v>263084</v>
      </c>
      <c r="F7" s="27" t="s">
        <v>149</v>
      </c>
      <c r="G7" s="27">
        <v>200</v>
      </c>
      <c r="H7" s="29">
        <v>0.85199999999999998</v>
      </c>
      <c r="I7" s="29">
        <v>1.5349999999999999</v>
      </c>
      <c r="J7" s="27" t="s">
        <v>26</v>
      </c>
      <c r="K7" s="27" t="s">
        <v>148</v>
      </c>
      <c r="L7" s="27" t="s">
        <v>26</v>
      </c>
      <c r="M7" s="29">
        <v>261.56400000000002</v>
      </c>
      <c r="N7" s="30">
        <v>307</v>
      </c>
      <c r="O7" s="31">
        <v>8.5300000000000001E-2</v>
      </c>
      <c r="P7" s="32">
        <v>5.12</v>
      </c>
      <c r="Q7" s="27">
        <v>122.9</v>
      </c>
      <c r="R7" s="27">
        <v>1</v>
      </c>
      <c r="S7" s="27">
        <v>900</v>
      </c>
      <c r="T7" s="29">
        <v>0.85199999999999998</v>
      </c>
      <c r="U7" s="27">
        <v>48</v>
      </c>
      <c r="V7" s="31">
        <v>5.33E-2</v>
      </c>
      <c r="W7" s="27" t="s">
        <v>61</v>
      </c>
      <c r="X7" s="27" t="s">
        <v>38</v>
      </c>
      <c r="Y7" s="27" t="s">
        <v>61</v>
      </c>
      <c r="Z7" s="27" t="s">
        <v>26</v>
      </c>
      <c r="AA7" s="27" t="s">
        <v>26</v>
      </c>
      <c r="AB7" s="27" t="s">
        <v>36</v>
      </c>
      <c r="AC7" s="27" t="s">
        <v>147</v>
      </c>
    </row>
    <row r="8" spans="1:29" s="11" customFormat="1" ht="25.05" customHeight="1" x14ac:dyDescent="0.3">
      <c r="A8" s="13"/>
      <c r="B8" s="14" t="s">
        <v>103</v>
      </c>
      <c r="C8" s="14" t="s">
        <v>51</v>
      </c>
      <c r="D8" s="14" t="s">
        <v>171</v>
      </c>
      <c r="E8" s="13">
        <v>263122</v>
      </c>
      <c r="F8" s="14" t="s">
        <v>173</v>
      </c>
      <c r="G8" s="13">
        <v>300</v>
      </c>
      <c r="H8" s="15">
        <v>0.41299999999999998</v>
      </c>
      <c r="I8" s="15">
        <v>0.76500000000000001</v>
      </c>
      <c r="J8" s="13"/>
      <c r="K8" s="14" t="s">
        <v>174</v>
      </c>
      <c r="L8" s="13"/>
      <c r="M8" s="15">
        <v>94.783000000000001</v>
      </c>
      <c r="N8" s="16">
        <v>76.5</v>
      </c>
      <c r="O8" s="17">
        <v>7.1000000000000004E-3</v>
      </c>
      <c r="P8" s="18">
        <v>0.42</v>
      </c>
      <c r="Q8" s="13">
        <v>34.6</v>
      </c>
      <c r="R8" s="13">
        <v>3</v>
      </c>
      <c r="S8" s="13">
        <v>1300</v>
      </c>
      <c r="T8" s="15">
        <v>1.2390000000000001</v>
      </c>
      <c r="U8" s="13">
        <v>61</v>
      </c>
      <c r="V8" s="17">
        <v>4.6899999999999997E-2</v>
      </c>
      <c r="W8" s="14" t="s">
        <v>38</v>
      </c>
      <c r="X8" s="14" t="s">
        <v>28</v>
      </c>
      <c r="Y8" s="14" t="s">
        <v>27</v>
      </c>
      <c r="Z8" s="14"/>
      <c r="AA8" s="14"/>
      <c r="AB8" s="14" t="s">
        <v>36</v>
      </c>
      <c r="AC8" s="14" t="s">
        <v>175</v>
      </c>
    </row>
    <row r="9" spans="1:29" s="11" customFormat="1" ht="25.05" customHeight="1" x14ac:dyDescent="0.3">
      <c r="A9" s="33" t="s">
        <v>26</v>
      </c>
      <c r="B9" s="33" t="s">
        <v>26</v>
      </c>
      <c r="C9" s="33" t="s">
        <v>26</v>
      </c>
      <c r="D9" s="33" t="s">
        <v>26</v>
      </c>
      <c r="E9" s="33" t="s">
        <v>26</v>
      </c>
      <c r="F9" s="33" t="s">
        <v>26</v>
      </c>
      <c r="G9" s="33">
        <f>SUM(G3:G8)</f>
        <v>1300</v>
      </c>
      <c r="H9" s="33" t="s">
        <v>26</v>
      </c>
      <c r="I9" s="33" t="s">
        <v>26</v>
      </c>
      <c r="J9" s="33" t="s">
        <v>26</v>
      </c>
      <c r="K9" s="33" t="s">
        <v>26</v>
      </c>
      <c r="L9" s="33" t="s">
        <v>26</v>
      </c>
      <c r="M9" s="33" t="s">
        <v>26</v>
      </c>
      <c r="N9" s="33" t="s">
        <v>26</v>
      </c>
      <c r="O9" s="33" t="s">
        <v>26</v>
      </c>
      <c r="P9" s="33" t="s">
        <v>26</v>
      </c>
      <c r="Q9" s="33">
        <f>SUM(Q3:Q8)</f>
        <v>485.9</v>
      </c>
      <c r="R9" s="33" t="s">
        <v>26</v>
      </c>
      <c r="S9" s="33" t="s">
        <v>26</v>
      </c>
      <c r="T9" s="33" t="s">
        <v>26</v>
      </c>
      <c r="U9" s="33" t="s">
        <v>26</v>
      </c>
      <c r="V9" s="33" t="s">
        <v>26</v>
      </c>
      <c r="W9" s="33" t="s">
        <v>26</v>
      </c>
      <c r="X9" s="33" t="s">
        <v>26</v>
      </c>
      <c r="Y9" s="33" t="s">
        <v>26</v>
      </c>
      <c r="Z9" s="33" t="s">
        <v>26</v>
      </c>
      <c r="AA9" s="33" t="s">
        <v>26</v>
      </c>
      <c r="AB9" s="33" t="s">
        <v>26</v>
      </c>
      <c r="AC9" s="33" t="s">
        <v>26</v>
      </c>
    </row>
    <row r="10" spans="1:29" s="11" customFormat="1" ht="25.05" customHeight="1" x14ac:dyDescent="0.3"/>
  </sheetData>
  <mergeCells count="1">
    <mergeCell ref="A1:AC1"/>
  </mergeCells>
  <pageMargins left="0.511811024" right="0.511811024" top="1.54" bottom="0.78740157499999996" header="0.31496062000000002" footer="0.31496062000000002"/>
  <pageSetup paperSize="9" scale="87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B4EA6-37BA-4BA7-BFF8-BD512C7EAD8F}">
  <sheetPr>
    <pageSetUpPr fitToPage="1"/>
  </sheetPr>
  <dimension ref="A1:AC8"/>
  <sheetViews>
    <sheetView workbookViewId="0">
      <selection activeCell="E16" sqref="E16"/>
    </sheetView>
  </sheetViews>
  <sheetFormatPr defaultRowHeight="14.4" x14ac:dyDescent="0.3"/>
  <cols>
    <col min="1" max="1" width="4.441406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109375" style="3" customWidth="1"/>
    <col min="6" max="6" width="9.77734375" style="3" customWidth="1"/>
    <col min="7" max="7" width="5.88671875" style="3" customWidth="1"/>
    <col min="8" max="8" width="7.109375" style="3" customWidth="1"/>
    <col min="9" max="9" width="8.109375" style="3" customWidth="1"/>
    <col min="10" max="10" width="8.44140625" style="3" customWidth="1"/>
    <col min="11" max="11" width="13.88671875" style="3" customWidth="1"/>
    <col min="12" max="12" width="6.77734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21875" style="3" customWidth="1"/>
    <col min="18" max="18" width="5.44140625" style="3" customWidth="1"/>
    <col min="19" max="19" width="6.109375" style="3" customWidth="1"/>
    <col min="20" max="20" width="6" style="3" customWidth="1"/>
    <col min="21" max="21" width="11.77734375" style="3" hidden="1" customWidth="1"/>
    <col min="22" max="22" width="8.77734375" style="3" hidden="1" customWidth="1"/>
    <col min="23" max="26" width="7.44140625" style="3" customWidth="1"/>
    <col min="27" max="27" width="7.21875" style="3" customWidth="1"/>
    <col min="28" max="28" width="4.6640625" style="3" customWidth="1"/>
    <col min="29" max="29" width="10.21875" style="3" customWidth="1"/>
    <col min="30" max="16384" width="8.88671875" style="3"/>
  </cols>
  <sheetData>
    <row r="1" spans="1:29" ht="18" customHeight="1" x14ac:dyDescent="0.35">
      <c r="A1" s="68" t="s">
        <v>146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37.799999999999997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/>
      <c r="B3" s="6" t="s">
        <v>142</v>
      </c>
      <c r="C3" s="5" t="s">
        <v>40</v>
      </c>
      <c r="D3" s="5" t="s">
        <v>141</v>
      </c>
      <c r="E3" s="5">
        <v>263078</v>
      </c>
      <c r="F3" s="5" t="s">
        <v>63</v>
      </c>
      <c r="G3" s="5">
        <v>50</v>
      </c>
      <c r="H3" s="7">
        <v>1.5</v>
      </c>
      <c r="I3" s="7">
        <v>2</v>
      </c>
      <c r="J3" s="5" t="s">
        <v>26</v>
      </c>
      <c r="K3" s="5" t="s">
        <v>32</v>
      </c>
      <c r="L3" s="5" t="s">
        <v>26</v>
      </c>
      <c r="M3" s="7">
        <v>150</v>
      </c>
      <c r="N3" s="8">
        <v>100</v>
      </c>
      <c r="O3" s="9">
        <v>2.7799999999999998E-2</v>
      </c>
      <c r="P3" s="10">
        <v>1.67</v>
      </c>
      <c r="Q3" s="5">
        <v>85.2</v>
      </c>
      <c r="R3" s="5">
        <v>1</v>
      </c>
      <c r="S3" s="5">
        <v>1550</v>
      </c>
      <c r="T3" s="7">
        <v>1.5</v>
      </c>
      <c r="U3" s="5">
        <v>50</v>
      </c>
      <c r="V3" s="9">
        <v>3.2300000000000002E-2</v>
      </c>
      <c r="W3" s="5" t="s">
        <v>33</v>
      </c>
      <c r="X3" s="5" t="s">
        <v>37</v>
      </c>
      <c r="Y3" s="5" t="s">
        <v>33</v>
      </c>
      <c r="Z3" s="5" t="s">
        <v>33</v>
      </c>
      <c r="AA3" s="5" t="s">
        <v>33</v>
      </c>
      <c r="AB3" s="5" t="s">
        <v>36</v>
      </c>
      <c r="AC3" s="5" t="s">
        <v>143</v>
      </c>
    </row>
    <row r="4" spans="1:29" s="11" customFormat="1" ht="25.05" customHeight="1" x14ac:dyDescent="0.3">
      <c r="A4" s="5"/>
      <c r="B4" s="6" t="s">
        <v>145</v>
      </c>
      <c r="C4" s="5" t="s">
        <v>40</v>
      </c>
      <c r="D4" s="5" t="s">
        <v>141</v>
      </c>
      <c r="E4" s="5">
        <v>263077</v>
      </c>
      <c r="F4" s="5" t="s">
        <v>63</v>
      </c>
      <c r="G4" s="5">
        <v>50</v>
      </c>
      <c r="H4" s="7">
        <v>1.4</v>
      </c>
      <c r="I4" s="7">
        <v>2</v>
      </c>
      <c r="J4" s="5" t="s">
        <v>26</v>
      </c>
      <c r="K4" s="5" t="s">
        <v>144</v>
      </c>
      <c r="L4" s="5" t="s">
        <v>26</v>
      </c>
      <c r="M4" s="7">
        <v>140</v>
      </c>
      <c r="N4" s="8">
        <v>100</v>
      </c>
      <c r="O4" s="9">
        <v>2.7799999999999998E-2</v>
      </c>
      <c r="P4" s="10">
        <v>1.67</v>
      </c>
      <c r="Q4" s="5">
        <v>79.5</v>
      </c>
      <c r="R4" s="5">
        <v>1</v>
      </c>
      <c r="S4" s="5">
        <v>1450</v>
      </c>
      <c r="T4" s="7">
        <v>1.4</v>
      </c>
      <c r="U4" s="5">
        <v>50</v>
      </c>
      <c r="V4" s="9">
        <v>3.4500000000000003E-2</v>
      </c>
      <c r="W4" s="5" t="s">
        <v>33</v>
      </c>
      <c r="X4" s="5" t="s">
        <v>37</v>
      </c>
      <c r="Y4" s="5" t="s">
        <v>33</v>
      </c>
      <c r="Z4" s="5" t="s">
        <v>33</v>
      </c>
      <c r="AA4" s="5" t="s">
        <v>33</v>
      </c>
      <c r="AB4" s="5" t="s">
        <v>36</v>
      </c>
      <c r="AC4" s="5" t="s">
        <v>140</v>
      </c>
    </row>
    <row r="5" spans="1:29" s="11" customFormat="1" ht="25.05" customHeight="1" x14ac:dyDescent="0.3">
      <c r="A5" s="5"/>
      <c r="B5" s="6" t="s">
        <v>142</v>
      </c>
      <c r="C5" s="5" t="s">
        <v>40</v>
      </c>
      <c r="D5" s="5" t="s">
        <v>141</v>
      </c>
      <c r="E5" s="5">
        <v>263079</v>
      </c>
      <c r="F5" s="5" t="s">
        <v>63</v>
      </c>
      <c r="G5" s="5">
        <v>50</v>
      </c>
      <c r="H5" s="7">
        <v>1.4</v>
      </c>
      <c r="I5" s="7">
        <v>2</v>
      </c>
      <c r="J5" s="5" t="s">
        <v>26</v>
      </c>
      <c r="K5" s="5" t="s">
        <v>32</v>
      </c>
      <c r="L5" s="5" t="s">
        <v>26</v>
      </c>
      <c r="M5" s="7">
        <v>140</v>
      </c>
      <c r="N5" s="8">
        <v>100</v>
      </c>
      <c r="O5" s="9">
        <v>2.7799999999999998E-2</v>
      </c>
      <c r="P5" s="10">
        <v>1.67</v>
      </c>
      <c r="Q5" s="5">
        <v>79.5</v>
      </c>
      <c r="R5" s="5">
        <v>1</v>
      </c>
      <c r="S5" s="5">
        <v>1450</v>
      </c>
      <c r="T5" s="7">
        <v>1.4</v>
      </c>
      <c r="U5" s="5">
        <v>50</v>
      </c>
      <c r="V5" s="9">
        <v>3.4500000000000003E-2</v>
      </c>
      <c r="W5" s="5" t="s">
        <v>33</v>
      </c>
      <c r="X5" s="5" t="s">
        <v>37</v>
      </c>
      <c r="Y5" s="5" t="s">
        <v>33</v>
      </c>
      <c r="Z5" s="5" t="s">
        <v>33</v>
      </c>
      <c r="AA5" s="5" t="s">
        <v>33</v>
      </c>
      <c r="AB5" s="5" t="s">
        <v>36</v>
      </c>
      <c r="AC5" s="5" t="s">
        <v>140</v>
      </c>
    </row>
    <row r="6" spans="1:29" s="11" customFormat="1" ht="25.05" customHeight="1" x14ac:dyDescent="0.3">
      <c r="A6" s="5"/>
      <c r="B6" s="6" t="s">
        <v>142</v>
      </c>
      <c r="C6" s="5" t="s">
        <v>42</v>
      </c>
      <c r="D6" s="5" t="s">
        <v>141</v>
      </c>
      <c r="E6" s="5">
        <v>263080</v>
      </c>
      <c r="F6" s="5" t="s">
        <v>63</v>
      </c>
      <c r="G6" s="5">
        <v>50</v>
      </c>
      <c r="H6" s="7">
        <v>1.5</v>
      </c>
      <c r="I6" s="7">
        <v>2</v>
      </c>
      <c r="J6" s="5" t="s">
        <v>26</v>
      </c>
      <c r="K6" s="5" t="s">
        <v>32</v>
      </c>
      <c r="L6" s="5" t="s">
        <v>26</v>
      </c>
      <c r="M6" s="7">
        <v>150</v>
      </c>
      <c r="N6" s="8">
        <v>100</v>
      </c>
      <c r="O6" s="9">
        <v>2.7799999999999998E-2</v>
      </c>
      <c r="P6" s="10">
        <v>1.67</v>
      </c>
      <c r="Q6" s="5">
        <v>53.3</v>
      </c>
      <c r="R6" s="5">
        <v>1</v>
      </c>
      <c r="S6" s="5">
        <v>1550</v>
      </c>
      <c r="T6" s="7">
        <v>1.5</v>
      </c>
      <c r="U6" s="5">
        <v>50</v>
      </c>
      <c r="V6" s="9">
        <v>3.2300000000000002E-2</v>
      </c>
      <c r="W6" s="5" t="s">
        <v>28</v>
      </c>
      <c r="X6" s="5" t="s">
        <v>27</v>
      </c>
      <c r="Y6" s="5" t="s">
        <v>28</v>
      </c>
      <c r="Z6" s="5" t="s">
        <v>26</v>
      </c>
      <c r="AA6" s="5" t="s">
        <v>26</v>
      </c>
      <c r="AB6" s="5" t="s">
        <v>36</v>
      </c>
      <c r="AC6" s="5" t="s">
        <v>143</v>
      </c>
    </row>
    <row r="7" spans="1:29" s="11" customFormat="1" ht="25.05" customHeight="1" x14ac:dyDescent="0.3">
      <c r="A7" s="5"/>
      <c r="B7" s="6" t="s">
        <v>142</v>
      </c>
      <c r="C7" s="5" t="s">
        <v>42</v>
      </c>
      <c r="D7" s="5" t="s">
        <v>141</v>
      </c>
      <c r="E7" s="5">
        <v>263081</v>
      </c>
      <c r="F7" s="5" t="s">
        <v>63</v>
      </c>
      <c r="G7" s="5">
        <v>50</v>
      </c>
      <c r="H7" s="7">
        <v>1.4</v>
      </c>
      <c r="I7" s="7">
        <v>2</v>
      </c>
      <c r="J7" s="5" t="s">
        <v>26</v>
      </c>
      <c r="K7" s="5" t="s">
        <v>32</v>
      </c>
      <c r="L7" s="5" t="s">
        <v>26</v>
      </c>
      <c r="M7" s="7">
        <v>140</v>
      </c>
      <c r="N7" s="8">
        <v>100</v>
      </c>
      <c r="O7" s="9">
        <v>2.7799999999999998E-2</v>
      </c>
      <c r="P7" s="10">
        <v>1.67</v>
      </c>
      <c r="Q7" s="5">
        <v>49.7</v>
      </c>
      <c r="R7" s="5">
        <v>1</v>
      </c>
      <c r="S7" s="5">
        <v>1450</v>
      </c>
      <c r="T7" s="7">
        <v>1.4</v>
      </c>
      <c r="U7" s="5">
        <v>50</v>
      </c>
      <c r="V7" s="9">
        <v>3.4500000000000003E-2</v>
      </c>
      <c r="W7" s="5" t="s">
        <v>28</v>
      </c>
      <c r="X7" s="5" t="s">
        <v>27</v>
      </c>
      <c r="Y7" s="5" t="s">
        <v>28</v>
      </c>
      <c r="Z7" s="5" t="s">
        <v>26</v>
      </c>
      <c r="AA7" s="5" t="s">
        <v>26</v>
      </c>
      <c r="AB7" s="5" t="s">
        <v>36</v>
      </c>
      <c r="AC7" s="5" t="s">
        <v>140</v>
      </c>
    </row>
    <row r="8" spans="1:29" s="11" customFormat="1" ht="25.05" customHeight="1" x14ac:dyDescent="0.3">
      <c r="A8" s="12" t="s">
        <v>26</v>
      </c>
      <c r="B8" s="12" t="s">
        <v>26</v>
      </c>
      <c r="C8" s="12" t="s">
        <v>26</v>
      </c>
      <c r="D8" s="12" t="s">
        <v>26</v>
      </c>
      <c r="E8" s="12" t="s">
        <v>26</v>
      </c>
      <c r="F8" s="12" t="s">
        <v>26</v>
      </c>
      <c r="G8" s="12">
        <v>250</v>
      </c>
      <c r="H8" s="12" t="s">
        <v>26</v>
      </c>
      <c r="I8" s="12" t="s">
        <v>26</v>
      </c>
      <c r="J8" s="12" t="s">
        <v>26</v>
      </c>
      <c r="K8" s="12" t="s">
        <v>26</v>
      </c>
      <c r="L8" s="12" t="s">
        <v>26</v>
      </c>
      <c r="M8" s="12" t="s">
        <v>26</v>
      </c>
      <c r="N8" s="12" t="s">
        <v>26</v>
      </c>
      <c r="O8" s="12" t="s">
        <v>26</v>
      </c>
      <c r="P8" s="12" t="s">
        <v>26</v>
      </c>
      <c r="Q8" s="12">
        <v>347.2</v>
      </c>
      <c r="R8" s="12" t="s">
        <v>26</v>
      </c>
      <c r="S8" s="12" t="s">
        <v>26</v>
      </c>
      <c r="T8" s="12" t="s">
        <v>26</v>
      </c>
      <c r="U8" s="12" t="s">
        <v>26</v>
      </c>
      <c r="V8" s="12" t="s">
        <v>26</v>
      </c>
      <c r="W8" s="12" t="s">
        <v>26</v>
      </c>
      <c r="X8" s="12" t="s">
        <v>26</v>
      </c>
      <c r="Y8" s="12" t="s">
        <v>26</v>
      </c>
      <c r="Z8" s="12" t="s">
        <v>26</v>
      </c>
      <c r="AA8" s="12" t="s">
        <v>26</v>
      </c>
      <c r="AB8" s="12" t="s">
        <v>26</v>
      </c>
      <c r="AC8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370E8-D61E-430A-BBDF-20022667B785}">
  <sheetPr>
    <pageSetUpPr fitToPage="1"/>
  </sheetPr>
  <dimension ref="A1:AC20"/>
  <sheetViews>
    <sheetView workbookViewId="0">
      <selection activeCell="AL14" sqref="AL14"/>
    </sheetView>
  </sheetViews>
  <sheetFormatPr defaultRowHeight="14.4" x14ac:dyDescent="0.3"/>
  <cols>
    <col min="1" max="1" width="5.21875" style="3" customWidth="1"/>
    <col min="2" max="2" width="20.77734375" style="3" hidden="1" customWidth="1"/>
    <col min="3" max="3" width="5.6640625" style="3" customWidth="1"/>
    <col min="4" max="4" width="11.77734375" style="3" hidden="1" customWidth="1"/>
    <col min="5" max="5" width="7.33203125" style="3" customWidth="1"/>
    <col min="6" max="6" width="4.33203125" style="3" customWidth="1"/>
    <col min="7" max="7" width="5.6640625" style="3" customWidth="1"/>
    <col min="8" max="8" width="6.109375" style="3" customWidth="1"/>
    <col min="9" max="9" width="6.44140625" style="3" customWidth="1"/>
    <col min="10" max="10" width="6.77734375" style="3" customWidth="1"/>
    <col min="11" max="11" width="14.44140625" style="3" customWidth="1"/>
    <col min="12" max="12" width="7.332031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33203125" style="3" customWidth="1"/>
    <col min="18" max="18" width="4.77734375" style="3" customWidth="1"/>
    <col min="19" max="19" width="6.33203125" style="3" customWidth="1"/>
    <col min="20" max="20" width="6.77734375" style="3" customWidth="1"/>
    <col min="21" max="21" width="11.77734375" style="3" hidden="1" customWidth="1"/>
    <col min="22" max="22" width="8.77734375" style="3" hidden="1" customWidth="1"/>
    <col min="23" max="23" width="7.88671875" style="3" customWidth="1"/>
    <col min="24" max="24" width="8" style="3" customWidth="1"/>
    <col min="25" max="27" width="7.77734375" style="3" customWidth="1"/>
    <col min="28" max="28" width="4.5546875" style="3" customWidth="1"/>
    <col min="29" max="29" width="16.44140625" style="3" customWidth="1"/>
    <col min="30" max="16384" width="8.88671875" style="3"/>
  </cols>
  <sheetData>
    <row r="1" spans="1:29" ht="18" customHeight="1" x14ac:dyDescent="0.35">
      <c r="A1" s="68" t="s">
        <v>139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41.4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>
        <v>1</v>
      </c>
      <c r="B3" s="6" t="s">
        <v>78</v>
      </c>
      <c r="C3" s="5" t="s">
        <v>25</v>
      </c>
      <c r="D3" s="5" t="s">
        <v>108</v>
      </c>
      <c r="E3" s="5">
        <v>263069</v>
      </c>
      <c r="F3" s="5" t="s">
        <v>121</v>
      </c>
      <c r="G3" s="5">
        <v>500</v>
      </c>
      <c r="H3" s="7">
        <v>0.77200000000000002</v>
      </c>
      <c r="I3" s="7">
        <v>2.46</v>
      </c>
      <c r="J3" s="5" t="s">
        <v>26</v>
      </c>
      <c r="K3" s="5" t="s">
        <v>138</v>
      </c>
      <c r="L3" s="5" t="s">
        <v>26</v>
      </c>
      <c r="M3" s="7">
        <v>949.56</v>
      </c>
      <c r="N3" s="8">
        <v>615</v>
      </c>
      <c r="O3" s="9">
        <v>8.5400000000000004E-2</v>
      </c>
      <c r="P3" s="10">
        <v>5.13</v>
      </c>
      <c r="Q3" s="5">
        <v>510.9</v>
      </c>
      <c r="R3" s="5">
        <v>2</v>
      </c>
      <c r="S3" s="5">
        <v>1600</v>
      </c>
      <c r="T3" s="7">
        <v>1.544</v>
      </c>
      <c r="U3" s="5">
        <v>56</v>
      </c>
      <c r="V3" s="9">
        <v>3.5000000000000003E-2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29</v>
      </c>
      <c r="AC3" s="5" t="s">
        <v>137</v>
      </c>
    </row>
    <row r="4" spans="1:29" s="11" customFormat="1" ht="25.05" customHeight="1" x14ac:dyDescent="0.3">
      <c r="A4" s="5">
        <v>2</v>
      </c>
      <c r="B4" s="6" t="s">
        <v>78</v>
      </c>
      <c r="C4" s="5" t="s">
        <v>25</v>
      </c>
      <c r="D4" s="5" t="s">
        <v>108</v>
      </c>
      <c r="E4" s="5">
        <v>263061</v>
      </c>
      <c r="F4" s="5" t="s">
        <v>121</v>
      </c>
      <c r="G4" s="5">
        <v>800</v>
      </c>
      <c r="H4" s="7">
        <v>0.76600000000000001</v>
      </c>
      <c r="I4" s="7">
        <v>1.43</v>
      </c>
      <c r="J4" s="5" t="s">
        <v>26</v>
      </c>
      <c r="K4" s="5" t="s">
        <v>136</v>
      </c>
      <c r="L4" s="5" t="s">
        <v>26</v>
      </c>
      <c r="M4" s="7">
        <v>876.30399999999997</v>
      </c>
      <c r="N4" s="8">
        <v>572</v>
      </c>
      <c r="O4" s="9">
        <v>7.9399999999999998E-2</v>
      </c>
      <c r="P4" s="10">
        <v>4.7699999999999996</v>
      </c>
      <c r="Q4" s="5">
        <v>471.5</v>
      </c>
      <c r="R4" s="5">
        <v>2</v>
      </c>
      <c r="S4" s="5">
        <v>1600</v>
      </c>
      <c r="T4" s="7">
        <v>1.532</v>
      </c>
      <c r="U4" s="5">
        <v>68</v>
      </c>
      <c r="V4" s="9">
        <v>4.2500000000000003E-2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41</v>
      </c>
      <c r="AC4" s="5" t="s">
        <v>50</v>
      </c>
    </row>
    <row r="5" spans="1:29" s="11" customFormat="1" ht="25.05" customHeight="1" x14ac:dyDescent="0.3">
      <c r="A5" s="5">
        <v>3</v>
      </c>
      <c r="B5" s="6" t="s">
        <v>78</v>
      </c>
      <c r="C5" s="5" t="s">
        <v>25</v>
      </c>
      <c r="D5" s="5" t="s">
        <v>108</v>
      </c>
      <c r="E5" s="5">
        <v>263070</v>
      </c>
      <c r="F5" s="5" t="s">
        <v>121</v>
      </c>
      <c r="G5" s="5">
        <v>550</v>
      </c>
      <c r="H5" s="7">
        <v>0.73599999999999999</v>
      </c>
      <c r="I5" s="7">
        <v>1.41</v>
      </c>
      <c r="J5" s="5" t="s">
        <v>26</v>
      </c>
      <c r="K5" s="5" t="s">
        <v>135</v>
      </c>
      <c r="L5" s="5" t="s">
        <v>26</v>
      </c>
      <c r="M5" s="7">
        <v>570.76800000000003</v>
      </c>
      <c r="N5" s="8">
        <v>387.8</v>
      </c>
      <c r="O5" s="9">
        <v>5.3900000000000003E-2</v>
      </c>
      <c r="P5" s="10">
        <v>3.23</v>
      </c>
      <c r="Q5" s="5">
        <v>307.10000000000002</v>
      </c>
      <c r="R5" s="5">
        <v>2</v>
      </c>
      <c r="S5" s="5">
        <v>1500</v>
      </c>
      <c r="T5" s="7">
        <v>1.472</v>
      </c>
      <c r="U5" s="5">
        <v>28</v>
      </c>
      <c r="V5" s="9">
        <v>1.8700000000000001E-2</v>
      </c>
      <c r="W5" s="5" t="s">
        <v>27</v>
      </c>
      <c r="X5" s="5" t="s">
        <v>28</v>
      </c>
      <c r="Y5" s="5" t="s">
        <v>27</v>
      </c>
      <c r="Z5" s="5" t="s">
        <v>27</v>
      </c>
      <c r="AA5" s="5" t="s">
        <v>27</v>
      </c>
      <c r="AB5" s="5" t="s">
        <v>29</v>
      </c>
      <c r="AC5" s="5" t="s">
        <v>134</v>
      </c>
    </row>
    <row r="6" spans="1:29" s="11" customFormat="1" ht="25.05" customHeight="1" x14ac:dyDescent="0.3">
      <c r="A6" s="5">
        <v>4</v>
      </c>
      <c r="B6" s="6" t="s">
        <v>78</v>
      </c>
      <c r="C6" s="5" t="s">
        <v>25</v>
      </c>
      <c r="D6" s="5" t="s">
        <v>108</v>
      </c>
      <c r="E6" s="5">
        <v>263074</v>
      </c>
      <c r="F6" s="5" t="s">
        <v>121</v>
      </c>
      <c r="G6" s="5">
        <v>200</v>
      </c>
      <c r="H6" s="7">
        <v>1.4159999999999999</v>
      </c>
      <c r="I6" s="7">
        <v>2.0299999999999998</v>
      </c>
      <c r="J6" s="5" t="s">
        <v>26</v>
      </c>
      <c r="K6" s="5" t="s">
        <v>77</v>
      </c>
      <c r="L6" s="5" t="s">
        <v>26</v>
      </c>
      <c r="M6" s="7">
        <v>574.89599999999996</v>
      </c>
      <c r="N6" s="8">
        <v>406</v>
      </c>
      <c r="O6" s="9">
        <v>0.1128</v>
      </c>
      <c r="P6" s="10">
        <v>6.77</v>
      </c>
      <c r="Q6" s="5">
        <v>309.3</v>
      </c>
      <c r="R6" s="5">
        <v>1</v>
      </c>
      <c r="S6" s="5">
        <v>1450</v>
      </c>
      <c r="T6" s="7">
        <v>1.4159999999999999</v>
      </c>
      <c r="U6" s="5">
        <v>34</v>
      </c>
      <c r="V6" s="9">
        <v>2.3400000000000001E-2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31</v>
      </c>
      <c r="AC6" s="5" t="s">
        <v>76</v>
      </c>
    </row>
    <row r="7" spans="1:29" s="11" customFormat="1" ht="25.05" customHeight="1" x14ac:dyDescent="0.3">
      <c r="A7" s="5">
        <v>5</v>
      </c>
      <c r="B7" s="6" t="s">
        <v>78</v>
      </c>
      <c r="C7" s="5" t="s">
        <v>25</v>
      </c>
      <c r="D7" s="5" t="s">
        <v>108</v>
      </c>
      <c r="E7" s="5">
        <v>263060</v>
      </c>
      <c r="F7" s="5" t="s">
        <v>121</v>
      </c>
      <c r="G7" s="5">
        <v>685</v>
      </c>
      <c r="H7" s="7">
        <v>0.66600000000000004</v>
      </c>
      <c r="I7" s="7">
        <v>1.23</v>
      </c>
      <c r="J7" s="5" t="s">
        <v>26</v>
      </c>
      <c r="K7" s="5" t="s">
        <v>133</v>
      </c>
      <c r="L7" s="5" t="s">
        <v>26</v>
      </c>
      <c r="M7" s="7">
        <v>561.13800000000003</v>
      </c>
      <c r="N7" s="8">
        <v>421.3</v>
      </c>
      <c r="O7" s="9">
        <v>5.8500000000000003E-2</v>
      </c>
      <c r="P7" s="10">
        <v>3.51</v>
      </c>
      <c r="Q7" s="5">
        <v>301.89999999999998</v>
      </c>
      <c r="R7" s="5">
        <v>2</v>
      </c>
      <c r="S7" s="5">
        <v>1400</v>
      </c>
      <c r="T7" s="7">
        <v>1.3320000000000001</v>
      </c>
      <c r="U7" s="5">
        <v>68</v>
      </c>
      <c r="V7" s="9">
        <v>4.8599999999999997E-2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30</v>
      </c>
      <c r="AC7" s="5" t="s">
        <v>132</v>
      </c>
    </row>
    <row r="8" spans="1:29" s="11" customFormat="1" ht="25.05" customHeight="1" x14ac:dyDescent="0.3">
      <c r="A8" s="5">
        <v>6</v>
      </c>
      <c r="B8" s="6" t="s">
        <v>78</v>
      </c>
      <c r="C8" s="5" t="s">
        <v>25</v>
      </c>
      <c r="D8" s="5" t="s">
        <v>108</v>
      </c>
      <c r="E8" s="5">
        <v>263075</v>
      </c>
      <c r="F8" s="5" t="s">
        <v>121</v>
      </c>
      <c r="G8" s="5">
        <v>300</v>
      </c>
      <c r="H8" s="7">
        <v>1.216</v>
      </c>
      <c r="I8" s="7">
        <v>2.298</v>
      </c>
      <c r="J8" s="5" t="s">
        <v>26</v>
      </c>
      <c r="K8" s="5" t="s">
        <v>131</v>
      </c>
      <c r="L8" s="5" t="s">
        <v>26</v>
      </c>
      <c r="M8" s="7">
        <v>838.31</v>
      </c>
      <c r="N8" s="8">
        <v>689.4</v>
      </c>
      <c r="O8" s="9">
        <v>0.1915</v>
      </c>
      <c r="P8" s="10">
        <v>11.49</v>
      </c>
      <c r="Q8" s="5">
        <v>451</v>
      </c>
      <c r="R8" s="5">
        <v>1</v>
      </c>
      <c r="S8" s="5">
        <v>1250</v>
      </c>
      <c r="T8" s="7">
        <v>1.216</v>
      </c>
      <c r="U8" s="5">
        <v>34</v>
      </c>
      <c r="V8" s="9">
        <v>2.7199999999999998E-2</v>
      </c>
      <c r="W8" s="5" t="s">
        <v>27</v>
      </c>
      <c r="X8" s="5" t="s">
        <v>28</v>
      </c>
      <c r="Y8" s="5" t="s">
        <v>27</v>
      </c>
      <c r="Z8" s="5" t="s">
        <v>27</v>
      </c>
      <c r="AA8" s="5" t="s">
        <v>27</v>
      </c>
      <c r="AB8" s="5" t="s">
        <v>31</v>
      </c>
      <c r="AC8" s="5" t="s">
        <v>130</v>
      </c>
    </row>
    <row r="9" spans="1:29" s="11" customFormat="1" ht="25.05" customHeight="1" x14ac:dyDescent="0.3">
      <c r="A9" s="5">
        <v>7</v>
      </c>
      <c r="B9" s="6" t="s">
        <v>78</v>
      </c>
      <c r="C9" s="5" t="s">
        <v>25</v>
      </c>
      <c r="D9" s="5" t="s">
        <v>108</v>
      </c>
      <c r="E9" s="5">
        <v>263068</v>
      </c>
      <c r="F9" s="5" t="s">
        <v>121</v>
      </c>
      <c r="G9" s="5">
        <v>450</v>
      </c>
      <c r="H9" s="7">
        <v>1.131</v>
      </c>
      <c r="I9" s="7">
        <v>1.1399999999999999</v>
      </c>
      <c r="J9" s="5" t="s">
        <v>26</v>
      </c>
      <c r="K9" s="5" t="s">
        <v>129</v>
      </c>
      <c r="L9" s="5" t="s">
        <v>26</v>
      </c>
      <c r="M9" s="7">
        <v>580.20299999999997</v>
      </c>
      <c r="N9" s="8">
        <v>513</v>
      </c>
      <c r="O9" s="9">
        <v>0.14249999999999999</v>
      </c>
      <c r="P9" s="10">
        <v>8.5500000000000007</v>
      </c>
      <c r="Q9" s="5">
        <v>312.10000000000002</v>
      </c>
      <c r="R9" s="5">
        <v>1</v>
      </c>
      <c r="S9" s="5">
        <v>1200</v>
      </c>
      <c r="T9" s="7">
        <v>1.131</v>
      </c>
      <c r="U9" s="5">
        <v>69</v>
      </c>
      <c r="V9" s="9">
        <v>5.7500000000000002E-2</v>
      </c>
      <c r="W9" s="5" t="s">
        <v>27</v>
      </c>
      <c r="X9" s="5" t="s">
        <v>28</v>
      </c>
      <c r="Y9" s="5" t="s">
        <v>27</v>
      </c>
      <c r="Z9" s="5" t="s">
        <v>27</v>
      </c>
      <c r="AA9" s="5" t="s">
        <v>27</v>
      </c>
      <c r="AB9" s="5" t="s">
        <v>29</v>
      </c>
      <c r="AC9" s="5" t="s">
        <v>128</v>
      </c>
    </row>
    <row r="10" spans="1:29" s="11" customFormat="1" ht="25.05" customHeight="1" x14ac:dyDescent="0.3">
      <c r="A10" s="5">
        <v>8</v>
      </c>
      <c r="B10" s="6" t="s">
        <v>78</v>
      </c>
      <c r="C10" s="5" t="s">
        <v>25</v>
      </c>
      <c r="D10" s="5" t="s">
        <v>108</v>
      </c>
      <c r="E10" s="5">
        <v>263073</v>
      </c>
      <c r="F10" s="5" t="s">
        <v>121</v>
      </c>
      <c r="G10" s="5">
        <v>260</v>
      </c>
      <c r="H10" s="7">
        <v>1.1559999999999999</v>
      </c>
      <c r="I10" s="7">
        <v>1.87</v>
      </c>
      <c r="J10" s="5" t="s">
        <v>26</v>
      </c>
      <c r="K10" s="5" t="s">
        <v>75</v>
      </c>
      <c r="L10" s="5" t="s">
        <v>26</v>
      </c>
      <c r="M10" s="7">
        <v>562.04700000000003</v>
      </c>
      <c r="N10" s="8">
        <v>486.2</v>
      </c>
      <c r="O10" s="9">
        <v>0.1351</v>
      </c>
      <c r="P10" s="10">
        <v>8.1</v>
      </c>
      <c r="Q10" s="5">
        <v>302.39999999999998</v>
      </c>
      <c r="R10" s="5">
        <v>1</v>
      </c>
      <c r="S10" s="5">
        <v>1200</v>
      </c>
      <c r="T10" s="7">
        <v>1.1559999999999999</v>
      </c>
      <c r="U10" s="5">
        <v>44</v>
      </c>
      <c r="V10" s="9">
        <v>3.6700000000000003E-2</v>
      </c>
      <c r="W10" s="5" t="s">
        <v>27</v>
      </c>
      <c r="X10" s="5" t="s">
        <v>28</v>
      </c>
      <c r="Y10" s="5" t="s">
        <v>27</v>
      </c>
      <c r="Z10" s="5" t="s">
        <v>27</v>
      </c>
      <c r="AA10" s="5" t="s">
        <v>27</v>
      </c>
      <c r="AB10" s="5" t="s">
        <v>31</v>
      </c>
      <c r="AC10" s="5" t="s">
        <v>74</v>
      </c>
    </row>
    <row r="11" spans="1:29" s="11" customFormat="1" ht="25.05" customHeight="1" x14ac:dyDescent="0.3">
      <c r="A11" s="5">
        <v>9</v>
      </c>
      <c r="B11" s="6" t="s">
        <v>78</v>
      </c>
      <c r="C11" s="5" t="s">
        <v>25</v>
      </c>
      <c r="D11" s="5" t="s">
        <v>108</v>
      </c>
      <c r="E11" s="5">
        <v>263071</v>
      </c>
      <c r="F11" s="5" t="s">
        <v>121</v>
      </c>
      <c r="G11" s="5">
        <v>500</v>
      </c>
      <c r="H11" s="7">
        <v>1.1559999999999999</v>
      </c>
      <c r="I11" s="7">
        <v>1.85</v>
      </c>
      <c r="J11" s="5" t="s">
        <v>26</v>
      </c>
      <c r="K11" s="5" t="s">
        <v>127</v>
      </c>
      <c r="L11" s="5" t="s">
        <v>26</v>
      </c>
      <c r="M11" s="7">
        <v>1069.3</v>
      </c>
      <c r="N11" s="8">
        <v>925</v>
      </c>
      <c r="O11" s="9">
        <v>0.25690000000000002</v>
      </c>
      <c r="P11" s="10">
        <v>15.42</v>
      </c>
      <c r="Q11" s="5">
        <v>575.29999999999995</v>
      </c>
      <c r="R11" s="5">
        <v>1</v>
      </c>
      <c r="S11" s="5">
        <v>1200</v>
      </c>
      <c r="T11" s="7">
        <v>1.1559999999999999</v>
      </c>
      <c r="U11" s="5">
        <v>44</v>
      </c>
      <c r="V11" s="9">
        <v>3.6700000000000003E-2</v>
      </c>
      <c r="W11" s="5" t="s">
        <v>27</v>
      </c>
      <c r="X11" s="5" t="s">
        <v>28</v>
      </c>
      <c r="Y11" s="5" t="s">
        <v>27</v>
      </c>
      <c r="Z11" s="5" t="s">
        <v>27</v>
      </c>
      <c r="AA11" s="5" t="s">
        <v>27</v>
      </c>
      <c r="AB11" s="5" t="s">
        <v>29</v>
      </c>
      <c r="AC11" s="5" t="s">
        <v>126</v>
      </c>
    </row>
    <row r="12" spans="1:29" s="11" customFormat="1" ht="25.05" customHeight="1" x14ac:dyDescent="0.3">
      <c r="A12" s="5">
        <v>10</v>
      </c>
      <c r="B12" s="6" t="s">
        <v>78</v>
      </c>
      <c r="C12" s="5" t="s">
        <v>25</v>
      </c>
      <c r="D12" s="5" t="s">
        <v>108</v>
      </c>
      <c r="E12" s="5">
        <v>263067</v>
      </c>
      <c r="F12" s="5" t="s">
        <v>121</v>
      </c>
      <c r="G12" s="5">
        <v>300</v>
      </c>
      <c r="H12" s="7">
        <v>1.1359999999999999</v>
      </c>
      <c r="I12" s="7">
        <v>1.97</v>
      </c>
      <c r="J12" s="5" t="s">
        <v>26</v>
      </c>
      <c r="K12" s="5" t="s">
        <v>32</v>
      </c>
      <c r="L12" s="5" t="s">
        <v>26</v>
      </c>
      <c r="M12" s="7">
        <v>671.37599999999998</v>
      </c>
      <c r="N12" s="8">
        <v>591</v>
      </c>
      <c r="O12" s="9">
        <v>0.16420000000000001</v>
      </c>
      <c r="P12" s="10">
        <v>9.85</v>
      </c>
      <c r="Q12" s="5">
        <v>361.2</v>
      </c>
      <c r="R12" s="5">
        <v>1</v>
      </c>
      <c r="S12" s="5">
        <v>1200</v>
      </c>
      <c r="T12" s="7">
        <v>1.1359999999999999</v>
      </c>
      <c r="U12" s="5">
        <v>64</v>
      </c>
      <c r="V12" s="9">
        <v>5.33E-2</v>
      </c>
      <c r="W12" s="5" t="s">
        <v>27</v>
      </c>
      <c r="X12" s="5" t="s">
        <v>28</v>
      </c>
      <c r="Y12" s="5" t="s">
        <v>27</v>
      </c>
      <c r="Z12" s="5" t="s">
        <v>27</v>
      </c>
      <c r="AA12" s="5" t="s">
        <v>27</v>
      </c>
      <c r="AB12" s="5" t="s">
        <v>31</v>
      </c>
      <c r="AC12" s="5" t="s">
        <v>125</v>
      </c>
    </row>
    <row r="13" spans="1:29" s="11" customFormat="1" ht="25.05" customHeight="1" x14ac:dyDescent="0.3">
      <c r="A13" s="5">
        <v>11</v>
      </c>
      <c r="B13" s="6" t="s">
        <v>78</v>
      </c>
      <c r="C13" s="5" t="s">
        <v>25</v>
      </c>
      <c r="D13" s="5" t="s">
        <v>108</v>
      </c>
      <c r="E13" s="5">
        <v>263066</v>
      </c>
      <c r="F13" s="5" t="s">
        <v>121</v>
      </c>
      <c r="G13" s="5">
        <v>305</v>
      </c>
      <c r="H13" s="7">
        <v>1</v>
      </c>
      <c r="I13" s="7">
        <v>1.85</v>
      </c>
      <c r="J13" s="5" t="s">
        <v>26</v>
      </c>
      <c r="K13" s="5" t="s">
        <v>32</v>
      </c>
      <c r="L13" s="5" t="s">
        <v>26</v>
      </c>
      <c r="M13" s="7">
        <v>564.25</v>
      </c>
      <c r="N13" s="8">
        <v>564.29999999999995</v>
      </c>
      <c r="O13" s="9">
        <v>0.15670000000000001</v>
      </c>
      <c r="P13" s="10">
        <v>9.4</v>
      </c>
      <c r="Q13" s="5">
        <v>303.60000000000002</v>
      </c>
      <c r="R13" s="5">
        <v>1</v>
      </c>
      <c r="S13" s="5">
        <v>1050</v>
      </c>
      <c r="T13" s="7">
        <v>1</v>
      </c>
      <c r="U13" s="5">
        <v>50</v>
      </c>
      <c r="V13" s="9">
        <v>4.7600000000000003E-2</v>
      </c>
      <c r="W13" s="5" t="s">
        <v>27</v>
      </c>
      <c r="X13" s="5" t="s">
        <v>28</v>
      </c>
      <c r="Y13" s="5" t="s">
        <v>27</v>
      </c>
      <c r="Z13" s="5" t="s">
        <v>27</v>
      </c>
      <c r="AA13" s="5" t="s">
        <v>27</v>
      </c>
      <c r="AB13" s="5" t="s">
        <v>31</v>
      </c>
      <c r="AC13" s="5" t="s">
        <v>124</v>
      </c>
    </row>
    <row r="14" spans="1:29" s="11" customFormat="1" ht="25.05" customHeight="1" x14ac:dyDescent="0.3">
      <c r="A14" s="5">
        <v>12</v>
      </c>
      <c r="B14" s="6" t="s">
        <v>78</v>
      </c>
      <c r="C14" s="5" t="s">
        <v>40</v>
      </c>
      <c r="D14" s="5" t="s">
        <v>108</v>
      </c>
      <c r="E14" s="5">
        <v>263062</v>
      </c>
      <c r="F14" s="5" t="s">
        <v>121</v>
      </c>
      <c r="G14" s="5">
        <v>380</v>
      </c>
      <c r="H14" s="7">
        <v>0.94599999999999995</v>
      </c>
      <c r="I14" s="7">
        <v>1.48</v>
      </c>
      <c r="J14" s="5" t="s">
        <v>26</v>
      </c>
      <c r="K14" s="5" t="s">
        <v>123</v>
      </c>
      <c r="L14" s="5" t="s">
        <v>26</v>
      </c>
      <c r="M14" s="7">
        <v>532.03</v>
      </c>
      <c r="N14" s="8">
        <v>562.4</v>
      </c>
      <c r="O14" s="9">
        <v>0.15620000000000001</v>
      </c>
      <c r="P14" s="10">
        <v>9.3699999999999992</v>
      </c>
      <c r="Q14" s="5">
        <v>302.2</v>
      </c>
      <c r="R14" s="5">
        <v>1</v>
      </c>
      <c r="S14" s="5">
        <v>1000</v>
      </c>
      <c r="T14" s="7">
        <v>0.94599999999999995</v>
      </c>
      <c r="U14" s="5">
        <v>54</v>
      </c>
      <c r="V14" s="9">
        <v>5.3999999999999999E-2</v>
      </c>
      <c r="W14" s="5" t="s">
        <v>33</v>
      </c>
      <c r="X14" s="5" t="s">
        <v>37</v>
      </c>
      <c r="Y14" s="5" t="s">
        <v>33</v>
      </c>
      <c r="Z14" s="5" t="s">
        <v>33</v>
      </c>
      <c r="AA14" s="5" t="s">
        <v>33</v>
      </c>
      <c r="AB14" s="5" t="s">
        <v>31</v>
      </c>
      <c r="AC14" s="5" t="s">
        <v>60</v>
      </c>
    </row>
    <row r="15" spans="1:29" s="11" customFormat="1" ht="25.05" customHeight="1" x14ac:dyDescent="0.3">
      <c r="A15" s="5">
        <v>13</v>
      </c>
      <c r="B15" s="6" t="s">
        <v>78</v>
      </c>
      <c r="C15" s="5" t="s">
        <v>25</v>
      </c>
      <c r="D15" s="5" t="s">
        <v>108</v>
      </c>
      <c r="E15" s="5">
        <v>263064</v>
      </c>
      <c r="F15" s="5" t="s">
        <v>121</v>
      </c>
      <c r="G15" s="5">
        <v>480</v>
      </c>
      <c r="H15" s="7">
        <v>0.95599999999999996</v>
      </c>
      <c r="I15" s="7">
        <v>1.23</v>
      </c>
      <c r="J15" s="5" t="s">
        <v>26</v>
      </c>
      <c r="K15" s="5" t="s">
        <v>73</v>
      </c>
      <c r="L15" s="5" t="s">
        <v>26</v>
      </c>
      <c r="M15" s="7">
        <v>564.42200000000003</v>
      </c>
      <c r="N15" s="8">
        <v>590.4</v>
      </c>
      <c r="O15" s="9">
        <v>0.16400000000000001</v>
      </c>
      <c r="P15" s="10">
        <v>9.84</v>
      </c>
      <c r="Q15" s="5">
        <v>303.7</v>
      </c>
      <c r="R15" s="5">
        <v>1</v>
      </c>
      <c r="S15" s="5">
        <v>1000</v>
      </c>
      <c r="T15" s="7">
        <v>0.95599999999999996</v>
      </c>
      <c r="U15" s="5">
        <v>44</v>
      </c>
      <c r="V15" s="9">
        <v>4.3999999999999997E-2</v>
      </c>
      <c r="W15" s="5" t="s">
        <v>27</v>
      </c>
      <c r="X15" s="5" t="s">
        <v>28</v>
      </c>
      <c r="Y15" s="5" t="s">
        <v>27</v>
      </c>
      <c r="Z15" s="5" t="s">
        <v>27</v>
      </c>
      <c r="AA15" s="5" t="s">
        <v>27</v>
      </c>
      <c r="AB15" s="5" t="s">
        <v>29</v>
      </c>
      <c r="AC15" s="5" t="s">
        <v>53</v>
      </c>
    </row>
    <row r="16" spans="1:29" s="11" customFormat="1" ht="25.05" customHeight="1" x14ac:dyDescent="0.3">
      <c r="A16" s="5">
        <v>14</v>
      </c>
      <c r="B16" s="6" t="s">
        <v>78</v>
      </c>
      <c r="C16" s="5" t="s">
        <v>25</v>
      </c>
      <c r="D16" s="5" t="s">
        <v>108</v>
      </c>
      <c r="E16" s="5">
        <v>263065</v>
      </c>
      <c r="F16" s="5" t="s">
        <v>121</v>
      </c>
      <c r="G16" s="5">
        <v>500</v>
      </c>
      <c r="H16" s="7">
        <v>0.97099999999999997</v>
      </c>
      <c r="I16" s="7">
        <v>1.26</v>
      </c>
      <c r="J16" s="5" t="s">
        <v>26</v>
      </c>
      <c r="K16" s="5" t="s">
        <v>122</v>
      </c>
      <c r="L16" s="5" t="s">
        <v>26</v>
      </c>
      <c r="M16" s="7">
        <v>611.73</v>
      </c>
      <c r="N16" s="8">
        <v>630</v>
      </c>
      <c r="O16" s="9">
        <v>0.17499999999999999</v>
      </c>
      <c r="P16" s="10">
        <v>10.5</v>
      </c>
      <c r="Q16" s="5">
        <v>329.1</v>
      </c>
      <c r="R16" s="5">
        <v>1</v>
      </c>
      <c r="S16" s="5">
        <v>1000</v>
      </c>
      <c r="T16" s="7">
        <v>0.97099999999999997</v>
      </c>
      <c r="U16" s="5">
        <v>29</v>
      </c>
      <c r="V16" s="9">
        <v>2.9000000000000001E-2</v>
      </c>
      <c r="W16" s="5" t="s">
        <v>27</v>
      </c>
      <c r="X16" s="5" t="s">
        <v>28</v>
      </c>
      <c r="Y16" s="5" t="s">
        <v>27</v>
      </c>
      <c r="Z16" s="5" t="s">
        <v>27</v>
      </c>
      <c r="AA16" s="5" t="s">
        <v>27</v>
      </c>
      <c r="AB16" s="5" t="s">
        <v>29</v>
      </c>
      <c r="AC16" s="5" t="s">
        <v>52</v>
      </c>
    </row>
    <row r="17" spans="1:29" s="11" customFormat="1" ht="25.05" customHeight="1" x14ac:dyDescent="0.3">
      <c r="A17" s="5">
        <v>15</v>
      </c>
      <c r="B17" s="6" t="s">
        <v>78</v>
      </c>
      <c r="C17" s="5" t="s">
        <v>25</v>
      </c>
      <c r="D17" s="5" t="s">
        <v>108</v>
      </c>
      <c r="E17" s="5">
        <v>263063</v>
      </c>
      <c r="F17" s="5" t="s">
        <v>121</v>
      </c>
      <c r="G17" s="5">
        <v>570</v>
      </c>
      <c r="H17" s="7">
        <v>0.95599999999999996</v>
      </c>
      <c r="I17" s="7">
        <v>1.03</v>
      </c>
      <c r="J17" s="5" t="s">
        <v>26</v>
      </c>
      <c r="K17" s="5" t="s">
        <v>32</v>
      </c>
      <c r="L17" s="5" t="s">
        <v>26</v>
      </c>
      <c r="M17" s="7">
        <v>561.26800000000003</v>
      </c>
      <c r="N17" s="8">
        <v>587.1</v>
      </c>
      <c r="O17" s="9">
        <v>0.16309999999999999</v>
      </c>
      <c r="P17" s="10">
        <v>9.7899999999999991</v>
      </c>
      <c r="Q17" s="5">
        <v>302</v>
      </c>
      <c r="R17" s="5">
        <v>1</v>
      </c>
      <c r="S17" s="5">
        <v>1000</v>
      </c>
      <c r="T17" s="7">
        <v>0.95599999999999996</v>
      </c>
      <c r="U17" s="5">
        <v>44</v>
      </c>
      <c r="V17" s="9">
        <v>4.3999999999999997E-2</v>
      </c>
      <c r="W17" s="5" t="s">
        <v>27</v>
      </c>
      <c r="X17" s="5" t="s">
        <v>28</v>
      </c>
      <c r="Y17" s="5" t="s">
        <v>27</v>
      </c>
      <c r="Z17" s="5" t="s">
        <v>27</v>
      </c>
      <c r="AA17" s="5" t="s">
        <v>27</v>
      </c>
      <c r="AB17" s="5" t="s">
        <v>31</v>
      </c>
      <c r="AC17" s="5" t="s">
        <v>72</v>
      </c>
    </row>
    <row r="18" spans="1:29" s="11" customFormat="1" ht="25.05" customHeight="1" x14ac:dyDescent="0.3">
      <c r="A18" s="5">
        <v>16</v>
      </c>
      <c r="B18" s="6" t="s">
        <v>78</v>
      </c>
      <c r="C18" s="5" t="s">
        <v>25</v>
      </c>
      <c r="D18" s="5" t="s">
        <v>108</v>
      </c>
      <c r="E18" s="5">
        <v>263076</v>
      </c>
      <c r="F18" s="5" t="s">
        <v>121</v>
      </c>
      <c r="G18" s="5">
        <v>320</v>
      </c>
      <c r="H18" s="7">
        <v>0.83599999999999997</v>
      </c>
      <c r="I18" s="7">
        <v>2.1</v>
      </c>
      <c r="J18" s="5" t="s">
        <v>26</v>
      </c>
      <c r="K18" s="5" t="s">
        <v>56</v>
      </c>
      <c r="L18" s="5" t="s">
        <v>26</v>
      </c>
      <c r="M18" s="7">
        <v>561.79200000000003</v>
      </c>
      <c r="N18" s="8">
        <v>672</v>
      </c>
      <c r="O18" s="9">
        <v>0.1867</v>
      </c>
      <c r="P18" s="10">
        <v>11.2</v>
      </c>
      <c r="Q18" s="5">
        <v>302.2</v>
      </c>
      <c r="R18" s="5">
        <v>1</v>
      </c>
      <c r="S18" s="5">
        <v>900</v>
      </c>
      <c r="T18" s="7">
        <v>0.83599999999999997</v>
      </c>
      <c r="U18" s="5">
        <v>64</v>
      </c>
      <c r="V18" s="9">
        <v>7.1099999999999997E-2</v>
      </c>
      <c r="W18" s="5" t="s">
        <v>27</v>
      </c>
      <c r="X18" s="5" t="s">
        <v>28</v>
      </c>
      <c r="Y18" s="5" t="s">
        <v>27</v>
      </c>
      <c r="Z18" s="5" t="s">
        <v>27</v>
      </c>
      <c r="AA18" s="5" t="s">
        <v>27</v>
      </c>
      <c r="AB18" s="5" t="s">
        <v>31</v>
      </c>
      <c r="AC18" s="5" t="s">
        <v>55</v>
      </c>
    </row>
    <row r="19" spans="1:29" s="11" customFormat="1" ht="25.05" customHeight="1" x14ac:dyDescent="0.3">
      <c r="A19" s="5">
        <v>17</v>
      </c>
      <c r="B19" s="6" t="s">
        <v>78</v>
      </c>
      <c r="C19" s="5" t="s">
        <v>51</v>
      </c>
      <c r="D19" s="5" t="s">
        <v>108</v>
      </c>
      <c r="E19" s="5">
        <v>263072</v>
      </c>
      <c r="F19" s="5" t="s">
        <v>121</v>
      </c>
      <c r="G19" s="5">
        <v>500</v>
      </c>
      <c r="H19" s="7">
        <v>1.228</v>
      </c>
      <c r="I19" s="7">
        <v>1.4</v>
      </c>
      <c r="J19" s="5" t="s">
        <v>26</v>
      </c>
      <c r="K19" s="5" t="s">
        <v>32</v>
      </c>
      <c r="L19" s="5" t="s">
        <v>26</v>
      </c>
      <c r="M19" s="7">
        <v>859.6</v>
      </c>
      <c r="N19" s="8">
        <v>700</v>
      </c>
      <c r="O19" s="9">
        <v>0.19439999999999999</v>
      </c>
      <c r="P19" s="10">
        <v>11.67</v>
      </c>
      <c r="Q19" s="5">
        <v>313.8</v>
      </c>
      <c r="R19" s="5">
        <v>1</v>
      </c>
      <c r="S19" s="5">
        <v>1250</v>
      </c>
      <c r="T19" s="7">
        <v>1.228</v>
      </c>
      <c r="U19" s="5">
        <v>22</v>
      </c>
      <c r="V19" s="9">
        <v>1.7600000000000001E-2</v>
      </c>
      <c r="W19" s="5" t="s">
        <v>38</v>
      </c>
      <c r="X19" s="5" t="s">
        <v>28</v>
      </c>
      <c r="Y19" s="5" t="s">
        <v>27</v>
      </c>
      <c r="Z19" s="5" t="s">
        <v>26</v>
      </c>
      <c r="AA19" s="5" t="s">
        <v>26</v>
      </c>
      <c r="AB19" s="5" t="s">
        <v>31</v>
      </c>
      <c r="AC19" s="5" t="s">
        <v>120</v>
      </c>
    </row>
    <row r="20" spans="1:29" s="11" customFormat="1" ht="25.05" customHeight="1" x14ac:dyDescent="0.3">
      <c r="A20" s="12" t="s">
        <v>26</v>
      </c>
      <c r="B20" s="12" t="s">
        <v>26</v>
      </c>
      <c r="C20" s="12" t="s">
        <v>26</v>
      </c>
      <c r="D20" s="12" t="s">
        <v>26</v>
      </c>
      <c r="E20" s="12" t="s">
        <v>26</v>
      </c>
      <c r="F20" s="12" t="s">
        <v>26</v>
      </c>
      <c r="G20" s="12">
        <v>7600</v>
      </c>
      <c r="H20" s="12" t="s">
        <v>26</v>
      </c>
      <c r="I20" s="12" t="s">
        <v>26</v>
      </c>
      <c r="J20" s="12" t="s">
        <v>26</v>
      </c>
      <c r="K20" s="12" t="s">
        <v>26</v>
      </c>
      <c r="L20" s="12" t="s">
        <v>26</v>
      </c>
      <c r="M20" s="12" t="s">
        <v>26</v>
      </c>
      <c r="N20" s="12" t="s">
        <v>26</v>
      </c>
      <c r="O20" s="12" t="s">
        <v>26</v>
      </c>
      <c r="P20" s="12" t="s">
        <v>26</v>
      </c>
      <c r="Q20" s="12">
        <v>6059.1</v>
      </c>
      <c r="R20" s="12" t="s">
        <v>26</v>
      </c>
      <c r="S20" s="12" t="s">
        <v>26</v>
      </c>
      <c r="T20" s="12" t="s">
        <v>26</v>
      </c>
      <c r="U20" s="12" t="s">
        <v>26</v>
      </c>
      <c r="V20" s="12" t="s">
        <v>26</v>
      </c>
      <c r="W20" s="12" t="s">
        <v>26</v>
      </c>
      <c r="X20" s="12" t="s">
        <v>26</v>
      </c>
      <c r="Y20" s="12" t="s">
        <v>26</v>
      </c>
      <c r="Z20" s="12" t="s">
        <v>26</v>
      </c>
      <c r="AA20" s="12" t="s">
        <v>26</v>
      </c>
      <c r="AB20" s="12" t="s">
        <v>26</v>
      </c>
      <c r="AC20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E43DF-D8E9-42CA-BD8C-57E33841DCAF}">
  <dimension ref="A1:AC12"/>
  <sheetViews>
    <sheetView zoomScale="120" zoomScaleNormal="120" workbookViewId="0">
      <selection activeCell="B2" sqref="B1:B1048576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6.33203125" style="3" customWidth="1"/>
    <col min="4" max="4" width="11.77734375" style="3" hidden="1" customWidth="1"/>
    <col min="5" max="5" width="7.44140625" style="3" customWidth="1"/>
    <col min="6" max="6" width="9" style="3" customWidth="1"/>
    <col min="7" max="7" width="6.88671875" style="3" customWidth="1"/>
    <col min="8" max="8" width="6.6640625" style="3" customWidth="1"/>
    <col min="9" max="9" width="7.33203125" style="3" customWidth="1"/>
    <col min="10" max="10" width="7.109375" style="3" customWidth="1"/>
    <col min="11" max="11" width="14.77734375" style="3" customWidth="1"/>
    <col min="12" max="12" width="7.77734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5546875" style="3" customWidth="1"/>
    <col min="18" max="18" width="3.77734375" style="3" customWidth="1"/>
    <col min="19" max="19" width="6.77734375" style="3" customWidth="1"/>
    <col min="20" max="20" width="6.88671875" style="3" customWidth="1"/>
    <col min="21" max="21" width="11.77734375" style="3" hidden="1" customWidth="1"/>
    <col min="22" max="22" width="8.77734375" style="3" hidden="1" customWidth="1"/>
    <col min="23" max="23" width="8.44140625" style="3" customWidth="1"/>
    <col min="24" max="24" width="8.5546875" style="3" customWidth="1"/>
    <col min="25" max="25" width="7.44140625" style="3" customWidth="1"/>
    <col min="26" max="27" width="7.88671875" style="3" customWidth="1"/>
    <col min="28" max="28" width="5.44140625" style="3" customWidth="1"/>
    <col min="29" max="29" width="10.77734375" style="3" customWidth="1"/>
    <col min="30" max="16384" width="8.88671875" style="3"/>
  </cols>
  <sheetData>
    <row r="1" spans="1:29" ht="18" customHeight="1" x14ac:dyDescent="0.35">
      <c r="A1" s="68" t="s">
        <v>119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39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>
        <v>1</v>
      </c>
      <c r="B3" s="6" t="s">
        <v>48</v>
      </c>
      <c r="C3" s="5" t="s">
        <v>25</v>
      </c>
      <c r="D3" s="5" t="s">
        <v>108</v>
      </c>
      <c r="E3" s="5">
        <v>263056</v>
      </c>
      <c r="F3" s="5" t="s">
        <v>111</v>
      </c>
      <c r="G3" s="5">
        <v>300</v>
      </c>
      <c r="H3" s="7">
        <v>1.474</v>
      </c>
      <c r="I3" s="7">
        <v>1.5549999999999999</v>
      </c>
      <c r="J3" s="5" t="s">
        <v>26</v>
      </c>
      <c r="K3" s="5" t="s">
        <v>118</v>
      </c>
      <c r="L3" s="5" t="s">
        <v>26</v>
      </c>
      <c r="M3" s="7">
        <v>687.62099999999998</v>
      </c>
      <c r="N3" s="8">
        <v>466.5</v>
      </c>
      <c r="O3" s="9">
        <v>0.12959999999999999</v>
      </c>
      <c r="P3" s="10">
        <v>7.78</v>
      </c>
      <c r="Q3" s="5">
        <v>369.9</v>
      </c>
      <c r="R3" s="5">
        <v>1</v>
      </c>
      <c r="S3" s="5">
        <v>1500</v>
      </c>
      <c r="T3" s="7">
        <v>1.474</v>
      </c>
      <c r="U3" s="5">
        <v>26</v>
      </c>
      <c r="V3" s="9">
        <v>1.7299999999999999E-2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31</v>
      </c>
      <c r="AC3" s="5" t="s">
        <v>117</v>
      </c>
    </row>
    <row r="4" spans="1:29" s="11" customFormat="1" ht="25.05" customHeight="1" x14ac:dyDescent="0.3">
      <c r="A4" s="5">
        <v>2</v>
      </c>
      <c r="B4" s="6" t="s">
        <v>48</v>
      </c>
      <c r="C4" s="5" t="s">
        <v>25</v>
      </c>
      <c r="D4" s="5" t="s">
        <v>108</v>
      </c>
      <c r="E4" s="5">
        <v>263050</v>
      </c>
      <c r="F4" s="5" t="s">
        <v>111</v>
      </c>
      <c r="G4" s="5">
        <v>2500</v>
      </c>
      <c r="H4" s="7">
        <v>0.49</v>
      </c>
      <c r="I4" s="7">
        <v>1.36</v>
      </c>
      <c r="J4" s="5" t="s">
        <v>26</v>
      </c>
      <c r="K4" s="5" t="s">
        <v>32</v>
      </c>
      <c r="L4" s="5" t="s">
        <v>26</v>
      </c>
      <c r="M4" s="7">
        <v>1666</v>
      </c>
      <c r="N4" s="8">
        <v>1133.3</v>
      </c>
      <c r="O4" s="9">
        <v>0.10489999999999999</v>
      </c>
      <c r="P4" s="10">
        <v>6.3</v>
      </c>
      <c r="Q4" s="5">
        <v>896.3</v>
      </c>
      <c r="R4" s="5">
        <v>3</v>
      </c>
      <c r="S4" s="5">
        <v>1500</v>
      </c>
      <c r="T4" s="7">
        <v>1.47</v>
      </c>
      <c r="U4" s="5">
        <v>30</v>
      </c>
      <c r="V4" s="9">
        <v>0.02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45</v>
      </c>
      <c r="AC4" s="5" t="s">
        <v>71</v>
      </c>
    </row>
    <row r="5" spans="1:29" s="11" customFormat="1" ht="25.05" customHeight="1" x14ac:dyDescent="0.3">
      <c r="A5" s="5">
        <v>3</v>
      </c>
      <c r="B5" s="6" t="s">
        <v>48</v>
      </c>
      <c r="C5" s="5" t="s">
        <v>25</v>
      </c>
      <c r="D5" s="5" t="s">
        <v>108</v>
      </c>
      <c r="E5" s="5">
        <v>263051</v>
      </c>
      <c r="F5" s="5" t="s">
        <v>111</v>
      </c>
      <c r="G5" s="5">
        <v>2500</v>
      </c>
      <c r="H5" s="7">
        <v>0.49</v>
      </c>
      <c r="I5" s="7">
        <v>1.5489999999999999</v>
      </c>
      <c r="J5" s="5" t="s">
        <v>26</v>
      </c>
      <c r="K5" s="5" t="s">
        <v>32</v>
      </c>
      <c r="L5" s="5" t="s">
        <v>26</v>
      </c>
      <c r="M5" s="7">
        <v>1897.5250000000001</v>
      </c>
      <c r="N5" s="8">
        <v>1290.8</v>
      </c>
      <c r="O5" s="9">
        <v>0.1195</v>
      </c>
      <c r="P5" s="10">
        <v>7.17</v>
      </c>
      <c r="Q5" s="5">
        <v>1020.9</v>
      </c>
      <c r="R5" s="5">
        <v>3</v>
      </c>
      <c r="S5" s="5">
        <v>1500</v>
      </c>
      <c r="T5" s="7">
        <v>1.47</v>
      </c>
      <c r="U5" s="5">
        <v>30</v>
      </c>
      <c r="V5" s="9">
        <v>0.02</v>
      </c>
      <c r="W5" s="5" t="s">
        <v>27</v>
      </c>
      <c r="X5" s="5" t="s">
        <v>28</v>
      </c>
      <c r="Y5" s="5" t="s">
        <v>27</v>
      </c>
      <c r="Z5" s="5" t="s">
        <v>27</v>
      </c>
      <c r="AA5" s="5" t="s">
        <v>27</v>
      </c>
      <c r="AB5" s="5" t="s">
        <v>45</v>
      </c>
      <c r="AC5" s="5" t="s">
        <v>54</v>
      </c>
    </row>
    <row r="6" spans="1:29" s="11" customFormat="1" ht="25.05" customHeight="1" x14ac:dyDescent="0.3">
      <c r="A6" s="5">
        <v>4</v>
      </c>
      <c r="B6" s="6" t="s">
        <v>48</v>
      </c>
      <c r="C6" s="5" t="s">
        <v>25</v>
      </c>
      <c r="D6" s="5" t="s">
        <v>108</v>
      </c>
      <c r="E6" s="5">
        <v>263049</v>
      </c>
      <c r="F6" s="5" t="s">
        <v>111</v>
      </c>
      <c r="G6" s="5">
        <v>5000</v>
      </c>
      <c r="H6" s="7">
        <v>0.434</v>
      </c>
      <c r="I6" s="7">
        <v>1.4990000000000001</v>
      </c>
      <c r="J6" s="5" t="s">
        <v>26</v>
      </c>
      <c r="K6" s="5" t="s">
        <v>70</v>
      </c>
      <c r="L6" s="5" t="s">
        <v>26</v>
      </c>
      <c r="M6" s="7">
        <v>3252.83</v>
      </c>
      <c r="N6" s="8">
        <v>2498.3000000000002</v>
      </c>
      <c r="O6" s="9">
        <v>0.23130000000000001</v>
      </c>
      <c r="P6" s="10">
        <v>13.88</v>
      </c>
      <c r="Q6" s="5">
        <v>1750</v>
      </c>
      <c r="R6" s="5">
        <v>3</v>
      </c>
      <c r="S6" s="5">
        <v>1350</v>
      </c>
      <c r="T6" s="7">
        <v>1.302</v>
      </c>
      <c r="U6" s="5">
        <v>48</v>
      </c>
      <c r="V6" s="9">
        <v>3.56E-2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49</v>
      </c>
      <c r="AC6" s="5" t="s">
        <v>69</v>
      </c>
    </row>
    <row r="7" spans="1:29" s="11" customFormat="1" ht="25.05" customHeight="1" x14ac:dyDescent="0.3">
      <c r="A7" s="5">
        <v>5</v>
      </c>
      <c r="B7" s="6" t="s">
        <v>48</v>
      </c>
      <c r="C7" s="5" t="s">
        <v>25</v>
      </c>
      <c r="D7" s="5" t="s">
        <v>108</v>
      </c>
      <c r="E7" s="5">
        <v>263052</v>
      </c>
      <c r="F7" s="5" t="s">
        <v>111</v>
      </c>
      <c r="G7" s="5">
        <v>1250</v>
      </c>
      <c r="H7" s="7">
        <v>0.32500000000000001</v>
      </c>
      <c r="I7" s="7">
        <v>0.88</v>
      </c>
      <c r="J7" s="5" t="s">
        <v>26</v>
      </c>
      <c r="K7" s="5" t="s">
        <v>32</v>
      </c>
      <c r="L7" s="5" t="s">
        <v>26</v>
      </c>
      <c r="M7" s="7">
        <v>357.5</v>
      </c>
      <c r="N7" s="8">
        <v>275</v>
      </c>
      <c r="O7" s="9">
        <v>1.9099999999999999E-2</v>
      </c>
      <c r="P7" s="10">
        <v>1.1499999999999999</v>
      </c>
      <c r="Q7" s="5">
        <v>192.3</v>
      </c>
      <c r="R7" s="5">
        <v>4</v>
      </c>
      <c r="S7" s="5">
        <v>1350</v>
      </c>
      <c r="T7" s="7">
        <v>1.3</v>
      </c>
      <c r="U7" s="5">
        <v>50</v>
      </c>
      <c r="V7" s="9">
        <v>3.6999999999999998E-2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31</v>
      </c>
      <c r="AC7" s="5" t="s">
        <v>116</v>
      </c>
    </row>
    <row r="8" spans="1:29" s="11" customFormat="1" ht="25.05" customHeight="1" x14ac:dyDescent="0.3">
      <c r="A8" s="5">
        <v>6</v>
      </c>
      <c r="B8" s="6" t="s">
        <v>48</v>
      </c>
      <c r="C8" s="5" t="s">
        <v>25</v>
      </c>
      <c r="D8" s="5" t="s">
        <v>108</v>
      </c>
      <c r="E8" s="5">
        <v>263048</v>
      </c>
      <c r="F8" s="5" t="s">
        <v>111</v>
      </c>
      <c r="G8" s="5">
        <v>15000</v>
      </c>
      <c r="H8" s="7">
        <v>0.29399999999999998</v>
      </c>
      <c r="I8" s="7">
        <v>0.95899999999999996</v>
      </c>
      <c r="J8" s="5" t="s">
        <v>26</v>
      </c>
      <c r="K8" s="5" t="s">
        <v>66</v>
      </c>
      <c r="L8" s="5" t="s">
        <v>26</v>
      </c>
      <c r="M8" s="7">
        <v>4229.1899999999996</v>
      </c>
      <c r="N8" s="8">
        <v>3596.3</v>
      </c>
      <c r="O8" s="9">
        <v>0.24970000000000001</v>
      </c>
      <c r="P8" s="10">
        <v>14.98</v>
      </c>
      <c r="Q8" s="5">
        <v>2275.3000000000002</v>
      </c>
      <c r="R8" s="5">
        <v>4</v>
      </c>
      <c r="S8" s="5">
        <v>1200</v>
      </c>
      <c r="T8" s="7">
        <v>1.1759999999999999</v>
      </c>
      <c r="U8" s="5">
        <v>24</v>
      </c>
      <c r="V8" s="9">
        <v>0.02</v>
      </c>
      <c r="W8" s="5" t="s">
        <v>27</v>
      </c>
      <c r="X8" s="5" t="s">
        <v>28</v>
      </c>
      <c r="Y8" s="5" t="s">
        <v>27</v>
      </c>
      <c r="Z8" s="5" t="s">
        <v>27</v>
      </c>
      <c r="AA8" s="5" t="s">
        <v>27</v>
      </c>
      <c r="AB8" s="5" t="s">
        <v>65</v>
      </c>
      <c r="AC8" s="5" t="s">
        <v>64</v>
      </c>
    </row>
    <row r="9" spans="1:29" s="11" customFormat="1" ht="25.05" customHeight="1" x14ac:dyDescent="0.3">
      <c r="A9" s="5">
        <v>7</v>
      </c>
      <c r="B9" s="6" t="s">
        <v>48</v>
      </c>
      <c r="C9" s="5" t="s">
        <v>40</v>
      </c>
      <c r="D9" s="5" t="s">
        <v>108</v>
      </c>
      <c r="E9" s="5">
        <v>263054</v>
      </c>
      <c r="F9" s="5" t="s">
        <v>111</v>
      </c>
      <c r="G9" s="5">
        <v>400</v>
      </c>
      <c r="H9" s="7">
        <v>1.004</v>
      </c>
      <c r="I9" s="7">
        <v>1.5389999999999999</v>
      </c>
      <c r="J9" s="5" t="s">
        <v>26</v>
      </c>
      <c r="K9" s="5" t="s">
        <v>115</v>
      </c>
      <c r="L9" s="5" t="s">
        <v>26</v>
      </c>
      <c r="M9" s="7">
        <v>618.06200000000001</v>
      </c>
      <c r="N9" s="8">
        <v>615.6</v>
      </c>
      <c r="O9" s="9">
        <v>0.17100000000000001</v>
      </c>
      <c r="P9" s="10">
        <v>10.26</v>
      </c>
      <c r="Q9" s="5">
        <v>351.1</v>
      </c>
      <c r="R9" s="5">
        <v>1</v>
      </c>
      <c r="S9" s="5">
        <v>1050</v>
      </c>
      <c r="T9" s="7">
        <v>1.004</v>
      </c>
      <c r="U9" s="5">
        <v>46</v>
      </c>
      <c r="V9" s="9">
        <v>4.3799999999999999E-2</v>
      </c>
      <c r="W9" s="5" t="s">
        <v>33</v>
      </c>
      <c r="X9" s="5" t="s">
        <v>37</v>
      </c>
      <c r="Y9" s="5" t="s">
        <v>33</v>
      </c>
      <c r="Z9" s="5" t="s">
        <v>33</v>
      </c>
      <c r="AA9" s="5" t="s">
        <v>33</v>
      </c>
      <c r="AB9" s="5" t="s">
        <v>29</v>
      </c>
      <c r="AC9" s="5" t="s">
        <v>114</v>
      </c>
    </row>
    <row r="10" spans="1:29" s="11" customFormat="1" ht="25.05" customHeight="1" x14ac:dyDescent="0.3">
      <c r="A10" s="5">
        <v>8</v>
      </c>
      <c r="B10" s="6" t="s">
        <v>48</v>
      </c>
      <c r="C10" s="5" t="s">
        <v>40</v>
      </c>
      <c r="D10" s="5" t="s">
        <v>108</v>
      </c>
      <c r="E10" s="5">
        <v>263053</v>
      </c>
      <c r="F10" s="5" t="s">
        <v>111</v>
      </c>
      <c r="G10" s="5">
        <v>300</v>
      </c>
      <c r="H10" s="7">
        <v>0.82399999999999995</v>
      </c>
      <c r="I10" s="7">
        <v>1.5389999999999999</v>
      </c>
      <c r="J10" s="5" t="s">
        <v>26</v>
      </c>
      <c r="K10" s="5" t="s">
        <v>113</v>
      </c>
      <c r="L10" s="5" t="s">
        <v>26</v>
      </c>
      <c r="M10" s="7">
        <v>380.44099999999997</v>
      </c>
      <c r="N10" s="8">
        <v>461.7</v>
      </c>
      <c r="O10" s="9">
        <v>0.1283</v>
      </c>
      <c r="P10" s="10">
        <v>7.69</v>
      </c>
      <c r="Q10" s="5">
        <v>216.1</v>
      </c>
      <c r="R10" s="5">
        <v>1</v>
      </c>
      <c r="S10" s="5">
        <v>850</v>
      </c>
      <c r="T10" s="7">
        <v>0.82399999999999995</v>
      </c>
      <c r="U10" s="5">
        <v>26</v>
      </c>
      <c r="V10" s="9">
        <v>3.0599999999999999E-2</v>
      </c>
      <c r="W10" s="5" t="s">
        <v>33</v>
      </c>
      <c r="X10" s="5" t="s">
        <v>37</v>
      </c>
      <c r="Y10" s="5" t="s">
        <v>33</v>
      </c>
      <c r="Z10" s="5" t="s">
        <v>33</v>
      </c>
      <c r="AA10" s="5" t="s">
        <v>33</v>
      </c>
      <c r="AB10" s="5" t="s">
        <v>31</v>
      </c>
      <c r="AC10" s="5" t="s">
        <v>112</v>
      </c>
    </row>
    <row r="11" spans="1:29" s="11" customFormat="1" ht="25.05" customHeight="1" x14ac:dyDescent="0.3">
      <c r="A11" s="5">
        <v>9</v>
      </c>
      <c r="B11" s="6" t="s">
        <v>48</v>
      </c>
      <c r="C11" s="5" t="s">
        <v>34</v>
      </c>
      <c r="D11" s="5" t="s">
        <v>108</v>
      </c>
      <c r="E11" s="5">
        <v>263055</v>
      </c>
      <c r="F11" s="5" t="s">
        <v>111</v>
      </c>
      <c r="G11" s="5">
        <v>500</v>
      </c>
      <c r="H11" s="7">
        <v>0.78200000000000003</v>
      </c>
      <c r="I11" s="7">
        <v>1.893</v>
      </c>
      <c r="J11" s="5" t="s">
        <v>26</v>
      </c>
      <c r="K11" s="5" t="s">
        <v>110</v>
      </c>
      <c r="L11" s="5" t="s">
        <v>26</v>
      </c>
      <c r="M11" s="7">
        <v>740.16300000000001</v>
      </c>
      <c r="N11" s="8">
        <v>473.3</v>
      </c>
      <c r="O11" s="9">
        <v>6.5699999999999995E-2</v>
      </c>
      <c r="P11" s="10">
        <v>3.94</v>
      </c>
      <c r="Q11" s="5">
        <v>236.9</v>
      </c>
      <c r="R11" s="5">
        <v>2</v>
      </c>
      <c r="S11" s="5">
        <v>1600</v>
      </c>
      <c r="T11" s="7">
        <v>1.5640000000000001</v>
      </c>
      <c r="U11" s="5">
        <v>36</v>
      </c>
      <c r="V11" s="9">
        <v>2.2499999999999999E-2</v>
      </c>
      <c r="W11" s="5" t="s">
        <v>27</v>
      </c>
      <c r="X11" s="5" t="s">
        <v>27</v>
      </c>
      <c r="Y11" s="5" t="s">
        <v>27</v>
      </c>
      <c r="Z11" s="5" t="s">
        <v>26</v>
      </c>
      <c r="AA11" s="5" t="s">
        <v>26</v>
      </c>
      <c r="AB11" s="5" t="s">
        <v>31</v>
      </c>
      <c r="AC11" s="5" t="s">
        <v>109</v>
      </c>
    </row>
    <row r="12" spans="1:29" s="11" customFormat="1" ht="25.05" customHeight="1" x14ac:dyDescent="0.3">
      <c r="A12" s="12" t="s">
        <v>26</v>
      </c>
      <c r="B12" s="12" t="s">
        <v>26</v>
      </c>
      <c r="C12" s="12" t="s">
        <v>26</v>
      </c>
      <c r="D12" s="12" t="s">
        <v>26</v>
      </c>
      <c r="E12" s="12" t="s">
        <v>26</v>
      </c>
      <c r="F12" s="12" t="s">
        <v>26</v>
      </c>
      <c r="G12" s="12">
        <v>27750</v>
      </c>
      <c r="H12" s="12" t="s">
        <v>26</v>
      </c>
      <c r="I12" s="12" t="s">
        <v>26</v>
      </c>
      <c r="J12" s="12" t="s">
        <v>26</v>
      </c>
      <c r="K12" s="12" t="s">
        <v>26</v>
      </c>
      <c r="L12" s="12" t="s">
        <v>26</v>
      </c>
      <c r="M12" s="12" t="s">
        <v>26</v>
      </c>
      <c r="N12" s="12" t="s">
        <v>26</v>
      </c>
      <c r="O12" s="12" t="s">
        <v>26</v>
      </c>
      <c r="P12" s="12" t="s">
        <v>26</v>
      </c>
      <c r="Q12" s="12">
        <v>7308.8</v>
      </c>
      <c r="R12" s="12" t="s">
        <v>26</v>
      </c>
      <c r="S12" s="12" t="s">
        <v>26</v>
      </c>
      <c r="T12" s="12" t="s">
        <v>26</v>
      </c>
      <c r="U12" s="12" t="s">
        <v>26</v>
      </c>
      <c r="V12" s="12" t="s">
        <v>26</v>
      </c>
      <c r="W12" s="12" t="s">
        <v>26</v>
      </c>
      <c r="X12" s="12" t="s">
        <v>26</v>
      </c>
      <c r="Y12" s="12" t="s">
        <v>26</v>
      </c>
      <c r="Z12" s="12" t="s">
        <v>26</v>
      </c>
      <c r="AA12" s="12" t="s">
        <v>26</v>
      </c>
      <c r="AB12" s="12" t="s">
        <v>26</v>
      </c>
      <c r="AC12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2886-EFCF-460A-B8D2-AF35A1B398E1}">
  <sheetPr>
    <pageSetUpPr fitToPage="1"/>
  </sheetPr>
  <dimension ref="A1:AC14"/>
  <sheetViews>
    <sheetView workbookViewId="0">
      <selection activeCell="R39" sqref="R39"/>
    </sheetView>
  </sheetViews>
  <sheetFormatPr defaultRowHeight="14.4" x14ac:dyDescent="0.3"/>
  <cols>
    <col min="1" max="1" width="5" style="3" customWidth="1"/>
    <col min="2" max="2" width="20.77734375" style="3" hidden="1" customWidth="1"/>
    <col min="3" max="3" width="6.21875" style="3" customWidth="1"/>
    <col min="4" max="4" width="11.77734375" style="3" hidden="1" customWidth="1"/>
    <col min="5" max="5" width="7.77734375" style="3" customWidth="1"/>
    <col min="6" max="6" width="6.5546875" style="3" customWidth="1"/>
    <col min="7" max="7" width="6.33203125" style="3" customWidth="1"/>
    <col min="8" max="8" width="7.109375" style="3" customWidth="1"/>
    <col min="9" max="9" width="7.44140625" style="3" customWidth="1"/>
    <col min="10" max="10" width="8.109375" style="3" customWidth="1"/>
    <col min="11" max="11" width="19.109375" style="3" customWidth="1"/>
    <col min="12" max="12" width="8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77734375" style="3" customWidth="1"/>
    <col min="18" max="18" width="4.5546875" style="3" customWidth="1"/>
    <col min="19" max="19" width="6.21875" style="3" customWidth="1"/>
    <col min="20" max="20" width="6.33203125" style="3" customWidth="1"/>
    <col min="21" max="21" width="11.77734375" style="3" hidden="1" customWidth="1"/>
    <col min="22" max="22" width="8.77734375" style="3" hidden="1" customWidth="1"/>
    <col min="23" max="23" width="7.77734375" style="3" customWidth="1"/>
    <col min="24" max="24" width="7.6640625" style="3" customWidth="1"/>
    <col min="25" max="25" width="7.88671875" style="3" customWidth="1"/>
    <col min="26" max="26" width="7.5546875" style="3" customWidth="1"/>
    <col min="27" max="27" width="7.77734375" style="3" customWidth="1"/>
    <col min="28" max="28" width="4.5546875" style="3" customWidth="1"/>
    <col min="29" max="29" width="10.77734375" style="3" customWidth="1"/>
    <col min="30" max="16384" width="8.88671875" style="3"/>
  </cols>
  <sheetData>
    <row r="1" spans="1:29" ht="18" customHeight="1" x14ac:dyDescent="0.35">
      <c r="A1" s="68" t="s">
        <v>102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30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/>
      <c r="B3" s="6" t="s">
        <v>48</v>
      </c>
      <c r="C3" s="5" t="s">
        <v>25</v>
      </c>
      <c r="D3" s="5" t="s">
        <v>79</v>
      </c>
      <c r="E3" s="5">
        <v>262992</v>
      </c>
      <c r="F3" s="5" t="s">
        <v>81</v>
      </c>
      <c r="G3" s="5">
        <v>150</v>
      </c>
      <c r="H3" s="7">
        <v>0.67500000000000004</v>
      </c>
      <c r="I3" s="7">
        <v>2.0590000000000002</v>
      </c>
      <c r="J3" s="5" t="s">
        <v>26</v>
      </c>
      <c r="K3" s="5" t="s">
        <v>101</v>
      </c>
      <c r="L3" s="5" t="s">
        <v>26</v>
      </c>
      <c r="M3" s="7">
        <v>208.47399999999999</v>
      </c>
      <c r="N3" s="8">
        <v>154.4</v>
      </c>
      <c r="O3" s="9">
        <v>2.1399999999999999E-2</v>
      </c>
      <c r="P3" s="10">
        <v>1.29</v>
      </c>
      <c r="Q3" s="5">
        <v>112.2</v>
      </c>
      <c r="R3" s="5">
        <v>2</v>
      </c>
      <c r="S3" s="5">
        <v>1400</v>
      </c>
      <c r="T3" s="7">
        <v>1.35</v>
      </c>
      <c r="U3" s="5">
        <v>50</v>
      </c>
      <c r="V3" s="9">
        <v>3.5700000000000003E-2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36</v>
      </c>
      <c r="AC3" s="5" t="s">
        <v>100</v>
      </c>
    </row>
    <row r="4" spans="1:29" s="11" customFormat="1" ht="25.05" customHeight="1" x14ac:dyDescent="0.3">
      <c r="A4" s="5"/>
      <c r="B4" s="6" t="s">
        <v>48</v>
      </c>
      <c r="C4" s="5" t="s">
        <v>25</v>
      </c>
      <c r="D4" s="5" t="s">
        <v>79</v>
      </c>
      <c r="E4" s="5">
        <v>262990</v>
      </c>
      <c r="F4" s="5" t="s">
        <v>81</v>
      </c>
      <c r="G4" s="5">
        <v>200</v>
      </c>
      <c r="H4" s="7">
        <v>0.64500000000000002</v>
      </c>
      <c r="I4" s="7">
        <v>1.5389999999999999</v>
      </c>
      <c r="J4" s="5" t="s">
        <v>26</v>
      </c>
      <c r="K4" s="5" t="s">
        <v>99</v>
      </c>
      <c r="L4" s="5" t="s">
        <v>26</v>
      </c>
      <c r="M4" s="7">
        <v>198.53100000000001</v>
      </c>
      <c r="N4" s="8">
        <v>153.9</v>
      </c>
      <c r="O4" s="9">
        <v>2.1399999999999999E-2</v>
      </c>
      <c r="P4" s="10">
        <v>1.28</v>
      </c>
      <c r="Q4" s="5">
        <v>106.8</v>
      </c>
      <c r="R4" s="5">
        <v>2</v>
      </c>
      <c r="S4" s="5">
        <v>1350</v>
      </c>
      <c r="T4" s="7">
        <v>1.29</v>
      </c>
      <c r="U4" s="5">
        <v>60</v>
      </c>
      <c r="V4" s="9">
        <v>4.4400000000000002E-2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31</v>
      </c>
      <c r="AC4" s="5" t="s">
        <v>98</v>
      </c>
    </row>
    <row r="5" spans="1:29" s="11" customFormat="1" ht="25.05" customHeight="1" x14ac:dyDescent="0.3">
      <c r="A5" s="5"/>
      <c r="B5" s="6" t="s">
        <v>48</v>
      </c>
      <c r="C5" s="5" t="s">
        <v>46</v>
      </c>
      <c r="D5" s="5" t="s">
        <v>79</v>
      </c>
      <c r="E5" s="5">
        <v>262997</v>
      </c>
      <c r="F5" s="5" t="s">
        <v>97</v>
      </c>
      <c r="G5" s="5">
        <v>500</v>
      </c>
      <c r="H5" s="7">
        <v>1.2050000000000001</v>
      </c>
      <c r="I5" s="7">
        <v>2.5110000000000001</v>
      </c>
      <c r="J5" s="5" t="s">
        <v>26</v>
      </c>
      <c r="K5" s="5" t="s">
        <v>68</v>
      </c>
      <c r="L5" s="5" t="s">
        <v>26</v>
      </c>
      <c r="M5" s="7">
        <v>1512.8779999999999</v>
      </c>
      <c r="N5" s="8">
        <v>1255.5</v>
      </c>
      <c r="O5" s="9">
        <v>0.3488</v>
      </c>
      <c r="P5" s="10">
        <v>20.93</v>
      </c>
      <c r="Q5" s="5">
        <v>956.1</v>
      </c>
      <c r="R5" s="5">
        <v>1</v>
      </c>
      <c r="S5" s="5">
        <v>1250</v>
      </c>
      <c r="T5" s="7">
        <v>1.2050000000000001</v>
      </c>
      <c r="U5" s="5">
        <v>45</v>
      </c>
      <c r="V5" s="9">
        <v>3.5999999999999997E-2</v>
      </c>
      <c r="W5" s="5" t="s">
        <v>28</v>
      </c>
      <c r="X5" s="5" t="s">
        <v>37</v>
      </c>
      <c r="Y5" s="5" t="s">
        <v>27</v>
      </c>
      <c r="Z5" s="5" t="s">
        <v>27</v>
      </c>
      <c r="AA5" s="5" t="s">
        <v>28</v>
      </c>
      <c r="AB5" s="5" t="s">
        <v>29</v>
      </c>
      <c r="AC5" s="5" t="s">
        <v>67</v>
      </c>
    </row>
    <row r="6" spans="1:29" s="11" customFormat="1" ht="25.05" customHeight="1" x14ac:dyDescent="0.3">
      <c r="A6" s="5"/>
      <c r="B6" s="6" t="s">
        <v>48</v>
      </c>
      <c r="C6" s="5" t="s">
        <v>25</v>
      </c>
      <c r="D6" s="5" t="s">
        <v>79</v>
      </c>
      <c r="E6" s="5">
        <v>262991</v>
      </c>
      <c r="F6" s="5" t="s">
        <v>81</v>
      </c>
      <c r="G6" s="5">
        <v>100</v>
      </c>
      <c r="H6" s="7">
        <v>1.085</v>
      </c>
      <c r="I6" s="7">
        <v>2.4990000000000001</v>
      </c>
      <c r="J6" s="5" t="s">
        <v>26</v>
      </c>
      <c r="K6" s="5" t="s">
        <v>96</v>
      </c>
      <c r="L6" s="5" t="s">
        <v>26</v>
      </c>
      <c r="M6" s="7">
        <v>271.142</v>
      </c>
      <c r="N6" s="8">
        <v>249.9</v>
      </c>
      <c r="O6" s="9">
        <v>6.9400000000000003E-2</v>
      </c>
      <c r="P6" s="10">
        <v>4.17</v>
      </c>
      <c r="Q6" s="5">
        <v>145.9</v>
      </c>
      <c r="R6" s="5">
        <v>1</v>
      </c>
      <c r="S6" s="5">
        <v>1150</v>
      </c>
      <c r="T6" s="7">
        <v>1.085</v>
      </c>
      <c r="U6" s="5">
        <v>65</v>
      </c>
      <c r="V6" s="9">
        <v>5.6500000000000002E-2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36</v>
      </c>
      <c r="AC6" s="5" t="s">
        <v>95</v>
      </c>
    </row>
    <row r="7" spans="1:29" s="11" customFormat="1" ht="25.05" customHeight="1" x14ac:dyDescent="0.3">
      <c r="A7" s="5"/>
      <c r="B7" s="6" t="s">
        <v>48</v>
      </c>
      <c r="C7" s="5" t="s">
        <v>25</v>
      </c>
      <c r="D7" s="5" t="s">
        <v>79</v>
      </c>
      <c r="E7" s="5">
        <v>262993</v>
      </c>
      <c r="F7" s="5" t="s">
        <v>81</v>
      </c>
      <c r="G7" s="5">
        <v>200</v>
      </c>
      <c r="H7" s="7">
        <v>0.52900000000000003</v>
      </c>
      <c r="I7" s="7">
        <v>1.5089999999999999</v>
      </c>
      <c r="J7" s="5" t="s">
        <v>26</v>
      </c>
      <c r="K7" s="5" t="s">
        <v>94</v>
      </c>
      <c r="L7" s="5" t="s">
        <v>26</v>
      </c>
      <c r="M7" s="7">
        <v>159.65199999999999</v>
      </c>
      <c r="N7" s="8">
        <v>150.9</v>
      </c>
      <c r="O7" s="9">
        <v>2.1000000000000001E-2</v>
      </c>
      <c r="P7" s="10">
        <v>1.26</v>
      </c>
      <c r="Q7" s="5">
        <v>85.9</v>
      </c>
      <c r="R7" s="5">
        <v>2</v>
      </c>
      <c r="S7" s="5">
        <v>1100</v>
      </c>
      <c r="T7" s="7">
        <v>1.0580000000000001</v>
      </c>
      <c r="U7" s="5">
        <v>42</v>
      </c>
      <c r="V7" s="9">
        <v>3.8199999999999998E-2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36</v>
      </c>
      <c r="AC7" s="5" t="s">
        <v>93</v>
      </c>
    </row>
    <row r="8" spans="1:29" s="11" customFormat="1" ht="25.05" customHeight="1" x14ac:dyDescent="0.3">
      <c r="A8" s="5"/>
      <c r="B8" s="6" t="s">
        <v>48</v>
      </c>
      <c r="C8" s="5" t="s">
        <v>34</v>
      </c>
      <c r="D8" s="5" t="s">
        <v>79</v>
      </c>
      <c r="E8" s="5">
        <v>262989</v>
      </c>
      <c r="F8" s="5" t="s">
        <v>81</v>
      </c>
      <c r="G8" s="5">
        <v>250</v>
      </c>
      <c r="H8" s="7">
        <v>1.3440000000000001</v>
      </c>
      <c r="I8" s="7">
        <v>1.609</v>
      </c>
      <c r="J8" s="5" t="s">
        <v>26</v>
      </c>
      <c r="K8" s="5" t="s">
        <v>92</v>
      </c>
      <c r="L8" s="5" t="s">
        <v>26</v>
      </c>
      <c r="M8" s="7">
        <v>540.62400000000002</v>
      </c>
      <c r="N8" s="8">
        <v>402.3</v>
      </c>
      <c r="O8" s="9">
        <v>0.11169999999999999</v>
      </c>
      <c r="P8" s="10">
        <v>6.7</v>
      </c>
      <c r="Q8" s="5">
        <v>173</v>
      </c>
      <c r="R8" s="5">
        <v>1</v>
      </c>
      <c r="S8" s="5">
        <v>1400</v>
      </c>
      <c r="T8" s="7">
        <v>1.3440000000000001</v>
      </c>
      <c r="U8" s="5">
        <v>56</v>
      </c>
      <c r="V8" s="9">
        <v>0.04</v>
      </c>
      <c r="W8" s="5" t="s">
        <v>27</v>
      </c>
      <c r="X8" s="5" t="s">
        <v>27</v>
      </c>
      <c r="Y8" s="5" t="s">
        <v>27</v>
      </c>
      <c r="Z8" s="5" t="s">
        <v>26</v>
      </c>
      <c r="AA8" s="5" t="s">
        <v>26</v>
      </c>
      <c r="AB8" s="5" t="s">
        <v>36</v>
      </c>
      <c r="AC8" s="5" t="s">
        <v>91</v>
      </c>
    </row>
    <row r="9" spans="1:29" s="11" customFormat="1" ht="25.05" customHeight="1" x14ac:dyDescent="0.3">
      <c r="A9" s="5"/>
      <c r="B9" s="6" t="s">
        <v>48</v>
      </c>
      <c r="C9" s="5" t="s">
        <v>34</v>
      </c>
      <c r="D9" s="5" t="s">
        <v>79</v>
      </c>
      <c r="E9" s="5">
        <v>262988</v>
      </c>
      <c r="F9" s="5" t="s">
        <v>81</v>
      </c>
      <c r="G9" s="5">
        <v>1000</v>
      </c>
      <c r="H9" s="7">
        <v>0.40200000000000002</v>
      </c>
      <c r="I9" s="7">
        <v>1.133</v>
      </c>
      <c r="J9" s="5" t="s">
        <v>26</v>
      </c>
      <c r="K9" s="5" t="s">
        <v>90</v>
      </c>
      <c r="L9" s="5" t="s">
        <v>26</v>
      </c>
      <c r="M9" s="7">
        <v>455.46600000000001</v>
      </c>
      <c r="N9" s="8">
        <v>377.7</v>
      </c>
      <c r="O9" s="9">
        <v>3.5000000000000003E-2</v>
      </c>
      <c r="P9" s="10">
        <v>2.1</v>
      </c>
      <c r="Q9" s="5">
        <v>145.69999999999999</v>
      </c>
      <c r="R9" s="5">
        <v>3</v>
      </c>
      <c r="S9" s="5">
        <v>1250</v>
      </c>
      <c r="T9" s="7">
        <v>1.206</v>
      </c>
      <c r="U9" s="5">
        <v>44</v>
      </c>
      <c r="V9" s="9">
        <v>3.5200000000000002E-2</v>
      </c>
      <c r="W9" s="5" t="s">
        <v>27</v>
      </c>
      <c r="X9" s="5" t="s">
        <v>27</v>
      </c>
      <c r="Y9" s="5" t="s">
        <v>27</v>
      </c>
      <c r="Z9" s="5" t="s">
        <v>26</v>
      </c>
      <c r="AA9" s="5" t="s">
        <v>26</v>
      </c>
      <c r="AB9" s="5" t="s">
        <v>36</v>
      </c>
      <c r="AC9" s="5" t="s">
        <v>89</v>
      </c>
    </row>
    <row r="10" spans="1:29" s="11" customFormat="1" ht="25.05" customHeight="1" x14ac:dyDescent="0.3">
      <c r="A10" s="5"/>
      <c r="B10" s="6" t="s">
        <v>48</v>
      </c>
      <c r="C10" s="5" t="s">
        <v>34</v>
      </c>
      <c r="D10" s="5" t="s">
        <v>79</v>
      </c>
      <c r="E10" s="5">
        <v>262987</v>
      </c>
      <c r="F10" s="5" t="s">
        <v>81</v>
      </c>
      <c r="G10" s="5">
        <v>1100</v>
      </c>
      <c r="H10" s="7">
        <v>0.57699999999999996</v>
      </c>
      <c r="I10" s="7">
        <v>0.99299999999999999</v>
      </c>
      <c r="J10" s="5" t="s">
        <v>26</v>
      </c>
      <c r="K10" s="5" t="s">
        <v>88</v>
      </c>
      <c r="L10" s="5" t="s">
        <v>26</v>
      </c>
      <c r="M10" s="7">
        <v>630.25699999999995</v>
      </c>
      <c r="N10" s="8">
        <v>546.1</v>
      </c>
      <c r="O10" s="9">
        <v>7.5899999999999995E-2</v>
      </c>
      <c r="P10" s="10">
        <v>4.55</v>
      </c>
      <c r="Q10" s="5">
        <v>201.7</v>
      </c>
      <c r="R10" s="5">
        <v>2</v>
      </c>
      <c r="S10" s="5">
        <v>1200</v>
      </c>
      <c r="T10" s="7">
        <v>1.1539999999999999</v>
      </c>
      <c r="U10" s="5">
        <v>46</v>
      </c>
      <c r="V10" s="9">
        <v>3.8300000000000001E-2</v>
      </c>
      <c r="W10" s="5" t="s">
        <v>27</v>
      </c>
      <c r="X10" s="5" t="s">
        <v>27</v>
      </c>
      <c r="Y10" s="5" t="s">
        <v>27</v>
      </c>
      <c r="Z10" s="5" t="s">
        <v>26</v>
      </c>
      <c r="AA10" s="5" t="s">
        <v>26</v>
      </c>
      <c r="AB10" s="5" t="s">
        <v>36</v>
      </c>
      <c r="AC10" s="5" t="s">
        <v>87</v>
      </c>
    </row>
    <row r="11" spans="1:29" s="11" customFormat="1" ht="25.05" customHeight="1" x14ac:dyDescent="0.3">
      <c r="A11" s="5"/>
      <c r="B11" s="6" t="s">
        <v>48</v>
      </c>
      <c r="C11" s="5" t="s">
        <v>34</v>
      </c>
      <c r="D11" s="5" t="s">
        <v>79</v>
      </c>
      <c r="E11" s="5">
        <v>262994</v>
      </c>
      <c r="F11" s="5" t="s">
        <v>81</v>
      </c>
      <c r="G11" s="5">
        <v>1600</v>
      </c>
      <c r="H11" s="7">
        <v>0.28399999999999997</v>
      </c>
      <c r="I11" s="7">
        <v>0.64900000000000002</v>
      </c>
      <c r="J11" s="5" t="s">
        <v>26</v>
      </c>
      <c r="K11" s="5" t="s">
        <v>86</v>
      </c>
      <c r="L11" s="5" t="s">
        <v>26</v>
      </c>
      <c r="M11" s="7">
        <v>294.90600000000001</v>
      </c>
      <c r="N11" s="8">
        <v>259.60000000000002</v>
      </c>
      <c r="O11" s="9">
        <v>1.7999999999999999E-2</v>
      </c>
      <c r="P11" s="10">
        <v>1.08</v>
      </c>
      <c r="Q11" s="5">
        <v>94.4</v>
      </c>
      <c r="R11" s="5">
        <v>4</v>
      </c>
      <c r="S11" s="5">
        <v>1200</v>
      </c>
      <c r="T11" s="7">
        <v>1.1359999999999999</v>
      </c>
      <c r="U11" s="5">
        <v>64</v>
      </c>
      <c r="V11" s="9">
        <v>5.33E-2</v>
      </c>
      <c r="W11" s="5" t="s">
        <v>27</v>
      </c>
      <c r="X11" s="5" t="s">
        <v>27</v>
      </c>
      <c r="Y11" s="5" t="s">
        <v>27</v>
      </c>
      <c r="Z11" s="5" t="s">
        <v>26</v>
      </c>
      <c r="AA11" s="5" t="s">
        <v>26</v>
      </c>
      <c r="AB11" s="5" t="s">
        <v>36</v>
      </c>
      <c r="AC11" s="5" t="s">
        <v>85</v>
      </c>
    </row>
    <row r="12" spans="1:29" s="11" customFormat="1" ht="25.05" customHeight="1" x14ac:dyDescent="0.3">
      <c r="A12" s="5"/>
      <c r="B12" s="6" t="s">
        <v>48</v>
      </c>
      <c r="C12" s="5" t="s">
        <v>39</v>
      </c>
      <c r="D12" s="5" t="s">
        <v>79</v>
      </c>
      <c r="E12" s="5">
        <v>262996</v>
      </c>
      <c r="F12" s="5" t="s">
        <v>81</v>
      </c>
      <c r="G12" s="5">
        <v>2000</v>
      </c>
      <c r="H12" s="7">
        <v>0.53</v>
      </c>
      <c r="I12" s="7">
        <v>1.129</v>
      </c>
      <c r="J12" s="5" t="s">
        <v>26</v>
      </c>
      <c r="K12" s="5" t="s">
        <v>84</v>
      </c>
      <c r="L12" s="5" t="s">
        <v>26</v>
      </c>
      <c r="M12" s="7">
        <v>1196.74</v>
      </c>
      <c r="N12" s="8">
        <v>1129</v>
      </c>
      <c r="O12" s="9">
        <v>0.15679999999999999</v>
      </c>
      <c r="P12" s="10">
        <v>9.41</v>
      </c>
      <c r="Q12" s="5">
        <v>412.9</v>
      </c>
      <c r="R12" s="5">
        <v>2</v>
      </c>
      <c r="S12" s="5">
        <v>1100</v>
      </c>
      <c r="T12" s="7">
        <v>1.06</v>
      </c>
      <c r="U12" s="5">
        <v>40</v>
      </c>
      <c r="V12" s="9">
        <v>3.6400000000000002E-2</v>
      </c>
      <c r="W12" s="5" t="s">
        <v>28</v>
      </c>
      <c r="X12" s="5" t="s">
        <v>28</v>
      </c>
      <c r="Y12" s="5" t="s">
        <v>27</v>
      </c>
      <c r="Z12" s="5" t="s">
        <v>26</v>
      </c>
      <c r="AA12" s="5" t="s">
        <v>26</v>
      </c>
      <c r="AB12" s="5" t="s">
        <v>31</v>
      </c>
      <c r="AC12" s="5" t="s">
        <v>83</v>
      </c>
    </row>
    <row r="13" spans="1:29" s="11" customFormat="1" ht="25.05" customHeight="1" x14ac:dyDescent="0.3">
      <c r="A13" s="5"/>
      <c r="B13" s="6" t="s">
        <v>48</v>
      </c>
      <c r="C13" s="5" t="s">
        <v>34</v>
      </c>
      <c r="D13" s="5" t="s">
        <v>79</v>
      </c>
      <c r="E13" s="5">
        <v>262995</v>
      </c>
      <c r="F13" s="5" t="s">
        <v>81</v>
      </c>
      <c r="G13" s="5">
        <v>300</v>
      </c>
      <c r="H13" s="7">
        <v>1.02</v>
      </c>
      <c r="I13" s="7">
        <v>0.98099999999999998</v>
      </c>
      <c r="J13" s="5" t="s">
        <v>26</v>
      </c>
      <c r="K13" s="5" t="s">
        <v>32</v>
      </c>
      <c r="L13" s="5" t="s">
        <v>26</v>
      </c>
      <c r="M13" s="7">
        <v>300.18599999999998</v>
      </c>
      <c r="N13" s="8">
        <v>294.3</v>
      </c>
      <c r="O13" s="9">
        <v>8.1799999999999998E-2</v>
      </c>
      <c r="P13" s="10">
        <v>4.91</v>
      </c>
      <c r="Q13" s="5">
        <v>96.1</v>
      </c>
      <c r="R13" s="5">
        <v>1</v>
      </c>
      <c r="S13" s="5">
        <v>1050</v>
      </c>
      <c r="T13" s="7">
        <v>1.02</v>
      </c>
      <c r="U13" s="5">
        <v>30</v>
      </c>
      <c r="V13" s="9">
        <v>2.86E-2</v>
      </c>
      <c r="W13" s="5" t="s">
        <v>27</v>
      </c>
      <c r="X13" s="5" t="s">
        <v>27</v>
      </c>
      <c r="Y13" s="5" t="s">
        <v>27</v>
      </c>
      <c r="Z13" s="5" t="s">
        <v>26</v>
      </c>
      <c r="AA13" s="5" t="s">
        <v>26</v>
      </c>
      <c r="AB13" s="5" t="s">
        <v>36</v>
      </c>
      <c r="AC13" s="5" t="s">
        <v>82</v>
      </c>
    </row>
    <row r="14" spans="1:29" s="11" customFormat="1" ht="25.05" customHeight="1" x14ac:dyDescent="0.3">
      <c r="A14" s="12" t="s">
        <v>26</v>
      </c>
      <c r="B14" s="12" t="s">
        <v>26</v>
      </c>
      <c r="C14" s="12" t="s">
        <v>26</v>
      </c>
      <c r="D14" s="12" t="s">
        <v>26</v>
      </c>
      <c r="E14" s="12" t="s">
        <v>26</v>
      </c>
      <c r="F14" s="12" t="s">
        <v>26</v>
      </c>
      <c r="G14" s="12">
        <v>7400</v>
      </c>
      <c r="H14" s="12" t="s">
        <v>26</v>
      </c>
      <c r="I14" s="12" t="s">
        <v>26</v>
      </c>
      <c r="J14" s="12" t="s">
        <v>26</v>
      </c>
      <c r="K14" s="12" t="s">
        <v>26</v>
      </c>
      <c r="L14" s="12" t="s">
        <v>26</v>
      </c>
      <c r="M14" s="12" t="s">
        <v>26</v>
      </c>
      <c r="N14" s="12" t="s">
        <v>26</v>
      </c>
      <c r="O14" s="12" t="s">
        <v>26</v>
      </c>
      <c r="P14" s="12" t="s">
        <v>26</v>
      </c>
      <c r="Q14" s="12">
        <v>2530.6</v>
      </c>
      <c r="R14" s="12" t="s">
        <v>26</v>
      </c>
      <c r="S14" s="12" t="s">
        <v>26</v>
      </c>
      <c r="T14" s="12" t="s">
        <v>26</v>
      </c>
      <c r="U14" s="12" t="s">
        <v>26</v>
      </c>
      <c r="V14" s="12" t="s">
        <v>26</v>
      </c>
      <c r="W14" s="12" t="s">
        <v>26</v>
      </c>
      <c r="X14" s="12" t="s">
        <v>26</v>
      </c>
      <c r="Y14" s="12" t="s">
        <v>26</v>
      </c>
      <c r="Z14" s="12" t="s">
        <v>26</v>
      </c>
      <c r="AA14" s="12" t="s">
        <v>26</v>
      </c>
      <c r="AB14" s="12" t="s">
        <v>26</v>
      </c>
      <c r="AC14" s="12" t="s">
        <v>26</v>
      </c>
    </row>
  </sheetData>
  <mergeCells count="1">
    <mergeCell ref="A1:AC1"/>
  </mergeCells>
  <pageMargins left="0.511811024" right="0.511811024" top="1.87" bottom="0.78740157499999996" header="0.31496062000000002" footer="0.31496062000000002"/>
  <pageSetup scale="7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20</vt:i4>
      </vt:variant>
    </vt:vector>
  </HeadingPairs>
  <TitlesOfParts>
    <vt:vector size="20" baseType="lpstr">
      <vt:lpstr>PCBOX EMBALAGENS 1339</vt:lpstr>
      <vt:lpstr>TOLECAIXAS 1337 P </vt:lpstr>
      <vt:lpstr>RM EMBALAGENS 1334</vt:lpstr>
      <vt:lpstr>ABAPEL EMBALAGENS 1333 P</vt:lpstr>
      <vt:lpstr>RENOVAPEL 1332</vt:lpstr>
      <vt:lpstr>DR EMBALAGENS 1331 P</vt:lpstr>
      <vt:lpstr>RM EMBALAGENS 1330 P</vt:lpstr>
      <vt:lpstr>FAVINCO EMBALAGENS 1329</vt:lpstr>
      <vt:lpstr>DR EMBALAGENS 1326 P</vt:lpstr>
      <vt:lpstr>HARMONY EMBALAGENS 1325 P</vt:lpstr>
      <vt:lpstr>HARMONY EMBALAGENS 1320 P</vt:lpstr>
      <vt:lpstr>FORBOX 1319 P</vt:lpstr>
      <vt:lpstr>PCBOX EMBALAGENS 1316 P</vt:lpstr>
      <vt:lpstr>FAVINCO EMBALAGENS 1314 P</vt:lpstr>
      <vt:lpstr>ABAPEL EMBALAGENS 1308 P</vt:lpstr>
      <vt:lpstr>RENOVAPEL 1306 P</vt:lpstr>
      <vt:lpstr>INTERNACIONAL - SEDAMED 1304 P</vt:lpstr>
      <vt:lpstr>RM EMBALAGENS 1303 P</vt:lpstr>
      <vt:lpstr>HARMONY EMBALAGENS 1301 P</vt:lpstr>
      <vt:lpstr>HARMONY EMBALAGENS 1285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2026-10-28T19:45:49Z</cp:lastPrinted>
  <dcterms:created xsi:type="dcterms:W3CDTF">2026-07-02T17:42:15Z</dcterms:created>
  <dcterms:modified xsi:type="dcterms:W3CDTF">2026-10-28T19:47:12Z</dcterms:modified>
</cp:coreProperties>
</file>