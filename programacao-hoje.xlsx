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3DA4ACE-AD15-4C7F-BDD0-82A21E8B7DC3}" xr6:coauthVersionLast="47" xr6:coauthVersionMax="47" xr10:uidLastSave="{00000000-0000-0000-0000-000000000000}"/>
  <bookViews>
    <workbookView xWindow="-38510" yWindow="-10830" windowWidth="38620" windowHeight="21100" activeTab="3" xr2:uid="{00000000-000D-0000-FFFF-FFFF00000000}"/>
  </bookViews>
  <sheets>
    <sheet name="FAVINCO EMBALAGENS 1293 P" sheetId="207" r:id="rId1"/>
    <sheet name="IPE EMBALAGENS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06" l="1"/>
  <c r="G7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<sst xmlns="http://schemas.openxmlformats.org/spreadsheetml/2006/main" count="9657" uniqueCount="851">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</sst>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3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1" t="s">
        <v>847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842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846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845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842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844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843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842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841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840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7"/>
  <sheetViews>
    <sheetView zoomScale="144" zoomScaleNormal="144" workbookViewId="0">
      <selection activeCell="W14" sqref="W14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835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244" t="s">
        <v>832</v>
      </c>
      <c r="C3" s="244" t="s">
        <v>26</v>
      </c>
      <c r="D3" s="244" t="s">
        <v>825</v>
      </c>
      <c r="E3" s="245">
        <v>263020</v>
      </c>
      <c r="F3" s="244" t="s">
        <v>848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849</v>
      </c>
    </row>
    <row r="4" spans="1:29" s="264" customFormat="1" ht="25.05" customHeight="1" x14ac:dyDescent="0.3">
      <c r="A4" s="258"/>
      <c r="B4" s="259" t="s">
        <v>832</v>
      </c>
      <c r="C4" s="258" t="s">
        <v>35</v>
      </c>
      <c r="D4" s="258" t="s">
        <v>783</v>
      </c>
      <c r="E4" s="258">
        <v>263011</v>
      </c>
      <c r="F4" s="258" t="s">
        <v>831</v>
      </c>
      <c r="G4" s="258">
        <v>500</v>
      </c>
      <c r="H4" s="260">
        <v>1.1950000000000001</v>
      </c>
      <c r="I4" s="260">
        <v>2.0529999999999999</v>
      </c>
      <c r="J4" s="258" t="s">
        <v>27</v>
      </c>
      <c r="K4" s="258" t="s">
        <v>834</v>
      </c>
      <c r="L4" s="258" t="s">
        <v>27</v>
      </c>
      <c r="M4" s="260">
        <v>1226.6679999999999</v>
      </c>
      <c r="N4" s="261">
        <v>1026.5</v>
      </c>
      <c r="O4" s="262">
        <v>0.28510000000000002</v>
      </c>
      <c r="P4" s="263">
        <v>17.11</v>
      </c>
      <c r="Q4" s="258">
        <v>392.5</v>
      </c>
      <c r="R4" s="258">
        <v>1</v>
      </c>
      <c r="S4" s="258">
        <v>1250</v>
      </c>
      <c r="T4" s="260">
        <v>1.1950000000000001</v>
      </c>
      <c r="U4" s="258">
        <v>55</v>
      </c>
      <c r="V4" s="262">
        <v>4.3999999999999997E-2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833</v>
      </c>
    </row>
    <row r="5" spans="1:29" s="264" customFormat="1" ht="25.05" customHeight="1" x14ac:dyDescent="0.3">
      <c r="A5" s="258"/>
      <c r="B5" s="259" t="s">
        <v>832</v>
      </c>
      <c r="C5" s="258" t="s">
        <v>35</v>
      </c>
      <c r="D5" s="258" t="s">
        <v>783</v>
      </c>
      <c r="E5" s="258">
        <v>263012</v>
      </c>
      <c r="F5" s="258" t="s">
        <v>831</v>
      </c>
      <c r="G5" s="258">
        <v>500</v>
      </c>
      <c r="H5" s="260">
        <v>1.1779999999999999</v>
      </c>
      <c r="I5" s="260">
        <v>1.9590000000000001</v>
      </c>
      <c r="J5" s="258" t="s">
        <v>27</v>
      </c>
      <c r="K5" s="258" t="s">
        <v>830</v>
      </c>
      <c r="L5" s="258" t="s">
        <v>27</v>
      </c>
      <c r="M5" s="260">
        <v>1153.8510000000001</v>
      </c>
      <c r="N5" s="261">
        <v>979.5</v>
      </c>
      <c r="O5" s="262">
        <v>0.27210000000000001</v>
      </c>
      <c r="P5" s="263">
        <v>16.32</v>
      </c>
      <c r="Q5" s="258">
        <v>369.2</v>
      </c>
      <c r="R5" s="258">
        <v>1</v>
      </c>
      <c r="S5" s="258">
        <v>1200</v>
      </c>
      <c r="T5" s="260">
        <v>1.1779999999999999</v>
      </c>
      <c r="U5" s="258">
        <v>22</v>
      </c>
      <c r="V5" s="262">
        <v>1.83E-2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829</v>
      </c>
    </row>
    <row r="6" spans="1:29" s="264" customFormat="1" ht="25.05" customHeight="1" x14ac:dyDescent="0.3">
      <c r="A6" s="245"/>
      <c r="B6" s="244" t="s">
        <v>832</v>
      </c>
      <c r="C6" s="244" t="s">
        <v>35</v>
      </c>
      <c r="D6" s="244" t="s">
        <v>825</v>
      </c>
      <c r="E6" s="245">
        <v>263019</v>
      </c>
      <c r="F6" s="244" t="s">
        <v>848</v>
      </c>
      <c r="G6" s="245">
        <v>500</v>
      </c>
      <c r="H6" s="246">
        <v>0.53200000000000003</v>
      </c>
      <c r="I6" s="246">
        <v>1.403</v>
      </c>
      <c r="J6" s="245"/>
      <c r="K6" s="244" t="s">
        <v>33</v>
      </c>
      <c r="L6" s="245"/>
      <c r="M6" s="246">
        <v>373.19799999999998</v>
      </c>
      <c r="N6" s="247">
        <v>350.8</v>
      </c>
      <c r="O6" s="248">
        <v>4.87E-2</v>
      </c>
      <c r="P6" s="249">
        <v>2.92</v>
      </c>
      <c r="Q6" s="245">
        <v>119.4</v>
      </c>
      <c r="R6" s="245">
        <v>2</v>
      </c>
      <c r="S6" s="245">
        <v>1100</v>
      </c>
      <c r="T6" s="246">
        <v>1.0640000000000001</v>
      </c>
      <c r="U6" s="245">
        <v>36</v>
      </c>
      <c r="V6" s="248">
        <v>3.27E-2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38</v>
      </c>
      <c r="AC6" s="244" t="s">
        <v>850</v>
      </c>
    </row>
    <row r="7" spans="1:29" s="264" customFormat="1" ht="25.05" customHeight="1" x14ac:dyDescent="0.3">
      <c r="A7" s="265" t="s">
        <v>27</v>
      </c>
      <c r="B7" s="265" t="s">
        <v>27</v>
      </c>
      <c r="C7" s="265" t="s">
        <v>27</v>
      </c>
      <c r="D7" s="265" t="s">
        <v>27</v>
      </c>
      <c r="E7" s="265" t="s">
        <v>27</v>
      </c>
      <c r="F7" s="265" t="s">
        <v>27</v>
      </c>
      <c r="G7" s="265">
        <f>SUM(G3:G6)</f>
        <v>2000</v>
      </c>
      <c r="H7" s="265" t="s">
        <v>27</v>
      </c>
      <c r="I7" s="265" t="s">
        <v>27</v>
      </c>
      <c r="J7" s="265" t="s">
        <v>27</v>
      </c>
      <c r="K7" s="265" t="s">
        <v>27</v>
      </c>
      <c r="L7" s="265" t="s">
        <v>27</v>
      </c>
      <c r="M7" s="265" t="s">
        <v>27</v>
      </c>
      <c r="N7" s="265" t="s">
        <v>27</v>
      </c>
      <c r="O7" s="265" t="s">
        <v>27</v>
      </c>
      <c r="P7" s="265" t="s">
        <v>27</v>
      </c>
      <c r="Q7" s="265">
        <f>SUM(Q3:Q6)</f>
        <v>1174.7</v>
      </c>
      <c r="R7" s="265" t="s">
        <v>27</v>
      </c>
      <c r="S7" s="265" t="s">
        <v>27</v>
      </c>
      <c r="T7" s="265" t="s">
        <v>27</v>
      </c>
      <c r="U7" s="265" t="s">
        <v>27</v>
      </c>
      <c r="V7" s="265" t="s">
        <v>27</v>
      </c>
      <c r="W7" s="265" t="s">
        <v>27</v>
      </c>
      <c r="X7" s="265" t="s">
        <v>27</v>
      </c>
      <c r="Y7" s="265" t="s">
        <v>27</v>
      </c>
      <c r="Z7" s="265" t="s">
        <v>27</v>
      </c>
      <c r="AA7" s="265" t="s">
        <v>27</v>
      </c>
      <c r="AB7" s="265" t="s">
        <v>27</v>
      </c>
      <c r="AC7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0" t="s">
        <v>824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tabSelected="1" workbookViewId="0">
      <selection activeCell="I14" sqref="I1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22" t="s">
        <v>818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 x14ac:dyDescent="0.3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848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1" t="s">
        <v>810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804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2" t="s">
        <v>778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1" t="s">
        <v>776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3" t="s">
        <v>771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3" t="s">
        <v>763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0" t="s">
        <v>759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3" t="s">
        <v>737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1" t="s">
        <v>721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3" t="s">
        <v>717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4" t="s">
        <v>709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3" t="s">
        <v>738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5" t="s">
        <v>696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3" t="s">
        <v>664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5" t="s">
        <v>660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5" t="s">
        <v>645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/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5" t="s">
        <v>622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/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614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3" t="s">
        <v>606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5" t="s">
        <v>595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3" t="s">
        <v>585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/>
      <c r="K1" s="313" t="s">
        <v>27</v>
      </c>
      <c r="L1" s="313"/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837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836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837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839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6" t="s">
        <v>578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/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/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573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5" t="s">
        <v>566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3" t="s">
        <v>528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3" t="s">
        <v>508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7" t="s">
        <v>489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3" t="s">
        <v>478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8" t="s">
        <v>477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5" t="s">
        <v>458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5" t="s">
        <v>395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5" t="s">
        <v>593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8" t="s">
        <v>364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321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5" t="s">
        <v>296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5" t="s">
        <v>278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5" t="s">
        <v>264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9" t="s">
        <v>247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234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228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5" t="s">
        <v>218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5" t="s">
        <v>235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3" t="s">
        <v>181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173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5" t="s">
        <v>143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139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8" t="s">
        <v>123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0" t="s">
        <v>105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1" t="s">
        <v>80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EMBALAGENS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2026-10-19T12:14:25Z</cp:lastPrinted>
  <dcterms:created xsi:type="dcterms:W3CDTF">2026-07-02T17:42:15Z</dcterms:created>
  <dcterms:modified xsi:type="dcterms:W3CDTF">2026-10-19T16:40:10Z</dcterms:modified>
</cp:coreProperties>
</file>