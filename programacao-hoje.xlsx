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EE8A1473-61F9-405D-9D01-CB392F2E9357}" xr6:coauthVersionLast="47" xr6:coauthVersionMax="47" xr10:uidLastSave="{00000000-0000-0000-0000-000000000000}"/>
  <bookViews>
    <workbookView xWindow="-21720" yWindow="-120" windowWidth="21840" windowHeight="13020" firstSheet="3" activeTab="4" xr2:uid="{00000000-000D-0000-FFFF-FFFF00000000}"/>
  </bookViews>
  <sheets>
    <sheet name="IPE - PC BOX 1203" sheetId="154" r:id="rId1"/>
    <sheet name="ABAPEL 1201" sheetId="153" r:id="rId2"/>
    <sheet name="HARMONY EMBALAGENS 1200" sheetId="152" r:id="rId3"/>
    <sheet name="HARMONY EMBALAGENS 1199" sheetId="151" r:id="rId4"/>
    <sheet name="FAVINCO EMBALAGENS 1197" sheetId="150" r:id="rId5"/>
    <sheet name="ABAPEL 1196" sheetId="149" r:id="rId6"/>
    <sheet name="CARPELL LTDA 1195 P" sheetId="147" r:id="rId7"/>
    <sheet name="Renovapel 1192 P" sheetId="146" r:id="rId8"/>
    <sheet name="DR EMBALAGENS 1189  P" sheetId="144" r:id="rId9"/>
    <sheet name="FAVINCO EMBALAGENS 1188 R" sheetId="143" r:id="rId10"/>
    <sheet name="PCBOX - IPE 1187 P" sheetId="142" r:id="rId11"/>
    <sheet name="RM Embalagens 1184 P" sheetId="141" r:id="rId12"/>
    <sheet name="CARTOMIL EMBALAGENS LTDA 1183 P" sheetId="140" r:id="rId13"/>
    <sheet name="Z4A EMBALAGENS LTDA 1182" sheetId="139" r:id="rId14"/>
    <sheet name="HARMONY EMBALAGENS 1180 P" sheetId="137" r:id="rId15"/>
    <sheet name="RM Embalagens 1179 P" sheetId="136" r:id="rId16"/>
    <sheet name="Tolecaixas 1181 P" sheetId="138" r:id="rId17"/>
    <sheet name="ABAPEL 1178 P" sheetId="135" r:id="rId18"/>
    <sheet name="FAVINCO EMBALAGENS 1177 P" sheetId="134" r:id="rId19"/>
    <sheet name="IPE EMBALAGENS 1176 P" sheetId="133" r:id="rId20"/>
    <sheet name="PCBOX EMBALAGENS 1175 P" sheetId="132" r:id="rId21"/>
    <sheet name="ABAPEL 1174 P" sheetId="131" r:id="rId22"/>
    <sheet name="PCBOX EMBALAGENS 1171 P" sheetId="127" r:id="rId23"/>
    <sheet name="HARMONY EMBALAGENS 1169 P" sheetId="125" r:id="rId24"/>
    <sheet name="DR EMBALAGEM 1167 P" sheetId="124" r:id="rId25"/>
    <sheet name="Z4A EMBALAGENS  1166 P" sheetId="123" r:id="rId26"/>
    <sheet name="RM Embalagens 1165 P" sheetId="122" r:id="rId27"/>
    <sheet name="Carpel 1158 P" sheetId="119" r:id="rId28"/>
    <sheet name="ABAPEL 1155 P" sheetId="118" r:id="rId29"/>
    <sheet name="IPE - PCBOX 1154 P" sheetId="117" r:id="rId30"/>
    <sheet name="ABAPEL 1143 P" sheetId="109" r:id="rId31"/>
    <sheet name="HARMONY EMBALAGENS 1138 P" sheetId="102" r:id="rId32"/>
    <sheet name="ABAPEL 1127 P" sheetId="97" r:id="rId33"/>
    <sheet name="ABAPEL 1105 P" sheetId="85" r:id="rId34"/>
    <sheet name="IVAIR SILVA 1122 P" sheetId="91" r:id="rId35"/>
    <sheet name="RENOVAPEL 1115 P" sheetId="88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1" i="150" l="1"/>
  <c r="H11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<sst xmlns="http://schemas.openxmlformats.org/spreadsheetml/2006/main" count="6719" uniqueCount="734">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</sst>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" fillId="0" borderId="0" xfId="1" applyFont="1"/>
    <xf numFmtId="0" fontId="21" fillId="0" borderId="0" xfId="3" applyFont="1"/>
    <xf numFmtId="0" fontId="8" fillId="0" borderId="0" xfId="3" applyFont="1"/>
    <xf numFmtId="0" fontId="8" fillId="0" borderId="0" xfId="1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dimension ref="A1:AB7"/>
  <sheetViews>
    <sheetView workbookViewId="0">
      <selection activeCell="R15" sqref="R15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18" t="s">
        <v>723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2" customFormat="1" ht="25.05" customHeight="1" x14ac:dyDescent="0.3">
      <c r="A6" s="5">
        <v>5</v>
      </c>
      <c r="B6" s="10" t="s">
        <v>448</v>
      </c>
      <c r="C6" s="5" t="s">
        <v>36</v>
      </c>
      <c r="D6" s="5" t="s">
        <v>716</v>
      </c>
      <c r="E6" s="5" t="s">
        <v>27</v>
      </c>
      <c r="F6" s="5">
        <v>262604</v>
      </c>
      <c r="G6" s="5" t="s">
        <v>715</v>
      </c>
      <c r="H6" s="5">
        <v>3000</v>
      </c>
      <c r="I6" s="7">
        <v>0.45600000000000002</v>
      </c>
      <c r="J6" s="7">
        <v>1.5609999999999999</v>
      </c>
      <c r="K6" s="5" t="s">
        <v>714</v>
      </c>
      <c r="L6" s="7">
        <v>2135.4479999999999</v>
      </c>
      <c r="M6" s="9">
        <v>2341.5</v>
      </c>
      <c r="N6" s="6">
        <v>0.32519999999999999</v>
      </c>
      <c r="O6" s="8">
        <v>19.510000000000002</v>
      </c>
      <c r="P6" s="5">
        <v>672.7</v>
      </c>
      <c r="Q6" s="5">
        <v>2</v>
      </c>
      <c r="R6" s="5">
        <v>950</v>
      </c>
      <c r="S6" s="7">
        <v>0.91200000000000003</v>
      </c>
      <c r="T6" s="5">
        <v>38</v>
      </c>
      <c r="U6" s="6">
        <v>0.04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32</v>
      </c>
      <c r="AB6" s="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Q17" sqref="Q17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18" t="s">
        <v>710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8" t="s">
        <v>702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9" t="s">
        <v>681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1"/>
  <sheetViews>
    <sheetView tabSelected="1" workbookViewId="0">
      <selection activeCell="K16" sqref="K16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19" t="s">
        <v>669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 x14ac:dyDescent="0.3">
      <c r="A7" s="161">
        <v>5</v>
      </c>
      <c r="B7" s="162" t="s">
        <v>480</v>
      </c>
      <c r="C7" s="161" t="s">
        <v>36</v>
      </c>
      <c r="D7" s="191">
        <v>46280</v>
      </c>
      <c r="E7" s="161"/>
      <c r="F7" s="161">
        <v>262603</v>
      </c>
      <c r="G7" s="161">
        <v>70</v>
      </c>
      <c r="H7" s="161">
        <v>600</v>
      </c>
      <c r="I7" s="163">
        <v>0.69</v>
      </c>
      <c r="J7" s="163">
        <v>1</v>
      </c>
      <c r="K7" s="161" t="s">
        <v>34</v>
      </c>
      <c r="L7" s="163">
        <v>414</v>
      </c>
      <c r="M7" s="164">
        <v>300</v>
      </c>
      <c r="N7" s="165">
        <v>4.1700000000000001E-2</v>
      </c>
      <c r="O7" s="166">
        <v>2.5</v>
      </c>
      <c r="P7" s="161">
        <v>130.4</v>
      </c>
      <c r="Q7" s="161">
        <v>2</v>
      </c>
      <c r="R7" s="161">
        <v>1400</v>
      </c>
      <c r="S7" s="163">
        <v>1.38</v>
      </c>
      <c r="T7" s="161">
        <v>20</v>
      </c>
      <c r="U7" s="165">
        <v>1.43E-2</v>
      </c>
      <c r="V7" s="161" t="s">
        <v>28</v>
      </c>
      <c r="W7" s="161" t="s">
        <v>28</v>
      </c>
      <c r="X7" s="161" t="s">
        <v>28</v>
      </c>
      <c r="Y7" s="161"/>
      <c r="Z7" s="161"/>
      <c r="AA7" s="161">
        <v>1</v>
      </c>
      <c r="AB7" s="161" t="s">
        <v>712</v>
      </c>
    </row>
    <row r="8" spans="1:28" s="167" customFormat="1" x14ac:dyDescent="0.3">
      <c r="A8" s="161">
        <v>6</v>
      </c>
      <c r="B8" s="162" t="s">
        <v>480</v>
      </c>
      <c r="C8" s="161" t="s">
        <v>670</v>
      </c>
      <c r="D8" s="191">
        <v>46279</v>
      </c>
      <c r="E8" s="161"/>
      <c r="F8" s="161">
        <v>262577</v>
      </c>
      <c r="G8" s="161">
        <v>69</v>
      </c>
      <c r="H8" s="161">
        <v>1000</v>
      </c>
      <c r="I8" s="163">
        <v>0.52500000000000002</v>
      </c>
      <c r="J8" s="163">
        <v>1.29</v>
      </c>
      <c r="K8" s="161" t="s">
        <v>672</v>
      </c>
      <c r="L8" s="163">
        <v>677.25</v>
      </c>
      <c r="M8" s="164">
        <v>645</v>
      </c>
      <c r="N8" s="165">
        <v>8.9599999999999999E-2</v>
      </c>
      <c r="O8" s="166">
        <v>5.38</v>
      </c>
      <c r="P8" s="161">
        <v>262.8</v>
      </c>
      <c r="Q8" s="161">
        <v>2</v>
      </c>
      <c r="R8" s="161">
        <v>1100</v>
      </c>
      <c r="S8" s="163">
        <v>1.05</v>
      </c>
      <c r="T8" s="161">
        <v>50</v>
      </c>
      <c r="U8" s="165">
        <v>4.5499999999999999E-2</v>
      </c>
      <c r="V8" s="161" t="s">
        <v>40</v>
      </c>
      <c r="W8" s="161" t="s">
        <v>29</v>
      </c>
      <c r="X8" s="161" t="s">
        <v>29</v>
      </c>
      <c r="Y8" s="161"/>
      <c r="Z8" s="161"/>
      <c r="AA8" s="161">
        <v>2</v>
      </c>
      <c r="AB8" s="161" t="s">
        <v>673</v>
      </c>
    </row>
    <row r="9" spans="1:28" s="167" customForma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262602</v>
      </c>
      <c r="G9" s="161">
        <v>70</v>
      </c>
      <c r="H9" s="161">
        <v>1250</v>
      </c>
      <c r="I9" s="163">
        <v>0.54</v>
      </c>
      <c r="J9" s="163">
        <v>1</v>
      </c>
      <c r="K9" s="161" t="s">
        <v>34</v>
      </c>
      <c r="L9" s="163">
        <v>675</v>
      </c>
      <c r="M9" s="164">
        <v>625</v>
      </c>
      <c r="N9" s="165">
        <v>8.6800000000000002E-2</v>
      </c>
      <c r="O9" s="166">
        <v>5.21</v>
      </c>
      <c r="P9" s="161">
        <v>212.6</v>
      </c>
      <c r="Q9" s="161">
        <v>2</v>
      </c>
      <c r="R9" s="161">
        <v>1100</v>
      </c>
      <c r="S9" s="163">
        <v>1.08</v>
      </c>
      <c r="T9" s="161">
        <v>20</v>
      </c>
      <c r="U9" s="165">
        <v>1.8200000000000001E-2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711</v>
      </c>
    </row>
    <row r="10" spans="1:28" s="167" customFormat="1" x14ac:dyDescent="0.3">
      <c r="A10" s="161"/>
      <c r="B10" s="162" t="s">
        <v>480</v>
      </c>
      <c r="C10" s="161" t="s">
        <v>36</v>
      </c>
      <c r="D10" s="191">
        <v>46281</v>
      </c>
      <c r="E10" s="161"/>
      <c r="F10" s="161">
        <v>262615</v>
      </c>
      <c r="G10" s="161">
        <v>71</v>
      </c>
      <c r="H10" s="161">
        <v>3000</v>
      </c>
      <c r="I10" s="163">
        <v>0.51400000000000001</v>
      </c>
      <c r="J10" s="163">
        <v>1.3420000000000001</v>
      </c>
      <c r="K10" s="161" t="s">
        <v>732</v>
      </c>
      <c r="L10" s="163">
        <v>1379.576</v>
      </c>
      <c r="M10" s="164">
        <v>1342</v>
      </c>
      <c r="N10" s="165">
        <v>0.18640000000000001</v>
      </c>
      <c r="O10" s="166">
        <v>11.18</v>
      </c>
      <c r="P10" s="161">
        <v>434.6</v>
      </c>
      <c r="Q10" s="161">
        <v>2</v>
      </c>
      <c r="R10" s="161">
        <v>1050</v>
      </c>
      <c r="S10" s="163">
        <v>1.028</v>
      </c>
      <c r="T10" s="161">
        <v>22</v>
      </c>
      <c r="U10" s="165">
        <v>2.1000000000000001E-2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3</v>
      </c>
      <c r="AB10" s="161" t="s">
        <v>733</v>
      </c>
    </row>
    <row r="11" spans="1:28" s="167" customFormat="1" x14ac:dyDescent="0.3">
      <c r="A11" s="168" t="s">
        <v>27</v>
      </c>
      <c r="B11" s="168" t="s">
        <v>27</v>
      </c>
      <c r="C11" s="168" t="s">
        <v>27</v>
      </c>
      <c r="D11" s="168" t="s">
        <v>27</v>
      </c>
      <c r="E11" s="168" t="s">
        <v>27</v>
      </c>
      <c r="F11" s="168" t="s">
        <v>27</v>
      </c>
      <c r="G11" s="168" t="s">
        <v>27</v>
      </c>
      <c r="H11" s="168">
        <f>SUM(H3:H10)</f>
        <v>7850</v>
      </c>
      <c r="I11" s="168" t="s">
        <v>27</v>
      </c>
      <c r="J11" s="168" t="s">
        <v>27</v>
      </c>
      <c r="K11" s="168" t="s">
        <v>27</v>
      </c>
      <c r="L11" s="168" t="s">
        <v>27</v>
      </c>
      <c r="M11" s="168" t="s">
        <v>27</v>
      </c>
      <c r="N11" s="168" t="s">
        <v>27</v>
      </c>
      <c r="O11" s="168" t="s">
        <v>27</v>
      </c>
      <c r="P11" s="168">
        <f>SUM(P3:P10)</f>
        <v>2055.9</v>
      </c>
      <c r="Q11" s="168" t="s">
        <v>27</v>
      </c>
      <c r="R11" s="168" t="s">
        <v>27</v>
      </c>
      <c r="S11" s="168" t="s">
        <v>27</v>
      </c>
      <c r="T11" s="168" t="s">
        <v>27</v>
      </c>
      <c r="U11" s="168" t="s">
        <v>27</v>
      </c>
      <c r="V11" s="168" t="s">
        <v>27</v>
      </c>
      <c r="W11" s="168" t="s">
        <v>27</v>
      </c>
      <c r="X11" s="168" t="s">
        <v>27</v>
      </c>
      <c r="Y11" s="168" t="s">
        <v>27</v>
      </c>
      <c r="Z11" s="168" t="s">
        <v>27</v>
      </c>
      <c r="AA11" s="168" t="s">
        <v>27</v>
      </c>
      <c r="AB11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9" t="s">
        <v>665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opLeftCell="A14"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0" t="s">
        <v>652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0" t="s">
        <v>618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0" t="s">
        <v>606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R12" sqref="R1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0" t="s">
        <v>599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21" t="s">
        <v>592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3" workbookViewId="0">
      <selection sqref="A1:AB15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21" t="s">
        <v>539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18" t="s">
        <v>535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0" t="s">
        <v>531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21" t="s">
        <v>496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21" t="s">
        <v>486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1" t="s">
        <v>475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21" t="s">
        <v>454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21" t="s">
        <v>440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21" t="s">
        <v>403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21" t="s">
        <v>329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1" t="s">
        <v>324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21" t="s">
        <v>258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21" t="s">
        <v>240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21" t="s">
        <v>202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1" t="s">
        <v>192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21" t="s">
        <v>79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21" t="s">
        <v>134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36</vt:i4>
      </vt:variant>
    </vt:vector>
  </HeadingPairs>
  <TitlesOfParts>
    <vt:vector size="36" baseType="lpstr">
      <vt:lpstr>IPE - PC BOX 1203</vt:lpstr>
      <vt:lpstr>ABAPEL 1201</vt:lpstr>
      <vt:lpstr>HARMONY EMBALAGENS 1200</vt:lpstr>
      <vt:lpstr>HARMONY EMBALAGENS 1199</vt:lpstr>
      <vt:lpstr>FAVINCO EMBALAGENS 1197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2026-09-15T19:40:12Z</cp:lastPrinted>
  <dcterms:created xsi:type="dcterms:W3CDTF">2026-07-02T17:42:15Z</dcterms:created>
  <dcterms:modified xsi:type="dcterms:W3CDTF">2026-09-16T17:21:37Z</dcterms:modified>
</cp:coreProperties>
</file>