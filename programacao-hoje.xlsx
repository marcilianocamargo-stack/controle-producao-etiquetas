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Prime\Produção\programação\"/>
    </mc:Choice>
  </mc:AlternateContent>
  <xr:revisionPtr revIDLastSave="0" documentId="13_ncr:1_{B5193392-B6E4-45BA-9CFF-FFEBF41ED33B}" xr6:coauthVersionLast="47" xr6:coauthVersionMax="47" xr10:uidLastSave="{00000000-0000-0000-0000-000000000000}"/>
  <bookViews>
    <workbookView xWindow="-38510" yWindow="-10830" windowWidth="38620" windowHeight="21100" xr2:uid="{00000000-000D-0000-FFFF-FFFF00000000}"/>
  </bookViews>
  <sheets>
    <sheet name="DR EMBALAGENS 1282 P" sheetId="201" r:id="rId1"/>
    <sheet name="J FER 1281 P" sheetId="200" r:id="rId2"/>
    <sheet name="VÔ CHICO 1280 P" sheetId="199" r:id="rId3"/>
    <sheet name="PCBOX EMBALAGENS 1278 P" sheetId="198" r:id="rId4"/>
    <sheet name="RM EMBALAGENS 1277" sheetId="197" r:id="rId5"/>
    <sheet name="RM Embalagens 1275 P" sheetId="196" r:id="rId6"/>
    <sheet name="FAVINCO EMBALAGENS 1273 P" sheetId="195" r:id="rId7"/>
    <sheet name="ABAPEL 1272 P" sheetId="194" r:id="rId8"/>
    <sheet name="RM Embalagens 1271 P" sheetId="193" r:id="rId9"/>
    <sheet name="IPE -PC BOX 1270 P" sheetId="192" r:id="rId10"/>
    <sheet name="PCBOX  - IPE 1266 P" sheetId="191" r:id="rId11"/>
    <sheet name="Tolecaixas 1264 P" sheetId="190" r:id="rId12"/>
    <sheet name="RM Embalagens 1263 P" sheetId="189" r:id="rId13"/>
    <sheet name="HARMONY EMBALAGENS 1262 P" sheetId="188" r:id="rId14"/>
    <sheet name="HARMONY EMBALAGENS 1260 P" sheetId="187" r:id="rId15"/>
    <sheet name="CARTOMIL EMBALAGENS LTDA 1258 P" sheetId="185" r:id="rId16"/>
    <sheet name="CARPEL 1257 P" sheetId="184" r:id="rId17"/>
    <sheet name="FAVINCO EMBALAGENS 1256 P" sheetId="183" r:id="rId18"/>
    <sheet name="RR STELLA 1253 P" sheetId="181" r:id="rId19"/>
    <sheet name="FAVINCO EMBALAGENS 1252 P" sheetId="180" r:id="rId20"/>
    <sheet name="DR EMBALAGENS 1250 P" sheetId="179" r:id="rId21"/>
    <sheet name="HARMONY EMBALAGENS 1249 P" sheetId="178" r:id="rId22"/>
    <sheet name="FAVINCO 1248 AMOSTRA" sheetId="177" r:id="rId23"/>
    <sheet name="ABAPEL 1246 P" sheetId="176" r:id="rId24"/>
    <sheet name="FAVINCO 1243 P" sheetId="175" r:id="rId25"/>
    <sheet name="Renovapel 1242 P" sheetId="174" r:id="rId26"/>
    <sheet name="Tole. DR EMB. VO CH S. M 1241 P" sheetId="173" r:id="rId27"/>
    <sheet name="FAVINCO 1239 P" sheetId="172" r:id="rId28"/>
    <sheet name="PCBOX EMBALAGENS 1233 P" sheetId="170" r:id="rId29"/>
    <sheet name="RM Embalagens 1232 P" sheetId="169" r:id="rId30"/>
    <sheet name="HARMONY EMBALAGENS 1231 P" sheetId="168" r:id="rId31"/>
    <sheet name="RM Embalagens P" sheetId="166" r:id="rId32"/>
    <sheet name="PCBOX EMBALAGENS LTDA 1222 P" sheetId="164" r:id="rId33"/>
    <sheet name="FORBOX 1220 P" sheetId="163" r:id="rId34"/>
    <sheet name="HARMONY EMBALAGENS 1217 P" sheetId="162" r:id="rId35"/>
    <sheet name="Z4A EMBALAGENS LTDA 1216" sheetId="161" r:id="rId36"/>
    <sheet name="ABAPEL 1213 P" sheetId="159" r:id="rId37"/>
    <sheet name="IPE - PCBOX 1212 P" sheetId="158" r:id="rId38"/>
    <sheet name="Z4A EMBALAGENS LTDA 1210 P" sheetId="157" r:id="rId39"/>
    <sheet name="RM Embalagens 1209 P" sheetId="156" r:id="rId40"/>
    <sheet name="ABAPEL 1201 P" sheetId="153" r:id="rId41"/>
    <sheet name="HARMONY EMBALAGENS 1200 P" sheetId="152" r:id="rId42"/>
    <sheet name="FAVINCO EMBALAGENS 1197 P" sheetId="150" r:id="rId43"/>
    <sheet name="ABAPEL 1196 P" sheetId="149" r:id="rId44"/>
    <sheet name="RM Embalagens 1184 P" sheetId="141" r:id="rId45"/>
    <sheet name="HARMONY EMBALAGENS 1180 P" sheetId="137" r:id="rId46"/>
    <sheet name="Carpel 1158 P" sheetId="119" r:id="rId47"/>
  </sheets>
  <definedNames>
    <definedName name="_xlnm.Print_Area" localSheetId="6">'FAVINCO EMBALAGENS 1273 P'!$A$1:$AC$8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" i="195" l="1"/>
  <c r="G8" i="195"/>
  <c r="Q7" i="192" l="1"/>
  <c r="G7" i="192"/>
  <c r="G9" i="190"/>
  <c r="Q9" i="190"/>
  <c r="G17" i="191"/>
  <c r="Q17" i="191"/>
  <c r="P9" i="175"/>
  <c r="H9" i="175"/>
  <c r="Q9" i="180"/>
  <c r="G9" i="180"/>
  <c r="P10" i="176" l="1"/>
  <c r="H10" i="176"/>
  <c r="P19" i="170"/>
  <c r="H19" i="170"/>
  <c r="P21" i="173"/>
  <c r="H21" i="173"/>
  <c r="H18" i="159"/>
  <c r="P18" i="159"/>
  <c r="P11" i="164" l="1"/>
  <c r="H11" i="164"/>
  <c r="P8" i="153"/>
  <c r="H8" i="153"/>
  <c r="H20" i="152"/>
  <c r="P20" i="152"/>
  <c r="H12" i="158"/>
  <c r="P12" i="158"/>
  <c r="P17" i="150"/>
  <c r="H17" i="150"/>
</calcChain>
</file>

<file path=xl/sharedStrings.xml><?xml version="1.0" encoding="utf-8"?>
<sst xmlns="http://schemas.openxmlformats.org/spreadsheetml/2006/main" count="8682" uniqueCount="784">
  <si>
    <t>Seq.Prod</t>
  </si>
  <si>
    <t>P.O.</t>
  </si>
  <si>
    <t>Data Pedido</t>
  </si>
  <si>
    <t>Qtde. Prod.</t>
  </si>
  <si>
    <t>OC</t>
  </si>
  <si>
    <t>Qtde Pedido</t>
  </si>
  <si>
    <t>largura</t>
  </si>
  <si>
    <t>comprimento (facão)</t>
  </si>
  <si>
    <t>Sliter Vincadeira</t>
  </si>
  <si>
    <t>m²</t>
  </si>
  <si>
    <t>ML</t>
  </si>
  <si>
    <t>t/prod</t>
  </si>
  <si>
    <t>Min prod</t>
  </si>
  <si>
    <t>kg</t>
  </si>
  <si>
    <t>Arranjo</t>
  </si>
  <si>
    <t>Formato bobinas</t>
  </si>
  <si>
    <t>Largura util</t>
  </si>
  <si>
    <t>Ponta Refile</t>
  </si>
  <si>
    <t>Refile</t>
  </si>
  <si>
    <t>Capa Forradeira</t>
  </si>
  <si>
    <t>MB</t>
  </si>
  <si>
    <t>CIB</t>
  </si>
  <si>
    <t>MC</t>
  </si>
  <si>
    <t>CIC</t>
  </si>
  <si>
    <t>Palete Qtde</t>
  </si>
  <si>
    <t>Palete (medida LxC)</t>
  </si>
  <si>
    <t>P50D</t>
  </si>
  <si>
    <t/>
  </si>
  <si>
    <t>TPQ100</t>
  </si>
  <si>
    <t>TLQ110</t>
  </si>
  <si>
    <t>3</t>
  </si>
  <si>
    <t>4</t>
  </si>
  <si>
    <t>2</t>
  </si>
  <si>
    <t>x</t>
  </si>
  <si>
    <t>TLQ100</t>
  </si>
  <si>
    <t>P25B</t>
  </si>
  <si>
    <t>Cliente</t>
  </si>
  <si>
    <t>WTL120</t>
  </si>
  <si>
    <t>1</t>
  </si>
  <si>
    <t>TLQ120</t>
  </si>
  <si>
    <t>6</t>
  </si>
  <si>
    <t>TLQ125</t>
  </si>
  <si>
    <t>P35B</t>
  </si>
  <si>
    <t>X</t>
  </si>
  <si>
    <t>P55D</t>
  </si>
  <si>
    <t>P60C</t>
  </si>
  <si>
    <t>642x1829</t>
  </si>
  <si>
    <t>980x1752</t>
  </si>
  <si>
    <t>5</t>
  </si>
  <si>
    <t>P40B</t>
  </si>
  <si>
    <t>267x671x267</t>
  </si>
  <si>
    <t>1225x2611</t>
  </si>
  <si>
    <t>8</t>
  </si>
  <si>
    <t>OP</t>
  </si>
  <si>
    <t>7</t>
  </si>
  <si>
    <t>PW40B</t>
  </si>
  <si>
    <t>149x324x149</t>
  </si>
  <si>
    <t>P70D</t>
  </si>
  <si>
    <t>ABAPEL COMERCIO DE EMBALAGENS LTDA</t>
  </si>
  <si>
    <t>P25C</t>
  </si>
  <si>
    <t>HARMONY EMBALAGENS</t>
  </si>
  <si>
    <t>574x2224</t>
  </si>
  <si>
    <t>197x160x197</t>
  </si>
  <si>
    <t>9</t>
  </si>
  <si>
    <t>16</t>
  </si>
  <si>
    <t>11</t>
  </si>
  <si>
    <t>13</t>
  </si>
  <si>
    <t>181x280x181</t>
  </si>
  <si>
    <t xml:space="preserve">RM Embalagens </t>
  </si>
  <si>
    <t>786x1450</t>
  </si>
  <si>
    <t>206x550x206</t>
  </si>
  <si>
    <t>27/08/2026</t>
  </si>
  <si>
    <t>205x443x205</t>
  </si>
  <si>
    <t>1200x1660</t>
  </si>
  <si>
    <t>W55R28</t>
  </si>
  <si>
    <t>28/08/2026</t>
  </si>
  <si>
    <t>Carpel</t>
  </si>
  <si>
    <t>828x1410</t>
  </si>
  <si>
    <t>127x150x127</t>
  </si>
  <si>
    <t>940x1820</t>
  </si>
  <si>
    <t>PROGRAMAÇÃO ONDULADEIRA - Carpel  —  OF: 001158</t>
  </si>
  <si>
    <t>P45B</t>
  </si>
  <si>
    <t>932x1980</t>
  </si>
  <si>
    <t>102x100x102</t>
  </si>
  <si>
    <t>Z4A EMBALAGENS LTDA</t>
  </si>
  <si>
    <t>1174x1991</t>
  </si>
  <si>
    <t>187x780x187</t>
  </si>
  <si>
    <t>02/09/2026</t>
  </si>
  <si>
    <t>14</t>
  </si>
  <si>
    <t>125x196x125</t>
  </si>
  <si>
    <t>PCBOX EMBALAGENS LTDA</t>
  </si>
  <si>
    <t>1138x1409</t>
  </si>
  <si>
    <t>IPE EMBALAGENS LTDA</t>
  </si>
  <si>
    <t>FAVINCO EMBALAGENS</t>
  </si>
  <si>
    <t>03/09/2026</t>
  </si>
  <si>
    <t>1142x1331</t>
  </si>
  <si>
    <t>135x291x135</t>
  </si>
  <si>
    <t>03092026</t>
  </si>
  <si>
    <t>778x1918</t>
  </si>
  <si>
    <t>70x618x70</t>
  </si>
  <si>
    <t>1216x1711</t>
  </si>
  <si>
    <t>213x770x213</t>
  </si>
  <si>
    <t>02092026</t>
  </si>
  <si>
    <t>1256x2611</t>
  </si>
  <si>
    <t>283x670x283</t>
  </si>
  <si>
    <t>PROGRAMAÇÃO ONDULADEIRA - HARMONY EMBALAGENS  —  OF: 001180</t>
  </si>
  <si>
    <t>1140x1840</t>
  </si>
  <si>
    <t>Tolecaixas Indústria e Comércio Ltda</t>
  </si>
  <si>
    <t>1190x2150</t>
  </si>
  <si>
    <t>1142x1780</t>
  </si>
  <si>
    <t>52x270x52</t>
  </si>
  <si>
    <t>510</t>
  </si>
  <si>
    <t>07/09/2026</t>
  </si>
  <si>
    <t>920x1820</t>
  </si>
  <si>
    <t>942x1340</t>
  </si>
  <si>
    <t>760x1520</t>
  </si>
  <si>
    <t>1460x1558</t>
  </si>
  <si>
    <t>991x1280</t>
  </si>
  <si>
    <t>976x1250</t>
  </si>
  <si>
    <t>1094x1290</t>
  </si>
  <si>
    <t>1310x1610</t>
  </si>
  <si>
    <t>710x2090</t>
  </si>
  <si>
    <t>1568x1640</t>
  </si>
  <si>
    <t>PROGRAMAÇÃO ONDULADEIRA - RM Embalagens  —  OF: 001184</t>
  </si>
  <si>
    <t>969x1556</t>
  </si>
  <si>
    <t>10/09/2026</t>
  </si>
  <si>
    <t>FAVINCO</t>
  </si>
  <si>
    <t>1136x2028</t>
  </si>
  <si>
    <t>11/09/2026</t>
  </si>
  <si>
    <t>930x1997</t>
  </si>
  <si>
    <t>8230</t>
  </si>
  <si>
    <t>912x1249</t>
  </si>
  <si>
    <t>1461x1870</t>
  </si>
  <si>
    <t>308x825x308</t>
  </si>
  <si>
    <t>1008x2198</t>
  </si>
  <si>
    <t>1030x2032</t>
  </si>
  <si>
    <t>1315x1230</t>
  </si>
  <si>
    <t>826x1542</t>
  </si>
  <si>
    <t>873x2125</t>
  </si>
  <si>
    <t>PROGRAMAÇÃO ONDULADEIRA - ABAPEL COMERCIO DE EMBALAGENS LTDA  —  OF: 001196</t>
  </si>
  <si>
    <t>1106x1920</t>
  </si>
  <si>
    <t>93x357x93</t>
  </si>
  <si>
    <t>068</t>
  </si>
  <si>
    <t>PROGRAMAÇÃO ONDULADEIRA - FAVINCO EMBALAGENS  —  OF: 001197</t>
  </si>
  <si>
    <t>P50B</t>
  </si>
  <si>
    <t>140x170x140</t>
  </si>
  <si>
    <t>130x265x130</t>
  </si>
  <si>
    <t>1070x1310</t>
  </si>
  <si>
    <t>138x270x138</t>
  </si>
  <si>
    <t>1112x1430</t>
  </si>
  <si>
    <t>295x523x295</t>
  </si>
  <si>
    <t>1133x2430</t>
  </si>
  <si>
    <t>14/09/2026</t>
  </si>
  <si>
    <t>1022x1598</t>
  </si>
  <si>
    <t>83x168x83</t>
  </si>
  <si>
    <t>14092026</t>
  </si>
  <si>
    <t>1025x1918</t>
  </si>
  <si>
    <t>116x103x116</t>
  </si>
  <si>
    <t>870x1269</t>
  </si>
  <si>
    <t>936x1907</t>
  </si>
  <si>
    <t>908x2118</t>
  </si>
  <si>
    <t>113x218x113</t>
  </si>
  <si>
    <t>980x1518</t>
  </si>
  <si>
    <t>1042x2198</t>
  </si>
  <si>
    <t>1189x2076</t>
  </si>
  <si>
    <t>123x268x123</t>
  </si>
  <si>
    <t>1070x1480</t>
  </si>
  <si>
    <t>1070x1820</t>
  </si>
  <si>
    <t>1020x1640</t>
  </si>
  <si>
    <t>922x1938</t>
  </si>
  <si>
    <t>908x1519</t>
  </si>
  <si>
    <t>214092026</t>
  </si>
  <si>
    <t>1000x1569</t>
  </si>
  <si>
    <t>PROGRAMAÇÃO ONDULADEIRA - HARMONY EMBALAGENS  —  OF: 001200</t>
  </si>
  <si>
    <t>982x2139</t>
  </si>
  <si>
    <t>8237</t>
  </si>
  <si>
    <t>642x2220</t>
  </si>
  <si>
    <t>201x220x201</t>
  </si>
  <si>
    <t>662x2098</t>
  </si>
  <si>
    <t>732x2210</t>
  </si>
  <si>
    <t>231x250x231</t>
  </si>
  <si>
    <t>PROGRAMAÇÃO ONDULADEIRA - ABAPEL COMERCIO DE EMBALAGENS LTDA  —  OF: 001201</t>
  </si>
  <si>
    <t>1100x2020</t>
  </si>
  <si>
    <t>1020x2090</t>
  </si>
  <si>
    <t>162x190x162</t>
  </si>
  <si>
    <t>1048x1362</t>
  </si>
  <si>
    <t>1070x1780</t>
  </si>
  <si>
    <t>995x1620</t>
  </si>
  <si>
    <t>87x105x87</t>
  </si>
  <si>
    <t>1136x2024</t>
  </si>
  <si>
    <t>90x185x90</t>
  </si>
  <si>
    <t>1115x2100</t>
  </si>
  <si>
    <t>990x1440</t>
  </si>
  <si>
    <t>80x810x80</t>
  </si>
  <si>
    <t>1062x2080</t>
  </si>
  <si>
    <t>102x317x102</t>
  </si>
  <si>
    <t>1110x1820</t>
  </si>
  <si>
    <t>130x285x130</t>
  </si>
  <si>
    <t>1200x1460</t>
  </si>
  <si>
    <t>90x1000x90</t>
  </si>
  <si>
    <t>980x2150</t>
  </si>
  <si>
    <t>50x610x50</t>
  </si>
  <si>
    <t>856x2120</t>
  </si>
  <si>
    <t>118x600x118</t>
  </si>
  <si>
    <t>966x2380</t>
  </si>
  <si>
    <t>143x662x143</t>
  </si>
  <si>
    <t>1368x1516</t>
  </si>
  <si>
    <t>699x1370</t>
  </si>
  <si>
    <t>166x347x166</t>
  </si>
  <si>
    <t>2095</t>
  </si>
  <si>
    <t>1025x1780</t>
  </si>
  <si>
    <t>2113</t>
  </si>
  <si>
    <t>36</t>
  </si>
  <si>
    <t>36147</t>
  </si>
  <si>
    <t>666x1863</t>
  </si>
  <si>
    <t>23</t>
  </si>
  <si>
    <t>152x342x152</t>
  </si>
  <si>
    <t>36184</t>
  </si>
  <si>
    <t>PROGRAMAÇÃO ONDULADEIRA - Z4A EMBALAGENS LTDA  —  OF: 001210</t>
  </si>
  <si>
    <t>780x1820</t>
  </si>
  <si>
    <t>1096x1443</t>
  </si>
  <si>
    <t>1746</t>
  </si>
  <si>
    <t>17/09/2026</t>
  </si>
  <si>
    <t>1741</t>
  </si>
  <si>
    <t>1152x1483</t>
  </si>
  <si>
    <t>1745</t>
  </si>
  <si>
    <t>694x1543</t>
  </si>
  <si>
    <t>1747</t>
  </si>
  <si>
    <t>PROGRAMAÇÃO ONDULADEIRA - IPE EMBALAGENS LTDA - PCBOX EMBALAGENS LTDA  —  OF: 001212</t>
  </si>
  <si>
    <t>1182x1600</t>
  </si>
  <si>
    <t>193x195x193</t>
  </si>
  <si>
    <t>8248</t>
  </si>
  <si>
    <t>1114x1460</t>
  </si>
  <si>
    <t>176x195x176</t>
  </si>
  <si>
    <t>PROGRAMAÇÃO ONDULADEIRA - ABAPEL COMERCIO DE EMBALAGENS LTDA  —  OF: 001213</t>
  </si>
  <si>
    <t>PROGRAMAÇÃO ONDULADEIRA - RM Embalagens   —  OF: 001209</t>
  </si>
  <si>
    <t>RM Embalagens</t>
  </si>
  <si>
    <t>1080x1380</t>
  </si>
  <si>
    <t>1170x1740</t>
  </si>
  <si>
    <t>980x1270</t>
  </si>
  <si>
    <t>934x1413</t>
  </si>
  <si>
    <t>125x207x125</t>
  </si>
  <si>
    <t>36360</t>
  </si>
  <si>
    <t>16/09/2026</t>
  </si>
  <si>
    <t>1004x1283</t>
  </si>
  <si>
    <t>135x222x135</t>
  </si>
  <si>
    <t>36358</t>
  </si>
  <si>
    <t>PROGRAMAÇÃO ONDULADEIRA - Z4A EMBALAGENS LTDA  —  OF: 001216</t>
  </si>
  <si>
    <t>1124x1478</t>
  </si>
  <si>
    <t>120x128x120</t>
  </si>
  <si>
    <t>18-09-26</t>
  </si>
  <si>
    <t>18/09/2026</t>
  </si>
  <si>
    <t>868x1598</t>
  </si>
  <si>
    <t>78x268x78</t>
  </si>
  <si>
    <t>1169x2132</t>
  </si>
  <si>
    <t>1172x1769</t>
  </si>
  <si>
    <t>1172x2099</t>
  </si>
  <si>
    <t>71x1010x71</t>
  </si>
  <si>
    <t>684x1269</t>
  </si>
  <si>
    <t>153x358x153</t>
  </si>
  <si>
    <t>956x1209</t>
  </si>
  <si>
    <t>996x1289</t>
  </si>
  <si>
    <t>782x2099</t>
  </si>
  <si>
    <t>71x620x71</t>
  </si>
  <si>
    <t>PROGRAMAÇÃO ONDULADEIRA - HARMONY EMBALAGENS  —  OF: 001217</t>
  </si>
  <si>
    <t>1514x2583</t>
  </si>
  <si>
    <t>1464x2403</t>
  </si>
  <si>
    <t>1408x1523</t>
  </si>
  <si>
    <t>899x1500</t>
  </si>
  <si>
    <t>22</t>
  </si>
  <si>
    <t>253x373x253</t>
  </si>
  <si>
    <t>SN</t>
  </si>
  <si>
    <t>21/09/2026</t>
  </si>
  <si>
    <t>FORBOX Soluções em Caixas de Papelão LTDA</t>
  </si>
  <si>
    <t>1139x1690</t>
  </si>
  <si>
    <t>318x483x318</t>
  </si>
  <si>
    <t>1158x1350</t>
  </si>
  <si>
    <t>143x283x143</t>
  </si>
  <si>
    <t>PROGRAMAÇÃO ONDULADEIRA - FORBOX Soluções em Caixas de Papelão LTDA  —  OF: 001220</t>
  </si>
  <si>
    <t>276x800x276</t>
  </si>
  <si>
    <t>8253</t>
  </si>
  <si>
    <t>1172x2360</t>
  </si>
  <si>
    <t>276x600x276</t>
  </si>
  <si>
    <t>1392x2400</t>
  </si>
  <si>
    <t>276x820x276</t>
  </si>
  <si>
    <t>780x2200</t>
  </si>
  <si>
    <t>8260</t>
  </si>
  <si>
    <t>191x210x191</t>
  </si>
  <si>
    <t>612x1639</t>
  </si>
  <si>
    <t>1191x1620</t>
  </si>
  <si>
    <t>1754</t>
  </si>
  <si>
    <t>1210x1437</t>
  </si>
  <si>
    <t>1755</t>
  </si>
  <si>
    <t>1509x2009</t>
  </si>
  <si>
    <t>1046x2083</t>
  </si>
  <si>
    <t>1753</t>
  </si>
  <si>
    <t>PROGRAMAÇÃO ONDULADEIRA - PCBOX EMBALAGENS LTDA  —  OF: 001222</t>
  </si>
  <si>
    <t>PROGRAMAÇÃO ONDULADEIRA - FORBOX Soluções em Caixas de Papelão LTDA</t>
  </si>
  <si>
    <t>750x2000</t>
  </si>
  <si>
    <t>ABAPEL COMERCIO DE EMBALAOENS LTDA</t>
  </si>
  <si>
    <t>940x1240</t>
  </si>
  <si>
    <t>W55R23</t>
  </si>
  <si>
    <t>1185x2150</t>
  </si>
  <si>
    <t>935x2030</t>
  </si>
  <si>
    <t>70x165x70</t>
  </si>
  <si>
    <t>19/09/2026</t>
  </si>
  <si>
    <t>RM Embalagens ( Daiane Marques Canossa ME</t>
  </si>
  <si>
    <t>1118x1460</t>
  </si>
  <si>
    <t>1218x1580</t>
  </si>
  <si>
    <t>654x1620</t>
  </si>
  <si>
    <t>137x360x137</t>
  </si>
  <si>
    <t>1328x1355</t>
  </si>
  <si>
    <t>706x1250</t>
  </si>
  <si>
    <t>1510x1910</t>
  </si>
  <si>
    <t>966x1500</t>
  </si>
  <si>
    <t>1016x1510</t>
  </si>
  <si>
    <t>1036x1350</t>
  </si>
  <si>
    <t>1148x1386</t>
  </si>
  <si>
    <t>1352x1250</t>
  </si>
  <si>
    <t>801x1850</t>
  </si>
  <si>
    <t>188x405x188</t>
  </si>
  <si>
    <t>PROGRAMAÇÃO ONDULADEIRA - RM Embalagens ( Daiane Marques Canossa ME  —  OF: 001226</t>
  </si>
  <si>
    <t>96x130x96</t>
  </si>
  <si>
    <t>986x1900</t>
  </si>
  <si>
    <t>181x230x181</t>
  </si>
  <si>
    <t>612x1640</t>
  </si>
  <si>
    <t>894x1403</t>
  </si>
  <si>
    <t>1171x1839</t>
  </si>
  <si>
    <t>817x1507</t>
  </si>
  <si>
    <t>870x1427</t>
  </si>
  <si>
    <t>995x1966</t>
  </si>
  <si>
    <t>89x147x89</t>
  </si>
  <si>
    <t>23-09-26</t>
  </si>
  <si>
    <t>23/09/2026</t>
  </si>
  <si>
    <t>932x1838</t>
  </si>
  <si>
    <t>93x118x93</t>
  </si>
  <si>
    <t>950x1658</t>
  </si>
  <si>
    <t>78x154x78</t>
  </si>
  <si>
    <t>1096x1758</t>
  </si>
  <si>
    <t>820x1640</t>
  </si>
  <si>
    <t>1040x2174</t>
  </si>
  <si>
    <t>132x246x132</t>
  </si>
  <si>
    <t>992x1938</t>
  </si>
  <si>
    <t>105x114x105</t>
  </si>
  <si>
    <t>1014x1859</t>
  </si>
  <si>
    <t>330x334x330</t>
  </si>
  <si>
    <t>1078x1856</t>
  </si>
  <si>
    <t>90x349x90</t>
  </si>
  <si>
    <t>1118x1936</t>
  </si>
  <si>
    <t>40x469x40</t>
  </si>
  <si>
    <t>938x1529</t>
  </si>
  <si>
    <t>230x109x120</t>
  </si>
  <si>
    <t>699x1549</t>
  </si>
  <si>
    <t>170x339x170</t>
  </si>
  <si>
    <t>720x1979</t>
  </si>
  <si>
    <t>243x214x243</t>
  </si>
  <si>
    <t>1000x1439</t>
  </si>
  <si>
    <t>168x154x168</t>
  </si>
  <si>
    <t>784x1339</t>
  </si>
  <si>
    <t>270x224x270</t>
  </si>
  <si>
    <t>769x1759</t>
  </si>
  <si>
    <t>185x379x185</t>
  </si>
  <si>
    <t>794x1569</t>
  </si>
  <si>
    <t>230x314x230</t>
  </si>
  <si>
    <t>PROGRAMAÇÃO ONDULADEIRA - HARMONY EMBALAGENS  —  OF: 001231</t>
  </si>
  <si>
    <t>840x1540</t>
  </si>
  <si>
    <t>RM Embalagens ( Daiane Marques Canossa ME )</t>
  </si>
  <si>
    <t>1116x2150</t>
  </si>
  <si>
    <t>77x120x77</t>
  </si>
  <si>
    <t>950x1230</t>
  </si>
  <si>
    <t>1180x1840</t>
  </si>
  <si>
    <t>50x810x50</t>
  </si>
  <si>
    <t>980x1850</t>
  </si>
  <si>
    <t>50x510x50</t>
  </si>
  <si>
    <t>1180x1850</t>
  </si>
  <si>
    <t>1298x1810</t>
  </si>
  <si>
    <t>1190x1803</t>
  </si>
  <si>
    <t>143x104x143</t>
  </si>
  <si>
    <t>1779</t>
  </si>
  <si>
    <t>25/09/2026</t>
  </si>
  <si>
    <t>880x1823</t>
  </si>
  <si>
    <t>148x564x148</t>
  </si>
  <si>
    <t>960x1807</t>
  </si>
  <si>
    <t>143x184x143</t>
  </si>
  <si>
    <t>770x1520</t>
  </si>
  <si>
    <t>1776</t>
  </si>
  <si>
    <t>1358x2103</t>
  </si>
  <si>
    <t>247x844x247</t>
  </si>
  <si>
    <t>1777</t>
  </si>
  <si>
    <t>1498x2023</t>
  </si>
  <si>
    <t>232x1014x232</t>
  </si>
  <si>
    <t>1508x2103</t>
  </si>
  <si>
    <t>237x1014x237</t>
  </si>
  <si>
    <t>1518x1703</t>
  </si>
  <si>
    <t>207x1084x207</t>
  </si>
  <si>
    <t>PROGRAMAÇÃO ONDULADEIRA - PCBOX EMBALAGENS LTDA  —  OF: 001233</t>
  </si>
  <si>
    <t>176x355x176</t>
  </si>
  <si>
    <t>8275</t>
  </si>
  <si>
    <t>733x2119</t>
  </si>
  <si>
    <t>184x345x184</t>
  </si>
  <si>
    <t>982x2138</t>
  </si>
  <si>
    <t>1108x2195</t>
  </si>
  <si>
    <t>009</t>
  </si>
  <si>
    <t>29/09/2026</t>
  </si>
  <si>
    <t>Renovapel Reciclagem de Papeis Ltda</t>
  </si>
  <si>
    <t>1108x1770</t>
  </si>
  <si>
    <t>929x1910</t>
  </si>
  <si>
    <t>89x125x89</t>
  </si>
  <si>
    <t>926x2090</t>
  </si>
  <si>
    <t>86x130x86</t>
  </si>
  <si>
    <t>914x2134</t>
  </si>
  <si>
    <t>104x90x104</t>
  </si>
  <si>
    <t>953x1994</t>
  </si>
  <si>
    <t>94x123x94</t>
  </si>
  <si>
    <t>866x1455</t>
  </si>
  <si>
    <t>119x185x119</t>
  </si>
  <si>
    <t>854x1335</t>
  </si>
  <si>
    <t>116x185x116</t>
  </si>
  <si>
    <t>989x1550</t>
  </si>
  <si>
    <t>79x165x79</t>
  </si>
  <si>
    <t>1165x1308</t>
  </si>
  <si>
    <t>116x90x116</t>
  </si>
  <si>
    <t>884x2118</t>
  </si>
  <si>
    <t>111x210x111</t>
  </si>
  <si>
    <t>1019x1770</t>
  </si>
  <si>
    <t>94x145x94</t>
  </si>
  <si>
    <t>1064x1790</t>
  </si>
  <si>
    <t>94x160x94</t>
  </si>
  <si>
    <t>1076x1930</t>
  </si>
  <si>
    <t>101x150x101</t>
  </si>
  <si>
    <t>1115x1948</t>
  </si>
  <si>
    <t>91x300x91</t>
  </si>
  <si>
    <t>1109x1930</t>
  </si>
  <si>
    <t>79x205x79</t>
  </si>
  <si>
    <t>682x1735</t>
  </si>
  <si>
    <t>TLQ140</t>
  </si>
  <si>
    <t>201x260x201</t>
  </si>
  <si>
    <t>P70C</t>
  </si>
  <si>
    <t>131x250x131</t>
  </si>
  <si>
    <t>8263</t>
  </si>
  <si>
    <t>22/09/2026</t>
  </si>
  <si>
    <t>954x1320</t>
  </si>
  <si>
    <t>8283</t>
  </si>
  <si>
    <t>28/09/2026</t>
  </si>
  <si>
    <t>1372x2359</t>
  </si>
  <si>
    <t>727x1519</t>
  </si>
  <si>
    <t>753x2130</t>
  </si>
  <si>
    <t>214x305x214</t>
  </si>
  <si>
    <t>8279</t>
  </si>
  <si>
    <t>772x1660</t>
  </si>
  <si>
    <t>201x350x201</t>
  </si>
  <si>
    <t>076</t>
  </si>
  <si>
    <t>1180x2020</t>
  </si>
  <si>
    <t>858x1408</t>
  </si>
  <si>
    <t>148x123x148</t>
  </si>
  <si>
    <t>077</t>
  </si>
  <si>
    <t>1044x1582</t>
  </si>
  <si>
    <t>168x176x168</t>
  </si>
  <si>
    <t>PROGRAMAÇÃO ONDULADEIRA - FAVINCO  —  OF: 001239</t>
  </si>
  <si>
    <t>ANSELMO E FILHOS LTDA.</t>
  </si>
  <si>
    <t>1140x1880</t>
  </si>
  <si>
    <t>29092026</t>
  </si>
  <si>
    <t xml:space="preserve">DR EMBALAGENS </t>
  </si>
  <si>
    <t>1200x1520</t>
  </si>
  <si>
    <t>W555</t>
  </si>
  <si>
    <t>30/09/2026</t>
  </si>
  <si>
    <t>SÃO MIGUEL</t>
  </si>
  <si>
    <t>1200x1780</t>
  </si>
  <si>
    <t>820x1620</t>
  </si>
  <si>
    <t>860x1660</t>
  </si>
  <si>
    <t>300926W55R</t>
  </si>
  <si>
    <t>VÔ CHICO</t>
  </si>
  <si>
    <t>840x2000</t>
  </si>
  <si>
    <t>910x1760</t>
  </si>
  <si>
    <t>940x1860</t>
  </si>
  <si>
    <t>1070x2120</t>
  </si>
  <si>
    <t>1010x1960</t>
  </si>
  <si>
    <t>PROGRAMAÇÃO ONDULADEIRA - Tolecaixas Indústria e Comércio Ltda - DR EMBALAGENS  - VÔ CHICO - SÃO MIGUEL  —  OF: 001241</t>
  </si>
  <si>
    <t>PROGRAMAÇÃO ONDULADEIRA - Renovapel Reciclagem de Papeis Ltda  —  OF: 001242</t>
  </si>
  <si>
    <t>1004x1760</t>
  </si>
  <si>
    <t>83x80x166x80x83</t>
  </si>
  <si>
    <t>080</t>
  </si>
  <si>
    <t>01/10/2026</t>
  </si>
  <si>
    <t>659x1922</t>
  </si>
  <si>
    <t>187x265x187</t>
  </si>
  <si>
    <t>079</t>
  </si>
  <si>
    <t>1118x1590</t>
  </si>
  <si>
    <t>128x110x128</t>
  </si>
  <si>
    <t>078</t>
  </si>
  <si>
    <t>PROGRAMAÇÃO ONDULADEIRA - FAVINCO.  —  OF: 001243</t>
  </si>
  <si>
    <t>W55R02110</t>
  </si>
  <si>
    <t>820x2020</t>
  </si>
  <si>
    <t>W55R0210</t>
  </si>
  <si>
    <t>750x1900</t>
  </si>
  <si>
    <t>128x138x128</t>
  </si>
  <si>
    <t>808x2160</t>
  </si>
  <si>
    <t>155x230x155</t>
  </si>
  <si>
    <t>1100x1630</t>
  </si>
  <si>
    <t>831x2310</t>
  </si>
  <si>
    <t>203x405x203</t>
  </si>
  <si>
    <t>8292</t>
  </si>
  <si>
    <t>1083x1950</t>
  </si>
  <si>
    <t>55x953x55</t>
  </si>
  <si>
    <t>8290</t>
  </si>
  <si>
    <t>932x2120</t>
  </si>
  <si>
    <t>226x460x226</t>
  </si>
  <si>
    <t>537x2700</t>
  </si>
  <si>
    <t>156x205x156</t>
  </si>
  <si>
    <t>PROGRAMAÇÃO ONDULADEIRA - ABAPEL COMERCIO DE EMBALAGENS LTDA  —  OF: 001246</t>
  </si>
  <si>
    <t>1514x2251</t>
  </si>
  <si>
    <t>412x670x412</t>
  </si>
  <si>
    <t>1790</t>
  </si>
  <si>
    <t>1336x1264</t>
  </si>
  <si>
    <t>313x58x574x58x313</t>
  </si>
  <si>
    <t>1797</t>
  </si>
  <si>
    <t>620x2387</t>
  </si>
  <si>
    <t>203x194x203</t>
  </si>
  <si>
    <t>1788</t>
  </si>
  <si>
    <t>1130x2323</t>
  </si>
  <si>
    <t>278x554x278</t>
  </si>
  <si>
    <t>1786</t>
  </si>
  <si>
    <t>1013x1901</t>
  </si>
  <si>
    <t>97x799x97</t>
  </si>
  <si>
    <t>1793</t>
  </si>
  <si>
    <t>1020x3420</t>
  </si>
  <si>
    <t>1787</t>
  </si>
  <si>
    <t>1120x1720</t>
  </si>
  <si>
    <t>AMOSTRA</t>
  </si>
  <si>
    <t>PROGRAMAÇÃO ONDULADEIRA - FAVINCO  —  OF: 001248</t>
  </si>
  <si>
    <t>1320x1820</t>
  </si>
  <si>
    <t>25-09-26</t>
  </si>
  <si>
    <t>908x1838</t>
  </si>
  <si>
    <t>88x268x88</t>
  </si>
  <si>
    <t>1106x1926</t>
  </si>
  <si>
    <t>71x220x71</t>
  </si>
  <si>
    <t>770x1949</t>
  </si>
  <si>
    <t>176x398x176</t>
  </si>
  <si>
    <t>30-09-26</t>
  </si>
  <si>
    <t>1008x1429</t>
  </si>
  <si>
    <t>148x198x148</t>
  </si>
  <si>
    <t>1151x2046</t>
  </si>
  <si>
    <t>106x165x106</t>
  </si>
  <si>
    <t>864x2089</t>
  </si>
  <si>
    <t>200x444x200</t>
  </si>
  <si>
    <t>996x2351</t>
  </si>
  <si>
    <t>223x530x223</t>
  </si>
  <si>
    <t>2 25-09-26</t>
  </si>
  <si>
    <t>1051x2044</t>
  </si>
  <si>
    <t>207x207x207x207x203</t>
  </si>
  <si>
    <t>1196x1938</t>
  </si>
  <si>
    <t>10</t>
  </si>
  <si>
    <t>80x134x80</t>
  </si>
  <si>
    <t>1225x2531</t>
  </si>
  <si>
    <t>227x751x227</t>
  </si>
  <si>
    <t>620x1649</t>
  </si>
  <si>
    <t>201x198x201</t>
  </si>
  <si>
    <t>634x1279</t>
  </si>
  <si>
    <t>155x304x155</t>
  </si>
  <si>
    <t>1037x2138</t>
  </si>
  <si>
    <t>105x129x105</t>
  </si>
  <si>
    <t>764x1739</t>
  </si>
  <si>
    <t>198x348x198</t>
  </si>
  <si>
    <t>769x1739</t>
  </si>
  <si>
    <t>180x389x180</t>
  </si>
  <si>
    <t>1008x1799</t>
  </si>
  <si>
    <t>130x234x130</t>
  </si>
  <si>
    <t>PROGRAMAÇÃO ONDULADEIRA - HARMONY EMBALAGENS  —  OF: 001249</t>
  </si>
  <si>
    <t>1195x1670</t>
  </si>
  <si>
    <t>22092026</t>
  </si>
  <si>
    <t>DR EMBALAGENS</t>
  </si>
  <si>
    <t>970x2030</t>
  </si>
  <si>
    <t>1040x2060</t>
  </si>
  <si>
    <t>23092026</t>
  </si>
  <si>
    <t>PROGRAMAÇÃO ONDULADEIRA - DR EMBALAGENS  —  OF: 001250</t>
  </si>
  <si>
    <t>910x1680</t>
  </si>
  <si>
    <t>082</t>
  </si>
  <si>
    <t>02/10/2026</t>
  </si>
  <si>
    <t>80x285x80</t>
  </si>
  <si>
    <t>PROGRAMAÇÃO ONDULADEIRA - FAVINCO EMBALAGENS  —  OF: 001252</t>
  </si>
  <si>
    <t>1020x2060</t>
  </si>
  <si>
    <t>1130</t>
  </si>
  <si>
    <t>PW50B</t>
  </si>
  <si>
    <t>RR STELLA</t>
  </si>
  <si>
    <t>740x2180</t>
  </si>
  <si>
    <t>1131</t>
  </si>
  <si>
    <t>PROGRAMAÇÃO ONDULADEIRA - RR STELLA  —  OF: 001253</t>
  </si>
  <si>
    <t>05/10/2026</t>
  </si>
  <si>
    <t>882x2199</t>
  </si>
  <si>
    <t>166x530x166</t>
  </si>
  <si>
    <t>8298</t>
  </si>
  <si>
    <t>888x1340</t>
  </si>
  <si>
    <t>184x500x184</t>
  </si>
  <si>
    <t>780x2198</t>
  </si>
  <si>
    <t>PROGRAMAÇÃO ONDULADEIRA - RM Embalagens   —  OF: 001232</t>
  </si>
  <si>
    <t>620x1350</t>
  </si>
  <si>
    <t>PROGRAMAÇÃO ONDULADEIRA - FAVINCO EMBALAGENS  —  OF: 001256</t>
  </si>
  <si>
    <t>1130x1802</t>
  </si>
  <si>
    <t>95x70x95x70x40</t>
  </si>
  <si>
    <t>550610R</t>
  </si>
  <si>
    <t>06/10/2026</t>
  </si>
  <si>
    <t>CARPEL</t>
  </si>
  <si>
    <t>100x85x100x85x40</t>
  </si>
  <si>
    <t>1022x1260</t>
  </si>
  <si>
    <t>92x150x92</t>
  </si>
  <si>
    <t>940x1590</t>
  </si>
  <si>
    <t>160x140x160</t>
  </si>
  <si>
    <t>PROGRAMAÇÃO ONDULADEIRA - CARPEL  —  OF: 001257</t>
  </si>
  <si>
    <t>1174x1700</t>
  </si>
  <si>
    <t>58x461x58</t>
  </si>
  <si>
    <t>061026</t>
  </si>
  <si>
    <t>CARTOMIL EMBALAGENS LTDA</t>
  </si>
  <si>
    <t>1130x1751</t>
  </si>
  <si>
    <t>930x1940</t>
  </si>
  <si>
    <t>870x2180</t>
  </si>
  <si>
    <t>PROGRAMAÇÃO ONDULADEIRA - CARTOMIL EMBALAGENS LTDA  —  OF: 001258</t>
  </si>
  <si>
    <t>865x1609</t>
  </si>
  <si>
    <t>181x483x181</t>
  </si>
  <si>
    <t>05-10-26</t>
  </si>
  <si>
    <t>888x1519</t>
  </si>
  <si>
    <t>155x124x155</t>
  </si>
  <si>
    <t>1058x1279</t>
  </si>
  <si>
    <t>130x259x130</t>
  </si>
  <si>
    <t>PROGRAMAÇÃO ONDULADEIRA - HARMONY EMBALAGENS  —  OF: 001260</t>
  </si>
  <si>
    <t>125x300x125</t>
  </si>
  <si>
    <t>1120x1470</t>
  </si>
  <si>
    <t>085</t>
  </si>
  <si>
    <t>972x1762</t>
  </si>
  <si>
    <t>06-10-26</t>
  </si>
  <si>
    <t>1016x1918</t>
  </si>
  <si>
    <t>93x78x166x78x166x78x166x78x93</t>
  </si>
  <si>
    <t>1130x1535</t>
  </si>
  <si>
    <t>828x1820</t>
  </si>
  <si>
    <t>1230x1735</t>
  </si>
  <si>
    <t>932x1847</t>
  </si>
  <si>
    <t>28x248x28</t>
  </si>
  <si>
    <t>846x1946</t>
  </si>
  <si>
    <t>1040x2057</t>
  </si>
  <si>
    <t>46x248x46</t>
  </si>
  <si>
    <t>1070x1500</t>
  </si>
  <si>
    <t>1183x1540</t>
  </si>
  <si>
    <t>1048x1269</t>
  </si>
  <si>
    <t>128x258x128</t>
  </si>
  <si>
    <t>629x2339</t>
  </si>
  <si>
    <t>160x289x160</t>
  </si>
  <si>
    <t>1000x1380</t>
  </si>
  <si>
    <t>PROGRAMAÇÃO ONDULADEIRA - HARMONY EMBALAGENS  —  OF: 001262</t>
  </si>
  <si>
    <t>1044x1692</t>
  </si>
  <si>
    <t>78x100x78</t>
  </si>
  <si>
    <t>P55B</t>
  </si>
  <si>
    <t>132x197x132</t>
  </si>
  <si>
    <t>976x2080</t>
  </si>
  <si>
    <t>73x810x73</t>
  </si>
  <si>
    <t>1200x1250</t>
  </si>
  <si>
    <t>P80D</t>
  </si>
  <si>
    <t>1176x1890</t>
  </si>
  <si>
    <t>168x820x168</t>
  </si>
  <si>
    <t>1360x2142</t>
  </si>
  <si>
    <t>1380x1426</t>
  </si>
  <si>
    <t>1436x2050</t>
  </si>
  <si>
    <t>173x1070x173</t>
  </si>
  <si>
    <t>PROGRAMAÇÃO ONDULADEIRA - RM Embalagens  —  OF: 001263</t>
  </si>
  <si>
    <t>07/10/2026</t>
  </si>
  <si>
    <t>1140x1730</t>
  </si>
  <si>
    <t>910x2030</t>
  </si>
  <si>
    <t>PROGRAMAÇÃO ONDULADEIRA - Tolecaixas Indústria e Comércio Ltda  —  OF: 001264</t>
  </si>
  <si>
    <t>086</t>
  </si>
  <si>
    <t>183x215x183</t>
  </si>
  <si>
    <t>1182x1926</t>
  </si>
  <si>
    <t>446x2340</t>
  </si>
  <si>
    <t>80x88x90x88x80</t>
  </si>
  <si>
    <t>1774</t>
  </si>
  <si>
    <t>24/09/2026</t>
  </si>
  <si>
    <t>903x1555</t>
  </si>
  <si>
    <t>1807</t>
  </si>
  <si>
    <t>956x1849</t>
  </si>
  <si>
    <t>1800</t>
  </si>
  <si>
    <t>1160x1832</t>
  </si>
  <si>
    <t>1292x1501</t>
  </si>
  <si>
    <t>349x574x349</t>
  </si>
  <si>
    <t>1762</t>
  </si>
  <si>
    <t>680x2070</t>
  </si>
  <si>
    <t>1781</t>
  </si>
  <si>
    <t>680x1885</t>
  </si>
  <si>
    <t>680x1715</t>
  </si>
  <si>
    <t>680x1405</t>
  </si>
  <si>
    <t>1320x2073</t>
  </si>
  <si>
    <t>1809</t>
  </si>
  <si>
    <t>1324x2146</t>
  </si>
  <si>
    <t>1806</t>
  </si>
  <si>
    <t>1379x2215</t>
  </si>
  <si>
    <t>253x853x253</t>
  </si>
  <si>
    <t>1799</t>
  </si>
  <si>
    <t>1158x1617</t>
  </si>
  <si>
    <t>334x470x334</t>
  </si>
  <si>
    <t>1736</t>
  </si>
  <si>
    <t>15/09/2026</t>
  </si>
  <si>
    <t>PROGRAMAÇÃO ONDULADEIRA - PCBOX EMBALAGENS LTDA - IPE EMBALAGENS LTDA  —  OF: 001266</t>
  </si>
  <si>
    <t>980x1880</t>
  </si>
  <si>
    <t>08/10/2026</t>
  </si>
  <si>
    <t>084</t>
  </si>
  <si>
    <t>PROGRAMAÇÃO ONDULADEIRA - Tolecaixas Indústria e Comércio Ltda</t>
  </si>
  <si>
    <t>1154x1682</t>
  </si>
  <si>
    <t>163x241x163</t>
  </si>
  <si>
    <t>087</t>
  </si>
  <si>
    <t>FAVINCO.</t>
  </si>
  <si>
    <t>1100x2603</t>
  </si>
  <si>
    <t>1814</t>
  </si>
  <si>
    <t>207</t>
  </si>
  <si>
    <t>09/10/2026</t>
  </si>
  <si>
    <t>PROGRAMAÇÃO ONDULADEIRA - RM Embalagens  —  OF: 001271</t>
  </si>
  <si>
    <t>957x1540</t>
  </si>
  <si>
    <t>186x565x186</t>
  </si>
  <si>
    <t>8317</t>
  </si>
  <si>
    <t>615x1855</t>
  </si>
  <si>
    <t>195x205x195</t>
  </si>
  <si>
    <t>713x1800</t>
  </si>
  <si>
    <t>189x315x189</t>
  </si>
  <si>
    <t>PROGRAMAÇÃO ONDULADEIRA - ABAPEL COMERCIO DE EMBALAGENS LTDA  —  OF: 001272</t>
  </si>
  <si>
    <t>1150x1340</t>
  </si>
  <si>
    <t>95x140x95</t>
  </si>
  <si>
    <t>088</t>
  </si>
  <si>
    <t>PROGRAMAÇÃO ONDULADEIRA - FAVINCO EMBALAGENS —  OF: 001273</t>
  </si>
  <si>
    <t>1816</t>
  </si>
  <si>
    <t>770x2120</t>
  </si>
  <si>
    <t>1818</t>
  </si>
  <si>
    <t>1132x1260</t>
  </si>
  <si>
    <t>212x154x214x154x212</t>
  </si>
  <si>
    <t>966x2120</t>
  </si>
  <si>
    <t>1082x2020</t>
  </si>
  <si>
    <t>08/09/2026</t>
  </si>
  <si>
    <t>1158x1340</t>
  </si>
  <si>
    <t>137x295x137</t>
  </si>
  <si>
    <t>1308x2340</t>
  </si>
  <si>
    <t>730x1380</t>
  </si>
  <si>
    <t>1008x1260</t>
  </si>
  <si>
    <t>147x200x147</t>
  </si>
  <si>
    <t>1160x1460</t>
  </si>
  <si>
    <t>PROGRAMAÇÃO ONDULADEIRA - RM Embalagens ( Daiane Marques Canossa ME )  —  OF: 001275</t>
  </si>
  <si>
    <t>PROGRAMAÇÃO ONDULADEIRA - IPE -PC BOX  —  OF: 001270</t>
  </si>
  <si>
    <t>13/10/2026</t>
  </si>
  <si>
    <t>089</t>
  </si>
  <si>
    <t>902x1780</t>
  </si>
  <si>
    <t>15</t>
  </si>
  <si>
    <t>RM EMBALAGENS</t>
  </si>
  <si>
    <t>1000x1560</t>
  </si>
  <si>
    <t>1020x2020</t>
  </si>
  <si>
    <t>1029x1860</t>
  </si>
  <si>
    <t>585x2240</t>
  </si>
  <si>
    <t>200x165x200</t>
  </si>
  <si>
    <t>Padrão 1010x1010</t>
  </si>
  <si>
    <t>830x1350</t>
  </si>
  <si>
    <t>130x145x130</t>
  </si>
  <si>
    <t>730x1820</t>
  </si>
  <si>
    <t>980x1500</t>
  </si>
  <si>
    <t>1520x2590</t>
  </si>
  <si>
    <t>1140x1568</t>
  </si>
  <si>
    <t>77x620x77</t>
  </si>
  <si>
    <t>672x2360</t>
  </si>
  <si>
    <t>113x100x226x100x113</t>
  </si>
  <si>
    <t>PROGRAMAÇÃO ONDULADEIRA - RM EMBALAGENS  —  OF: 001277</t>
  </si>
  <si>
    <t>1825</t>
  </si>
  <si>
    <t>14/10/2026</t>
  </si>
  <si>
    <t>PCBOX EMBALAGENS</t>
  </si>
  <si>
    <t>PROGRAMAÇÃO ONDULADEIRA - PCBOX EMBALAGENS  —  OF: 001278</t>
  </si>
  <si>
    <t>090</t>
  </si>
  <si>
    <t>97x165x97</t>
  </si>
  <si>
    <t>1097x1864</t>
  </si>
  <si>
    <t>1115x1679</t>
  </si>
  <si>
    <t>551014</t>
  </si>
  <si>
    <t>950x1850</t>
  </si>
  <si>
    <t>950x1840</t>
  </si>
  <si>
    <t>PROGRAMAÇÃO ONDULADEIRA - VÔ CHICO  —  OF: 001280</t>
  </si>
  <si>
    <t>1380x1460</t>
  </si>
  <si>
    <t>REP.5514</t>
  </si>
  <si>
    <t>J FER</t>
  </si>
  <si>
    <t>1430x1220</t>
  </si>
  <si>
    <t>PROGRAMAÇÃO ONDULADEIRA - J FER  —  OF: 001281</t>
  </si>
  <si>
    <t>1014</t>
  </si>
  <si>
    <t>PROGRAMAÇÃO ONDULADEIRA - DR EMBALAGENS  —  OF: 001282</t>
  </si>
  <si>
    <t>091</t>
  </si>
  <si>
    <t>092</t>
  </si>
  <si>
    <t>150x150x150</t>
  </si>
  <si>
    <t>920x1270</t>
  </si>
  <si>
    <t>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</si>
</sst>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3"/>
      <color rgb="FFFF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3"/>
      <color rgb="FF0F1E2E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3"/>
      <color rgb="FF0F1E2E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BE7F3"/>
      </patternFill>
    </fill>
    <fill>
      <patternFill patternType="solid">
        <fgColor rgb="FFFFFFFF"/>
      </patternFill>
    </fill>
    <fill>
      <patternFill patternType="solid">
        <fgColor rgb="FF0F1E2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rgb="FFCCD8E4"/>
      </left>
      <right style="thin">
        <color rgb="FFCCD8E4"/>
      </right>
      <top style="thin">
        <color rgb="FFCCD8E4"/>
      </top>
      <bottom style="thin">
        <color rgb="FFCCD8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D8E4"/>
      </left>
      <right style="thin">
        <color rgb="FFCCD8E4"/>
      </right>
      <top style="thin">
        <color rgb="FFCCD8E4"/>
      </top>
      <bottom/>
      <diagonal/>
    </border>
    <border>
      <left style="thin">
        <color rgb="FFCCD8E4"/>
      </left>
      <right style="thin">
        <color rgb="FFCCD8E4"/>
      </right>
      <top/>
      <bottom style="thin">
        <color rgb="FFCCD8E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6" fillId="0" borderId="0"/>
    <xf numFmtId="0" fontId="16" fillId="0" borderId="0"/>
    <xf numFmtId="0" fontId="27" fillId="0" borderId="0"/>
    <xf numFmtId="0" fontId="28" fillId="0" borderId="0"/>
  </cellStyleXfs>
  <cellXfs count="306">
    <xf numFmtId="0" fontId="0" fillId="0" borderId="0" xfId="0" applyFont="1" applyAlignment="1"/>
    <xf numFmtId="0" fontId="4" fillId="0" borderId="0" xfId="1"/>
    <xf numFmtId="0" fontId="3" fillId="4" borderId="1" xfId="1" applyFont="1" applyFill="1" applyBorder="1" applyAlignment="1">
      <alignment horizontal="center" vertical="center" wrapText="1"/>
    </xf>
    <xf numFmtId="0" fontId="6" fillId="0" borderId="0" xfId="2"/>
    <xf numFmtId="0" fontId="7" fillId="4" borderId="1" xfId="2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/>
    </xf>
    <xf numFmtId="166" fontId="4" fillId="3" borderId="1" xfId="1" applyNumberFormat="1" applyFill="1" applyBorder="1" applyAlignment="1">
      <alignment horizontal="center" vertical="center"/>
    </xf>
    <xf numFmtId="164" fontId="4" fillId="3" borderId="1" xfId="1" applyNumberFormat="1" applyFill="1" applyBorder="1" applyAlignment="1">
      <alignment horizontal="center" vertical="center"/>
    </xf>
    <xf numFmtId="2" fontId="4" fillId="3" borderId="1" xfId="1" applyNumberFormat="1" applyFill="1" applyBorder="1" applyAlignment="1">
      <alignment horizontal="center" vertical="center"/>
    </xf>
    <xf numFmtId="165" fontId="4" fillId="3" borderId="1" xfId="1" applyNumberForma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11" fillId="2" borderId="1" xfId="2" applyFont="1" applyFill="1" applyBorder="1" applyAlignment="1">
      <alignment horizontal="right"/>
    </xf>
    <xf numFmtId="0" fontId="11" fillId="2" borderId="1" xfId="2" applyFont="1" applyFill="1" applyBorder="1" applyAlignment="1">
      <alignment horizontal="left"/>
    </xf>
    <xf numFmtId="0" fontId="6" fillId="3" borderId="1" xfId="2" applyFill="1" applyBorder="1" applyAlignment="1">
      <alignment horizontal="right"/>
    </xf>
    <xf numFmtId="166" fontId="6" fillId="3" borderId="1" xfId="2" applyNumberFormat="1" applyFill="1" applyBorder="1" applyAlignment="1">
      <alignment horizontal="right"/>
    </xf>
    <xf numFmtId="164" fontId="6" fillId="3" borderId="1" xfId="2" applyNumberFormat="1" applyFill="1" applyBorder="1" applyAlignment="1">
      <alignment horizontal="right"/>
    </xf>
    <xf numFmtId="2" fontId="6" fillId="3" borderId="1" xfId="2" applyNumberFormat="1" applyFill="1" applyBorder="1" applyAlignment="1">
      <alignment horizontal="right"/>
    </xf>
    <xf numFmtId="165" fontId="6" fillId="3" borderId="1" xfId="2" applyNumberFormat="1" applyFill="1" applyBorder="1" applyAlignment="1">
      <alignment horizontal="right"/>
    </xf>
    <xf numFmtId="0" fontId="6" fillId="3" borderId="1" xfId="2" applyFill="1" applyBorder="1" applyAlignment="1">
      <alignment horizontal="left"/>
    </xf>
    <xf numFmtId="164" fontId="6" fillId="3" borderId="1" xfId="2" applyNumberFormat="1" applyFill="1" applyBorder="1" applyAlignment="1">
      <alignment horizontal="left"/>
    </xf>
    <xf numFmtId="0" fontId="11" fillId="3" borderId="1" xfId="2" applyFont="1" applyFill="1" applyBorder="1" applyAlignment="1">
      <alignment horizontal="left"/>
    </xf>
    <xf numFmtId="0" fontId="9" fillId="3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165" fontId="9" fillId="3" borderId="1" xfId="1" applyNumberFormat="1" applyFont="1" applyFill="1" applyBorder="1" applyAlignment="1">
      <alignment horizontal="center" vertical="center"/>
    </xf>
    <xf numFmtId="166" fontId="9" fillId="3" borderId="1" xfId="1" applyNumberFormat="1" applyFont="1" applyFill="1" applyBorder="1" applyAlignment="1">
      <alignment horizontal="center" vertical="center"/>
    </xf>
    <xf numFmtId="2" fontId="9" fillId="3" borderId="1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 wrapText="1"/>
    </xf>
    <xf numFmtId="0" fontId="16" fillId="0" borderId="0" xfId="3"/>
    <xf numFmtId="0" fontId="17" fillId="2" borderId="1" xfId="3" applyFont="1" applyFill="1" applyBorder="1" applyAlignment="1">
      <alignment horizontal="right"/>
    </xf>
    <xf numFmtId="0" fontId="17" fillId="2" borderId="1" xfId="3" applyFont="1" applyFill="1" applyBorder="1" applyAlignment="1">
      <alignment horizontal="left"/>
    </xf>
    <xf numFmtId="0" fontId="16" fillId="3" borderId="1" xfId="3" applyFill="1" applyBorder="1" applyAlignment="1">
      <alignment horizontal="right"/>
    </xf>
    <xf numFmtId="166" fontId="16" fillId="3" borderId="1" xfId="3" applyNumberFormat="1" applyFill="1" applyBorder="1" applyAlignment="1">
      <alignment horizontal="right"/>
    </xf>
    <xf numFmtId="164" fontId="16" fillId="3" borderId="1" xfId="3" applyNumberFormat="1" applyFill="1" applyBorder="1" applyAlignment="1">
      <alignment horizontal="right"/>
    </xf>
    <xf numFmtId="2" fontId="16" fillId="3" borderId="1" xfId="3" applyNumberFormat="1" applyFill="1" applyBorder="1" applyAlignment="1">
      <alignment horizontal="right"/>
    </xf>
    <xf numFmtId="165" fontId="16" fillId="3" borderId="1" xfId="3" applyNumberFormat="1" applyFill="1" applyBorder="1" applyAlignment="1">
      <alignment horizontal="right"/>
    </xf>
    <xf numFmtId="0" fontId="16" fillId="3" borderId="1" xfId="3" applyFill="1" applyBorder="1" applyAlignment="1">
      <alignment horizontal="left"/>
    </xf>
    <xf numFmtId="164" fontId="16" fillId="3" borderId="1" xfId="3" applyNumberFormat="1" applyFill="1" applyBorder="1" applyAlignment="1">
      <alignment horizontal="left"/>
    </xf>
    <xf numFmtId="0" fontId="17" fillId="3" borderId="1" xfId="3" applyFont="1" applyFill="1" applyBorder="1" applyAlignment="1">
      <alignment horizontal="left"/>
    </xf>
    <xf numFmtId="0" fontId="18" fillId="4" borderId="1" xfId="3" applyFont="1" applyFill="1" applyBorder="1" applyAlignment="1">
      <alignment horizontal="center" vertical="center" wrapText="1"/>
    </xf>
    <xf numFmtId="0" fontId="16" fillId="3" borderId="1" xfId="3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/>
    </xf>
    <xf numFmtId="164" fontId="16" fillId="3" borderId="1" xfId="3" applyNumberFormat="1" applyFill="1" applyBorder="1" applyAlignment="1">
      <alignment horizontal="center" vertical="center"/>
    </xf>
    <xf numFmtId="165" fontId="16" fillId="3" borderId="1" xfId="3" applyNumberFormat="1" applyFill="1" applyBorder="1" applyAlignment="1">
      <alignment horizontal="center" vertical="center"/>
    </xf>
    <xf numFmtId="166" fontId="16" fillId="3" borderId="1" xfId="3" applyNumberFormat="1" applyFill="1" applyBorder="1" applyAlignment="1">
      <alignment horizontal="center" vertical="center"/>
    </xf>
    <xf numFmtId="2" fontId="16" fillId="3" borderId="1" xfId="3" applyNumberFormat="1" applyFill="1" applyBorder="1" applyAlignment="1">
      <alignment horizontal="center" vertical="center"/>
    </xf>
    <xf numFmtId="0" fontId="16" fillId="0" borderId="0" xfId="3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16" fillId="3" borderId="1" xfId="3" applyFill="1" applyBorder="1" applyAlignment="1">
      <alignment horizontal="center"/>
    </xf>
    <xf numFmtId="0" fontId="17" fillId="3" borderId="1" xfId="3" applyFont="1" applyFill="1" applyBorder="1" applyAlignment="1">
      <alignment horizontal="center"/>
    </xf>
    <xf numFmtId="164" fontId="16" fillId="3" borderId="1" xfId="3" applyNumberFormat="1" applyFill="1" applyBorder="1" applyAlignment="1">
      <alignment horizontal="center"/>
    </xf>
    <xf numFmtId="165" fontId="16" fillId="3" borderId="1" xfId="3" applyNumberFormat="1" applyFill="1" applyBorder="1" applyAlignment="1">
      <alignment horizontal="center"/>
    </xf>
    <xf numFmtId="166" fontId="16" fillId="3" borderId="1" xfId="3" applyNumberFormat="1" applyFill="1" applyBorder="1" applyAlignment="1">
      <alignment horizontal="center"/>
    </xf>
    <xf numFmtId="2" fontId="16" fillId="3" borderId="1" xfId="3" applyNumberFormat="1" applyFill="1" applyBorder="1" applyAlignment="1">
      <alignment horizontal="center"/>
    </xf>
    <xf numFmtId="0" fontId="16" fillId="0" borderId="0" xfId="3" applyAlignment="1">
      <alignment horizontal="center"/>
    </xf>
    <xf numFmtId="0" fontId="17" fillId="2" borderId="1" xfId="3" applyFont="1" applyFill="1" applyBorder="1" applyAlignment="1">
      <alignment horizontal="center"/>
    </xf>
    <xf numFmtId="14" fontId="16" fillId="3" borderId="1" xfId="3" applyNumberFormat="1" applyFill="1" applyBorder="1" applyAlignment="1">
      <alignment horizontal="center" vertical="center"/>
    </xf>
    <xf numFmtId="0" fontId="16" fillId="6" borderId="1" xfId="3" applyFill="1" applyBorder="1" applyAlignment="1">
      <alignment horizontal="center"/>
    </xf>
    <xf numFmtId="0" fontId="17" fillId="6" borderId="1" xfId="3" applyFont="1" applyFill="1" applyBorder="1" applyAlignment="1">
      <alignment horizontal="center"/>
    </xf>
    <xf numFmtId="164" fontId="16" fillId="6" borderId="1" xfId="3" applyNumberFormat="1" applyFill="1" applyBorder="1" applyAlignment="1">
      <alignment horizontal="center"/>
    </xf>
    <xf numFmtId="165" fontId="16" fillId="6" borderId="1" xfId="3" applyNumberFormat="1" applyFill="1" applyBorder="1" applyAlignment="1">
      <alignment horizontal="center"/>
    </xf>
    <xf numFmtId="166" fontId="16" fillId="6" borderId="1" xfId="3" applyNumberFormat="1" applyFill="1" applyBorder="1" applyAlignment="1">
      <alignment horizontal="center"/>
    </xf>
    <xf numFmtId="2" fontId="16" fillId="6" borderId="1" xfId="3" applyNumberFormat="1" applyFill="1" applyBorder="1" applyAlignment="1">
      <alignment horizontal="center"/>
    </xf>
    <xf numFmtId="0" fontId="16" fillId="6" borderId="0" xfId="3" applyFill="1" applyAlignment="1">
      <alignment horizontal="center"/>
    </xf>
    <xf numFmtId="14" fontId="16" fillId="3" borderId="1" xfId="3" applyNumberFormat="1" applyFill="1" applyBorder="1" applyAlignment="1">
      <alignment horizontal="center"/>
    </xf>
    <xf numFmtId="0" fontId="16" fillId="5" borderId="0" xfId="3" applyFill="1" applyAlignment="1">
      <alignment horizontal="center"/>
    </xf>
    <xf numFmtId="0" fontId="16" fillId="5" borderId="1" xfId="3" applyFill="1" applyBorder="1" applyAlignment="1">
      <alignment horizontal="center" vertical="center"/>
    </xf>
    <xf numFmtId="0" fontId="17" fillId="5" borderId="1" xfId="3" applyFont="1" applyFill="1" applyBorder="1" applyAlignment="1">
      <alignment horizontal="center" vertical="center"/>
    </xf>
    <xf numFmtId="164" fontId="16" fillId="5" borderId="1" xfId="3" applyNumberFormat="1" applyFill="1" applyBorder="1" applyAlignment="1">
      <alignment horizontal="center" vertical="center"/>
    </xf>
    <xf numFmtId="165" fontId="16" fillId="5" borderId="1" xfId="3" applyNumberFormat="1" applyFill="1" applyBorder="1" applyAlignment="1">
      <alignment horizontal="center" vertical="center"/>
    </xf>
    <xf numFmtId="166" fontId="16" fillId="5" borderId="1" xfId="3" applyNumberFormat="1" applyFill="1" applyBorder="1" applyAlignment="1">
      <alignment horizontal="center" vertical="center"/>
    </xf>
    <xf numFmtId="2" fontId="16" fillId="5" borderId="1" xfId="3" applyNumberForma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166" fontId="14" fillId="3" borderId="1" xfId="1" applyNumberFormat="1" applyFont="1" applyFill="1" applyBorder="1" applyAlignment="1">
      <alignment horizontal="center" vertical="center"/>
    </xf>
    <xf numFmtId="164" fontId="14" fillId="3" borderId="1" xfId="1" applyNumberFormat="1" applyFont="1" applyFill="1" applyBorder="1" applyAlignment="1">
      <alignment horizontal="center" vertical="center"/>
    </xf>
    <xf numFmtId="2" fontId="14" fillId="3" borderId="1" xfId="1" applyNumberFormat="1" applyFont="1" applyFill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/>
    </xf>
    <xf numFmtId="14" fontId="16" fillId="3" borderId="1" xfId="3" applyNumberFormat="1" applyFill="1" applyBorder="1" applyAlignment="1">
      <alignment horizontal="left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4" fillId="3" borderId="1" xfId="1" applyNumberFormat="1" applyFill="1" applyBorder="1" applyAlignment="1">
      <alignment horizontal="center" vertical="center"/>
    </xf>
    <xf numFmtId="14" fontId="16" fillId="6" borderId="1" xfId="3" applyNumberFormat="1" applyFill="1" applyBorder="1" applyAlignment="1">
      <alignment horizontal="center"/>
    </xf>
    <xf numFmtId="0" fontId="14" fillId="3" borderId="1" xfId="3" applyFont="1" applyFill="1" applyBorder="1" applyAlignment="1">
      <alignment horizontal="center" vertical="center"/>
    </xf>
    <xf numFmtId="0" fontId="0" fillId="0" borderId="0" xfId="0"/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166" fontId="16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16" fillId="0" borderId="1" xfId="3" applyFill="1" applyBorder="1" applyAlignment="1">
      <alignment horizontal="center" vertical="center"/>
    </xf>
    <xf numFmtId="0" fontId="17" fillId="0" borderId="1" xfId="3" applyFont="1" applyFill="1" applyBorder="1" applyAlignment="1">
      <alignment horizontal="center" vertical="center"/>
    </xf>
    <xf numFmtId="164" fontId="16" fillId="0" borderId="1" xfId="3" applyNumberFormat="1" applyFill="1" applyBorder="1" applyAlignment="1">
      <alignment horizontal="center" vertical="center"/>
    </xf>
    <xf numFmtId="165" fontId="16" fillId="0" borderId="1" xfId="3" applyNumberFormat="1" applyFill="1" applyBorder="1" applyAlignment="1">
      <alignment horizontal="center" vertical="center"/>
    </xf>
    <xf numFmtId="166" fontId="16" fillId="0" borderId="1" xfId="3" applyNumberFormat="1" applyFill="1" applyBorder="1" applyAlignment="1">
      <alignment horizontal="center" vertical="center"/>
    </xf>
    <xf numFmtId="2" fontId="16" fillId="0" borderId="1" xfId="3" applyNumberFormat="1" applyFill="1" applyBorder="1" applyAlignment="1">
      <alignment horizontal="center" vertical="center"/>
    </xf>
    <xf numFmtId="0" fontId="16" fillId="0" borderId="0" xfId="3" applyFill="1"/>
    <xf numFmtId="14" fontId="16" fillId="0" borderId="1" xfId="3" applyNumberFormat="1" applyFill="1" applyBorder="1" applyAlignment="1">
      <alignment horizontal="center" vertical="center"/>
    </xf>
    <xf numFmtId="0" fontId="23" fillId="4" borderId="1" xfId="3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5" fillId="3" borderId="1" xfId="3" applyFont="1" applyFill="1" applyBorder="1" applyAlignment="1">
      <alignment horizontal="center" vertical="center"/>
    </xf>
    <xf numFmtId="0" fontId="26" fillId="3" borderId="1" xfId="3" applyFont="1" applyFill="1" applyBorder="1" applyAlignment="1">
      <alignment horizontal="center" vertical="center"/>
    </xf>
    <xf numFmtId="164" fontId="26" fillId="3" borderId="1" xfId="3" applyNumberFormat="1" applyFont="1" applyFill="1" applyBorder="1" applyAlignment="1">
      <alignment horizontal="center" vertical="center"/>
    </xf>
    <xf numFmtId="165" fontId="26" fillId="3" borderId="1" xfId="3" applyNumberFormat="1" applyFont="1" applyFill="1" applyBorder="1" applyAlignment="1">
      <alignment horizontal="center" vertical="center"/>
    </xf>
    <xf numFmtId="166" fontId="26" fillId="3" borderId="1" xfId="3" applyNumberFormat="1" applyFont="1" applyFill="1" applyBorder="1" applyAlignment="1">
      <alignment horizontal="center" vertical="center"/>
    </xf>
    <xf numFmtId="2" fontId="26" fillId="3" borderId="1" xfId="3" applyNumberFormat="1" applyFont="1" applyFill="1" applyBorder="1" applyAlignment="1">
      <alignment horizontal="center" vertical="center"/>
    </xf>
    <xf numFmtId="14" fontId="26" fillId="3" borderId="1" xfId="3" applyNumberFormat="1" applyFont="1" applyFill="1" applyBorder="1" applyAlignment="1">
      <alignment horizontal="center" vertical="center"/>
    </xf>
    <xf numFmtId="0" fontId="25" fillId="2" borderId="1" xfId="3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right"/>
    </xf>
    <xf numFmtId="0" fontId="5" fillId="2" borderId="1" xfId="1" applyFont="1" applyFill="1" applyBorder="1" applyAlignment="1">
      <alignment horizontal="left"/>
    </xf>
    <xf numFmtId="0" fontId="4" fillId="3" borderId="1" xfId="1" applyFill="1" applyBorder="1" applyAlignment="1">
      <alignment horizontal="right"/>
    </xf>
    <xf numFmtId="166" fontId="4" fillId="3" borderId="1" xfId="1" applyNumberFormat="1" applyFill="1" applyBorder="1" applyAlignment="1">
      <alignment horizontal="right"/>
    </xf>
    <xf numFmtId="164" fontId="4" fillId="3" borderId="1" xfId="1" applyNumberFormat="1" applyFill="1" applyBorder="1" applyAlignment="1">
      <alignment horizontal="right"/>
    </xf>
    <xf numFmtId="2" fontId="4" fillId="3" borderId="1" xfId="1" applyNumberFormat="1" applyFill="1" applyBorder="1" applyAlignment="1">
      <alignment horizontal="right"/>
    </xf>
    <xf numFmtId="165" fontId="4" fillId="3" borderId="1" xfId="1" applyNumberFormat="1" applyFill="1" applyBorder="1" applyAlignment="1">
      <alignment horizontal="right"/>
    </xf>
    <xf numFmtId="0" fontId="4" fillId="3" borderId="1" xfId="1" applyFill="1" applyBorder="1" applyAlignment="1">
      <alignment horizontal="left"/>
    </xf>
    <xf numFmtId="164" fontId="4" fillId="3" borderId="1" xfId="1" applyNumberFormat="1" applyFill="1" applyBorder="1" applyAlignment="1">
      <alignment horizontal="left"/>
    </xf>
    <xf numFmtId="0" fontId="5" fillId="3" borderId="1" xfId="1" applyFont="1" applyFill="1" applyBorder="1" applyAlignment="1">
      <alignment horizontal="left"/>
    </xf>
    <xf numFmtId="0" fontId="4" fillId="0" borderId="0" xfId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164" fontId="14" fillId="3" borderId="1" xfId="3" applyNumberFormat="1" applyFont="1" applyFill="1" applyBorder="1" applyAlignment="1">
      <alignment horizontal="center" vertical="center"/>
    </xf>
    <xf numFmtId="165" fontId="14" fillId="3" borderId="1" xfId="3" applyNumberFormat="1" applyFont="1" applyFill="1" applyBorder="1" applyAlignment="1">
      <alignment horizontal="center" vertical="center"/>
    </xf>
    <xf numFmtId="166" fontId="14" fillId="3" borderId="1" xfId="3" applyNumberFormat="1" applyFont="1" applyFill="1" applyBorder="1" applyAlignment="1">
      <alignment horizontal="center" vertical="center"/>
    </xf>
    <xf numFmtId="2" fontId="14" fillId="3" borderId="1" xfId="3" applyNumberFormat="1" applyFont="1" applyFill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6" fillId="7" borderId="1" xfId="3" applyFill="1" applyBorder="1" applyAlignment="1">
      <alignment horizontal="center" vertical="center"/>
    </xf>
    <xf numFmtId="0" fontId="17" fillId="7" borderId="1" xfId="3" applyFont="1" applyFill="1" applyBorder="1" applyAlignment="1">
      <alignment horizontal="center" vertical="center"/>
    </xf>
    <xf numFmtId="164" fontId="16" fillId="7" borderId="1" xfId="3" applyNumberFormat="1" applyFill="1" applyBorder="1" applyAlignment="1">
      <alignment horizontal="center" vertical="center"/>
    </xf>
    <xf numFmtId="165" fontId="16" fillId="7" borderId="1" xfId="3" applyNumberFormat="1" applyFill="1" applyBorder="1" applyAlignment="1">
      <alignment horizontal="center" vertical="center"/>
    </xf>
    <xf numFmtId="166" fontId="16" fillId="7" borderId="1" xfId="3" applyNumberFormat="1" applyFill="1" applyBorder="1" applyAlignment="1">
      <alignment horizontal="center" vertical="center"/>
    </xf>
    <xf numFmtId="2" fontId="16" fillId="7" borderId="1" xfId="3" applyNumberFormat="1" applyFill="1" applyBorder="1" applyAlignment="1">
      <alignment horizontal="center" vertical="center"/>
    </xf>
    <xf numFmtId="0" fontId="16" fillId="7" borderId="0" xfId="3" applyFill="1"/>
    <xf numFmtId="164" fontId="24" fillId="0" borderId="0" xfId="0" applyNumberFormat="1" applyFont="1" applyAlignment="1">
      <alignment horizontal="center" vertical="center"/>
    </xf>
    <xf numFmtId="0" fontId="14" fillId="0" borderId="0" xfId="3" applyFont="1"/>
    <xf numFmtId="0" fontId="5" fillId="2" borderId="1" xfId="3" applyFont="1" applyFill="1" applyBorder="1" applyAlignment="1">
      <alignment horizontal="right"/>
    </xf>
    <xf numFmtId="0" fontId="5" fillId="2" borderId="1" xfId="3" applyFont="1" applyFill="1" applyBorder="1" applyAlignment="1">
      <alignment horizontal="left"/>
    </xf>
    <xf numFmtId="0" fontId="4" fillId="3" borderId="1" xfId="3" applyFont="1" applyFill="1" applyBorder="1" applyAlignment="1">
      <alignment horizontal="right"/>
    </xf>
    <xf numFmtId="166" fontId="4" fillId="3" borderId="1" xfId="3" applyNumberFormat="1" applyFont="1" applyFill="1" applyBorder="1" applyAlignment="1">
      <alignment horizontal="right"/>
    </xf>
    <xf numFmtId="164" fontId="4" fillId="3" borderId="1" xfId="3" applyNumberFormat="1" applyFont="1" applyFill="1" applyBorder="1" applyAlignment="1">
      <alignment horizontal="right"/>
    </xf>
    <xf numFmtId="2" fontId="4" fillId="3" borderId="1" xfId="3" applyNumberFormat="1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right"/>
    </xf>
    <xf numFmtId="0" fontId="4" fillId="3" borderId="1" xfId="3" applyFont="1" applyFill="1" applyBorder="1" applyAlignment="1">
      <alignment horizontal="left"/>
    </xf>
    <xf numFmtId="164" fontId="4" fillId="3" borderId="1" xfId="3" applyNumberFormat="1" applyFont="1" applyFill="1" applyBorder="1" applyAlignment="1">
      <alignment horizontal="left"/>
    </xf>
    <xf numFmtId="0" fontId="5" fillId="3" borderId="1" xfId="3" applyFont="1" applyFill="1" applyBorder="1" applyAlignment="1">
      <alignment horizontal="left"/>
    </xf>
    <xf numFmtId="0" fontId="3" fillId="4" borderId="1" xfId="3" applyFont="1" applyFill="1" applyBorder="1" applyAlignment="1">
      <alignment horizontal="center" vertical="center" wrapText="1"/>
    </xf>
    <xf numFmtId="0" fontId="16" fillId="6" borderId="1" xfId="3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/>
    </xf>
    <xf numFmtId="164" fontId="16" fillId="6" borderId="1" xfId="3" applyNumberFormat="1" applyFill="1" applyBorder="1" applyAlignment="1">
      <alignment horizontal="center" vertical="center"/>
    </xf>
    <xf numFmtId="165" fontId="16" fillId="6" borderId="1" xfId="3" applyNumberFormat="1" applyFill="1" applyBorder="1" applyAlignment="1">
      <alignment horizontal="center" vertical="center"/>
    </xf>
    <xf numFmtId="166" fontId="16" fillId="6" borderId="1" xfId="3" applyNumberFormat="1" applyFill="1" applyBorder="1" applyAlignment="1">
      <alignment horizontal="center" vertical="center"/>
    </xf>
    <xf numFmtId="2" fontId="16" fillId="6" borderId="1" xfId="3" applyNumberFormat="1" applyFill="1" applyBorder="1" applyAlignment="1">
      <alignment horizontal="center" vertical="center"/>
    </xf>
    <xf numFmtId="1" fontId="4" fillId="0" borderId="0" xfId="1" applyNumberFormat="1"/>
    <xf numFmtId="1" fontId="3" fillId="4" borderId="1" xfId="1" applyNumberFormat="1" applyFont="1" applyFill="1" applyBorder="1" applyAlignment="1">
      <alignment horizontal="center" vertical="center" wrapText="1"/>
    </xf>
    <xf numFmtId="0" fontId="16" fillId="6" borderId="0" xfId="3" applyFill="1" applyAlignment="1">
      <alignment horizontal="center" vertical="center"/>
    </xf>
    <xf numFmtId="0" fontId="18" fillId="4" borderId="3" xfId="3" applyFont="1" applyFill="1" applyBorder="1" applyAlignment="1">
      <alignment horizontal="center" vertical="center" wrapText="1"/>
    </xf>
    <xf numFmtId="0" fontId="17" fillId="2" borderId="4" xfId="3" applyFont="1" applyFill="1" applyBorder="1" applyAlignment="1">
      <alignment horizontal="center" vertical="center"/>
    </xf>
    <xf numFmtId="0" fontId="16" fillId="6" borderId="2" xfId="3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64" fontId="16" fillId="6" borderId="2" xfId="3" applyNumberFormat="1" applyFill="1" applyBorder="1" applyAlignment="1">
      <alignment horizontal="center" vertical="center"/>
    </xf>
    <xf numFmtId="165" fontId="16" fillId="6" borderId="2" xfId="3" applyNumberFormat="1" applyFill="1" applyBorder="1" applyAlignment="1">
      <alignment horizontal="center" vertical="center"/>
    </xf>
    <xf numFmtId="166" fontId="16" fillId="6" borderId="2" xfId="3" applyNumberFormat="1" applyFill="1" applyBorder="1" applyAlignment="1">
      <alignment horizontal="center" vertical="center"/>
    </xf>
    <xf numFmtId="2" fontId="16" fillId="6" borderId="2" xfId="3" applyNumberFormat="1" applyFill="1" applyBorder="1" applyAlignment="1">
      <alignment horizontal="center" vertical="center"/>
    </xf>
    <xf numFmtId="0" fontId="27" fillId="6" borderId="2" xfId="4" applyFill="1" applyBorder="1" applyAlignment="1">
      <alignment horizontal="center" vertical="center"/>
    </xf>
    <xf numFmtId="0" fontId="4" fillId="6" borderId="2" xfId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164" fontId="4" fillId="6" borderId="2" xfId="1" applyNumberFormat="1" applyFill="1" applyBorder="1" applyAlignment="1">
      <alignment horizontal="center" vertical="center"/>
    </xf>
    <xf numFmtId="165" fontId="4" fillId="6" borderId="2" xfId="1" applyNumberFormat="1" applyFill="1" applyBorder="1" applyAlignment="1">
      <alignment horizontal="center" vertical="center"/>
    </xf>
    <xf numFmtId="166" fontId="4" fillId="6" borderId="2" xfId="1" applyNumberFormat="1" applyFill="1" applyBorder="1" applyAlignment="1">
      <alignment horizontal="center" vertical="center"/>
    </xf>
    <xf numFmtId="2" fontId="4" fillId="6" borderId="2" xfId="1" applyNumberForma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165" fontId="16" fillId="5" borderId="1" xfId="0" applyNumberFormat="1" applyFont="1" applyFill="1" applyBorder="1" applyAlignment="1">
      <alignment horizontal="center" vertical="center"/>
    </xf>
    <xf numFmtId="166" fontId="16" fillId="5" borderId="1" xfId="0" applyNumberFormat="1" applyFont="1" applyFill="1" applyBorder="1" applyAlignment="1">
      <alignment horizontal="center" vertical="center"/>
    </xf>
    <xf numFmtId="2" fontId="16" fillId="5" borderId="1" xfId="0" applyNumberFormat="1" applyFont="1" applyFill="1" applyBorder="1" applyAlignment="1">
      <alignment horizontal="center" vertical="center"/>
    </xf>
    <xf numFmtId="0" fontId="4" fillId="5" borderId="1" xfId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164" fontId="4" fillId="5" borderId="1" xfId="1" applyNumberFormat="1" applyFill="1" applyBorder="1" applyAlignment="1">
      <alignment horizontal="center" vertical="center"/>
    </xf>
    <xf numFmtId="165" fontId="4" fillId="5" borderId="1" xfId="1" applyNumberFormat="1" applyFill="1" applyBorder="1" applyAlignment="1">
      <alignment horizontal="center" vertical="center"/>
    </xf>
    <xf numFmtId="166" fontId="4" fillId="5" borderId="1" xfId="1" applyNumberFormat="1" applyFill="1" applyBorder="1" applyAlignment="1">
      <alignment horizontal="center" vertical="center"/>
    </xf>
    <xf numFmtId="2" fontId="4" fillId="5" borderId="1" xfId="1" applyNumberFormat="1" applyFill="1" applyBorder="1" applyAlignment="1">
      <alignment horizontal="center" vertical="center"/>
    </xf>
    <xf numFmtId="0" fontId="4" fillId="0" borderId="0" xfId="1" applyAlignment="1">
      <alignment wrapText="1"/>
    </xf>
    <xf numFmtId="0" fontId="4" fillId="6" borderId="1" xfId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1" fontId="4" fillId="6" borderId="1" xfId="1" applyNumberFormat="1" applyFill="1" applyBorder="1" applyAlignment="1">
      <alignment horizontal="center" vertical="center"/>
    </xf>
    <xf numFmtId="164" fontId="4" fillId="6" borderId="1" xfId="1" applyNumberFormat="1" applyFill="1" applyBorder="1" applyAlignment="1">
      <alignment horizontal="center" vertical="center"/>
    </xf>
    <xf numFmtId="165" fontId="4" fillId="6" borderId="1" xfId="1" applyNumberFormat="1" applyFill="1" applyBorder="1" applyAlignment="1">
      <alignment horizontal="center" vertical="center"/>
    </xf>
    <xf numFmtId="166" fontId="4" fillId="6" borderId="1" xfId="1" applyNumberFormat="1" applyFill="1" applyBorder="1" applyAlignment="1">
      <alignment horizontal="center" vertical="center"/>
    </xf>
    <xf numFmtId="2" fontId="4" fillId="6" borderId="1" xfId="1" applyNumberFormat="1" applyFill="1" applyBorder="1" applyAlignment="1">
      <alignment horizontal="center" vertical="center"/>
    </xf>
    <xf numFmtId="0" fontId="4" fillId="6" borderId="0" xfId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166" fontId="16" fillId="6" borderId="1" xfId="0" applyNumberFormat="1" applyFont="1" applyFill="1" applyBorder="1" applyAlignment="1">
      <alignment horizontal="center" vertical="center"/>
    </xf>
    <xf numFmtId="2" fontId="16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164" fontId="16" fillId="3" borderId="1" xfId="0" applyNumberFormat="1" applyFont="1" applyFill="1" applyBorder="1" applyAlignment="1">
      <alignment horizontal="center"/>
    </xf>
    <xf numFmtId="165" fontId="16" fillId="3" borderId="1" xfId="0" applyNumberFormat="1" applyFont="1" applyFill="1" applyBorder="1" applyAlignment="1">
      <alignment horizontal="center"/>
    </xf>
    <xf numFmtId="166" fontId="16" fillId="3" borderId="1" xfId="0" applyNumberFormat="1" applyFont="1" applyFill="1" applyBorder="1" applyAlignment="1">
      <alignment horizontal="center"/>
    </xf>
    <xf numFmtId="2" fontId="16" fillId="3" borderId="1" xfId="0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wrapText="1"/>
    </xf>
    <xf numFmtId="0" fontId="4" fillId="3" borderId="1" xfId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64" fontId="4" fillId="3" borderId="1" xfId="1" applyNumberFormat="1" applyFill="1" applyBorder="1" applyAlignment="1">
      <alignment horizontal="center"/>
    </xf>
    <xf numFmtId="165" fontId="4" fillId="3" borderId="1" xfId="1" applyNumberFormat="1" applyFill="1" applyBorder="1" applyAlignment="1">
      <alignment horizontal="center"/>
    </xf>
    <xf numFmtId="166" fontId="4" fillId="3" borderId="1" xfId="1" applyNumberFormat="1" applyFill="1" applyBorder="1" applyAlignment="1">
      <alignment horizontal="center"/>
    </xf>
    <xf numFmtId="2" fontId="4" fillId="3" borderId="1" xfId="1" applyNumberForma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164" fontId="4" fillId="3" borderId="1" xfId="3" applyNumberFormat="1" applyFont="1" applyFill="1" applyBorder="1" applyAlignment="1">
      <alignment horizontal="center"/>
    </xf>
    <xf numFmtId="165" fontId="4" fillId="3" borderId="1" xfId="3" applyNumberFormat="1" applyFont="1" applyFill="1" applyBorder="1" applyAlignment="1">
      <alignment horizontal="center"/>
    </xf>
    <xf numFmtId="166" fontId="4" fillId="3" borderId="1" xfId="3" applyNumberFormat="1" applyFont="1" applyFill="1" applyBorder="1" applyAlignment="1">
      <alignment horizontal="center"/>
    </xf>
    <xf numFmtId="2" fontId="4" fillId="3" borderId="1" xfId="3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0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0" fontId="28" fillId="0" borderId="0" xfId="5"/>
    <xf numFmtId="0" fontId="30" fillId="4" borderId="1" xfId="5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 wrapText="1"/>
    </xf>
    <xf numFmtId="165" fontId="0" fillId="0" borderId="0" xfId="0" applyNumberFormat="1" applyFont="1" applyAlignment="1">
      <alignment horizontal="center" vertical="center" wrapText="1"/>
    </xf>
    <xf numFmtId="166" fontId="0" fillId="0" borderId="0" xfId="0" applyNumberFormat="1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0" fontId="4" fillId="3" borderId="1" xfId="1" applyFont="1" applyFill="1" applyBorder="1" applyAlignment="1">
      <alignment horizontal="left"/>
    </xf>
    <xf numFmtId="164" fontId="4" fillId="3" borderId="1" xfId="1" applyNumberFormat="1" applyFont="1" applyFill="1" applyBorder="1" applyAlignment="1">
      <alignment horizontal="left"/>
    </xf>
    <xf numFmtId="164" fontId="4" fillId="3" borderId="1" xfId="1" applyNumberFormat="1" applyFont="1" applyFill="1" applyBorder="1" applyAlignment="1">
      <alignment horizontal="right"/>
    </xf>
    <xf numFmtId="165" fontId="4" fillId="3" borderId="1" xfId="1" applyNumberFormat="1" applyFont="1" applyFill="1" applyBorder="1" applyAlignment="1">
      <alignment horizontal="right"/>
    </xf>
    <xf numFmtId="166" fontId="4" fillId="3" borderId="1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4" fillId="3" borderId="1" xfId="1" applyFont="1" applyFill="1" applyBorder="1" applyAlignment="1">
      <alignment horizontal="right"/>
    </xf>
    <xf numFmtId="0" fontId="4" fillId="0" borderId="0" xfId="1" applyFont="1"/>
    <xf numFmtId="0" fontId="28" fillId="3" borderId="1" xfId="5" applyFill="1" applyBorder="1" applyAlignment="1">
      <alignment horizontal="center" vertical="center"/>
    </xf>
    <xf numFmtId="0" fontId="29" fillId="3" borderId="1" xfId="5" applyFont="1" applyFill="1" applyBorder="1" applyAlignment="1">
      <alignment horizontal="center" vertical="center"/>
    </xf>
    <xf numFmtId="164" fontId="28" fillId="3" borderId="1" xfId="5" applyNumberFormat="1" applyFill="1" applyBorder="1" applyAlignment="1">
      <alignment horizontal="center" vertical="center"/>
    </xf>
    <xf numFmtId="165" fontId="28" fillId="3" borderId="1" xfId="5" applyNumberFormat="1" applyFill="1" applyBorder="1" applyAlignment="1">
      <alignment horizontal="center" vertical="center"/>
    </xf>
    <xf numFmtId="166" fontId="28" fillId="3" borderId="1" xfId="5" applyNumberFormat="1" applyFill="1" applyBorder="1" applyAlignment="1">
      <alignment horizontal="center" vertical="center"/>
    </xf>
    <xf numFmtId="2" fontId="28" fillId="3" borderId="1" xfId="5" applyNumberFormat="1" applyFill="1" applyBorder="1" applyAlignment="1">
      <alignment horizontal="center" vertical="center"/>
    </xf>
    <xf numFmtId="0" fontId="28" fillId="0" borderId="0" xfId="5" applyAlignment="1">
      <alignment horizontal="center" vertical="center"/>
    </xf>
    <xf numFmtId="0" fontId="29" fillId="2" borderId="1" xfId="5" applyFont="1" applyFill="1" applyBorder="1" applyAlignment="1">
      <alignment horizontal="center" vertical="center"/>
    </xf>
    <xf numFmtId="0" fontId="31" fillId="0" borderId="0" xfId="5" applyFont="1"/>
    <xf numFmtId="0" fontId="8" fillId="0" borderId="0" xfId="1" applyFont="1"/>
    <xf numFmtId="0" fontId="8" fillId="0" borderId="0" xfId="1" applyFont="1" applyAlignment="1">
      <alignment horizontal="center" vertical="center"/>
    </xf>
    <xf numFmtId="0" fontId="8" fillId="0" borderId="0" xfId="3" applyFont="1"/>
    <xf numFmtId="0" fontId="8" fillId="0" borderId="0" xfId="1" applyFont="1" applyAlignment="1">
      <alignment horizontal="center"/>
    </xf>
    <xf numFmtId="0" fontId="22" fillId="0" borderId="0" xfId="3" applyFont="1"/>
    <xf numFmtId="0" fontId="8" fillId="0" borderId="0" xfId="3" applyFont="1" applyAlignment="1">
      <alignment horizontal="center" vertical="center"/>
    </xf>
    <xf numFmtId="0" fontId="19" fillId="0" borderId="0" xfId="3" applyFont="1"/>
    <xf numFmtId="0" fontId="13" fillId="0" borderId="0" xfId="1" applyFont="1"/>
    <xf numFmtId="0" fontId="8" fillId="0" borderId="0" xfId="2" applyFont="1"/>
    <xf numFmtId="0" fontId="8" fillId="0" borderId="0" xfId="5" applyFont="1"/>
    <xf numFmtId="0" fontId="30" fillId="4" borderId="3" xfId="5" applyFont="1" applyFill="1" applyBorder="1" applyAlignment="1">
      <alignment horizontal="center" vertical="center" wrapText="1"/>
    </xf>
    <xf numFmtId="0" fontId="29" fillId="2" borderId="4" xfId="5" applyFont="1" applyFill="1" applyBorder="1" applyAlignment="1">
      <alignment horizontal="left"/>
    </xf>
    <xf numFmtId="0" fontId="29" fillId="2" borderId="4" xfId="5" applyFont="1" applyFill="1" applyBorder="1" applyAlignment="1">
      <alignment horizontal="right"/>
    </xf>
    <xf numFmtId="0" fontId="28" fillId="3" borderId="2" xfId="5" applyFill="1" applyBorder="1" applyAlignment="1">
      <alignment horizontal="center" vertical="center"/>
    </xf>
    <xf numFmtId="0" fontId="29" fillId="3" borderId="2" xfId="5" applyFont="1" applyFill="1" applyBorder="1" applyAlignment="1">
      <alignment horizontal="center" vertical="center"/>
    </xf>
    <xf numFmtId="164" fontId="28" fillId="3" borderId="2" xfId="5" applyNumberFormat="1" applyFill="1" applyBorder="1" applyAlignment="1">
      <alignment horizontal="center" vertical="center"/>
    </xf>
    <xf numFmtId="165" fontId="28" fillId="3" borderId="2" xfId="5" applyNumberFormat="1" applyFill="1" applyBorder="1" applyAlignment="1">
      <alignment horizontal="center" vertical="center"/>
    </xf>
    <xf numFmtId="166" fontId="28" fillId="3" borderId="2" xfId="5" applyNumberFormat="1" applyFill="1" applyBorder="1" applyAlignment="1">
      <alignment horizontal="center" vertical="center"/>
    </xf>
    <xf numFmtId="2" fontId="28" fillId="3" borderId="2" xfId="5" applyNumberFormat="1" applyFill="1" applyBorder="1" applyAlignment="1">
      <alignment horizontal="center" vertical="center"/>
    </xf>
    <xf numFmtId="0" fontId="28" fillId="0" borderId="2" xfId="5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Font="1" applyBorder="1" applyAlignment="1">
      <alignment horizontal="center" vertical="center" wrapText="1"/>
    </xf>
    <xf numFmtId="165" fontId="0" fillId="0" borderId="2" xfId="0" applyNumberFormat="1" applyFont="1" applyBorder="1" applyAlignment="1">
      <alignment horizontal="center" vertical="center" wrapText="1"/>
    </xf>
    <xf numFmtId="166" fontId="0" fillId="0" borderId="2" xfId="0" applyNumberFormat="1" applyFont="1" applyBorder="1" applyAlignment="1">
      <alignment horizontal="center" vertical="center" wrapText="1"/>
    </xf>
    <xf numFmtId="2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165" fontId="1" fillId="0" borderId="2" xfId="0" applyNumberFormat="1" applyFont="1" applyBorder="1" applyAlignment="1">
      <alignment horizontal="center" wrapText="1"/>
    </xf>
    <xf numFmtId="166" fontId="1" fillId="0" borderId="2" xfId="0" applyNumberFormat="1" applyFont="1" applyBorder="1" applyAlignment="1">
      <alignment horizontal="center" wrapText="1"/>
    </xf>
    <xf numFmtId="2" fontId="1" fillId="0" borderId="2" xfId="0" applyNumberFormat="1" applyFont="1" applyBorder="1" applyAlignment="1">
      <alignment horizontal="center" wrapText="1"/>
    </xf>
    <xf numFmtId="49" fontId="0" fillId="0" borderId="2" xfId="0" applyNumberFormat="1" applyFont="1" applyBorder="1" applyAlignment="1">
      <alignment horizontal="center" wrapText="1"/>
    </xf>
    <xf numFmtId="0" fontId="28" fillId="0" borderId="5" xfId="5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8" fillId="0" borderId="2" xfId="5" applyFont="1" applyBorder="1"/>
    <xf numFmtId="0" fontId="30" fillId="4" borderId="2" xfId="5" applyFont="1" applyFill="1" applyBorder="1" applyAlignment="1">
      <alignment horizontal="center" vertical="center" wrapText="1"/>
    </xf>
    <xf numFmtId="0" fontId="29" fillId="2" borderId="2" xfId="5" applyFont="1" applyFill="1" applyBorder="1" applyAlignment="1">
      <alignment horizontal="center" vertical="center"/>
    </xf>
  </cellXfs>
  <cellStyles count="6">
    <cellStyle name="Normal" xfId="0" builtinId="0"/>
    <cellStyle name="Normal 2" xfId="1" xr:uid="{BAEBE39C-C41A-4EF2-8A52-00DCA411030B}"/>
    <cellStyle name="Normal 3" xfId="2" xr:uid="{84360662-DB69-46F5-B8AA-543D27A9F487}"/>
    <cellStyle name="Normal 4" xfId="3" xr:uid="{72560E0E-1D28-4786-ABB4-2340966F7FFB}"/>
    <cellStyle name="Normal 5" xfId="4" xr:uid="{76F4BEFF-C688-4D35-9AA7-FE078B85BB07}"/>
    <cellStyle name="Normal 6" xfId="5" xr:uid="{31F266F8-D672-4957-8B65-75367377C392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ACBA-446C-4E42-92BC-2CCE998DA5C2}">
  <sheetPr>
    <pageSetUpPr fitToPage="1"/>
  </sheetPr>
  <dimension ref="A1:AC7"/>
  <sheetViews>
    <sheetView tabSelected="1" workbookViewId="0">
      <selection activeCell="F14" sqref="F14"/>
    </sheetView>
  </sheetViews>
  <sheetFormatPr defaultRowHeight="14.4" x14ac:dyDescent="0.3"/>
  <cols>
    <col min="1" max="1" width="3.88671875" style="242" customWidth="1"/>
    <col min="2" max="2" width="20.77734375" style="242" hidden="1" customWidth="1"/>
    <col min="3" max="3" width="7.77734375" style="242" customWidth="1"/>
    <col min="4" max="4" width="11.77734375" style="242" hidden="1" customWidth="1"/>
    <col min="5" max="5" width="7.44140625" style="242" customWidth="1"/>
    <col min="6" max="6" width="5.6640625" style="242" customWidth="1"/>
    <col min="7" max="7" width="6.33203125" style="242" customWidth="1"/>
    <col min="8" max="8" width="6.44140625" style="242" customWidth="1"/>
    <col min="9" max="9" width="6.5546875" style="242" customWidth="1"/>
    <col min="10" max="11" width="6.6640625" style="242" customWidth="1"/>
    <col min="12" max="12" width="7.6640625" style="242" customWidth="1"/>
    <col min="13" max="13" width="9.77734375" style="242" hidden="1" customWidth="1"/>
    <col min="14" max="14" width="8.77734375" style="242" hidden="1" customWidth="1"/>
    <col min="15" max="16" width="9.77734375" style="242" hidden="1" customWidth="1"/>
    <col min="17" max="17" width="7.6640625" style="242" customWidth="1"/>
    <col min="18" max="18" width="4" style="242" customWidth="1"/>
    <col min="19" max="19" width="6.109375" style="242" customWidth="1"/>
    <col min="20" max="20" width="6.33203125" style="242" customWidth="1"/>
    <col min="21" max="21" width="11.77734375" style="242" hidden="1" customWidth="1"/>
    <col min="22" max="22" width="8.77734375" style="242" hidden="1" customWidth="1"/>
    <col min="23" max="23" width="7.6640625" style="242" customWidth="1"/>
    <col min="24" max="24" width="7.21875" style="242" customWidth="1"/>
    <col min="25" max="25" width="7.6640625" style="242" customWidth="1"/>
    <col min="26" max="26" width="8.109375" style="242" customWidth="1"/>
    <col min="27" max="27" width="9.21875" style="242" customWidth="1"/>
    <col min="28" max="28" width="5.21875" style="242" customWidth="1"/>
    <col min="29" max="29" width="11.21875" style="242" customWidth="1"/>
    <col min="30" max="16384" width="8.88671875" style="242"/>
  </cols>
  <sheetData>
    <row r="1" spans="1:29" ht="18" customHeight="1" x14ac:dyDescent="0.35">
      <c r="A1" s="303" t="s">
        <v>778</v>
      </c>
      <c r="B1" s="303" t="s">
        <v>27</v>
      </c>
      <c r="C1" s="303" t="s">
        <v>27</v>
      </c>
      <c r="D1" s="303" t="s">
        <v>27</v>
      </c>
      <c r="E1" s="303" t="s">
        <v>27</v>
      </c>
      <c r="F1" s="303" t="s">
        <v>27</v>
      </c>
      <c r="G1" s="303" t="s">
        <v>27</v>
      </c>
      <c r="H1" s="303" t="s">
        <v>27</v>
      </c>
      <c r="I1" s="303" t="s">
        <v>27</v>
      </c>
      <c r="J1" s="303" t="s">
        <v>27</v>
      </c>
      <c r="K1" s="303" t="s">
        <v>27</v>
      </c>
      <c r="L1" s="303" t="s">
        <v>27</v>
      </c>
      <c r="M1" s="303" t="s">
        <v>27</v>
      </c>
      <c r="N1" s="303" t="s">
        <v>27</v>
      </c>
      <c r="O1" s="303" t="s">
        <v>27</v>
      </c>
      <c r="P1" s="303" t="s">
        <v>27</v>
      </c>
      <c r="Q1" s="303" t="s">
        <v>27</v>
      </c>
      <c r="R1" s="303" t="s">
        <v>27</v>
      </c>
      <c r="S1" s="303" t="s">
        <v>27</v>
      </c>
      <c r="T1" s="303" t="s">
        <v>27</v>
      </c>
      <c r="U1" s="303" t="s">
        <v>27</v>
      </c>
      <c r="V1" s="303" t="s">
        <v>27</v>
      </c>
      <c r="W1" s="303" t="s">
        <v>27</v>
      </c>
      <c r="X1" s="303" t="s">
        <v>27</v>
      </c>
      <c r="Y1" s="303" t="s">
        <v>27</v>
      </c>
      <c r="Z1" s="303" t="s">
        <v>27</v>
      </c>
      <c r="AA1" s="303" t="s">
        <v>27</v>
      </c>
      <c r="AB1" s="303" t="s">
        <v>27</v>
      </c>
      <c r="AC1" s="303" t="s">
        <v>27</v>
      </c>
    </row>
    <row r="2" spans="1:29" ht="41.4" customHeight="1" x14ac:dyDescent="0.3">
      <c r="A2" s="304" t="s">
        <v>0</v>
      </c>
      <c r="B2" s="304" t="s">
        <v>36</v>
      </c>
      <c r="C2" s="304" t="s">
        <v>1</v>
      </c>
      <c r="D2" s="304" t="s">
        <v>2</v>
      </c>
      <c r="E2" s="304" t="s">
        <v>53</v>
      </c>
      <c r="F2" s="304" t="s">
        <v>4</v>
      </c>
      <c r="G2" s="304" t="s">
        <v>5</v>
      </c>
      <c r="H2" s="304" t="s">
        <v>6</v>
      </c>
      <c r="I2" s="304" t="s">
        <v>7</v>
      </c>
      <c r="J2" s="304" t="s">
        <v>27</v>
      </c>
      <c r="K2" s="304" t="s">
        <v>8</v>
      </c>
      <c r="L2" s="304" t="s">
        <v>27</v>
      </c>
      <c r="M2" s="304" t="s">
        <v>9</v>
      </c>
      <c r="N2" s="304" t="s">
        <v>10</v>
      </c>
      <c r="O2" s="304" t="s">
        <v>11</v>
      </c>
      <c r="P2" s="304" t="s">
        <v>12</v>
      </c>
      <c r="Q2" s="304" t="s">
        <v>13</v>
      </c>
      <c r="R2" s="304" t="s">
        <v>14</v>
      </c>
      <c r="S2" s="304" t="s">
        <v>15</v>
      </c>
      <c r="T2" s="304" t="s">
        <v>16</v>
      </c>
      <c r="U2" s="304" t="s">
        <v>17</v>
      </c>
      <c r="V2" s="304" t="s">
        <v>18</v>
      </c>
      <c r="W2" s="304" t="s">
        <v>19</v>
      </c>
      <c r="X2" s="304" t="s">
        <v>20</v>
      </c>
      <c r="Y2" s="304" t="s">
        <v>21</v>
      </c>
      <c r="Z2" s="304" t="s">
        <v>22</v>
      </c>
      <c r="AA2" s="304" t="s">
        <v>23</v>
      </c>
      <c r="AB2" s="304" t="s">
        <v>24</v>
      </c>
      <c r="AC2" s="304" t="s">
        <v>25</v>
      </c>
    </row>
    <row r="3" spans="1:29" s="302" customFormat="1" ht="25.05" customHeight="1" x14ac:dyDescent="0.3">
      <c r="A3" s="287"/>
      <c r="B3" s="288" t="s">
        <v>569</v>
      </c>
      <c r="C3" s="288" t="s">
        <v>55</v>
      </c>
      <c r="D3" s="288" t="s">
        <v>783</v>
      </c>
      <c r="E3" s="287">
        <v>262986</v>
      </c>
      <c r="F3" s="288" t="s">
        <v>777</v>
      </c>
      <c r="G3" s="287">
        <v>2000</v>
      </c>
      <c r="H3" s="289">
        <v>0.51</v>
      </c>
      <c r="I3" s="289">
        <v>1.02</v>
      </c>
      <c r="J3" s="287"/>
      <c r="K3" s="288" t="s">
        <v>33</v>
      </c>
      <c r="L3" s="287"/>
      <c r="M3" s="289">
        <v>1040.4000000000001</v>
      </c>
      <c r="N3" s="290">
        <v>680</v>
      </c>
      <c r="O3" s="291">
        <v>6.3E-2</v>
      </c>
      <c r="P3" s="292">
        <v>3.78</v>
      </c>
      <c r="Q3" s="287">
        <v>379.7</v>
      </c>
      <c r="R3" s="287">
        <v>3</v>
      </c>
      <c r="S3" s="287">
        <v>1550</v>
      </c>
      <c r="T3" s="289">
        <v>1.53</v>
      </c>
      <c r="U3" s="287">
        <v>20</v>
      </c>
      <c r="V3" s="291">
        <v>1.29E-2</v>
      </c>
      <c r="W3" s="288" t="s">
        <v>37</v>
      </c>
      <c r="X3" s="288" t="s">
        <v>29</v>
      </c>
      <c r="Y3" s="288" t="s">
        <v>34</v>
      </c>
      <c r="Z3" s="288"/>
      <c r="AA3" s="288"/>
      <c r="AB3" s="288" t="s">
        <v>32</v>
      </c>
      <c r="AC3" s="288" t="s">
        <v>571</v>
      </c>
    </row>
    <row r="4" spans="1:29" s="264" customFormat="1" ht="25.05" customHeight="1" x14ac:dyDescent="0.3">
      <c r="A4" s="280"/>
      <c r="B4" s="281" t="s">
        <v>569</v>
      </c>
      <c r="C4" s="280" t="s">
        <v>35</v>
      </c>
      <c r="D4" s="280" t="s">
        <v>761</v>
      </c>
      <c r="E4" s="280">
        <v>262981</v>
      </c>
      <c r="F4" s="280" t="s">
        <v>777</v>
      </c>
      <c r="G4" s="280">
        <v>8000</v>
      </c>
      <c r="H4" s="282">
        <v>0.46</v>
      </c>
      <c r="I4" s="282">
        <v>0.92</v>
      </c>
      <c r="J4" s="280" t="s">
        <v>27</v>
      </c>
      <c r="K4" s="280" t="s">
        <v>33</v>
      </c>
      <c r="L4" s="280" t="s">
        <v>27</v>
      </c>
      <c r="M4" s="282">
        <v>3385.6</v>
      </c>
      <c r="N4" s="283">
        <v>2453.3000000000002</v>
      </c>
      <c r="O4" s="284">
        <v>0.22720000000000001</v>
      </c>
      <c r="P4" s="285">
        <v>13.63</v>
      </c>
      <c r="Q4" s="280">
        <v>1066.5</v>
      </c>
      <c r="R4" s="280">
        <v>3</v>
      </c>
      <c r="S4" s="280">
        <v>1400</v>
      </c>
      <c r="T4" s="282">
        <v>1.38</v>
      </c>
      <c r="U4" s="280">
        <v>20</v>
      </c>
      <c r="V4" s="284">
        <v>1.43E-2</v>
      </c>
      <c r="W4" s="280" t="s">
        <v>28</v>
      </c>
      <c r="X4" s="280" t="s">
        <v>28</v>
      </c>
      <c r="Y4" s="280" t="s">
        <v>28</v>
      </c>
      <c r="Z4" s="280" t="s">
        <v>27</v>
      </c>
      <c r="AA4" s="280" t="s">
        <v>27</v>
      </c>
      <c r="AB4" s="280" t="s">
        <v>48</v>
      </c>
      <c r="AC4" s="280" t="s">
        <v>474</v>
      </c>
    </row>
    <row r="5" spans="1:29" s="264" customFormat="1" ht="25.05" customHeight="1" x14ac:dyDescent="0.3">
      <c r="A5" s="280"/>
      <c r="B5" s="281" t="s">
        <v>569</v>
      </c>
      <c r="C5" s="280" t="s">
        <v>35</v>
      </c>
      <c r="D5" s="280" t="s">
        <v>761</v>
      </c>
      <c r="E5" s="280">
        <v>262982</v>
      </c>
      <c r="F5" s="280" t="s">
        <v>777</v>
      </c>
      <c r="G5" s="280">
        <v>3000</v>
      </c>
      <c r="H5" s="282">
        <v>0.67</v>
      </c>
      <c r="I5" s="282">
        <v>0.95</v>
      </c>
      <c r="J5" s="280" t="s">
        <v>27</v>
      </c>
      <c r="K5" s="280" t="s">
        <v>33</v>
      </c>
      <c r="L5" s="280" t="s">
        <v>27</v>
      </c>
      <c r="M5" s="282">
        <v>1909.5</v>
      </c>
      <c r="N5" s="283">
        <v>1425</v>
      </c>
      <c r="O5" s="284">
        <v>0.19789999999999999</v>
      </c>
      <c r="P5" s="285">
        <v>11.88</v>
      </c>
      <c r="Q5" s="280">
        <v>601.5</v>
      </c>
      <c r="R5" s="280">
        <v>2</v>
      </c>
      <c r="S5" s="280">
        <v>1400</v>
      </c>
      <c r="T5" s="282">
        <v>1.34</v>
      </c>
      <c r="U5" s="280">
        <v>60</v>
      </c>
      <c r="V5" s="284">
        <v>4.2900000000000001E-2</v>
      </c>
      <c r="W5" s="280" t="s">
        <v>28</v>
      </c>
      <c r="X5" s="280" t="s">
        <v>28</v>
      </c>
      <c r="Y5" s="280" t="s">
        <v>28</v>
      </c>
      <c r="Z5" s="280" t="s">
        <v>27</v>
      </c>
      <c r="AA5" s="280" t="s">
        <v>27</v>
      </c>
      <c r="AB5" s="280" t="s">
        <v>30</v>
      </c>
      <c r="AC5" s="280" t="s">
        <v>570</v>
      </c>
    </row>
    <row r="6" spans="1:29" s="264" customFormat="1" ht="25.05" customHeight="1" x14ac:dyDescent="0.3">
      <c r="A6" s="280"/>
      <c r="B6" s="281" t="s">
        <v>569</v>
      </c>
      <c r="C6" s="280" t="s">
        <v>35</v>
      </c>
      <c r="D6" s="280" t="s">
        <v>761</v>
      </c>
      <c r="E6" s="280">
        <v>262983</v>
      </c>
      <c r="F6" s="280" t="s">
        <v>777</v>
      </c>
      <c r="G6" s="280">
        <v>500</v>
      </c>
      <c r="H6" s="282">
        <v>0.56000000000000005</v>
      </c>
      <c r="I6" s="282">
        <v>0.93</v>
      </c>
      <c r="J6" s="280" t="s">
        <v>27</v>
      </c>
      <c r="K6" s="280" t="s">
        <v>33</v>
      </c>
      <c r="L6" s="280" t="s">
        <v>27</v>
      </c>
      <c r="M6" s="282">
        <v>260.39999999999998</v>
      </c>
      <c r="N6" s="283">
        <v>232.5</v>
      </c>
      <c r="O6" s="284">
        <v>3.2300000000000002E-2</v>
      </c>
      <c r="P6" s="285">
        <v>1.94</v>
      </c>
      <c r="Q6" s="280">
        <v>82</v>
      </c>
      <c r="R6" s="280">
        <v>2</v>
      </c>
      <c r="S6" s="280">
        <v>1150</v>
      </c>
      <c r="T6" s="282">
        <v>1.1200000000000001</v>
      </c>
      <c r="U6" s="280">
        <v>30</v>
      </c>
      <c r="V6" s="284">
        <v>2.6100000000000002E-2</v>
      </c>
      <c r="W6" s="280" t="s">
        <v>28</v>
      </c>
      <c r="X6" s="280" t="s">
        <v>28</v>
      </c>
      <c r="Y6" s="280" t="s">
        <v>28</v>
      </c>
      <c r="Z6" s="280" t="s">
        <v>27</v>
      </c>
      <c r="AA6" s="280" t="s">
        <v>27</v>
      </c>
      <c r="AB6" s="280" t="s">
        <v>38</v>
      </c>
      <c r="AC6" s="280" t="s">
        <v>460</v>
      </c>
    </row>
    <row r="7" spans="1:29" s="264" customFormat="1" ht="25.05" customHeight="1" x14ac:dyDescent="0.3">
      <c r="A7" s="305" t="s">
        <v>27</v>
      </c>
      <c r="B7" s="305" t="s">
        <v>27</v>
      </c>
      <c r="C7" s="305" t="s">
        <v>27</v>
      </c>
      <c r="D7" s="305" t="s">
        <v>27</v>
      </c>
      <c r="E7" s="305" t="s">
        <v>27</v>
      </c>
      <c r="F7" s="305" t="s">
        <v>27</v>
      </c>
      <c r="G7" s="305">
        <v>11500</v>
      </c>
      <c r="H7" s="305" t="s">
        <v>27</v>
      </c>
      <c r="I7" s="305" t="s">
        <v>27</v>
      </c>
      <c r="J7" s="305" t="s">
        <v>27</v>
      </c>
      <c r="K7" s="305" t="s">
        <v>27</v>
      </c>
      <c r="L7" s="305" t="s">
        <v>27</v>
      </c>
      <c r="M7" s="305" t="s">
        <v>27</v>
      </c>
      <c r="N7" s="305" t="s">
        <v>27</v>
      </c>
      <c r="O7" s="305" t="s">
        <v>27</v>
      </c>
      <c r="P7" s="305" t="s">
        <v>27</v>
      </c>
      <c r="Q7" s="305">
        <v>1750</v>
      </c>
      <c r="R7" s="305" t="s">
        <v>27</v>
      </c>
      <c r="S7" s="305" t="s">
        <v>27</v>
      </c>
      <c r="T7" s="305" t="s">
        <v>27</v>
      </c>
      <c r="U7" s="305" t="s">
        <v>27</v>
      </c>
      <c r="V7" s="305" t="s">
        <v>27</v>
      </c>
      <c r="W7" s="305" t="s">
        <v>27</v>
      </c>
      <c r="X7" s="305" t="s">
        <v>27</v>
      </c>
      <c r="Y7" s="305" t="s">
        <v>27</v>
      </c>
      <c r="Z7" s="305" t="s">
        <v>27</v>
      </c>
      <c r="AA7" s="305" t="s">
        <v>27</v>
      </c>
      <c r="AB7" s="305" t="s">
        <v>27</v>
      </c>
      <c r="AC7" s="305" t="s">
        <v>27</v>
      </c>
    </row>
  </sheetData>
  <mergeCells count="1">
    <mergeCell ref="A1:AC1"/>
  </mergeCells>
  <pageMargins left="0.511811024" right="0.511811024" top="0.99" bottom="0.78740157499999996" header="0.31496062000000002" footer="0.31496062000000002"/>
  <pageSetup paperSize="9" scale="94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BB82-9288-4B22-AC86-2B88D2EB8049}">
  <sheetPr>
    <pageSetUpPr fitToPage="1"/>
  </sheetPr>
  <dimension ref="A1:AC5"/>
  <sheetViews>
    <sheetView workbookViewId="0">
      <selection activeCell="F19" sqref="F19"/>
    </sheetView>
  </sheetViews>
  <sheetFormatPr defaultRowHeight="14.4" x14ac:dyDescent="0.3"/>
  <cols>
    <col min="1" max="1" width="3.77734375" style="242" customWidth="1"/>
    <col min="2" max="2" width="20.77734375" style="242" hidden="1" customWidth="1"/>
    <col min="3" max="3" width="7.77734375" style="242" customWidth="1"/>
    <col min="4" max="4" width="11.77734375" style="242" hidden="1" customWidth="1"/>
    <col min="5" max="5" width="7.44140625" style="242" customWidth="1"/>
    <col min="6" max="6" width="9.33203125" style="242" customWidth="1"/>
    <col min="7" max="7" width="5.44140625" style="242" customWidth="1"/>
    <col min="8" max="8" width="6.6640625" style="242" customWidth="1"/>
    <col min="9" max="9" width="7.21875" style="242" customWidth="1"/>
    <col min="10" max="10" width="9.6640625" style="242" customWidth="1"/>
    <col min="11" max="11" width="10.77734375" style="242" customWidth="1"/>
    <col min="12" max="12" width="9.88671875" style="242" customWidth="1"/>
    <col min="13" max="13" width="9.77734375" style="242" hidden="1" customWidth="1"/>
    <col min="14" max="14" width="8.77734375" style="242" hidden="1" customWidth="1"/>
    <col min="15" max="16" width="9.77734375" style="242" hidden="1" customWidth="1"/>
    <col min="17" max="17" width="7.109375" style="242" customWidth="1"/>
    <col min="18" max="18" width="4.88671875" style="242" customWidth="1"/>
    <col min="19" max="19" width="6.109375" style="242" customWidth="1"/>
    <col min="20" max="20" width="6.5546875" style="242" customWidth="1"/>
    <col min="21" max="21" width="11.77734375" style="242" hidden="1" customWidth="1"/>
    <col min="22" max="22" width="8.77734375" style="242" hidden="1" customWidth="1"/>
    <col min="23" max="23" width="7.5546875" style="242" customWidth="1"/>
    <col min="24" max="24" width="7.44140625" style="242" customWidth="1"/>
    <col min="25" max="25" width="7.5546875" style="242" customWidth="1"/>
    <col min="26" max="26" width="7.33203125" style="242" customWidth="1"/>
    <col min="27" max="27" width="7.88671875" style="242" customWidth="1"/>
    <col min="28" max="28" width="5" style="242" customWidth="1"/>
    <col min="29" max="29" width="10.88671875" style="242" customWidth="1"/>
    <col min="30" max="16384" width="8.88671875" style="242"/>
  </cols>
  <sheetData>
    <row r="1" spans="1:29" ht="18" customHeight="1" x14ac:dyDescent="0.35">
      <c r="A1" s="276" t="s">
        <v>776</v>
      </c>
      <c r="B1" s="276" t="s">
        <v>27</v>
      </c>
      <c r="C1" s="276" t="s">
        <v>27</v>
      </c>
      <c r="D1" s="276" t="s">
        <v>27</v>
      </c>
      <c r="E1" s="276" t="s">
        <v>27</v>
      </c>
      <c r="F1" s="276" t="s">
        <v>27</v>
      </c>
      <c r="G1" s="276" t="s">
        <v>27</v>
      </c>
      <c r="H1" s="276" t="s">
        <v>27</v>
      </c>
      <c r="I1" s="276" t="s">
        <v>27</v>
      </c>
      <c r="J1" s="276" t="s">
        <v>27</v>
      </c>
      <c r="K1" s="276" t="s">
        <v>27</v>
      </c>
      <c r="L1" s="276" t="s">
        <v>27</v>
      </c>
      <c r="M1" s="276" t="s">
        <v>27</v>
      </c>
      <c r="N1" s="276" t="s">
        <v>27</v>
      </c>
      <c r="O1" s="276" t="s">
        <v>27</v>
      </c>
      <c r="P1" s="276" t="s">
        <v>27</v>
      </c>
      <c r="Q1" s="276" t="s">
        <v>27</v>
      </c>
      <c r="R1" s="276" t="s">
        <v>27</v>
      </c>
      <c r="S1" s="276" t="s">
        <v>27</v>
      </c>
      <c r="T1" s="276" t="s">
        <v>27</v>
      </c>
      <c r="U1" s="276" t="s">
        <v>27</v>
      </c>
      <c r="V1" s="276" t="s">
        <v>27</v>
      </c>
      <c r="W1" s="276" t="s">
        <v>27</v>
      </c>
      <c r="X1" s="276" t="s">
        <v>27</v>
      </c>
      <c r="Y1" s="276" t="s">
        <v>27</v>
      </c>
      <c r="Z1" s="276" t="s">
        <v>27</v>
      </c>
      <c r="AA1" s="276" t="s">
        <v>27</v>
      </c>
      <c r="AB1" s="276" t="s">
        <v>27</v>
      </c>
      <c r="AC1" s="276" t="s">
        <v>27</v>
      </c>
    </row>
    <row r="2" spans="1:29" ht="48" customHeight="1" x14ac:dyDescent="0.3">
      <c r="A2" s="243" t="s">
        <v>0</v>
      </c>
      <c r="B2" s="243" t="s">
        <v>36</v>
      </c>
      <c r="C2" s="243" t="s">
        <v>1</v>
      </c>
      <c r="D2" s="243" t="s">
        <v>2</v>
      </c>
      <c r="E2" s="243" t="s">
        <v>53</v>
      </c>
      <c r="F2" s="243" t="s">
        <v>4</v>
      </c>
      <c r="G2" s="243" t="s">
        <v>5</v>
      </c>
      <c r="H2" s="243" t="s">
        <v>6</v>
      </c>
      <c r="I2" s="243" t="s">
        <v>7</v>
      </c>
      <c r="J2" s="243" t="s">
        <v>27</v>
      </c>
      <c r="K2" s="243" t="s">
        <v>8</v>
      </c>
      <c r="L2" s="243" t="s">
        <v>27</v>
      </c>
      <c r="M2" s="243" t="s">
        <v>9</v>
      </c>
      <c r="N2" s="243" t="s">
        <v>10</v>
      </c>
      <c r="O2" s="243" t="s">
        <v>11</v>
      </c>
      <c r="P2" s="243" t="s">
        <v>12</v>
      </c>
      <c r="Q2" s="243" t="s">
        <v>13</v>
      </c>
      <c r="R2" s="243" t="s">
        <v>14</v>
      </c>
      <c r="S2" s="243" t="s">
        <v>15</v>
      </c>
      <c r="T2" s="243" t="s">
        <v>16</v>
      </c>
      <c r="U2" s="243" t="s">
        <v>17</v>
      </c>
      <c r="V2" s="243" t="s">
        <v>18</v>
      </c>
      <c r="W2" s="243" t="s">
        <v>19</v>
      </c>
      <c r="X2" s="243" t="s">
        <v>20</v>
      </c>
      <c r="Y2" s="243" t="s">
        <v>21</v>
      </c>
      <c r="Z2" s="243" t="s">
        <v>22</v>
      </c>
      <c r="AA2" s="243" t="s">
        <v>23</v>
      </c>
      <c r="AB2" s="243" t="s">
        <v>24</v>
      </c>
      <c r="AC2" s="243" t="s">
        <v>25</v>
      </c>
    </row>
    <row r="3" spans="1:29" s="264" customFormat="1" ht="25.05" customHeight="1" x14ac:dyDescent="0.3">
      <c r="A3" s="258"/>
      <c r="B3" s="259" t="s">
        <v>774</v>
      </c>
      <c r="C3" s="258" t="s">
        <v>35</v>
      </c>
      <c r="D3" s="258" t="s">
        <v>761</v>
      </c>
      <c r="E3" s="258">
        <v>262979</v>
      </c>
      <c r="F3" s="258" t="s">
        <v>768</v>
      </c>
      <c r="G3" s="258">
        <v>800</v>
      </c>
      <c r="H3" s="260">
        <v>1.41</v>
      </c>
      <c r="I3" s="260">
        <v>1.2</v>
      </c>
      <c r="J3" s="258" t="s">
        <v>27</v>
      </c>
      <c r="K3" s="258" t="s">
        <v>33</v>
      </c>
      <c r="L3" s="258" t="s">
        <v>27</v>
      </c>
      <c r="M3" s="260">
        <v>1353.6</v>
      </c>
      <c r="N3" s="261">
        <v>960</v>
      </c>
      <c r="O3" s="262">
        <v>0.26669999999999999</v>
      </c>
      <c r="P3" s="263">
        <v>16</v>
      </c>
      <c r="Q3" s="258">
        <v>426.4</v>
      </c>
      <c r="R3" s="258">
        <v>1</v>
      </c>
      <c r="S3" s="258">
        <v>1450</v>
      </c>
      <c r="T3" s="260">
        <v>1.41</v>
      </c>
      <c r="U3" s="258">
        <v>40</v>
      </c>
      <c r="V3" s="262">
        <v>2.76E-2</v>
      </c>
      <c r="W3" s="258" t="s">
        <v>28</v>
      </c>
      <c r="X3" s="258" t="s">
        <v>28</v>
      </c>
      <c r="Y3" s="258" t="s">
        <v>28</v>
      </c>
      <c r="Z3" s="258" t="s">
        <v>27</v>
      </c>
      <c r="AA3" s="258" t="s">
        <v>27</v>
      </c>
      <c r="AB3" s="258" t="s">
        <v>32</v>
      </c>
      <c r="AC3" s="258" t="s">
        <v>775</v>
      </c>
    </row>
    <row r="4" spans="1:29" s="264" customFormat="1" ht="25.05" customHeight="1" x14ac:dyDescent="0.3">
      <c r="A4" s="258"/>
      <c r="B4" s="259" t="s">
        <v>774</v>
      </c>
      <c r="C4" s="258" t="s">
        <v>35</v>
      </c>
      <c r="D4" s="258" t="s">
        <v>761</v>
      </c>
      <c r="E4" s="258">
        <v>262980</v>
      </c>
      <c r="F4" s="258" t="s">
        <v>773</v>
      </c>
      <c r="G4" s="258">
        <v>410</v>
      </c>
      <c r="H4" s="260">
        <v>1.36</v>
      </c>
      <c r="I4" s="260">
        <v>1.44</v>
      </c>
      <c r="J4" s="258" t="s">
        <v>27</v>
      </c>
      <c r="K4" s="258" t="s">
        <v>33</v>
      </c>
      <c r="L4" s="258" t="s">
        <v>27</v>
      </c>
      <c r="M4" s="260">
        <v>802.94399999999996</v>
      </c>
      <c r="N4" s="261">
        <v>590.4</v>
      </c>
      <c r="O4" s="262">
        <v>0.16400000000000001</v>
      </c>
      <c r="P4" s="263">
        <v>9.84</v>
      </c>
      <c r="Q4" s="258">
        <v>252.9</v>
      </c>
      <c r="R4" s="258">
        <v>1</v>
      </c>
      <c r="S4" s="258">
        <v>1400</v>
      </c>
      <c r="T4" s="260">
        <v>1.36</v>
      </c>
      <c r="U4" s="258">
        <v>40</v>
      </c>
      <c r="V4" s="262">
        <v>2.86E-2</v>
      </c>
      <c r="W4" s="258" t="s">
        <v>28</v>
      </c>
      <c r="X4" s="258" t="s">
        <v>28</v>
      </c>
      <c r="Y4" s="258" t="s">
        <v>28</v>
      </c>
      <c r="Z4" s="258" t="s">
        <v>27</v>
      </c>
      <c r="AA4" s="258" t="s">
        <v>27</v>
      </c>
      <c r="AB4" s="258" t="s">
        <v>32</v>
      </c>
      <c r="AC4" s="258" t="s">
        <v>772</v>
      </c>
    </row>
    <row r="5" spans="1:29" s="264" customFormat="1" ht="25.05" customHeight="1" x14ac:dyDescent="0.3">
      <c r="A5" s="265" t="s">
        <v>27</v>
      </c>
      <c r="B5" s="265" t="s">
        <v>27</v>
      </c>
      <c r="C5" s="265" t="s">
        <v>27</v>
      </c>
      <c r="D5" s="265" t="s">
        <v>27</v>
      </c>
      <c r="E5" s="265" t="s">
        <v>27</v>
      </c>
      <c r="F5" s="265" t="s">
        <v>27</v>
      </c>
      <c r="G5" s="265">
        <v>1210</v>
      </c>
      <c r="H5" s="265" t="s">
        <v>27</v>
      </c>
      <c r="I5" s="265" t="s">
        <v>27</v>
      </c>
      <c r="J5" s="265" t="s">
        <v>27</v>
      </c>
      <c r="K5" s="265" t="s">
        <v>27</v>
      </c>
      <c r="L5" s="265" t="s">
        <v>27</v>
      </c>
      <c r="M5" s="265" t="s">
        <v>27</v>
      </c>
      <c r="N5" s="265" t="s">
        <v>27</v>
      </c>
      <c r="O5" s="265" t="s">
        <v>27</v>
      </c>
      <c r="P5" s="265" t="s">
        <v>27</v>
      </c>
      <c r="Q5" s="265">
        <v>679.3</v>
      </c>
      <c r="R5" s="265" t="s">
        <v>27</v>
      </c>
      <c r="S5" s="265" t="s">
        <v>27</v>
      </c>
      <c r="T5" s="265" t="s">
        <v>27</v>
      </c>
      <c r="U5" s="265" t="s">
        <v>27</v>
      </c>
      <c r="V5" s="265" t="s">
        <v>27</v>
      </c>
      <c r="W5" s="265" t="s">
        <v>27</v>
      </c>
      <c r="X5" s="265" t="s">
        <v>27</v>
      </c>
      <c r="Y5" s="265" t="s">
        <v>27</v>
      </c>
      <c r="Z5" s="265" t="s">
        <v>27</v>
      </c>
      <c r="AA5" s="265" t="s">
        <v>27</v>
      </c>
      <c r="AB5" s="265" t="s">
        <v>27</v>
      </c>
      <c r="AC5" s="265" t="s">
        <v>27</v>
      </c>
    </row>
  </sheetData>
  <mergeCells count="1">
    <mergeCell ref="A1:AC1"/>
  </mergeCells>
  <pageMargins left="0.511811024" right="0.511811024" top="1.54" bottom="0.78740157499999996" header="0.31496062000000002" footer="0.31496062000000002"/>
  <pageSetup paperSize="9" scale="87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3CCD-3F37-471E-81D5-E2828E46FF81}">
  <sheetPr>
    <pageSetUpPr fitToPage="1"/>
  </sheetPr>
  <dimension ref="A1:AC7"/>
  <sheetViews>
    <sheetView workbookViewId="0">
      <selection sqref="A1:AC7"/>
    </sheetView>
  </sheetViews>
  <sheetFormatPr defaultRowHeight="14.4" x14ac:dyDescent="0.3"/>
  <cols>
    <col min="1" max="1" width="9.77734375" style="1" customWidth="1"/>
    <col min="2" max="2" width="20.77734375" style="1" hidden="1" customWidth="1"/>
    <col min="3" max="3" width="7.77734375" style="1" customWidth="1"/>
    <col min="4" max="4" width="11.77734375" style="1" hidden="1" customWidth="1"/>
    <col min="5" max="5" width="8.21875" style="1" customWidth="1"/>
    <col min="6" max="6" width="7.21875" style="1" customWidth="1"/>
    <col min="7" max="7" width="5.44140625" style="1" customWidth="1"/>
    <col min="8" max="9" width="6.6640625" style="1" customWidth="1"/>
    <col min="10" max="10" width="8.88671875" style="1" customWidth="1"/>
    <col min="11" max="11" width="10.5546875" style="1" customWidth="1"/>
    <col min="12" max="12" width="9.109375" style="1" customWidth="1"/>
    <col min="13" max="13" width="9.77734375" style="1" hidden="1" customWidth="1"/>
    <col min="14" max="14" width="8.77734375" style="1" hidden="1" customWidth="1"/>
    <col min="15" max="16" width="9.77734375" style="1" hidden="1" customWidth="1"/>
    <col min="17" max="17" width="6.33203125" style="1" customWidth="1"/>
    <col min="18" max="18" width="3.44140625" style="1" customWidth="1"/>
    <col min="19" max="19" width="6.5546875" style="1" customWidth="1"/>
    <col min="20" max="20" width="6.6640625" style="1" customWidth="1"/>
    <col min="21" max="21" width="11.77734375" style="1" hidden="1" customWidth="1"/>
    <col min="22" max="22" width="8.77734375" style="1" hidden="1" customWidth="1"/>
    <col min="23" max="23" width="7.6640625" style="1" customWidth="1"/>
    <col min="24" max="24" width="7.33203125" style="1" customWidth="1"/>
    <col min="25" max="25" width="7.44140625" style="1" customWidth="1"/>
    <col min="26" max="26" width="8.88671875" style="1" customWidth="1"/>
    <col min="27" max="27" width="8.6640625" style="1" customWidth="1"/>
    <col min="28" max="28" width="3.88671875" style="1" customWidth="1"/>
    <col min="29" max="29" width="10.77734375" style="1" customWidth="1"/>
    <col min="30" max="16384" width="8.88671875" style="1"/>
  </cols>
  <sheetData>
    <row r="1" spans="1:29" ht="18" customHeight="1" x14ac:dyDescent="0.35">
      <c r="A1" s="267" t="s">
        <v>771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  <c r="AC1" s="267" t="s">
        <v>27</v>
      </c>
    </row>
    <row r="2" spans="1:29" ht="40.799999999999997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53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27</v>
      </c>
      <c r="K2" s="2" t="s">
        <v>8</v>
      </c>
      <c r="L2" s="2" t="s">
        <v>27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</row>
    <row r="3" spans="1:29" s="12" customFormat="1" ht="25.05" customHeight="1" x14ac:dyDescent="0.3">
      <c r="A3" s="5"/>
      <c r="B3" s="10" t="s">
        <v>471</v>
      </c>
      <c r="C3" s="5" t="s">
        <v>581</v>
      </c>
      <c r="D3" s="5" t="s">
        <v>761</v>
      </c>
      <c r="E3" s="5">
        <v>262977</v>
      </c>
      <c r="F3" s="5" t="s">
        <v>768</v>
      </c>
      <c r="G3" s="5">
        <v>600</v>
      </c>
      <c r="H3" s="7">
        <v>0.46500000000000002</v>
      </c>
      <c r="I3" s="7">
        <v>0.91</v>
      </c>
      <c r="J3" s="5" t="s">
        <v>27</v>
      </c>
      <c r="K3" s="5" t="s">
        <v>33</v>
      </c>
      <c r="L3" s="5" t="s">
        <v>27</v>
      </c>
      <c r="M3" s="7">
        <v>253.89</v>
      </c>
      <c r="N3" s="9">
        <v>182</v>
      </c>
      <c r="O3" s="6">
        <v>1.6899999999999998E-2</v>
      </c>
      <c r="P3" s="8">
        <v>1.01</v>
      </c>
      <c r="Q3" s="5">
        <v>98.5</v>
      </c>
      <c r="R3" s="5">
        <v>3</v>
      </c>
      <c r="S3" s="5">
        <v>1450</v>
      </c>
      <c r="T3" s="7">
        <v>1.395</v>
      </c>
      <c r="U3" s="5">
        <v>55</v>
      </c>
      <c r="V3" s="6">
        <v>3.7900000000000003E-2</v>
      </c>
      <c r="W3" s="5" t="s">
        <v>37</v>
      </c>
      <c r="X3" s="5" t="s">
        <v>29</v>
      </c>
      <c r="Y3" s="5" t="s">
        <v>29</v>
      </c>
      <c r="Z3" s="5" t="s">
        <v>27</v>
      </c>
      <c r="AA3" s="5" t="s">
        <v>27</v>
      </c>
      <c r="AB3" s="5" t="s">
        <v>38</v>
      </c>
      <c r="AC3" s="5" t="s">
        <v>770</v>
      </c>
    </row>
    <row r="4" spans="1:29" s="12" customFormat="1" ht="25.05" customHeight="1" x14ac:dyDescent="0.3">
      <c r="A4" s="5"/>
      <c r="B4" s="10" t="s">
        <v>471</v>
      </c>
      <c r="C4" s="5" t="s">
        <v>55</v>
      </c>
      <c r="D4" s="5" t="s">
        <v>761</v>
      </c>
      <c r="E4" s="5">
        <v>262975</v>
      </c>
      <c r="F4" s="5" t="s">
        <v>768</v>
      </c>
      <c r="G4" s="5">
        <v>500</v>
      </c>
      <c r="H4" s="7">
        <v>0.44500000000000001</v>
      </c>
      <c r="I4" s="7">
        <v>0.87</v>
      </c>
      <c r="J4" s="5" t="s">
        <v>27</v>
      </c>
      <c r="K4" s="5" t="s">
        <v>33</v>
      </c>
      <c r="L4" s="5" t="s">
        <v>27</v>
      </c>
      <c r="M4" s="7">
        <v>193.57499999999999</v>
      </c>
      <c r="N4" s="9">
        <v>145</v>
      </c>
      <c r="O4" s="6">
        <v>1.34E-2</v>
      </c>
      <c r="P4" s="8">
        <v>0.81</v>
      </c>
      <c r="Q4" s="5">
        <v>70.7</v>
      </c>
      <c r="R4" s="5">
        <v>3</v>
      </c>
      <c r="S4" s="5">
        <v>1400</v>
      </c>
      <c r="T4" s="7">
        <v>1.335</v>
      </c>
      <c r="U4" s="5">
        <v>65</v>
      </c>
      <c r="V4" s="6">
        <v>4.6399999999999997E-2</v>
      </c>
      <c r="W4" s="5" t="s">
        <v>37</v>
      </c>
      <c r="X4" s="5" t="s">
        <v>29</v>
      </c>
      <c r="Y4" s="5" t="s">
        <v>34</v>
      </c>
      <c r="Z4" s="5" t="s">
        <v>27</v>
      </c>
      <c r="AA4" s="5" t="s">
        <v>27</v>
      </c>
      <c r="AB4" s="5" t="s">
        <v>38</v>
      </c>
      <c r="AC4" s="5" t="s">
        <v>473</v>
      </c>
    </row>
    <row r="5" spans="1:29" s="12" customFormat="1" ht="25.05" customHeight="1" x14ac:dyDescent="0.3">
      <c r="A5" s="5"/>
      <c r="B5" s="10" t="s">
        <v>471</v>
      </c>
      <c r="C5" s="5" t="s">
        <v>55</v>
      </c>
      <c r="D5" s="5" t="s">
        <v>761</v>
      </c>
      <c r="E5" s="5">
        <v>262976</v>
      </c>
      <c r="F5" s="5" t="s">
        <v>768</v>
      </c>
      <c r="G5" s="5">
        <v>500</v>
      </c>
      <c r="H5" s="7">
        <v>0.31</v>
      </c>
      <c r="I5" s="7">
        <v>0.61</v>
      </c>
      <c r="J5" s="5" t="s">
        <v>27</v>
      </c>
      <c r="K5" s="5" t="s">
        <v>33</v>
      </c>
      <c r="L5" s="5" t="s">
        <v>27</v>
      </c>
      <c r="M5" s="7">
        <v>94.55</v>
      </c>
      <c r="N5" s="9">
        <v>76.3</v>
      </c>
      <c r="O5" s="6">
        <v>5.3E-3</v>
      </c>
      <c r="P5" s="8">
        <v>0.32</v>
      </c>
      <c r="Q5" s="5">
        <v>34.5</v>
      </c>
      <c r="R5" s="5">
        <v>4</v>
      </c>
      <c r="S5" s="5">
        <v>1300</v>
      </c>
      <c r="T5" s="7">
        <v>1.24</v>
      </c>
      <c r="U5" s="5">
        <v>60</v>
      </c>
      <c r="V5" s="6">
        <v>4.6199999999999998E-2</v>
      </c>
      <c r="W5" s="5" t="s">
        <v>37</v>
      </c>
      <c r="X5" s="5" t="s">
        <v>29</v>
      </c>
      <c r="Y5" s="5" t="s">
        <v>34</v>
      </c>
      <c r="Z5" s="5" t="s">
        <v>27</v>
      </c>
      <c r="AA5" s="5" t="s">
        <v>27</v>
      </c>
      <c r="AB5" s="5" t="s">
        <v>38</v>
      </c>
      <c r="AC5" s="5" t="s">
        <v>769</v>
      </c>
    </row>
    <row r="6" spans="1:29" s="12" customFormat="1" ht="25.05" customHeight="1" x14ac:dyDescent="0.3">
      <c r="A6" s="5"/>
      <c r="B6" s="10" t="s">
        <v>471</v>
      </c>
      <c r="C6" s="5" t="s">
        <v>581</v>
      </c>
      <c r="D6" s="5" t="s">
        <v>761</v>
      </c>
      <c r="E6" s="5">
        <v>262978</v>
      </c>
      <c r="F6" s="5" t="s">
        <v>768</v>
      </c>
      <c r="G6" s="5">
        <v>600</v>
      </c>
      <c r="H6" s="7">
        <v>0.55300000000000005</v>
      </c>
      <c r="I6" s="7">
        <v>1.095</v>
      </c>
      <c r="J6" s="5" t="s">
        <v>27</v>
      </c>
      <c r="K6" s="5" t="s">
        <v>33</v>
      </c>
      <c r="L6" s="5" t="s">
        <v>27</v>
      </c>
      <c r="M6" s="7">
        <v>363.32100000000003</v>
      </c>
      <c r="N6" s="9">
        <v>328.5</v>
      </c>
      <c r="O6" s="6">
        <v>4.5600000000000002E-2</v>
      </c>
      <c r="P6" s="8">
        <v>2.74</v>
      </c>
      <c r="Q6" s="5">
        <v>141</v>
      </c>
      <c r="R6" s="5">
        <v>2</v>
      </c>
      <c r="S6" s="5">
        <v>1150</v>
      </c>
      <c r="T6" s="7">
        <v>1.1060000000000001</v>
      </c>
      <c r="U6" s="5">
        <v>44</v>
      </c>
      <c r="V6" s="6">
        <v>3.8300000000000001E-2</v>
      </c>
      <c r="W6" s="5" t="s">
        <v>37</v>
      </c>
      <c r="X6" s="5" t="s">
        <v>29</v>
      </c>
      <c r="Y6" s="5" t="s">
        <v>29</v>
      </c>
      <c r="Z6" s="5" t="s">
        <v>27</v>
      </c>
      <c r="AA6" s="5" t="s">
        <v>27</v>
      </c>
      <c r="AB6" s="5" t="s">
        <v>38</v>
      </c>
      <c r="AC6" s="5" t="s">
        <v>767</v>
      </c>
    </row>
    <row r="7" spans="1:29" s="12" customFormat="1" ht="25.05" customHeight="1" x14ac:dyDescent="0.3">
      <c r="A7" s="11" t="s">
        <v>27</v>
      </c>
      <c r="B7" s="11" t="s">
        <v>27</v>
      </c>
      <c r="C7" s="11" t="s">
        <v>27</v>
      </c>
      <c r="D7" s="11" t="s">
        <v>27</v>
      </c>
      <c r="E7" s="11" t="s">
        <v>27</v>
      </c>
      <c r="F7" s="11" t="s">
        <v>27</v>
      </c>
      <c r="G7" s="11">
        <v>2200</v>
      </c>
      <c r="H7" s="11" t="s">
        <v>27</v>
      </c>
      <c r="I7" s="11" t="s">
        <v>27</v>
      </c>
      <c r="J7" s="11" t="s">
        <v>27</v>
      </c>
      <c r="K7" s="11" t="s">
        <v>27</v>
      </c>
      <c r="L7" s="11" t="s">
        <v>27</v>
      </c>
      <c r="M7" s="11" t="s">
        <v>27</v>
      </c>
      <c r="N7" s="11" t="s">
        <v>27</v>
      </c>
      <c r="O7" s="11" t="s">
        <v>27</v>
      </c>
      <c r="P7" s="11" t="s">
        <v>27</v>
      </c>
      <c r="Q7" s="11">
        <v>344.6</v>
      </c>
      <c r="R7" s="11" t="s">
        <v>27</v>
      </c>
      <c r="S7" s="11" t="s">
        <v>27</v>
      </c>
      <c r="T7" s="11" t="s">
        <v>27</v>
      </c>
      <c r="U7" s="11" t="s">
        <v>27</v>
      </c>
      <c r="V7" s="11" t="s">
        <v>27</v>
      </c>
      <c r="W7" s="11" t="s">
        <v>27</v>
      </c>
      <c r="X7" s="11" t="s">
        <v>27</v>
      </c>
      <c r="Y7" s="11" t="s">
        <v>27</v>
      </c>
      <c r="Z7" s="11" t="s">
        <v>27</v>
      </c>
      <c r="AA7" s="11" t="s">
        <v>27</v>
      </c>
      <c r="AB7" s="11" t="s">
        <v>27</v>
      </c>
      <c r="AC7" s="11" t="s">
        <v>27</v>
      </c>
    </row>
  </sheetData>
  <mergeCells count="1">
    <mergeCell ref="A1:AC1"/>
  </mergeCells>
  <pageMargins left="0.511811024" right="0.511811024" top="0.78740157499999996" bottom="0.78740157499999996" header="0.31496062000000002" footer="0.31496062000000002"/>
  <pageSetup paperSize="9" scale="86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ACB4-6A18-4568-80FD-7F4979C867A9}">
  <sheetPr>
    <pageSetUpPr fitToPage="1"/>
  </sheetPr>
  <dimension ref="A1:AC7"/>
  <sheetViews>
    <sheetView workbookViewId="0">
      <selection sqref="A1:AC7"/>
    </sheetView>
  </sheetViews>
  <sheetFormatPr defaultRowHeight="14.4" x14ac:dyDescent="0.3"/>
  <cols>
    <col min="1" max="1" width="4.5546875" style="1" customWidth="1"/>
    <col min="2" max="2" width="20.77734375" style="1" hidden="1" customWidth="1"/>
    <col min="3" max="3" width="6.88671875" style="1" customWidth="1"/>
    <col min="4" max="4" width="11.77734375" style="1" hidden="1" customWidth="1"/>
    <col min="5" max="5" width="7.44140625" style="1" customWidth="1"/>
    <col min="6" max="6" width="6.44140625" style="1" customWidth="1"/>
    <col min="7" max="7" width="6.5546875" style="1" customWidth="1"/>
    <col min="8" max="8" width="6.6640625" style="1" customWidth="1"/>
    <col min="9" max="9" width="7.33203125" style="1" customWidth="1"/>
    <col min="10" max="10" width="8.44140625" style="1" customWidth="1"/>
    <col min="11" max="11" width="10.88671875" style="1" customWidth="1"/>
    <col min="12" max="12" width="8.88671875" style="1" customWidth="1"/>
    <col min="13" max="13" width="9.77734375" style="1" hidden="1" customWidth="1"/>
    <col min="14" max="14" width="8.77734375" style="1" hidden="1" customWidth="1"/>
    <col min="15" max="16" width="9.77734375" style="1" hidden="1" customWidth="1"/>
    <col min="17" max="17" width="8.77734375" style="1" customWidth="1"/>
    <col min="18" max="18" width="3.88671875" style="1" customWidth="1"/>
    <col min="19" max="19" width="6.77734375" style="1" customWidth="1"/>
    <col min="20" max="20" width="6.21875" style="1" customWidth="1"/>
    <col min="21" max="21" width="11.77734375" style="1" hidden="1" customWidth="1"/>
    <col min="22" max="22" width="8.77734375" style="1" hidden="1" customWidth="1"/>
    <col min="23" max="25" width="7.6640625" style="1" customWidth="1"/>
    <col min="26" max="26" width="8.44140625" style="1" customWidth="1"/>
    <col min="27" max="27" width="8.109375" style="1" customWidth="1"/>
    <col min="28" max="28" width="3.5546875" style="1" customWidth="1"/>
    <col min="29" max="29" width="8.77734375" style="1" customWidth="1"/>
    <col min="30" max="16384" width="8.88671875" style="1"/>
  </cols>
  <sheetData>
    <row r="1" spans="1:29" ht="18" customHeight="1" x14ac:dyDescent="0.35">
      <c r="A1" s="267" t="s">
        <v>763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  <c r="AC1" s="267" t="s">
        <v>27</v>
      </c>
    </row>
    <row r="2" spans="1:29" ht="46.2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53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27</v>
      </c>
      <c r="K2" s="2" t="s">
        <v>8</v>
      </c>
      <c r="L2" s="2" t="s">
        <v>27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</row>
    <row r="3" spans="1:29" ht="25.05" customHeight="1" x14ac:dyDescent="0.3">
      <c r="A3" s="126">
        <v>1</v>
      </c>
      <c r="B3" s="128" t="s">
        <v>762</v>
      </c>
      <c r="C3" s="126" t="s">
        <v>35</v>
      </c>
      <c r="D3" s="126" t="s">
        <v>761</v>
      </c>
      <c r="E3" s="126">
        <v>262970</v>
      </c>
      <c r="F3" s="126" t="s">
        <v>760</v>
      </c>
      <c r="G3" s="126">
        <v>600</v>
      </c>
      <c r="H3" s="127">
        <v>0.66</v>
      </c>
      <c r="I3" s="127">
        <v>1.385</v>
      </c>
      <c r="J3" s="126" t="s">
        <v>27</v>
      </c>
      <c r="K3" s="126" t="s">
        <v>33</v>
      </c>
      <c r="L3" s="126" t="s">
        <v>27</v>
      </c>
      <c r="M3" s="123">
        <v>548.46</v>
      </c>
      <c r="N3" s="125">
        <v>415.5</v>
      </c>
      <c r="O3" s="122">
        <v>5.7700000000000001E-2</v>
      </c>
      <c r="P3" s="124">
        <v>3.46</v>
      </c>
      <c r="Q3" s="121">
        <v>172.8</v>
      </c>
      <c r="R3" s="121">
        <v>2</v>
      </c>
      <c r="S3" s="121">
        <v>1350</v>
      </c>
      <c r="T3" s="123">
        <v>1.32</v>
      </c>
      <c r="U3" s="121">
        <v>30</v>
      </c>
      <c r="V3" s="122">
        <v>2.2200000000000001E-2</v>
      </c>
      <c r="W3" s="121" t="s">
        <v>28</v>
      </c>
      <c r="X3" s="121" t="s">
        <v>28</v>
      </c>
      <c r="Y3" s="121" t="s">
        <v>28</v>
      </c>
      <c r="Z3" s="121" t="s">
        <v>27</v>
      </c>
      <c r="AA3" s="121" t="s">
        <v>27</v>
      </c>
      <c r="AB3" s="121" t="s">
        <v>30</v>
      </c>
      <c r="AC3" s="121" t="s">
        <v>757</v>
      </c>
    </row>
    <row r="4" spans="1:29" ht="25.05" customHeight="1" x14ac:dyDescent="0.3">
      <c r="A4" s="126">
        <v>2</v>
      </c>
      <c r="B4" s="128" t="s">
        <v>762</v>
      </c>
      <c r="C4" s="126" t="s">
        <v>35</v>
      </c>
      <c r="D4" s="126" t="s">
        <v>761</v>
      </c>
      <c r="E4" s="126">
        <v>262971</v>
      </c>
      <c r="F4" s="126" t="s">
        <v>760</v>
      </c>
      <c r="G4" s="126">
        <v>500</v>
      </c>
      <c r="H4" s="127">
        <v>0.66</v>
      </c>
      <c r="I4" s="127">
        <v>1.6950000000000001</v>
      </c>
      <c r="J4" s="126" t="s">
        <v>27</v>
      </c>
      <c r="K4" s="126" t="s">
        <v>33</v>
      </c>
      <c r="L4" s="126" t="s">
        <v>27</v>
      </c>
      <c r="M4" s="123">
        <v>559.35</v>
      </c>
      <c r="N4" s="125">
        <v>423.8</v>
      </c>
      <c r="O4" s="122">
        <v>5.8900000000000001E-2</v>
      </c>
      <c r="P4" s="124">
        <v>3.53</v>
      </c>
      <c r="Q4" s="121">
        <v>176.2</v>
      </c>
      <c r="R4" s="121">
        <v>2</v>
      </c>
      <c r="S4" s="121">
        <v>1350</v>
      </c>
      <c r="T4" s="123">
        <v>1.32</v>
      </c>
      <c r="U4" s="121">
        <v>30</v>
      </c>
      <c r="V4" s="122">
        <v>2.2200000000000001E-2</v>
      </c>
      <c r="W4" s="121" t="s">
        <v>28</v>
      </c>
      <c r="X4" s="121" t="s">
        <v>28</v>
      </c>
      <c r="Y4" s="121" t="s">
        <v>28</v>
      </c>
      <c r="Z4" s="121" t="s">
        <v>27</v>
      </c>
      <c r="AA4" s="121" t="s">
        <v>27</v>
      </c>
      <c r="AB4" s="121" t="s">
        <v>32</v>
      </c>
      <c r="AC4" s="121" t="s">
        <v>683</v>
      </c>
    </row>
    <row r="5" spans="1:29" ht="25.05" customHeight="1" x14ac:dyDescent="0.3">
      <c r="A5" s="126">
        <v>3</v>
      </c>
      <c r="B5" s="128" t="s">
        <v>762</v>
      </c>
      <c r="C5" s="126" t="s">
        <v>35</v>
      </c>
      <c r="D5" s="126" t="s">
        <v>761</v>
      </c>
      <c r="E5" s="126">
        <v>262972</v>
      </c>
      <c r="F5" s="126" t="s">
        <v>760</v>
      </c>
      <c r="G5" s="126">
        <v>1000</v>
      </c>
      <c r="H5" s="127">
        <v>0.66</v>
      </c>
      <c r="I5" s="127">
        <v>1.865</v>
      </c>
      <c r="J5" s="126" t="s">
        <v>27</v>
      </c>
      <c r="K5" s="126" t="s">
        <v>33</v>
      </c>
      <c r="L5" s="126" t="s">
        <v>27</v>
      </c>
      <c r="M5" s="123">
        <v>1230.9000000000001</v>
      </c>
      <c r="N5" s="125">
        <v>932.5</v>
      </c>
      <c r="O5" s="122">
        <v>0.1295</v>
      </c>
      <c r="P5" s="124">
        <v>7.77</v>
      </c>
      <c r="Q5" s="121">
        <v>387.7</v>
      </c>
      <c r="R5" s="121">
        <v>2</v>
      </c>
      <c r="S5" s="121">
        <v>1350</v>
      </c>
      <c r="T5" s="123">
        <v>1.32</v>
      </c>
      <c r="U5" s="121">
        <v>30</v>
      </c>
      <c r="V5" s="122">
        <v>2.2200000000000001E-2</v>
      </c>
      <c r="W5" s="121" t="s">
        <v>28</v>
      </c>
      <c r="X5" s="121" t="s">
        <v>28</v>
      </c>
      <c r="Y5" s="121" t="s">
        <v>28</v>
      </c>
      <c r="Z5" s="121" t="s">
        <v>27</v>
      </c>
      <c r="AA5" s="121" t="s">
        <v>27</v>
      </c>
      <c r="AB5" s="121" t="s">
        <v>30</v>
      </c>
      <c r="AC5" s="121" t="s">
        <v>682</v>
      </c>
    </row>
    <row r="6" spans="1:29" ht="25.05" customHeight="1" x14ac:dyDescent="0.3">
      <c r="A6" s="126">
        <v>4</v>
      </c>
      <c r="B6" s="128" t="s">
        <v>762</v>
      </c>
      <c r="C6" s="126" t="s">
        <v>35</v>
      </c>
      <c r="D6" s="126" t="s">
        <v>761</v>
      </c>
      <c r="E6" s="126">
        <v>262973</v>
      </c>
      <c r="F6" s="126" t="s">
        <v>760</v>
      </c>
      <c r="G6" s="126">
        <v>800</v>
      </c>
      <c r="H6" s="127">
        <v>0.66</v>
      </c>
      <c r="I6" s="127">
        <v>2.0499999999999998</v>
      </c>
      <c r="J6" s="126" t="s">
        <v>27</v>
      </c>
      <c r="K6" s="126" t="s">
        <v>33</v>
      </c>
      <c r="L6" s="126" t="s">
        <v>27</v>
      </c>
      <c r="M6" s="123">
        <v>1082.4000000000001</v>
      </c>
      <c r="N6" s="125">
        <v>820</v>
      </c>
      <c r="O6" s="122">
        <v>0.1139</v>
      </c>
      <c r="P6" s="124">
        <v>6.83</v>
      </c>
      <c r="Q6" s="121">
        <v>341</v>
      </c>
      <c r="R6" s="121">
        <v>2</v>
      </c>
      <c r="S6" s="121">
        <v>1350</v>
      </c>
      <c r="T6" s="123">
        <v>1.32</v>
      </c>
      <c r="U6" s="121">
        <v>30</v>
      </c>
      <c r="V6" s="122">
        <v>2.2200000000000001E-2</v>
      </c>
      <c r="W6" s="121" t="s">
        <v>28</v>
      </c>
      <c r="X6" s="121" t="s">
        <v>28</v>
      </c>
      <c r="Y6" s="121" t="s">
        <v>28</v>
      </c>
      <c r="Z6" s="121" t="s">
        <v>27</v>
      </c>
      <c r="AA6" s="121" t="s">
        <v>27</v>
      </c>
      <c r="AB6" s="121" t="s">
        <v>32</v>
      </c>
      <c r="AC6" s="121" t="s">
        <v>680</v>
      </c>
    </row>
    <row r="7" spans="1:29" ht="25.05" customHeight="1" x14ac:dyDescent="0.3">
      <c r="A7" s="120" t="s">
        <v>27</v>
      </c>
      <c r="B7" s="120" t="s">
        <v>27</v>
      </c>
      <c r="C7" s="120" t="s">
        <v>27</v>
      </c>
      <c r="D7" s="120" t="s">
        <v>27</v>
      </c>
      <c r="E7" s="120" t="s">
        <v>27</v>
      </c>
      <c r="F7" s="120" t="s">
        <v>27</v>
      </c>
      <c r="G7" s="120">
        <v>2900</v>
      </c>
      <c r="H7" s="120" t="s">
        <v>27</v>
      </c>
      <c r="I7" s="120" t="s">
        <v>27</v>
      </c>
      <c r="J7" s="120" t="s">
        <v>27</v>
      </c>
      <c r="K7" s="120" t="s">
        <v>27</v>
      </c>
      <c r="L7" s="120" t="s">
        <v>27</v>
      </c>
      <c r="M7" s="119" t="s">
        <v>27</v>
      </c>
      <c r="N7" s="119" t="s">
        <v>27</v>
      </c>
      <c r="O7" s="119" t="s">
        <v>27</v>
      </c>
      <c r="P7" s="119" t="s">
        <v>27</v>
      </c>
      <c r="Q7" s="119">
        <v>1077.5999999999999</v>
      </c>
      <c r="R7" s="119" t="s">
        <v>27</v>
      </c>
      <c r="S7" s="119" t="s">
        <v>27</v>
      </c>
      <c r="T7" s="119" t="s">
        <v>27</v>
      </c>
      <c r="U7" s="119" t="s">
        <v>27</v>
      </c>
      <c r="V7" s="119" t="s">
        <v>27</v>
      </c>
      <c r="W7" s="119" t="s">
        <v>27</v>
      </c>
      <c r="X7" s="119" t="s">
        <v>27</v>
      </c>
      <c r="Y7" s="119" t="s">
        <v>27</v>
      </c>
      <c r="Z7" s="119" t="s">
        <v>27</v>
      </c>
      <c r="AA7" s="119" t="s">
        <v>27</v>
      </c>
      <c r="AB7" s="119" t="s">
        <v>27</v>
      </c>
      <c r="AC7" s="119" t="s">
        <v>27</v>
      </c>
    </row>
  </sheetData>
  <mergeCells count="1">
    <mergeCell ref="A1:AC1"/>
  </mergeCells>
  <pageMargins left="0.511811024" right="0.511811024" top="1.24" bottom="0.78740157499999996" header="0.31496062000000002" footer="0.31496062000000002"/>
  <pageSetup paperSize="9" scale="90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2CDE-B9EA-488A-8AF7-1946DDF41AC7}">
  <dimension ref="A1:AC19"/>
  <sheetViews>
    <sheetView workbookViewId="0">
      <selection activeCell="E23" sqref="E23"/>
    </sheetView>
  </sheetViews>
  <sheetFormatPr defaultRowHeight="14.4" x14ac:dyDescent="0.3"/>
  <cols>
    <col min="1" max="1" width="4.5546875" style="242" customWidth="1"/>
    <col min="2" max="2" width="20.77734375" style="242" hidden="1" customWidth="1"/>
    <col min="3" max="3" width="5.5546875" style="242" customWidth="1"/>
    <col min="4" max="4" width="11.77734375" style="242" hidden="1" customWidth="1"/>
    <col min="5" max="5" width="8.77734375" style="242" customWidth="1"/>
    <col min="6" max="6" width="5.21875" style="242" customWidth="1"/>
    <col min="7" max="7" width="6.88671875" style="242" customWidth="1"/>
    <col min="8" max="8" width="6.21875" style="242" customWidth="1"/>
    <col min="9" max="9" width="6.5546875" style="242" customWidth="1"/>
    <col min="10" max="10" width="8.109375" style="242" customWidth="1"/>
    <col min="11" max="11" width="20" style="242" customWidth="1"/>
    <col min="12" max="12" width="8.6640625" style="242" customWidth="1"/>
    <col min="13" max="13" width="9.77734375" style="242" hidden="1" customWidth="1"/>
    <col min="14" max="14" width="8.77734375" style="242" hidden="1" customWidth="1"/>
    <col min="15" max="16" width="9.77734375" style="242" hidden="1" customWidth="1"/>
    <col min="17" max="17" width="7.109375" style="242" customWidth="1"/>
    <col min="18" max="18" width="4.77734375" style="242" customWidth="1"/>
    <col min="19" max="19" width="5.5546875" style="242" customWidth="1"/>
    <col min="20" max="20" width="5.88671875" style="242" customWidth="1"/>
    <col min="21" max="21" width="11.77734375" style="242" hidden="1" customWidth="1"/>
    <col min="22" max="22" width="8.77734375" style="242" hidden="1" customWidth="1"/>
    <col min="23" max="23" width="8.21875" style="242" customWidth="1"/>
    <col min="24" max="24" width="7" style="242" customWidth="1"/>
    <col min="25" max="26" width="7.5546875" style="242" customWidth="1"/>
    <col min="27" max="27" width="7.6640625" style="242" customWidth="1"/>
    <col min="28" max="28" width="3.77734375" style="242" customWidth="1"/>
    <col min="29" max="29" width="16.77734375" style="242" customWidth="1"/>
    <col min="30" max="16384" width="8.88671875" style="242"/>
  </cols>
  <sheetData>
    <row r="1" spans="1:29" ht="21.6" customHeight="1" x14ac:dyDescent="0.35">
      <c r="A1" s="266" t="s">
        <v>759</v>
      </c>
      <c r="B1" s="266" t="s">
        <v>27</v>
      </c>
      <c r="C1" s="266" t="s">
        <v>27</v>
      </c>
      <c r="D1" s="266" t="s">
        <v>27</v>
      </c>
      <c r="E1" s="266" t="s">
        <v>27</v>
      </c>
      <c r="F1" s="266" t="s">
        <v>27</v>
      </c>
      <c r="G1" s="266" t="s">
        <v>27</v>
      </c>
      <c r="H1" s="266" t="s">
        <v>27</v>
      </c>
      <c r="I1" s="266" t="s">
        <v>27</v>
      </c>
      <c r="J1" s="266" t="s">
        <v>27</v>
      </c>
      <c r="K1" s="266" t="s">
        <v>27</v>
      </c>
      <c r="L1" s="266" t="s">
        <v>27</v>
      </c>
      <c r="M1" s="266" t="s">
        <v>27</v>
      </c>
      <c r="N1" s="266" t="s">
        <v>27</v>
      </c>
      <c r="O1" s="266" t="s">
        <v>27</v>
      </c>
      <c r="P1" s="266" t="s">
        <v>27</v>
      </c>
      <c r="Q1" s="266" t="s">
        <v>27</v>
      </c>
      <c r="R1" s="266" t="s">
        <v>27</v>
      </c>
      <c r="S1" s="266" t="s">
        <v>27</v>
      </c>
      <c r="T1" s="266" t="s">
        <v>27</v>
      </c>
      <c r="U1" s="266" t="s">
        <v>27</v>
      </c>
      <c r="V1" s="266" t="s">
        <v>27</v>
      </c>
      <c r="W1" s="266" t="s">
        <v>27</v>
      </c>
      <c r="X1" s="266" t="s">
        <v>27</v>
      </c>
      <c r="Y1" s="266" t="s">
        <v>27</v>
      </c>
      <c r="Z1" s="266" t="s">
        <v>27</v>
      </c>
      <c r="AA1" s="266" t="s">
        <v>27</v>
      </c>
      <c r="AB1" s="266" t="s">
        <v>27</v>
      </c>
      <c r="AC1" s="266" t="s">
        <v>27</v>
      </c>
    </row>
    <row r="2" spans="1:29" ht="45.6" customHeight="1" x14ac:dyDescent="0.3">
      <c r="A2" s="243" t="s">
        <v>0</v>
      </c>
      <c r="B2" s="243" t="s">
        <v>36</v>
      </c>
      <c r="C2" s="243" t="s">
        <v>1</v>
      </c>
      <c r="D2" s="243" t="s">
        <v>2</v>
      </c>
      <c r="E2" s="243" t="s">
        <v>53</v>
      </c>
      <c r="F2" s="243" t="s">
        <v>4</v>
      </c>
      <c r="G2" s="243" t="s">
        <v>5</v>
      </c>
      <c r="H2" s="243" t="s">
        <v>6</v>
      </c>
      <c r="I2" s="243" t="s">
        <v>7</v>
      </c>
      <c r="J2" s="243" t="s">
        <v>27</v>
      </c>
      <c r="K2" s="243" t="s">
        <v>8</v>
      </c>
      <c r="L2" s="243" t="s">
        <v>27</v>
      </c>
      <c r="M2" s="243" t="s">
        <v>9</v>
      </c>
      <c r="N2" s="243" t="s">
        <v>10</v>
      </c>
      <c r="O2" s="243" t="s">
        <v>11</v>
      </c>
      <c r="P2" s="243" t="s">
        <v>12</v>
      </c>
      <c r="Q2" s="243" t="s">
        <v>13</v>
      </c>
      <c r="R2" s="243" t="s">
        <v>14</v>
      </c>
      <c r="S2" s="243" t="s">
        <v>15</v>
      </c>
      <c r="T2" s="243" t="s">
        <v>16</v>
      </c>
      <c r="U2" s="243" t="s">
        <v>17</v>
      </c>
      <c r="V2" s="243" t="s">
        <v>18</v>
      </c>
      <c r="W2" s="243" t="s">
        <v>19</v>
      </c>
      <c r="X2" s="243" t="s">
        <v>20</v>
      </c>
      <c r="Y2" s="243" t="s">
        <v>21</v>
      </c>
      <c r="Z2" s="243" t="s">
        <v>22</v>
      </c>
      <c r="AA2" s="243" t="s">
        <v>23</v>
      </c>
      <c r="AB2" s="243" t="s">
        <v>24</v>
      </c>
      <c r="AC2" s="243" t="s">
        <v>25</v>
      </c>
    </row>
    <row r="3" spans="1:29" s="264" customFormat="1" ht="25.05" customHeight="1" x14ac:dyDescent="0.3">
      <c r="A3" s="258"/>
      <c r="B3" s="259" t="s">
        <v>743</v>
      </c>
      <c r="C3" s="258" t="s">
        <v>26</v>
      </c>
      <c r="D3" s="258" t="s">
        <v>708</v>
      </c>
      <c r="E3" s="258">
        <v>262968</v>
      </c>
      <c r="F3" s="258" t="s">
        <v>742</v>
      </c>
      <c r="G3" s="258">
        <v>400</v>
      </c>
      <c r="H3" s="260">
        <v>0.78100000000000003</v>
      </c>
      <c r="I3" s="260">
        <v>1.83</v>
      </c>
      <c r="J3" s="258" t="s">
        <v>27</v>
      </c>
      <c r="K3" s="258" t="s">
        <v>320</v>
      </c>
      <c r="L3" s="258" t="s">
        <v>27</v>
      </c>
      <c r="M3" s="260">
        <v>571.69200000000001</v>
      </c>
      <c r="N3" s="261">
        <v>366</v>
      </c>
      <c r="O3" s="262">
        <v>5.0799999999999998E-2</v>
      </c>
      <c r="P3" s="263">
        <v>3.05</v>
      </c>
      <c r="Q3" s="258">
        <v>307.60000000000002</v>
      </c>
      <c r="R3" s="258">
        <v>2</v>
      </c>
      <c r="S3" s="258">
        <v>1600</v>
      </c>
      <c r="T3" s="260">
        <v>1.5620000000000001</v>
      </c>
      <c r="U3" s="258">
        <v>38</v>
      </c>
      <c r="V3" s="262">
        <v>2.3800000000000002E-2</v>
      </c>
      <c r="W3" s="258" t="s">
        <v>28</v>
      </c>
      <c r="X3" s="258" t="s">
        <v>29</v>
      </c>
      <c r="Y3" s="258" t="s">
        <v>28</v>
      </c>
      <c r="Z3" s="258" t="s">
        <v>28</v>
      </c>
      <c r="AA3" s="258" t="s">
        <v>28</v>
      </c>
      <c r="AB3" s="258" t="s">
        <v>30</v>
      </c>
      <c r="AC3" s="258" t="s">
        <v>319</v>
      </c>
    </row>
    <row r="4" spans="1:29" s="264" customFormat="1" ht="25.05" customHeight="1" x14ac:dyDescent="0.3">
      <c r="A4" s="258"/>
      <c r="B4" s="259" t="s">
        <v>743</v>
      </c>
      <c r="C4" s="258" t="s">
        <v>26</v>
      </c>
      <c r="D4" s="258" t="s">
        <v>708</v>
      </c>
      <c r="E4" s="258">
        <v>262969</v>
      </c>
      <c r="F4" s="258" t="s">
        <v>742</v>
      </c>
      <c r="G4" s="258">
        <v>500</v>
      </c>
      <c r="H4" s="260">
        <v>0.65200000000000002</v>
      </c>
      <c r="I4" s="260">
        <v>2.34</v>
      </c>
      <c r="J4" s="258" t="s">
        <v>27</v>
      </c>
      <c r="K4" s="258" t="s">
        <v>758</v>
      </c>
      <c r="L4" s="258" t="s">
        <v>27</v>
      </c>
      <c r="M4" s="260">
        <v>762.84</v>
      </c>
      <c r="N4" s="261">
        <v>585</v>
      </c>
      <c r="O4" s="262">
        <v>8.1299999999999997E-2</v>
      </c>
      <c r="P4" s="263">
        <v>4.88</v>
      </c>
      <c r="Q4" s="258">
        <v>410.4</v>
      </c>
      <c r="R4" s="258">
        <v>2</v>
      </c>
      <c r="S4" s="258">
        <v>1350</v>
      </c>
      <c r="T4" s="260">
        <v>1.304</v>
      </c>
      <c r="U4" s="258">
        <v>46</v>
      </c>
      <c r="V4" s="262">
        <v>3.4099999999999998E-2</v>
      </c>
      <c r="W4" s="258" t="s">
        <v>28</v>
      </c>
      <c r="X4" s="258" t="s">
        <v>29</v>
      </c>
      <c r="Y4" s="258" t="s">
        <v>28</v>
      </c>
      <c r="Z4" s="258" t="s">
        <v>28</v>
      </c>
      <c r="AA4" s="258" t="s">
        <v>28</v>
      </c>
      <c r="AB4" s="258" t="s">
        <v>30</v>
      </c>
      <c r="AC4" s="258" t="s">
        <v>757</v>
      </c>
    </row>
    <row r="5" spans="1:29" s="264" customFormat="1" ht="25.05" customHeight="1" x14ac:dyDescent="0.3">
      <c r="A5" s="258"/>
      <c r="B5" s="259" t="s">
        <v>743</v>
      </c>
      <c r="C5" s="258" t="s">
        <v>35</v>
      </c>
      <c r="D5" s="258" t="s">
        <v>708</v>
      </c>
      <c r="E5" s="258">
        <v>262966</v>
      </c>
      <c r="F5" s="258" t="s">
        <v>742</v>
      </c>
      <c r="G5" s="258">
        <v>1100</v>
      </c>
      <c r="H5" s="260">
        <v>0.77400000000000002</v>
      </c>
      <c r="I5" s="260">
        <v>1.1200000000000001</v>
      </c>
      <c r="J5" s="258" t="s">
        <v>27</v>
      </c>
      <c r="K5" s="258" t="s">
        <v>756</v>
      </c>
      <c r="L5" s="258" t="s">
        <v>27</v>
      </c>
      <c r="M5" s="260">
        <v>953.56799999999998</v>
      </c>
      <c r="N5" s="261">
        <v>616</v>
      </c>
      <c r="O5" s="262">
        <v>8.5599999999999996E-2</v>
      </c>
      <c r="P5" s="263">
        <v>5.13</v>
      </c>
      <c r="Q5" s="258">
        <v>300.39999999999998</v>
      </c>
      <c r="R5" s="258">
        <v>2</v>
      </c>
      <c r="S5" s="258">
        <v>1600</v>
      </c>
      <c r="T5" s="260">
        <v>1.548</v>
      </c>
      <c r="U5" s="258">
        <v>52</v>
      </c>
      <c r="V5" s="262">
        <v>3.2500000000000001E-2</v>
      </c>
      <c r="W5" s="258" t="s">
        <v>28</v>
      </c>
      <c r="X5" s="258" t="s">
        <v>28</v>
      </c>
      <c r="Y5" s="258" t="s">
        <v>28</v>
      </c>
      <c r="Z5" s="258" t="s">
        <v>27</v>
      </c>
      <c r="AA5" s="258" t="s">
        <v>27</v>
      </c>
      <c r="AB5" s="258" t="s">
        <v>32</v>
      </c>
      <c r="AC5" s="258" t="s">
        <v>755</v>
      </c>
    </row>
    <row r="6" spans="1:29" s="264" customFormat="1" ht="25.05" customHeight="1" x14ac:dyDescent="0.3">
      <c r="A6" s="258"/>
      <c r="B6" s="259" t="s">
        <v>743</v>
      </c>
      <c r="C6" s="258" t="s">
        <v>35</v>
      </c>
      <c r="D6" s="258" t="s">
        <v>708</v>
      </c>
      <c r="E6" s="258">
        <v>262956</v>
      </c>
      <c r="F6" s="258" t="s">
        <v>742</v>
      </c>
      <c r="G6" s="258">
        <v>250</v>
      </c>
      <c r="H6" s="260">
        <v>1.5</v>
      </c>
      <c r="I6" s="260">
        <v>2.57</v>
      </c>
      <c r="J6" s="258" t="s">
        <v>27</v>
      </c>
      <c r="K6" s="258" t="s">
        <v>33</v>
      </c>
      <c r="L6" s="258" t="s">
        <v>27</v>
      </c>
      <c r="M6" s="260">
        <v>963.75</v>
      </c>
      <c r="N6" s="261">
        <v>642.5</v>
      </c>
      <c r="O6" s="262">
        <v>0.17849999999999999</v>
      </c>
      <c r="P6" s="263">
        <v>10.71</v>
      </c>
      <c r="Q6" s="258">
        <v>303.60000000000002</v>
      </c>
      <c r="R6" s="258">
        <v>1</v>
      </c>
      <c r="S6" s="258">
        <v>1550</v>
      </c>
      <c r="T6" s="260">
        <v>1.5</v>
      </c>
      <c r="U6" s="258">
        <v>50</v>
      </c>
      <c r="V6" s="262">
        <v>3.2300000000000002E-2</v>
      </c>
      <c r="W6" s="258" t="s">
        <v>28</v>
      </c>
      <c r="X6" s="258" t="s">
        <v>28</v>
      </c>
      <c r="Y6" s="258" t="s">
        <v>28</v>
      </c>
      <c r="Z6" s="258" t="s">
        <v>27</v>
      </c>
      <c r="AA6" s="258" t="s">
        <v>27</v>
      </c>
      <c r="AB6" s="258" t="s">
        <v>38</v>
      </c>
      <c r="AC6" s="258" t="s">
        <v>754</v>
      </c>
    </row>
    <row r="7" spans="1:29" s="264" customFormat="1" ht="25.05" customHeight="1" x14ac:dyDescent="0.3">
      <c r="A7" s="258"/>
      <c r="B7" s="259" t="s">
        <v>743</v>
      </c>
      <c r="C7" s="258" t="s">
        <v>35</v>
      </c>
      <c r="D7" s="258" t="s">
        <v>708</v>
      </c>
      <c r="E7" s="258">
        <v>262954</v>
      </c>
      <c r="F7" s="258" t="s">
        <v>742</v>
      </c>
      <c r="G7" s="258">
        <v>3000</v>
      </c>
      <c r="H7" s="260">
        <v>0.48</v>
      </c>
      <c r="I7" s="260">
        <v>0.74</v>
      </c>
      <c r="J7" s="258" t="s">
        <v>27</v>
      </c>
      <c r="K7" s="258" t="s">
        <v>33</v>
      </c>
      <c r="L7" s="258" t="s">
        <v>27</v>
      </c>
      <c r="M7" s="260">
        <v>1065.5999999999999</v>
      </c>
      <c r="N7" s="261">
        <v>740</v>
      </c>
      <c r="O7" s="262">
        <v>6.8500000000000005E-2</v>
      </c>
      <c r="P7" s="263">
        <v>4.1100000000000003</v>
      </c>
      <c r="Q7" s="258">
        <v>335.7</v>
      </c>
      <c r="R7" s="258">
        <v>3</v>
      </c>
      <c r="S7" s="258">
        <v>1500</v>
      </c>
      <c r="T7" s="260">
        <v>1.44</v>
      </c>
      <c r="U7" s="258">
        <v>60</v>
      </c>
      <c r="V7" s="262">
        <v>0.04</v>
      </c>
      <c r="W7" s="258" t="s">
        <v>28</v>
      </c>
      <c r="X7" s="258" t="s">
        <v>28</v>
      </c>
      <c r="Y7" s="258" t="s">
        <v>28</v>
      </c>
      <c r="Z7" s="258" t="s">
        <v>27</v>
      </c>
      <c r="AA7" s="258" t="s">
        <v>27</v>
      </c>
      <c r="AB7" s="258" t="s">
        <v>32</v>
      </c>
      <c r="AC7" s="258" t="s">
        <v>753</v>
      </c>
    </row>
    <row r="8" spans="1:29" s="264" customFormat="1" ht="25.05" customHeight="1" x14ac:dyDescent="0.3">
      <c r="A8" s="258"/>
      <c r="B8" s="259" t="s">
        <v>743</v>
      </c>
      <c r="C8" s="258" t="s">
        <v>81</v>
      </c>
      <c r="D8" s="258" t="s">
        <v>708</v>
      </c>
      <c r="E8" s="258">
        <v>262955</v>
      </c>
      <c r="F8" s="258" t="s">
        <v>742</v>
      </c>
      <c r="G8" s="258">
        <v>2500</v>
      </c>
      <c r="H8" s="260">
        <v>0.71</v>
      </c>
      <c r="I8" s="260">
        <v>0.6</v>
      </c>
      <c r="J8" s="258" t="s">
        <v>27</v>
      </c>
      <c r="K8" s="258" t="s">
        <v>33</v>
      </c>
      <c r="L8" s="258" t="s">
        <v>27</v>
      </c>
      <c r="M8" s="260">
        <v>1065</v>
      </c>
      <c r="N8" s="261">
        <v>750</v>
      </c>
      <c r="O8" s="262">
        <v>0.1042</v>
      </c>
      <c r="P8" s="263">
        <v>6.25</v>
      </c>
      <c r="Q8" s="258">
        <v>388.7</v>
      </c>
      <c r="R8" s="258">
        <v>2</v>
      </c>
      <c r="S8" s="258">
        <v>1450</v>
      </c>
      <c r="T8" s="260">
        <v>1.42</v>
      </c>
      <c r="U8" s="258">
        <v>30</v>
      </c>
      <c r="V8" s="262">
        <v>2.07E-2</v>
      </c>
      <c r="W8" s="258" t="s">
        <v>41</v>
      </c>
      <c r="X8" s="258" t="s">
        <v>29</v>
      </c>
      <c r="Y8" s="258" t="s">
        <v>28</v>
      </c>
      <c r="Z8" s="258" t="s">
        <v>27</v>
      </c>
      <c r="AA8" s="258" t="s">
        <v>27</v>
      </c>
      <c r="AB8" s="258" t="s">
        <v>30</v>
      </c>
      <c r="AC8" s="258" t="s">
        <v>752</v>
      </c>
    </row>
    <row r="9" spans="1:29" s="264" customFormat="1" ht="25.05" customHeight="1" x14ac:dyDescent="0.3">
      <c r="A9" s="258"/>
      <c r="B9" s="259" t="s">
        <v>743</v>
      </c>
      <c r="C9" s="258" t="s">
        <v>35</v>
      </c>
      <c r="D9" s="258" t="s">
        <v>708</v>
      </c>
      <c r="E9" s="258">
        <v>262967</v>
      </c>
      <c r="F9" s="258" t="s">
        <v>742</v>
      </c>
      <c r="G9" s="258">
        <v>3000</v>
      </c>
      <c r="H9" s="260">
        <v>0.63400000000000001</v>
      </c>
      <c r="I9" s="260">
        <v>1.6</v>
      </c>
      <c r="J9" s="258" t="s">
        <v>27</v>
      </c>
      <c r="K9" s="258" t="s">
        <v>310</v>
      </c>
      <c r="L9" s="258" t="s">
        <v>27</v>
      </c>
      <c r="M9" s="260">
        <v>3043.2</v>
      </c>
      <c r="N9" s="261">
        <v>2400</v>
      </c>
      <c r="O9" s="262">
        <v>0.33329999999999999</v>
      </c>
      <c r="P9" s="263">
        <v>20</v>
      </c>
      <c r="Q9" s="258">
        <v>958.6</v>
      </c>
      <c r="R9" s="258">
        <v>2</v>
      </c>
      <c r="S9" s="258">
        <v>1300</v>
      </c>
      <c r="T9" s="260">
        <v>1.268</v>
      </c>
      <c r="U9" s="258">
        <v>32</v>
      </c>
      <c r="V9" s="262">
        <v>2.46E-2</v>
      </c>
      <c r="W9" s="258" t="s">
        <v>28</v>
      </c>
      <c r="X9" s="258" t="s">
        <v>28</v>
      </c>
      <c r="Y9" s="258" t="s">
        <v>28</v>
      </c>
      <c r="Z9" s="258" t="s">
        <v>27</v>
      </c>
      <c r="AA9" s="258" t="s">
        <v>27</v>
      </c>
      <c r="AB9" s="258" t="s">
        <v>52</v>
      </c>
      <c r="AC9" s="258" t="s">
        <v>309</v>
      </c>
    </row>
    <row r="10" spans="1:29" s="264" customFormat="1" ht="25.05" customHeight="1" x14ac:dyDescent="0.3">
      <c r="A10" s="258"/>
      <c r="B10" s="259" t="s">
        <v>743</v>
      </c>
      <c r="C10" s="258" t="s">
        <v>35</v>
      </c>
      <c r="D10" s="258" t="s">
        <v>708</v>
      </c>
      <c r="E10" s="258">
        <v>262959</v>
      </c>
      <c r="F10" s="258" t="s">
        <v>742</v>
      </c>
      <c r="G10" s="258">
        <v>5000</v>
      </c>
      <c r="H10" s="260">
        <v>0.30399999999999999</v>
      </c>
      <c r="I10" s="260">
        <v>0.98</v>
      </c>
      <c r="J10" s="258" t="s">
        <v>27</v>
      </c>
      <c r="K10" s="258" t="s">
        <v>83</v>
      </c>
      <c r="L10" s="258" t="s">
        <v>27</v>
      </c>
      <c r="M10" s="260">
        <v>1489.6</v>
      </c>
      <c r="N10" s="261">
        <v>1225</v>
      </c>
      <c r="O10" s="262">
        <v>8.5099999999999995E-2</v>
      </c>
      <c r="P10" s="263">
        <v>5.0999999999999996</v>
      </c>
      <c r="Q10" s="258">
        <v>469.2</v>
      </c>
      <c r="R10" s="258">
        <v>4</v>
      </c>
      <c r="S10" s="258">
        <v>1250</v>
      </c>
      <c r="T10" s="260">
        <v>1.216</v>
      </c>
      <c r="U10" s="258">
        <v>34</v>
      </c>
      <c r="V10" s="262">
        <v>2.7199999999999998E-2</v>
      </c>
      <c r="W10" s="258" t="s">
        <v>28</v>
      </c>
      <c r="X10" s="258" t="s">
        <v>28</v>
      </c>
      <c r="Y10" s="258" t="s">
        <v>28</v>
      </c>
      <c r="Z10" s="258" t="s">
        <v>27</v>
      </c>
      <c r="AA10" s="258" t="s">
        <v>27</v>
      </c>
      <c r="AB10" s="258" t="s">
        <v>30</v>
      </c>
      <c r="AC10" s="258" t="s">
        <v>82</v>
      </c>
    </row>
    <row r="11" spans="1:29" s="264" customFormat="1" ht="25.05" customHeight="1" x14ac:dyDescent="0.3">
      <c r="A11" s="258"/>
      <c r="B11" s="259" t="s">
        <v>743</v>
      </c>
      <c r="C11" s="258" t="s">
        <v>35</v>
      </c>
      <c r="D11" s="258" t="s">
        <v>708</v>
      </c>
      <c r="E11" s="258">
        <v>262960</v>
      </c>
      <c r="F11" s="258" t="s">
        <v>742</v>
      </c>
      <c r="G11" s="258">
        <v>2000</v>
      </c>
      <c r="H11" s="260">
        <v>0.40500000000000003</v>
      </c>
      <c r="I11" s="260">
        <v>1.33</v>
      </c>
      <c r="J11" s="258" t="s">
        <v>27</v>
      </c>
      <c r="K11" s="258" t="s">
        <v>751</v>
      </c>
      <c r="L11" s="258" t="s">
        <v>27</v>
      </c>
      <c r="M11" s="260">
        <v>1077.3</v>
      </c>
      <c r="N11" s="261">
        <v>886.7</v>
      </c>
      <c r="O11" s="262">
        <v>8.2100000000000006E-2</v>
      </c>
      <c r="P11" s="263">
        <v>4.93</v>
      </c>
      <c r="Q11" s="258">
        <v>339.3</v>
      </c>
      <c r="R11" s="258">
        <v>3</v>
      </c>
      <c r="S11" s="258">
        <v>1250</v>
      </c>
      <c r="T11" s="260">
        <v>1.2150000000000001</v>
      </c>
      <c r="U11" s="258">
        <v>35</v>
      </c>
      <c r="V11" s="262">
        <v>2.8000000000000001E-2</v>
      </c>
      <c r="W11" s="258" t="s">
        <v>28</v>
      </c>
      <c r="X11" s="258" t="s">
        <v>28</v>
      </c>
      <c r="Y11" s="258" t="s">
        <v>28</v>
      </c>
      <c r="Z11" s="258" t="s">
        <v>27</v>
      </c>
      <c r="AA11" s="258" t="s">
        <v>27</v>
      </c>
      <c r="AB11" s="258" t="s">
        <v>30</v>
      </c>
      <c r="AC11" s="258" t="s">
        <v>750</v>
      </c>
    </row>
    <row r="12" spans="1:29" s="264" customFormat="1" ht="25.05" customHeight="1" x14ac:dyDescent="0.3">
      <c r="A12" s="258"/>
      <c r="B12" s="259" t="s">
        <v>743</v>
      </c>
      <c r="C12" s="258" t="s">
        <v>35</v>
      </c>
      <c r="D12" s="258" t="s">
        <v>708</v>
      </c>
      <c r="E12" s="258">
        <v>262962</v>
      </c>
      <c r="F12" s="258" t="s">
        <v>742</v>
      </c>
      <c r="G12" s="258">
        <v>3600</v>
      </c>
      <c r="H12" s="260">
        <v>0.3</v>
      </c>
      <c r="I12" s="260">
        <v>0.9</v>
      </c>
      <c r="J12" s="258" t="s">
        <v>27</v>
      </c>
      <c r="K12" s="258" t="s">
        <v>33</v>
      </c>
      <c r="L12" s="258" t="s">
        <v>27</v>
      </c>
      <c r="M12" s="260">
        <v>972</v>
      </c>
      <c r="N12" s="261">
        <v>810</v>
      </c>
      <c r="O12" s="262">
        <v>5.6300000000000003E-2</v>
      </c>
      <c r="P12" s="263">
        <v>3.38</v>
      </c>
      <c r="Q12" s="258">
        <v>306.2</v>
      </c>
      <c r="R12" s="258">
        <v>4</v>
      </c>
      <c r="S12" s="258">
        <v>1250</v>
      </c>
      <c r="T12" s="260">
        <v>1.2</v>
      </c>
      <c r="U12" s="258">
        <v>50</v>
      </c>
      <c r="V12" s="262">
        <v>0.04</v>
      </c>
      <c r="W12" s="258" t="s">
        <v>28</v>
      </c>
      <c r="X12" s="258" t="s">
        <v>28</v>
      </c>
      <c r="Y12" s="258" t="s">
        <v>28</v>
      </c>
      <c r="Z12" s="258" t="s">
        <v>27</v>
      </c>
      <c r="AA12" s="258" t="s">
        <v>27</v>
      </c>
      <c r="AB12" s="258" t="s">
        <v>32</v>
      </c>
      <c r="AC12" s="258" t="s">
        <v>113</v>
      </c>
    </row>
    <row r="13" spans="1:29" s="264" customFormat="1" ht="25.05" customHeight="1" x14ac:dyDescent="0.3">
      <c r="A13" s="258"/>
      <c r="B13" s="259" t="s">
        <v>743</v>
      </c>
      <c r="C13" s="258" t="s">
        <v>35</v>
      </c>
      <c r="D13" s="258" t="s">
        <v>708</v>
      </c>
      <c r="E13" s="258">
        <v>262964</v>
      </c>
      <c r="F13" s="258" t="s">
        <v>742</v>
      </c>
      <c r="G13" s="258">
        <v>700</v>
      </c>
      <c r="H13" s="260">
        <v>1.1599999999999999</v>
      </c>
      <c r="I13" s="260">
        <v>1.19</v>
      </c>
      <c r="J13" s="258" t="s">
        <v>27</v>
      </c>
      <c r="K13" s="258" t="s">
        <v>33</v>
      </c>
      <c r="L13" s="258" t="s">
        <v>27</v>
      </c>
      <c r="M13" s="260">
        <v>966.28</v>
      </c>
      <c r="N13" s="261">
        <v>833</v>
      </c>
      <c r="O13" s="262">
        <v>0.23139999999999999</v>
      </c>
      <c r="P13" s="263">
        <v>13.88</v>
      </c>
      <c r="Q13" s="258">
        <v>304.39999999999998</v>
      </c>
      <c r="R13" s="258">
        <v>1</v>
      </c>
      <c r="S13" s="258">
        <v>1200</v>
      </c>
      <c r="T13" s="260">
        <v>1.1599999999999999</v>
      </c>
      <c r="U13" s="258">
        <v>40</v>
      </c>
      <c r="V13" s="262">
        <v>3.3300000000000003E-2</v>
      </c>
      <c r="W13" s="258" t="s">
        <v>28</v>
      </c>
      <c r="X13" s="258" t="s">
        <v>28</v>
      </c>
      <c r="Y13" s="258" t="s">
        <v>28</v>
      </c>
      <c r="Z13" s="258" t="s">
        <v>27</v>
      </c>
      <c r="AA13" s="258" t="s">
        <v>27</v>
      </c>
      <c r="AB13" s="258" t="s">
        <v>32</v>
      </c>
      <c r="AC13" s="258" t="s">
        <v>749</v>
      </c>
    </row>
    <row r="14" spans="1:29" s="264" customFormat="1" ht="25.05" customHeight="1" x14ac:dyDescent="0.3">
      <c r="A14" s="258"/>
      <c r="B14" s="259" t="s">
        <v>743</v>
      </c>
      <c r="C14" s="258" t="s">
        <v>35</v>
      </c>
      <c r="D14" s="258" t="s">
        <v>708</v>
      </c>
      <c r="E14" s="258">
        <v>262958</v>
      </c>
      <c r="F14" s="258" t="s">
        <v>742</v>
      </c>
      <c r="G14" s="258">
        <v>1000</v>
      </c>
      <c r="H14" s="260">
        <v>0.56499999999999995</v>
      </c>
      <c r="I14" s="260">
        <v>2.2200000000000002</v>
      </c>
      <c r="J14" s="258" t="s">
        <v>27</v>
      </c>
      <c r="K14" s="258" t="s">
        <v>748</v>
      </c>
      <c r="L14" s="258" t="s">
        <v>27</v>
      </c>
      <c r="M14" s="260">
        <v>1254.3</v>
      </c>
      <c r="N14" s="261">
        <v>1110</v>
      </c>
      <c r="O14" s="262">
        <v>0.1542</v>
      </c>
      <c r="P14" s="263">
        <v>9.25</v>
      </c>
      <c r="Q14" s="258">
        <v>395.1</v>
      </c>
      <c r="R14" s="258">
        <v>2</v>
      </c>
      <c r="S14" s="258">
        <v>1150</v>
      </c>
      <c r="T14" s="260">
        <v>1.1299999999999999</v>
      </c>
      <c r="U14" s="258">
        <v>20</v>
      </c>
      <c r="V14" s="262">
        <v>1.7399999999999999E-2</v>
      </c>
      <c r="W14" s="258" t="s">
        <v>28</v>
      </c>
      <c r="X14" s="258" t="s">
        <v>28</v>
      </c>
      <c r="Y14" s="258" t="s">
        <v>28</v>
      </c>
      <c r="Z14" s="258" t="s">
        <v>27</v>
      </c>
      <c r="AA14" s="258" t="s">
        <v>27</v>
      </c>
      <c r="AB14" s="258" t="s">
        <v>30</v>
      </c>
      <c r="AC14" s="258" t="s">
        <v>747</v>
      </c>
    </row>
    <row r="15" spans="1:29" s="264" customFormat="1" ht="25.05" customHeight="1" x14ac:dyDescent="0.3">
      <c r="A15" s="258"/>
      <c r="B15" s="259" t="s">
        <v>743</v>
      </c>
      <c r="C15" s="258" t="s">
        <v>35</v>
      </c>
      <c r="D15" s="258" t="s">
        <v>708</v>
      </c>
      <c r="E15" s="258">
        <v>262957</v>
      </c>
      <c r="F15" s="258" t="s">
        <v>742</v>
      </c>
      <c r="G15" s="258">
        <v>1050</v>
      </c>
      <c r="H15" s="260">
        <v>1.0089999999999999</v>
      </c>
      <c r="I15" s="260">
        <v>0.92</v>
      </c>
      <c r="J15" s="258" t="s">
        <v>27</v>
      </c>
      <c r="K15" s="258" t="s">
        <v>33</v>
      </c>
      <c r="L15" s="258" t="s">
        <v>27</v>
      </c>
      <c r="M15" s="260">
        <v>974.69399999999996</v>
      </c>
      <c r="N15" s="261">
        <v>966</v>
      </c>
      <c r="O15" s="262">
        <v>0.26829999999999998</v>
      </c>
      <c r="P15" s="263">
        <v>16.100000000000001</v>
      </c>
      <c r="Q15" s="258">
        <v>307</v>
      </c>
      <c r="R15" s="258">
        <v>1</v>
      </c>
      <c r="S15" s="258">
        <v>1050</v>
      </c>
      <c r="T15" s="260">
        <v>1.0089999999999999</v>
      </c>
      <c r="U15" s="258">
        <v>41</v>
      </c>
      <c r="V15" s="262">
        <v>3.9E-2</v>
      </c>
      <c r="W15" s="258" t="s">
        <v>28</v>
      </c>
      <c r="X15" s="258" t="s">
        <v>28</v>
      </c>
      <c r="Y15" s="258" t="s">
        <v>28</v>
      </c>
      <c r="Z15" s="258" t="s">
        <v>27</v>
      </c>
      <c r="AA15" s="258" t="s">
        <v>27</v>
      </c>
      <c r="AB15" s="258" t="s">
        <v>32</v>
      </c>
      <c r="AC15" s="258" t="s">
        <v>746</v>
      </c>
    </row>
    <row r="16" spans="1:29" s="264" customFormat="1" ht="25.05" customHeight="1" x14ac:dyDescent="0.3">
      <c r="A16" s="258"/>
      <c r="B16" s="259" t="s">
        <v>743</v>
      </c>
      <c r="C16" s="258" t="s">
        <v>35</v>
      </c>
      <c r="D16" s="258" t="s">
        <v>708</v>
      </c>
      <c r="E16" s="258">
        <v>262961</v>
      </c>
      <c r="F16" s="258" t="s">
        <v>742</v>
      </c>
      <c r="G16" s="258">
        <v>1000</v>
      </c>
      <c r="H16" s="260">
        <v>1</v>
      </c>
      <c r="I16" s="260">
        <v>1</v>
      </c>
      <c r="J16" s="258" t="s">
        <v>27</v>
      </c>
      <c r="K16" s="258" t="s">
        <v>33</v>
      </c>
      <c r="L16" s="258" t="s">
        <v>27</v>
      </c>
      <c r="M16" s="260">
        <v>1000</v>
      </c>
      <c r="N16" s="261">
        <v>1000</v>
      </c>
      <c r="O16" s="262">
        <v>0.27779999999999999</v>
      </c>
      <c r="P16" s="263">
        <v>16.670000000000002</v>
      </c>
      <c r="Q16" s="258">
        <v>315</v>
      </c>
      <c r="R16" s="258">
        <v>1</v>
      </c>
      <c r="S16" s="258">
        <v>1050</v>
      </c>
      <c r="T16" s="260">
        <v>1</v>
      </c>
      <c r="U16" s="258">
        <v>50</v>
      </c>
      <c r="V16" s="262">
        <v>4.7600000000000003E-2</v>
      </c>
      <c r="W16" s="258" t="s">
        <v>28</v>
      </c>
      <c r="X16" s="258" t="s">
        <v>28</v>
      </c>
      <c r="Y16" s="258" t="s">
        <v>28</v>
      </c>
      <c r="Z16" s="258" t="s">
        <v>27</v>
      </c>
      <c r="AA16" s="258" t="s">
        <v>27</v>
      </c>
      <c r="AB16" s="258" t="s">
        <v>32</v>
      </c>
      <c r="AC16" s="258" t="s">
        <v>745</v>
      </c>
    </row>
    <row r="17" spans="1:29" s="264" customFormat="1" ht="25.05" customHeight="1" x14ac:dyDescent="0.3">
      <c r="A17" s="258"/>
      <c r="B17" s="259" t="s">
        <v>743</v>
      </c>
      <c r="C17" s="258" t="s">
        <v>35</v>
      </c>
      <c r="D17" s="258" t="s">
        <v>708</v>
      </c>
      <c r="E17" s="258">
        <v>262963</v>
      </c>
      <c r="F17" s="258" t="s">
        <v>742</v>
      </c>
      <c r="G17" s="258">
        <v>1500</v>
      </c>
      <c r="H17" s="260">
        <v>0.98</v>
      </c>
      <c r="I17" s="260">
        <v>0.77</v>
      </c>
      <c r="J17" s="258" t="s">
        <v>27</v>
      </c>
      <c r="K17" s="258" t="s">
        <v>33</v>
      </c>
      <c r="L17" s="258" t="s">
        <v>27</v>
      </c>
      <c r="M17" s="260">
        <v>1131.9000000000001</v>
      </c>
      <c r="N17" s="261">
        <v>1155</v>
      </c>
      <c r="O17" s="262">
        <v>0.32079999999999997</v>
      </c>
      <c r="P17" s="263">
        <v>19.25</v>
      </c>
      <c r="Q17" s="258">
        <v>356.5</v>
      </c>
      <c r="R17" s="258">
        <v>1</v>
      </c>
      <c r="S17" s="258">
        <v>1000</v>
      </c>
      <c r="T17" s="260">
        <v>0.98</v>
      </c>
      <c r="U17" s="258">
        <v>20</v>
      </c>
      <c r="V17" s="262">
        <v>0.02</v>
      </c>
      <c r="W17" s="258" t="s">
        <v>28</v>
      </c>
      <c r="X17" s="258" t="s">
        <v>28</v>
      </c>
      <c r="Y17" s="258" t="s">
        <v>28</v>
      </c>
      <c r="Z17" s="258" t="s">
        <v>27</v>
      </c>
      <c r="AA17" s="258" t="s">
        <v>27</v>
      </c>
      <c r="AB17" s="258" t="s">
        <v>32</v>
      </c>
      <c r="AC17" s="258" t="s">
        <v>744</v>
      </c>
    </row>
    <row r="18" spans="1:29" s="264" customFormat="1" ht="25.05" customHeight="1" x14ac:dyDescent="0.3">
      <c r="A18" s="258"/>
      <c r="B18" s="259" t="s">
        <v>743</v>
      </c>
      <c r="C18" s="258" t="s">
        <v>35</v>
      </c>
      <c r="D18" s="258" t="s">
        <v>708</v>
      </c>
      <c r="E18" s="258">
        <v>262965</v>
      </c>
      <c r="F18" s="258" t="s">
        <v>742</v>
      </c>
      <c r="G18" s="258">
        <v>640</v>
      </c>
      <c r="H18" s="260">
        <v>0.88200000000000001</v>
      </c>
      <c r="I18" s="260">
        <v>1.76</v>
      </c>
      <c r="J18" s="258" t="s">
        <v>27</v>
      </c>
      <c r="K18" s="258" t="s">
        <v>33</v>
      </c>
      <c r="L18" s="258" t="s">
        <v>27</v>
      </c>
      <c r="M18" s="260">
        <v>993.48500000000001</v>
      </c>
      <c r="N18" s="261">
        <v>1126.4000000000001</v>
      </c>
      <c r="O18" s="262">
        <v>0.31290000000000001</v>
      </c>
      <c r="P18" s="263">
        <v>18.77</v>
      </c>
      <c r="Q18" s="258">
        <v>312.89999999999998</v>
      </c>
      <c r="R18" s="258">
        <v>1</v>
      </c>
      <c r="S18" s="258">
        <v>950</v>
      </c>
      <c r="T18" s="260">
        <v>0.88200000000000001</v>
      </c>
      <c r="U18" s="258">
        <v>68</v>
      </c>
      <c r="V18" s="262">
        <v>7.1599999999999997E-2</v>
      </c>
      <c r="W18" s="258" t="s">
        <v>28</v>
      </c>
      <c r="X18" s="258" t="s">
        <v>28</v>
      </c>
      <c r="Y18" s="258" t="s">
        <v>28</v>
      </c>
      <c r="Z18" s="258" t="s">
        <v>27</v>
      </c>
      <c r="AA18" s="258" t="s">
        <v>27</v>
      </c>
      <c r="AB18" s="258" t="s">
        <v>32</v>
      </c>
      <c r="AC18" s="258" t="s">
        <v>741</v>
      </c>
    </row>
    <row r="19" spans="1:29" s="264" customFormat="1" ht="25.05" customHeight="1" x14ac:dyDescent="0.3">
      <c r="A19" s="265" t="s">
        <v>27</v>
      </c>
      <c r="B19" s="265" t="s">
        <v>27</v>
      </c>
      <c r="C19" s="265" t="s">
        <v>27</v>
      </c>
      <c r="D19" s="265" t="s">
        <v>27</v>
      </c>
      <c r="E19" s="265" t="s">
        <v>27</v>
      </c>
      <c r="F19" s="265" t="s">
        <v>27</v>
      </c>
      <c r="G19" s="265">
        <v>27240</v>
      </c>
      <c r="H19" s="265" t="s">
        <v>27</v>
      </c>
      <c r="I19" s="265" t="s">
        <v>27</v>
      </c>
      <c r="J19" s="265" t="s">
        <v>27</v>
      </c>
      <c r="K19" s="265" t="s">
        <v>27</v>
      </c>
      <c r="L19" s="265" t="s">
        <v>27</v>
      </c>
      <c r="M19" s="265" t="s">
        <v>27</v>
      </c>
      <c r="N19" s="265" t="s">
        <v>27</v>
      </c>
      <c r="O19" s="265" t="s">
        <v>27</v>
      </c>
      <c r="P19" s="265" t="s">
        <v>27</v>
      </c>
      <c r="Q19" s="265">
        <v>6110.7</v>
      </c>
      <c r="R19" s="265" t="s">
        <v>27</v>
      </c>
      <c r="S19" s="265" t="s">
        <v>27</v>
      </c>
      <c r="T19" s="265" t="s">
        <v>27</v>
      </c>
      <c r="U19" s="265" t="s">
        <v>27</v>
      </c>
      <c r="V19" s="265" t="s">
        <v>27</v>
      </c>
      <c r="W19" s="265" t="s">
        <v>27</v>
      </c>
      <c r="X19" s="265" t="s">
        <v>27</v>
      </c>
      <c r="Y19" s="265" t="s">
        <v>27</v>
      </c>
      <c r="Z19" s="265" t="s">
        <v>27</v>
      </c>
      <c r="AA19" s="265" t="s">
        <v>27</v>
      </c>
      <c r="AB19" s="265" t="s">
        <v>27</v>
      </c>
      <c r="AC19" s="265" t="s">
        <v>27</v>
      </c>
    </row>
  </sheetData>
  <mergeCells count="1">
    <mergeCell ref="A1:AC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EE4D-B02B-4C62-A2EC-AAFEBC4E0B64}">
  <sheetPr>
    <pageSetUpPr fitToPage="1"/>
  </sheetPr>
  <dimension ref="A1:AC10"/>
  <sheetViews>
    <sheetView workbookViewId="0">
      <selection activeCell="W24" sqref="W24"/>
    </sheetView>
  </sheetViews>
  <sheetFormatPr defaultRowHeight="14.4" x14ac:dyDescent="0.3"/>
  <cols>
    <col min="1" max="1" width="5.44140625" style="1" customWidth="1"/>
    <col min="2" max="2" width="20.77734375" style="1" hidden="1" customWidth="1"/>
    <col min="3" max="3" width="5.77734375" style="1" customWidth="1"/>
    <col min="4" max="4" width="11.77734375" style="1" hidden="1" customWidth="1"/>
    <col min="5" max="5" width="7.6640625" style="1" customWidth="1"/>
    <col min="6" max="6" width="3.5546875" style="1" customWidth="1"/>
    <col min="7" max="7" width="6.33203125" style="1" customWidth="1"/>
    <col min="8" max="8" width="6" style="1" customWidth="1"/>
    <col min="9" max="9" width="6.21875" style="1" customWidth="1"/>
    <col min="10" max="10" width="8.77734375" style="1" customWidth="1"/>
    <col min="11" max="11" width="12.77734375" style="1" customWidth="1"/>
    <col min="12" max="12" width="7.21875" style="1" customWidth="1"/>
    <col min="13" max="13" width="9.77734375" style="1" hidden="1" customWidth="1"/>
    <col min="14" max="14" width="8.77734375" style="1" hidden="1" customWidth="1"/>
    <col min="15" max="16" width="9.77734375" style="1" hidden="1" customWidth="1"/>
    <col min="17" max="17" width="7" style="1" customWidth="1"/>
    <col min="18" max="18" width="4.5546875" style="1" customWidth="1"/>
    <col min="19" max="19" width="6.6640625" style="1" customWidth="1"/>
    <col min="20" max="20" width="6.44140625" style="1" customWidth="1"/>
    <col min="21" max="21" width="11.77734375" style="1" hidden="1" customWidth="1"/>
    <col min="22" max="22" width="8.77734375" style="1" hidden="1" customWidth="1"/>
    <col min="23" max="23" width="7.77734375" style="1" customWidth="1"/>
    <col min="24" max="24" width="7.44140625" style="1" customWidth="1"/>
    <col min="25" max="25" width="7.5546875" style="1" customWidth="1"/>
    <col min="26" max="26" width="8.109375" style="1" customWidth="1"/>
    <col min="27" max="27" width="7.88671875" style="1" customWidth="1"/>
    <col min="28" max="28" width="4" style="1" customWidth="1"/>
    <col min="29" max="29" width="10.33203125" style="1" customWidth="1"/>
    <col min="30" max="16384" width="8.88671875" style="1"/>
  </cols>
  <sheetData>
    <row r="1" spans="1:29" ht="18" customHeight="1" x14ac:dyDescent="0.35">
      <c r="A1" s="267" t="s">
        <v>737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  <c r="AC1" s="267" t="s">
        <v>27</v>
      </c>
    </row>
    <row r="2" spans="1:29" ht="40.799999999999997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53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27</v>
      </c>
      <c r="K2" s="2" t="s">
        <v>8</v>
      </c>
      <c r="L2" s="2" t="s">
        <v>27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</row>
    <row r="3" spans="1:29" x14ac:dyDescent="0.3">
      <c r="A3" s="126">
        <v>1</v>
      </c>
      <c r="B3" s="128" t="s">
        <v>366</v>
      </c>
      <c r="C3" s="126" t="s">
        <v>26</v>
      </c>
      <c r="D3" s="126" t="s">
        <v>729</v>
      </c>
      <c r="E3" s="126">
        <v>262946</v>
      </c>
      <c r="F3" s="126" t="s">
        <v>63</v>
      </c>
      <c r="G3" s="126">
        <v>700</v>
      </c>
      <c r="H3" s="127">
        <v>0.56999999999999995</v>
      </c>
      <c r="I3" s="127">
        <v>1.44</v>
      </c>
      <c r="J3" s="126" t="s">
        <v>27</v>
      </c>
      <c r="K3" s="126" t="s">
        <v>33</v>
      </c>
      <c r="L3" s="126" t="s">
        <v>27</v>
      </c>
      <c r="M3" s="123">
        <v>574.55999999999995</v>
      </c>
      <c r="N3" s="125">
        <v>504</v>
      </c>
      <c r="O3" s="122">
        <v>7.0000000000000007E-2</v>
      </c>
      <c r="P3" s="124">
        <v>4.2</v>
      </c>
      <c r="Q3" s="121">
        <v>309.10000000000002</v>
      </c>
      <c r="R3" s="121">
        <v>2</v>
      </c>
      <c r="S3" s="121">
        <v>1200</v>
      </c>
      <c r="T3" s="123">
        <v>1.1399999999999999</v>
      </c>
      <c r="U3" s="121">
        <v>60</v>
      </c>
      <c r="V3" s="122">
        <v>0.05</v>
      </c>
      <c r="W3" s="121" t="s">
        <v>28</v>
      </c>
      <c r="X3" s="121" t="s">
        <v>29</v>
      </c>
      <c r="Y3" s="121" t="s">
        <v>28</v>
      </c>
      <c r="Z3" s="121" t="s">
        <v>28</v>
      </c>
      <c r="AA3" s="121" t="s">
        <v>28</v>
      </c>
      <c r="AB3" s="121" t="s">
        <v>32</v>
      </c>
      <c r="AC3" s="121" t="s">
        <v>736</v>
      </c>
    </row>
    <row r="4" spans="1:29" x14ac:dyDescent="0.3">
      <c r="A4" s="126">
        <v>2</v>
      </c>
      <c r="B4" s="128" t="s">
        <v>366</v>
      </c>
      <c r="C4" s="126" t="s">
        <v>81</v>
      </c>
      <c r="D4" s="126" t="s">
        <v>729</v>
      </c>
      <c r="E4" s="126">
        <v>262949</v>
      </c>
      <c r="F4" s="126" t="s">
        <v>63</v>
      </c>
      <c r="G4" s="126">
        <v>2200</v>
      </c>
      <c r="H4" s="127">
        <v>0.49399999999999999</v>
      </c>
      <c r="I4" s="127">
        <v>1.24</v>
      </c>
      <c r="J4" s="126" t="s">
        <v>27</v>
      </c>
      <c r="K4" s="126" t="s">
        <v>735</v>
      </c>
      <c r="L4" s="126" t="s">
        <v>27</v>
      </c>
      <c r="M4" s="123">
        <v>1347.6320000000001</v>
      </c>
      <c r="N4" s="125">
        <v>909.3</v>
      </c>
      <c r="O4" s="122">
        <v>8.4199999999999997E-2</v>
      </c>
      <c r="P4" s="124">
        <v>5.05</v>
      </c>
      <c r="Q4" s="121">
        <v>491.9</v>
      </c>
      <c r="R4" s="121">
        <v>3</v>
      </c>
      <c r="S4" s="121">
        <v>1550</v>
      </c>
      <c r="T4" s="123">
        <v>1.482</v>
      </c>
      <c r="U4" s="121">
        <v>68</v>
      </c>
      <c r="V4" s="122">
        <v>4.3900000000000002E-2</v>
      </c>
      <c r="W4" s="121" t="s">
        <v>41</v>
      </c>
      <c r="X4" s="121" t="s">
        <v>29</v>
      </c>
      <c r="Y4" s="121" t="s">
        <v>28</v>
      </c>
      <c r="Z4" s="121" t="s">
        <v>27</v>
      </c>
      <c r="AA4" s="121" t="s">
        <v>27</v>
      </c>
      <c r="AB4" s="121" t="s">
        <v>30</v>
      </c>
      <c r="AC4" s="121" t="s">
        <v>734</v>
      </c>
    </row>
    <row r="5" spans="1:29" s="257" customFormat="1" x14ac:dyDescent="0.3">
      <c r="A5" s="250">
        <v>3</v>
      </c>
      <c r="B5" s="128" t="s">
        <v>366</v>
      </c>
      <c r="C5" s="250" t="s">
        <v>35</v>
      </c>
      <c r="D5" s="250" t="s">
        <v>729</v>
      </c>
      <c r="E5" s="250">
        <v>262947</v>
      </c>
      <c r="F5" s="250" t="s">
        <v>63</v>
      </c>
      <c r="G5" s="250">
        <v>6000</v>
      </c>
      <c r="H5" s="251">
        <v>0.374</v>
      </c>
      <c r="I5" s="251">
        <v>0.88</v>
      </c>
      <c r="J5" s="250" t="s">
        <v>27</v>
      </c>
      <c r="K5" s="250" t="s">
        <v>110</v>
      </c>
      <c r="L5" s="250" t="s">
        <v>27</v>
      </c>
      <c r="M5" s="252">
        <v>987.36</v>
      </c>
      <c r="N5" s="253">
        <v>660</v>
      </c>
      <c r="O5" s="254">
        <v>4.58E-2</v>
      </c>
      <c r="P5" s="255">
        <v>2.75</v>
      </c>
      <c r="Q5" s="256">
        <v>311</v>
      </c>
      <c r="R5" s="256">
        <v>4</v>
      </c>
      <c r="S5" s="256">
        <v>1550</v>
      </c>
      <c r="T5" s="252">
        <v>1.496</v>
      </c>
      <c r="U5" s="256">
        <v>54</v>
      </c>
      <c r="V5" s="254">
        <v>3.4799999999999998E-2</v>
      </c>
      <c r="W5" s="256" t="s">
        <v>28</v>
      </c>
      <c r="X5" s="256" t="s">
        <v>28</v>
      </c>
      <c r="Y5" s="256" t="s">
        <v>28</v>
      </c>
      <c r="Z5" s="256" t="s">
        <v>27</v>
      </c>
      <c r="AA5" s="256" t="s">
        <v>27</v>
      </c>
      <c r="AB5" s="256" t="s">
        <v>32</v>
      </c>
      <c r="AC5" s="256" t="s">
        <v>109</v>
      </c>
    </row>
    <row r="6" spans="1:29" x14ac:dyDescent="0.3">
      <c r="A6" s="126">
        <v>4</v>
      </c>
      <c r="B6" s="128" t="s">
        <v>366</v>
      </c>
      <c r="C6" s="126" t="s">
        <v>35</v>
      </c>
      <c r="D6" s="126" t="s">
        <v>729</v>
      </c>
      <c r="E6" s="126">
        <v>262948</v>
      </c>
      <c r="F6" s="126" t="s">
        <v>63</v>
      </c>
      <c r="G6" s="126">
        <v>1100</v>
      </c>
      <c r="H6" s="127">
        <v>0.71</v>
      </c>
      <c r="I6" s="127">
        <v>1.36</v>
      </c>
      <c r="J6" s="126" t="s">
        <v>27</v>
      </c>
      <c r="K6" s="126" t="s">
        <v>201</v>
      </c>
      <c r="L6" s="126" t="s">
        <v>27</v>
      </c>
      <c r="M6" s="123">
        <v>1062.1600000000001</v>
      </c>
      <c r="N6" s="125">
        <v>748</v>
      </c>
      <c r="O6" s="122">
        <v>0.10390000000000001</v>
      </c>
      <c r="P6" s="124">
        <v>6.23</v>
      </c>
      <c r="Q6" s="121">
        <v>334.6</v>
      </c>
      <c r="R6" s="121">
        <v>2</v>
      </c>
      <c r="S6" s="121">
        <v>1450</v>
      </c>
      <c r="T6" s="123">
        <v>1.42</v>
      </c>
      <c r="U6" s="121">
        <v>30</v>
      </c>
      <c r="V6" s="122">
        <v>2.07E-2</v>
      </c>
      <c r="W6" s="121" t="s">
        <v>28</v>
      </c>
      <c r="X6" s="121" t="s">
        <v>28</v>
      </c>
      <c r="Y6" s="121" t="s">
        <v>28</v>
      </c>
      <c r="Z6" s="121" t="s">
        <v>27</v>
      </c>
      <c r="AA6" s="121" t="s">
        <v>27</v>
      </c>
      <c r="AB6" s="121" t="s">
        <v>30</v>
      </c>
      <c r="AC6" s="121" t="s">
        <v>733</v>
      </c>
    </row>
    <row r="7" spans="1:29" x14ac:dyDescent="0.3">
      <c r="A7" s="126">
        <v>5</v>
      </c>
      <c r="B7" s="128" t="s">
        <v>366</v>
      </c>
      <c r="C7" s="126" t="s">
        <v>35</v>
      </c>
      <c r="D7" s="126" t="s">
        <v>729</v>
      </c>
      <c r="E7" s="126">
        <v>262950</v>
      </c>
      <c r="F7" s="126" t="s">
        <v>63</v>
      </c>
      <c r="G7" s="126">
        <v>330</v>
      </c>
      <c r="H7" s="127">
        <v>1.288</v>
      </c>
      <c r="I7" s="127">
        <v>2.3199999999999998</v>
      </c>
      <c r="J7" s="126" t="s">
        <v>27</v>
      </c>
      <c r="K7" s="126" t="s">
        <v>33</v>
      </c>
      <c r="L7" s="126" t="s">
        <v>27</v>
      </c>
      <c r="M7" s="123">
        <v>986.09299999999996</v>
      </c>
      <c r="N7" s="125">
        <v>765.6</v>
      </c>
      <c r="O7" s="122">
        <v>0.2127</v>
      </c>
      <c r="P7" s="124">
        <v>12.76</v>
      </c>
      <c r="Q7" s="121">
        <v>310.60000000000002</v>
      </c>
      <c r="R7" s="121">
        <v>1</v>
      </c>
      <c r="S7" s="121">
        <v>1350</v>
      </c>
      <c r="T7" s="123">
        <v>1.288</v>
      </c>
      <c r="U7" s="121">
        <v>62</v>
      </c>
      <c r="V7" s="122">
        <v>4.5900000000000003E-2</v>
      </c>
      <c r="W7" s="121" t="s">
        <v>28</v>
      </c>
      <c r="X7" s="121" t="s">
        <v>28</v>
      </c>
      <c r="Y7" s="121" t="s">
        <v>28</v>
      </c>
      <c r="Z7" s="121" t="s">
        <v>27</v>
      </c>
      <c r="AA7" s="121" t="s">
        <v>27</v>
      </c>
      <c r="AB7" s="121" t="s">
        <v>38</v>
      </c>
      <c r="AC7" s="121" t="s">
        <v>732</v>
      </c>
    </row>
    <row r="8" spans="1:29" x14ac:dyDescent="0.3">
      <c r="A8" s="126">
        <v>6</v>
      </c>
      <c r="B8" s="128" t="s">
        <v>366</v>
      </c>
      <c r="C8" s="126" t="s">
        <v>35</v>
      </c>
      <c r="D8" s="126" t="s">
        <v>729</v>
      </c>
      <c r="E8" s="126">
        <v>262951</v>
      </c>
      <c r="F8" s="126" t="s">
        <v>63</v>
      </c>
      <c r="G8" s="126">
        <v>5000</v>
      </c>
      <c r="H8" s="127">
        <v>0.56899999999999995</v>
      </c>
      <c r="I8" s="127">
        <v>1.32</v>
      </c>
      <c r="J8" s="126" t="s">
        <v>27</v>
      </c>
      <c r="K8" s="126" t="s">
        <v>731</v>
      </c>
      <c r="L8" s="126" t="s">
        <v>27</v>
      </c>
      <c r="M8" s="123">
        <v>3755.4</v>
      </c>
      <c r="N8" s="125">
        <v>3300</v>
      </c>
      <c r="O8" s="122">
        <v>0.45829999999999999</v>
      </c>
      <c r="P8" s="124">
        <v>27.5</v>
      </c>
      <c r="Q8" s="121">
        <v>1183</v>
      </c>
      <c r="R8" s="121">
        <v>2</v>
      </c>
      <c r="S8" s="121">
        <v>1200</v>
      </c>
      <c r="T8" s="123">
        <v>1.1379999999999999</v>
      </c>
      <c r="U8" s="121">
        <v>62</v>
      </c>
      <c r="V8" s="122">
        <v>5.1700000000000003E-2</v>
      </c>
      <c r="W8" s="121" t="s">
        <v>28</v>
      </c>
      <c r="X8" s="121" t="s">
        <v>28</v>
      </c>
      <c r="Y8" s="121" t="s">
        <v>28</v>
      </c>
      <c r="Z8" s="121" t="s">
        <v>27</v>
      </c>
      <c r="AA8" s="121" t="s">
        <v>27</v>
      </c>
      <c r="AB8" s="121" t="s">
        <v>54</v>
      </c>
      <c r="AC8" s="121" t="s">
        <v>730</v>
      </c>
    </row>
    <row r="9" spans="1:29" x14ac:dyDescent="0.3">
      <c r="A9" s="126">
        <v>7</v>
      </c>
      <c r="B9" s="128" t="s">
        <v>366</v>
      </c>
      <c r="C9" s="126" t="s">
        <v>35</v>
      </c>
      <c r="D9" s="126" t="s">
        <v>729</v>
      </c>
      <c r="E9" s="126">
        <v>262952</v>
      </c>
      <c r="F9" s="126" t="s">
        <v>63</v>
      </c>
      <c r="G9" s="126">
        <v>900</v>
      </c>
      <c r="H9" s="127">
        <v>1.0620000000000001</v>
      </c>
      <c r="I9" s="127">
        <v>1</v>
      </c>
      <c r="J9" s="126" t="s">
        <v>27</v>
      </c>
      <c r="K9" s="126" t="s">
        <v>33</v>
      </c>
      <c r="L9" s="126" t="s">
        <v>27</v>
      </c>
      <c r="M9" s="123">
        <v>955.8</v>
      </c>
      <c r="N9" s="125">
        <v>900</v>
      </c>
      <c r="O9" s="122">
        <v>0.25</v>
      </c>
      <c r="P9" s="124">
        <v>15</v>
      </c>
      <c r="Q9" s="121">
        <v>301.10000000000002</v>
      </c>
      <c r="R9" s="121">
        <v>1</v>
      </c>
      <c r="S9" s="121">
        <v>1100</v>
      </c>
      <c r="T9" s="123">
        <v>1.0620000000000001</v>
      </c>
      <c r="U9" s="121">
        <v>38</v>
      </c>
      <c r="V9" s="122">
        <v>3.4500000000000003E-2</v>
      </c>
      <c r="W9" s="121" t="s">
        <v>28</v>
      </c>
      <c r="X9" s="121" t="s">
        <v>28</v>
      </c>
      <c r="Y9" s="121" t="s">
        <v>28</v>
      </c>
      <c r="Z9" s="121" t="s">
        <v>27</v>
      </c>
      <c r="AA9" s="121" t="s">
        <v>27</v>
      </c>
      <c r="AB9" s="121" t="s">
        <v>32</v>
      </c>
      <c r="AC9" s="121" t="s">
        <v>728</v>
      </c>
    </row>
    <row r="10" spans="1:29" x14ac:dyDescent="0.3">
      <c r="A10" s="120" t="s">
        <v>27</v>
      </c>
      <c r="B10" s="120" t="s">
        <v>27</v>
      </c>
      <c r="C10" s="120" t="s">
        <v>27</v>
      </c>
      <c r="D10" s="120" t="s">
        <v>27</v>
      </c>
      <c r="E10" s="120" t="s">
        <v>27</v>
      </c>
      <c r="F10" s="120" t="s">
        <v>27</v>
      </c>
      <c r="G10" s="120">
        <v>16230</v>
      </c>
      <c r="H10" s="120" t="s">
        <v>27</v>
      </c>
      <c r="I10" s="120" t="s">
        <v>27</v>
      </c>
      <c r="J10" s="120" t="s">
        <v>27</v>
      </c>
      <c r="K10" s="120" t="s">
        <v>27</v>
      </c>
      <c r="L10" s="120" t="s">
        <v>27</v>
      </c>
      <c r="M10" s="119" t="s">
        <v>27</v>
      </c>
      <c r="N10" s="119" t="s">
        <v>27</v>
      </c>
      <c r="O10" s="119" t="s">
        <v>27</v>
      </c>
      <c r="P10" s="119" t="s">
        <v>27</v>
      </c>
      <c r="Q10" s="119">
        <v>3241.2</v>
      </c>
      <c r="R10" s="119" t="s">
        <v>27</v>
      </c>
      <c r="S10" s="119" t="s">
        <v>27</v>
      </c>
      <c r="T10" s="119" t="s">
        <v>27</v>
      </c>
      <c r="U10" s="119" t="s">
        <v>27</v>
      </c>
      <c r="V10" s="119" t="s">
        <v>27</v>
      </c>
      <c r="W10" s="119" t="s">
        <v>27</v>
      </c>
      <c r="X10" s="119" t="s">
        <v>27</v>
      </c>
      <c r="Y10" s="119" t="s">
        <v>27</v>
      </c>
      <c r="Z10" s="119" t="s">
        <v>27</v>
      </c>
      <c r="AA10" s="119" t="s">
        <v>27</v>
      </c>
      <c r="AB10" s="119" t="s">
        <v>27</v>
      </c>
      <c r="AC10" s="119" t="s">
        <v>27</v>
      </c>
    </row>
  </sheetData>
  <mergeCells count="1">
    <mergeCell ref="A1:AC1"/>
  </mergeCells>
  <pageMargins left="0.511811024" right="0.511811024" top="1.29" bottom="0.78740157499999996" header="0.31496062000000002" footer="0.31496062000000002"/>
  <pageSetup paperSize="9" scale="92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9C09-8994-4E5A-822E-8DCB75890AFE}">
  <sheetPr>
    <pageSetUpPr fitToPage="1"/>
  </sheetPr>
  <dimension ref="A1:AD8"/>
  <sheetViews>
    <sheetView workbookViewId="0">
      <selection activeCell="AE31" sqref="AE31"/>
    </sheetView>
  </sheetViews>
  <sheetFormatPr defaultRowHeight="14.4" x14ac:dyDescent="0.3"/>
  <cols>
    <col min="1" max="1" width="8.44140625" style="242" customWidth="1"/>
    <col min="2" max="2" width="20.77734375" style="242" hidden="1" customWidth="1"/>
    <col min="3" max="3" width="7" style="242" customWidth="1"/>
    <col min="4" max="4" width="11.77734375" style="242" hidden="1" customWidth="1"/>
    <col min="5" max="5" width="8" style="242" customWidth="1"/>
    <col min="6" max="6" width="5.5546875" style="242" customWidth="1"/>
    <col min="7" max="7" width="6.77734375" style="242" customWidth="1"/>
    <col min="8" max="8" width="7.44140625" style="242" customWidth="1"/>
    <col min="9" max="9" width="8.44140625" style="242" customWidth="1"/>
    <col min="10" max="10" width="9.77734375" style="242" customWidth="1"/>
    <col min="11" max="11" width="12.33203125" style="242" customWidth="1"/>
    <col min="12" max="12" width="10.33203125" style="242" customWidth="1"/>
    <col min="13" max="13" width="9.77734375" style="242" hidden="1" customWidth="1"/>
    <col min="14" max="14" width="8.77734375" style="242" hidden="1" customWidth="1"/>
    <col min="15" max="16" width="9.77734375" style="242" hidden="1" customWidth="1"/>
    <col min="17" max="17" width="6.77734375" style="242" customWidth="1"/>
    <col min="18" max="18" width="4.109375" style="242" customWidth="1"/>
    <col min="19" max="19" width="6.5546875" style="242" customWidth="1"/>
    <col min="20" max="20" width="8.6640625" style="242" customWidth="1"/>
    <col min="21" max="21" width="11.77734375" style="242" hidden="1" customWidth="1"/>
    <col min="22" max="22" width="8.77734375" style="242" hidden="1" customWidth="1"/>
    <col min="23" max="23" width="9" style="242" customWidth="1"/>
    <col min="24" max="24" width="9.33203125" style="242" customWidth="1"/>
    <col min="25" max="25" width="8.6640625" style="242" customWidth="1"/>
    <col min="26" max="26" width="7.6640625" style="242" customWidth="1"/>
    <col min="27" max="27" width="8.21875" style="242" customWidth="1"/>
    <col min="28" max="28" width="5" style="242" customWidth="1"/>
    <col min="29" max="29" width="10.88671875" style="242" customWidth="1"/>
    <col min="30" max="16384" width="8.88671875" style="242"/>
  </cols>
  <sheetData>
    <row r="1" spans="1:30" ht="18" customHeight="1" x14ac:dyDescent="0.35">
      <c r="A1" s="276" t="s">
        <v>721</v>
      </c>
      <c r="B1" s="276" t="s">
        <v>27</v>
      </c>
      <c r="C1" s="276" t="s">
        <v>27</v>
      </c>
      <c r="D1" s="276" t="s">
        <v>27</v>
      </c>
      <c r="E1" s="276" t="s">
        <v>27</v>
      </c>
      <c r="F1" s="276" t="s">
        <v>27</v>
      </c>
      <c r="G1" s="276" t="s">
        <v>27</v>
      </c>
      <c r="H1" s="276" t="s">
        <v>27</v>
      </c>
      <c r="I1" s="276" t="s">
        <v>27</v>
      </c>
      <c r="J1" s="276" t="s">
        <v>27</v>
      </c>
      <c r="K1" s="276" t="s">
        <v>27</v>
      </c>
      <c r="L1" s="276" t="s">
        <v>27</v>
      </c>
      <c r="M1" s="276" t="s">
        <v>27</v>
      </c>
      <c r="N1" s="276" t="s">
        <v>27</v>
      </c>
      <c r="O1" s="276" t="s">
        <v>27</v>
      </c>
      <c r="P1" s="276" t="s">
        <v>27</v>
      </c>
      <c r="Q1" s="276" t="s">
        <v>27</v>
      </c>
      <c r="R1" s="276" t="s">
        <v>27</v>
      </c>
      <c r="S1" s="276" t="s">
        <v>27</v>
      </c>
      <c r="T1" s="276" t="s">
        <v>27</v>
      </c>
      <c r="U1" s="276" t="s">
        <v>27</v>
      </c>
      <c r="V1" s="276" t="s">
        <v>27</v>
      </c>
      <c r="W1" s="276" t="s">
        <v>27</v>
      </c>
      <c r="X1" s="276" t="s">
        <v>27</v>
      </c>
      <c r="Y1" s="276" t="s">
        <v>27</v>
      </c>
      <c r="Z1" s="276" t="s">
        <v>27</v>
      </c>
      <c r="AA1" s="276" t="s">
        <v>27</v>
      </c>
      <c r="AB1" s="276" t="s">
        <v>27</v>
      </c>
      <c r="AC1" s="276" t="s">
        <v>27</v>
      </c>
    </row>
    <row r="2" spans="1:30" ht="48" customHeight="1" x14ac:dyDescent="0.3">
      <c r="A2" s="277" t="s">
        <v>0</v>
      </c>
      <c r="B2" s="277" t="s">
        <v>36</v>
      </c>
      <c r="C2" s="277" t="s">
        <v>1</v>
      </c>
      <c r="D2" s="277" t="s">
        <v>2</v>
      </c>
      <c r="E2" s="277" t="s">
        <v>53</v>
      </c>
      <c r="F2" s="277" t="s">
        <v>4</v>
      </c>
      <c r="G2" s="277" t="s">
        <v>5</v>
      </c>
      <c r="H2" s="277" t="s">
        <v>6</v>
      </c>
      <c r="I2" s="277" t="s">
        <v>7</v>
      </c>
      <c r="J2" s="277" t="s">
        <v>27</v>
      </c>
      <c r="K2" s="277" t="s">
        <v>8</v>
      </c>
      <c r="L2" s="277" t="s">
        <v>27</v>
      </c>
      <c r="M2" s="277" t="s">
        <v>9</v>
      </c>
      <c r="N2" s="277" t="s">
        <v>10</v>
      </c>
      <c r="O2" s="277" t="s">
        <v>11</v>
      </c>
      <c r="P2" s="277" t="s">
        <v>12</v>
      </c>
      <c r="Q2" s="277" t="s">
        <v>13</v>
      </c>
      <c r="R2" s="277" t="s">
        <v>14</v>
      </c>
      <c r="S2" s="277" t="s">
        <v>15</v>
      </c>
      <c r="T2" s="277" t="s">
        <v>16</v>
      </c>
      <c r="U2" s="277" t="s">
        <v>17</v>
      </c>
      <c r="V2" s="277" t="s">
        <v>18</v>
      </c>
      <c r="W2" s="277" t="s">
        <v>19</v>
      </c>
      <c r="X2" s="277" t="s">
        <v>20</v>
      </c>
      <c r="Y2" s="277" t="s">
        <v>21</v>
      </c>
      <c r="Z2" s="277" t="s">
        <v>22</v>
      </c>
      <c r="AA2" s="277" t="s">
        <v>23</v>
      </c>
      <c r="AB2" s="277" t="s">
        <v>24</v>
      </c>
      <c r="AC2" s="277" t="s">
        <v>25</v>
      </c>
    </row>
    <row r="3" spans="1:30" customFormat="1" ht="25.05" customHeight="1" x14ac:dyDescent="0.3">
      <c r="A3" s="287"/>
      <c r="B3" s="288" t="s">
        <v>93</v>
      </c>
      <c r="C3" s="288" t="s">
        <v>35</v>
      </c>
      <c r="D3" s="288" t="s">
        <v>761</v>
      </c>
      <c r="E3" s="287">
        <v>262984</v>
      </c>
      <c r="F3" s="288" t="s">
        <v>779</v>
      </c>
      <c r="G3" s="287">
        <v>2000</v>
      </c>
      <c r="H3" s="289">
        <v>0.51400000000000001</v>
      </c>
      <c r="I3" s="289">
        <v>1.3420000000000001</v>
      </c>
      <c r="J3" s="287"/>
      <c r="K3" s="288" t="s">
        <v>184</v>
      </c>
      <c r="L3" s="287"/>
      <c r="M3" s="289">
        <v>1379.576</v>
      </c>
      <c r="N3" s="290">
        <v>894.7</v>
      </c>
      <c r="O3" s="291">
        <v>8.2799999999999999E-2</v>
      </c>
      <c r="P3" s="292">
        <v>4.97</v>
      </c>
      <c r="Q3" s="287">
        <v>434.6</v>
      </c>
      <c r="R3" s="287">
        <v>3</v>
      </c>
      <c r="S3" s="287">
        <v>1600</v>
      </c>
      <c r="T3" s="289">
        <v>1.542</v>
      </c>
      <c r="U3" s="287">
        <v>58</v>
      </c>
      <c r="V3" s="291">
        <v>3.6200000000000003E-2</v>
      </c>
      <c r="W3" s="288" t="s">
        <v>28</v>
      </c>
      <c r="X3" s="288" t="s">
        <v>28</v>
      </c>
      <c r="Y3" s="288" t="s">
        <v>28</v>
      </c>
      <c r="Z3" s="288"/>
      <c r="AA3" s="288"/>
      <c r="AB3" s="288" t="s">
        <v>30</v>
      </c>
      <c r="AC3" s="288" t="s">
        <v>185</v>
      </c>
    </row>
    <row r="4" spans="1:30" customFormat="1" ht="25.05" customHeight="1" x14ac:dyDescent="0.3">
      <c r="A4" s="287"/>
      <c r="B4" s="288" t="s">
        <v>93</v>
      </c>
      <c r="C4" s="288" t="s">
        <v>44</v>
      </c>
      <c r="D4" s="288" t="s">
        <v>761</v>
      </c>
      <c r="E4" s="287">
        <v>262985</v>
      </c>
      <c r="F4" s="288" t="s">
        <v>780</v>
      </c>
      <c r="G4" s="287">
        <v>2000</v>
      </c>
      <c r="H4" s="289">
        <v>0.45</v>
      </c>
      <c r="I4" s="289">
        <v>1.25</v>
      </c>
      <c r="J4" s="287"/>
      <c r="K4" s="288" t="s">
        <v>781</v>
      </c>
      <c r="L4" s="287"/>
      <c r="M4" s="289">
        <v>1125</v>
      </c>
      <c r="N4" s="290">
        <v>833.3</v>
      </c>
      <c r="O4" s="291">
        <v>7.7200000000000005E-2</v>
      </c>
      <c r="P4" s="292">
        <v>4.63</v>
      </c>
      <c r="Q4" s="287">
        <v>639</v>
      </c>
      <c r="R4" s="287">
        <v>3</v>
      </c>
      <c r="S4" s="287">
        <v>1400</v>
      </c>
      <c r="T4" s="289">
        <v>1.35</v>
      </c>
      <c r="U4" s="287">
        <v>50</v>
      </c>
      <c r="V4" s="291">
        <v>3.5700000000000003E-2</v>
      </c>
      <c r="W4" s="288" t="s">
        <v>34</v>
      </c>
      <c r="X4" s="288" t="s">
        <v>39</v>
      </c>
      <c r="Y4" s="288" t="s">
        <v>34</v>
      </c>
      <c r="Z4" s="288" t="s">
        <v>34</v>
      </c>
      <c r="AA4" s="288" t="s">
        <v>34</v>
      </c>
      <c r="AB4" s="288" t="s">
        <v>40</v>
      </c>
      <c r="AC4" s="288" t="s">
        <v>782</v>
      </c>
    </row>
    <row r="5" spans="1:30" s="286" customFormat="1" ht="25.05" customHeight="1" x14ac:dyDescent="0.3">
      <c r="A5" s="280"/>
      <c r="B5" s="281" t="s">
        <v>93</v>
      </c>
      <c r="C5" s="280" t="s">
        <v>44</v>
      </c>
      <c r="D5" s="280" t="s">
        <v>708</v>
      </c>
      <c r="E5" s="280">
        <v>262942</v>
      </c>
      <c r="F5" s="280" t="s">
        <v>720</v>
      </c>
      <c r="G5" s="280">
        <v>2200</v>
      </c>
      <c r="H5" s="282">
        <v>0.33</v>
      </c>
      <c r="I5" s="282">
        <v>1.1299999999999999</v>
      </c>
      <c r="J5" s="280" t="s">
        <v>27</v>
      </c>
      <c r="K5" s="280" t="s">
        <v>719</v>
      </c>
      <c r="L5" s="280" t="s">
        <v>27</v>
      </c>
      <c r="M5" s="282">
        <v>820.38</v>
      </c>
      <c r="N5" s="283">
        <v>621.5</v>
      </c>
      <c r="O5" s="284">
        <v>4.3200000000000002E-2</v>
      </c>
      <c r="P5" s="285">
        <v>2.59</v>
      </c>
      <c r="Q5" s="280">
        <v>466</v>
      </c>
      <c r="R5" s="280">
        <v>4</v>
      </c>
      <c r="S5" s="280">
        <v>1350</v>
      </c>
      <c r="T5" s="282">
        <v>1.32</v>
      </c>
      <c r="U5" s="280">
        <v>30</v>
      </c>
      <c r="V5" s="284">
        <v>2.2200000000000001E-2</v>
      </c>
      <c r="W5" s="280" t="s">
        <v>34</v>
      </c>
      <c r="X5" s="280" t="s">
        <v>39</v>
      </c>
      <c r="Y5" s="280" t="s">
        <v>34</v>
      </c>
      <c r="Z5" s="280" t="s">
        <v>34</v>
      </c>
      <c r="AA5" s="280" t="s">
        <v>34</v>
      </c>
      <c r="AB5" s="280" t="s">
        <v>30</v>
      </c>
      <c r="AC5" s="280" t="s">
        <v>718</v>
      </c>
      <c r="AD5" s="301"/>
    </row>
    <row r="6" spans="1:30" s="286" customFormat="1" ht="25.05" customHeight="1" x14ac:dyDescent="0.3">
      <c r="A6" s="287"/>
      <c r="B6" s="288" t="s">
        <v>93</v>
      </c>
      <c r="C6" s="288" t="s">
        <v>35</v>
      </c>
      <c r="D6" s="288" t="s">
        <v>739</v>
      </c>
      <c r="E6" s="287">
        <v>262953</v>
      </c>
      <c r="F6" s="288" t="s">
        <v>740</v>
      </c>
      <c r="G6" s="287">
        <v>11500</v>
      </c>
      <c r="H6" s="289">
        <v>0.27900000000000003</v>
      </c>
      <c r="I6" s="289">
        <v>1.002</v>
      </c>
      <c r="J6" s="287"/>
      <c r="K6" s="288" t="s">
        <v>188</v>
      </c>
      <c r="L6" s="287"/>
      <c r="M6" s="289">
        <v>3214.9169999999999</v>
      </c>
      <c r="N6" s="290">
        <v>2880.8</v>
      </c>
      <c r="O6" s="291">
        <v>0.2001</v>
      </c>
      <c r="P6" s="292">
        <v>12</v>
      </c>
      <c r="Q6" s="287">
        <v>1012.7</v>
      </c>
      <c r="R6" s="287">
        <v>4</v>
      </c>
      <c r="S6" s="287">
        <v>1150</v>
      </c>
      <c r="T6" s="289">
        <v>1.1160000000000001</v>
      </c>
      <c r="U6" s="287">
        <v>34</v>
      </c>
      <c r="V6" s="291">
        <v>2.9600000000000001E-2</v>
      </c>
      <c r="W6" s="288" t="s">
        <v>28</v>
      </c>
      <c r="X6" s="288" t="s">
        <v>28</v>
      </c>
      <c r="Y6" s="288" t="s">
        <v>28</v>
      </c>
      <c r="Z6" s="288"/>
      <c r="AA6" s="288"/>
      <c r="AB6" s="288" t="s">
        <v>31</v>
      </c>
      <c r="AC6" s="288" t="s">
        <v>189</v>
      </c>
      <c r="AD6" s="301"/>
    </row>
    <row r="7" spans="1:30" s="286" customFormat="1" ht="25.05" customHeight="1" x14ac:dyDescent="0.3">
      <c r="A7" s="293"/>
      <c r="B7" s="294" t="s">
        <v>93</v>
      </c>
      <c r="C7" s="294" t="s">
        <v>35</v>
      </c>
      <c r="D7" s="294" t="s">
        <v>761</v>
      </c>
      <c r="E7" s="295">
        <v>262974</v>
      </c>
      <c r="F7" s="294" t="s">
        <v>764</v>
      </c>
      <c r="G7" s="295">
        <v>4000</v>
      </c>
      <c r="H7" s="296">
        <v>0.35899999999999999</v>
      </c>
      <c r="I7" s="296">
        <v>0.92200000000000004</v>
      </c>
      <c r="J7" s="293"/>
      <c r="K7" s="294" t="s">
        <v>765</v>
      </c>
      <c r="L7" s="293"/>
      <c r="M7" s="296">
        <v>1323.992</v>
      </c>
      <c r="N7" s="297">
        <v>922</v>
      </c>
      <c r="O7" s="298">
        <v>6.4000000000000001E-2</v>
      </c>
      <c r="P7" s="299">
        <v>3.84</v>
      </c>
      <c r="Q7" s="295">
        <v>417.1</v>
      </c>
      <c r="R7" s="295">
        <v>4</v>
      </c>
      <c r="S7" s="295">
        <v>1500</v>
      </c>
      <c r="T7" s="296">
        <v>1.4359999999999999</v>
      </c>
      <c r="U7" s="295">
        <v>64</v>
      </c>
      <c r="V7" s="298">
        <v>4.2700000000000002E-2</v>
      </c>
      <c r="W7" s="294" t="s">
        <v>28</v>
      </c>
      <c r="X7" s="294" t="s">
        <v>28</v>
      </c>
      <c r="Y7" s="294" t="s">
        <v>28</v>
      </c>
      <c r="Z7" s="300"/>
      <c r="AA7" s="300"/>
      <c r="AB7" s="294" t="s">
        <v>32</v>
      </c>
      <c r="AC7" s="294" t="s">
        <v>766</v>
      </c>
      <c r="AD7" s="301"/>
    </row>
    <row r="8" spans="1:30" ht="25.05" customHeight="1" x14ac:dyDescent="0.3">
      <c r="A8" s="278" t="s">
        <v>27</v>
      </c>
      <c r="B8" s="278" t="s">
        <v>27</v>
      </c>
      <c r="C8" s="278" t="s">
        <v>27</v>
      </c>
      <c r="D8" s="278" t="s">
        <v>27</v>
      </c>
      <c r="E8" s="278" t="s">
        <v>27</v>
      </c>
      <c r="F8" s="278" t="s">
        <v>27</v>
      </c>
      <c r="G8" s="278">
        <f>SUM(G3:G7)</f>
        <v>21700</v>
      </c>
      <c r="H8" s="278" t="s">
        <v>27</v>
      </c>
      <c r="I8" s="278" t="s">
        <v>27</v>
      </c>
      <c r="J8" s="278" t="s">
        <v>27</v>
      </c>
      <c r="K8" s="278" t="s">
        <v>27</v>
      </c>
      <c r="L8" s="278" t="s">
        <v>27</v>
      </c>
      <c r="M8" s="279" t="s">
        <v>27</v>
      </c>
      <c r="N8" s="279" t="s">
        <v>27</v>
      </c>
      <c r="O8" s="279" t="s">
        <v>27</v>
      </c>
      <c r="P8" s="279" t="s">
        <v>27</v>
      </c>
      <c r="Q8" s="279">
        <f>SUM(Q3:Q7)</f>
        <v>2969.4</v>
      </c>
      <c r="R8" s="279" t="s">
        <v>27</v>
      </c>
      <c r="S8" s="279" t="s">
        <v>27</v>
      </c>
      <c r="T8" s="279" t="s">
        <v>27</v>
      </c>
      <c r="U8" s="279" t="s">
        <v>27</v>
      </c>
      <c r="V8" s="279" t="s">
        <v>27</v>
      </c>
      <c r="W8" s="279" t="s">
        <v>27</v>
      </c>
      <c r="X8" s="279" t="s">
        <v>27</v>
      </c>
      <c r="Y8" s="279" t="s">
        <v>27</v>
      </c>
      <c r="Z8" s="279" t="s">
        <v>27</v>
      </c>
      <c r="AA8" s="279" t="s">
        <v>27</v>
      </c>
      <c r="AB8" s="279" t="s">
        <v>27</v>
      </c>
      <c r="AC8" s="279" t="s">
        <v>27</v>
      </c>
    </row>
  </sheetData>
  <mergeCells count="1">
    <mergeCell ref="A1:AC1"/>
  </mergeCells>
  <pageMargins left="0.511811024" right="0.511811024" top="1.04" bottom="0.78740157499999996" header="0.31496062000000002" footer="0.31496062000000002"/>
  <pageSetup paperSize="9" scale="81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5526-BA07-4621-B623-BF30B567FD17}">
  <sheetPr>
    <pageSetUpPr fitToPage="1"/>
  </sheetPr>
  <dimension ref="A1:AC9"/>
  <sheetViews>
    <sheetView workbookViewId="0">
      <selection activeCell="K8" sqref="K8"/>
    </sheetView>
  </sheetViews>
  <sheetFormatPr defaultRowHeight="14.4" x14ac:dyDescent="0.3"/>
  <cols>
    <col min="1" max="1" width="4.44140625" style="1" customWidth="1"/>
    <col min="2" max="2" width="20.77734375" style="1" hidden="1" customWidth="1"/>
    <col min="3" max="3" width="6.44140625" style="1" customWidth="1"/>
    <col min="4" max="4" width="11.77734375" style="1" hidden="1" customWidth="1"/>
    <col min="5" max="5" width="7.33203125" style="1" customWidth="1"/>
    <col min="6" max="6" width="5.21875" style="1" customWidth="1"/>
    <col min="7" max="7" width="5.6640625" style="1" customWidth="1"/>
    <col min="8" max="8" width="6.6640625" style="1" customWidth="1"/>
    <col min="9" max="9" width="7.33203125" style="1" customWidth="1"/>
    <col min="10" max="10" width="9.21875" style="1" customWidth="1"/>
    <col min="11" max="11" width="13.5546875" style="1" customWidth="1"/>
    <col min="12" max="12" width="10" style="1" customWidth="1"/>
    <col min="13" max="13" width="9.77734375" style="1" hidden="1" customWidth="1"/>
    <col min="14" max="14" width="8.77734375" style="1" hidden="1" customWidth="1"/>
    <col min="15" max="16" width="9.77734375" style="1" hidden="1" customWidth="1"/>
    <col min="17" max="17" width="7.88671875" style="1" customWidth="1"/>
    <col min="18" max="18" width="3.5546875" style="1" customWidth="1"/>
    <col min="19" max="19" width="7.109375" style="1" customWidth="1"/>
    <col min="20" max="20" width="6.5546875" style="1" customWidth="1"/>
    <col min="21" max="21" width="11.77734375" style="1" hidden="1" customWidth="1"/>
    <col min="22" max="22" width="8.77734375" style="1" hidden="1" customWidth="1"/>
    <col min="23" max="23" width="7.88671875" style="1" customWidth="1"/>
    <col min="24" max="24" width="7.77734375" style="1" customWidth="1"/>
    <col min="25" max="25" width="7" style="1" customWidth="1"/>
    <col min="26" max="26" width="8" style="1" customWidth="1"/>
    <col min="27" max="27" width="7" style="1" customWidth="1"/>
    <col min="28" max="28" width="4.5546875" style="1" customWidth="1"/>
    <col min="29" max="29" width="9.77734375" style="1" customWidth="1"/>
    <col min="30" max="16384" width="8.88671875" style="1"/>
  </cols>
  <sheetData>
    <row r="1" spans="1:29" ht="18" customHeight="1" x14ac:dyDescent="0.35">
      <c r="A1" s="267" t="s">
        <v>717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  <c r="AC1" s="267" t="s">
        <v>27</v>
      </c>
    </row>
    <row r="2" spans="1:29" ht="42.6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53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27</v>
      </c>
      <c r="K2" s="2" t="s">
        <v>8</v>
      </c>
      <c r="L2" s="2" t="s">
        <v>27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</row>
    <row r="3" spans="1:29" ht="25.05" customHeight="1" x14ac:dyDescent="0.3">
      <c r="A3" s="126">
        <v>1</v>
      </c>
      <c r="B3" s="128" t="s">
        <v>58</v>
      </c>
      <c r="C3" s="126" t="s">
        <v>26</v>
      </c>
      <c r="D3" s="126" t="s">
        <v>698</v>
      </c>
      <c r="E3" s="126">
        <v>262941</v>
      </c>
      <c r="F3" s="126" t="s">
        <v>712</v>
      </c>
      <c r="G3" s="126">
        <v>550</v>
      </c>
      <c r="H3" s="127">
        <v>0.69299999999999995</v>
      </c>
      <c r="I3" s="127">
        <v>1.78</v>
      </c>
      <c r="J3" s="126" t="s">
        <v>27</v>
      </c>
      <c r="K3" s="126" t="s">
        <v>716</v>
      </c>
      <c r="L3" s="126" t="s">
        <v>27</v>
      </c>
      <c r="M3" s="123">
        <v>678.447</v>
      </c>
      <c r="N3" s="125">
        <v>489.5</v>
      </c>
      <c r="O3" s="122">
        <v>6.8000000000000005E-2</v>
      </c>
      <c r="P3" s="124">
        <v>4.08</v>
      </c>
      <c r="Q3" s="121">
        <v>365</v>
      </c>
      <c r="R3" s="121">
        <v>2</v>
      </c>
      <c r="S3" s="121">
        <v>1450</v>
      </c>
      <c r="T3" s="123">
        <v>1.3859999999999999</v>
      </c>
      <c r="U3" s="121">
        <v>64</v>
      </c>
      <c r="V3" s="122">
        <v>4.41E-2</v>
      </c>
      <c r="W3" s="121" t="s">
        <v>28</v>
      </c>
      <c r="X3" s="121" t="s">
        <v>29</v>
      </c>
      <c r="Y3" s="121" t="s">
        <v>28</v>
      </c>
      <c r="Z3" s="121" t="s">
        <v>28</v>
      </c>
      <c r="AA3" s="121" t="s">
        <v>28</v>
      </c>
      <c r="AB3" s="121" t="s">
        <v>30</v>
      </c>
      <c r="AC3" s="121" t="s">
        <v>715</v>
      </c>
    </row>
    <row r="4" spans="1:29" ht="25.05" customHeight="1" x14ac:dyDescent="0.3">
      <c r="A4" s="126">
        <v>2</v>
      </c>
      <c r="B4" s="128" t="s">
        <v>58</v>
      </c>
      <c r="C4" s="126" t="s">
        <v>26</v>
      </c>
      <c r="D4" s="126" t="s">
        <v>698</v>
      </c>
      <c r="E4" s="126">
        <v>262939</v>
      </c>
      <c r="F4" s="126" t="s">
        <v>712</v>
      </c>
      <c r="G4" s="126">
        <v>600</v>
      </c>
      <c r="H4" s="127">
        <v>0.59499999999999997</v>
      </c>
      <c r="I4" s="127">
        <v>1.835</v>
      </c>
      <c r="J4" s="126" t="s">
        <v>27</v>
      </c>
      <c r="K4" s="126" t="s">
        <v>714</v>
      </c>
      <c r="L4" s="126" t="s">
        <v>27</v>
      </c>
      <c r="M4" s="123">
        <v>655.09500000000003</v>
      </c>
      <c r="N4" s="125">
        <v>550.5</v>
      </c>
      <c r="O4" s="122">
        <v>7.6499999999999999E-2</v>
      </c>
      <c r="P4" s="124">
        <v>4.59</v>
      </c>
      <c r="Q4" s="121">
        <v>352.4</v>
      </c>
      <c r="R4" s="121">
        <v>2</v>
      </c>
      <c r="S4" s="121">
        <v>1250</v>
      </c>
      <c r="T4" s="123">
        <v>1.19</v>
      </c>
      <c r="U4" s="121">
        <v>60</v>
      </c>
      <c r="V4" s="122">
        <v>4.8000000000000001E-2</v>
      </c>
      <c r="W4" s="121" t="s">
        <v>28</v>
      </c>
      <c r="X4" s="121" t="s">
        <v>29</v>
      </c>
      <c r="Y4" s="121" t="s">
        <v>28</v>
      </c>
      <c r="Z4" s="121" t="s">
        <v>28</v>
      </c>
      <c r="AA4" s="121" t="s">
        <v>28</v>
      </c>
      <c r="AB4" s="121" t="s">
        <v>31</v>
      </c>
      <c r="AC4" s="121" t="s">
        <v>713</v>
      </c>
    </row>
    <row r="5" spans="1:29" ht="25.05" customHeight="1" x14ac:dyDescent="0.3">
      <c r="A5" s="126">
        <v>3</v>
      </c>
      <c r="B5" s="128" t="s">
        <v>58</v>
      </c>
      <c r="C5" s="126" t="s">
        <v>26</v>
      </c>
      <c r="D5" s="126" t="s">
        <v>698</v>
      </c>
      <c r="E5" s="126">
        <v>262940</v>
      </c>
      <c r="F5" s="126" t="s">
        <v>712</v>
      </c>
      <c r="G5" s="126">
        <v>550</v>
      </c>
      <c r="H5" s="127">
        <v>0.93700000000000006</v>
      </c>
      <c r="I5" s="127">
        <v>1.52</v>
      </c>
      <c r="J5" s="126" t="s">
        <v>27</v>
      </c>
      <c r="K5" s="126" t="s">
        <v>711</v>
      </c>
      <c r="L5" s="126" t="s">
        <v>27</v>
      </c>
      <c r="M5" s="123">
        <v>783.33199999999999</v>
      </c>
      <c r="N5" s="125">
        <v>836</v>
      </c>
      <c r="O5" s="122">
        <v>0.23219999999999999</v>
      </c>
      <c r="P5" s="124">
        <v>13.93</v>
      </c>
      <c r="Q5" s="121">
        <v>421.4</v>
      </c>
      <c r="R5" s="121">
        <v>1</v>
      </c>
      <c r="S5" s="121">
        <v>1000</v>
      </c>
      <c r="T5" s="123">
        <v>0.93700000000000006</v>
      </c>
      <c r="U5" s="121">
        <v>63</v>
      </c>
      <c r="V5" s="122">
        <v>6.3E-2</v>
      </c>
      <c r="W5" s="121" t="s">
        <v>28</v>
      </c>
      <c r="X5" s="121" t="s">
        <v>29</v>
      </c>
      <c r="Y5" s="121" t="s">
        <v>28</v>
      </c>
      <c r="Z5" s="121" t="s">
        <v>28</v>
      </c>
      <c r="AA5" s="121" t="s">
        <v>28</v>
      </c>
      <c r="AB5" s="121" t="s">
        <v>30</v>
      </c>
      <c r="AC5" s="121" t="s">
        <v>710</v>
      </c>
    </row>
    <row r="6" spans="1:29" ht="25.05" customHeight="1" x14ac:dyDescent="0.3">
      <c r="A6" s="120" t="s">
        <v>27</v>
      </c>
      <c r="B6" s="120" t="s">
        <v>27</v>
      </c>
      <c r="C6" s="120" t="s">
        <v>27</v>
      </c>
      <c r="D6" s="120" t="s">
        <v>27</v>
      </c>
      <c r="E6" s="120" t="s">
        <v>27</v>
      </c>
      <c r="F6" s="120" t="s">
        <v>27</v>
      </c>
      <c r="G6" s="120">
        <v>1700</v>
      </c>
      <c r="H6" s="120" t="s">
        <v>27</v>
      </c>
      <c r="I6" s="120" t="s">
        <v>27</v>
      </c>
      <c r="J6" s="120" t="s">
        <v>27</v>
      </c>
      <c r="K6" s="120" t="s">
        <v>27</v>
      </c>
      <c r="L6" s="120" t="s">
        <v>27</v>
      </c>
      <c r="M6" s="119" t="s">
        <v>27</v>
      </c>
      <c r="N6" s="119" t="s">
        <v>27</v>
      </c>
      <c r="O6" s="119" t="s">
        <v>27</v>
      </c>
      <c r="P6" s="119" t="s">
        <v>27</v>
      </c>
      <c r="Q6" s="119">
        <v>1138.9000000000001</v>
      </c>
      <c r="R6" s="119" t="s">
        <v>27</v>
      </c>
      <c r="S6" s="119" t="s">
        <v>27</v>
      </c>
      <c r="T6" s="119" t="s">
        <v>27</v>
      </c>
      <c r="U6" s="119" t="s">
        <v>27</v>
      </c>
      <c r="V6" s="119" t="s">
        <v>27</v>
      </c>
      <c r="W6" s="119" t="s">
        <v>27</v>
      </c>
      <c r="X6" s="119" t="s">
        <v>27</v>
      </c>
      <c r="Y6" s="119" t="s">
        <v>27</v>
      </c>
      <c r="Z6" s="119" t="s">
        <v>27</v>
      </c>
      <c r="AA6" s="119" t="s">
        <v>27</v>
      </c>
      <c r="AB6" s="119" t="s">
        <v>27</v>
      </c>
      <c r="AC6" s="119" t="s">
        <v>27</v>
      </c>
    </row>
    <row r="9" spans="1:29" ht="13.8" customHeight="1" x14ac:dyDescent="0.3">
      <c r="A9" s="235"/>
      <c r="B9" s="236"/>
      <c r="C9" s="236"/>
      <c r="D9" s="236"/>
      <c r="E9" s="237"/>
      <c r="F9" s="236"/>
      <c r="G9" s="237"/>
      <c r="H9" s="238"/>
      <c r="I9" s="238"/>
      <c r="J9" s="235"/>
      <c r="K9" s="236"/>
      <c r="L9" s="235"/>
      <c r="M9" s="238"/>
      <c r="N9" s="239"/>
      <c r="O9" s="240"/>
      <c r="P9" s="241"/>
      <c r="Q9" s="237"/>
      <c r="R9" s="237"/>
      <c r="S9" s="237"/>
      <c r="T9" s="238"/>
      <c r="U9" s="237"/>
      <c r="V9" s="240"/>
      <c r="W9" s="236"/>
      <c r="X9" s="236"/>
      <c r="Y9" s="236"/>
      <c r="Z9" s="236"/>
      <c r="AA9" s="236"/>
      <c r="AB9" s="236"/>
      <c r="AC9" s="236"/>
    </row>
  </sheetData>
  <mergeCells count="1">
    <mergeCell ref="A1:AC1"/>
  </mergeCells>
  <pageMargins left="0.511811024" right="0.511811024" top="0.78740157499999996" bottom="0.78740157499999996" header="0.31496062000000002" footer="0.31496062000000002"/>
  <pageSetup paperSize="9" scale="89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96E1-CB58-43A4-9767-09443EB849D3}">
  <dimension ref="A1:AC8"/>
  <sheetViews>
    <sheetView workbookViewId="0">
      <selection activeCell="W45" sqref="W45"/>
    </sheetView>
  </sheetViews>
  <sheetFormatPr defaultRowHeight="14.4" x14ac:dyDescent="0.3"/>
  <cols>
    <col min="1" max="1" width="4.44140625" style="1" customWidth="1"/>
    <col min="2" max="2" width="20.77734375" style="1" hidden="1" customWidth="1"/>
    <col min="3" max="3" width="6.44140625" style="1" customWidth="1"/>
    <col min="4" max="4" width="11.77734375" style="1" hidden="1" customWidth="1"/>
    <col min="5" max="5" width="7.5546875" style="1" customWidth="1"/>
    <col min="6" max="6" width="5" style="1" customWidth="1"/>
    <col min="7" max="7" width="6.5546875" style="1" customWidth="1"/>
    <col min="8" max="8" width="9.77734375" style="1" customWidth="1"/>
    <col min="9" max="9" width="8.44140625" style="1" customWidth="1"/>
    <col min="10" max="10" width="8.5546875" style="1" customWidth="1"/>
    <col min="11" max="11" width="12.44140625" style="1" customWidth="1"/>
    <col min="12" max="12" width="8.21875" style="1" customWidth="1"/>
    <col min="13" max="13" width="9.77734375" style="1" hidden="1" customWidth="1"/>
    <col min="14" max="14" width="8.77734375" style="1" hidden="1" customWidth="1"/>
    <col min="15" max="16" width="9.77734375" style="1" hidden="1" customWidth="1"/>
    <col min="17" max="17" width="7.88671875" style="1" customWidth="1"/>
    <col min="18" max="18" width="4" style="1" customWidth="1"/>
    <col min="19" max="19" width="6" style="1" customWidth="1"/>
    <col min="20" max="20" width="6.88671875" style="1" customWidth="1"/>
    <col min="21" max="21" width="11.77734375" style="1" hidden="1" customWidth="1"/>
    <col min="22" max="22" width="8.77734375" style="1" hidden="1" customWidth="1"/>
    <col min="23" max="23" width="8.6640625" style="1" customWidth="1"/>
    <col min="24" max="24" width="8.21875" style="1" customWidth="1"/>
    <col min="25" max="25" width="7.5546875" style="1" customWidth="1"/>
    <col min="26" max="26" width="7.6640625" style="1" customWidth="1"/>
    <col min="27" max="27" width="8" style="1" customWidth="1"/>
    <col min="28" max="28" width="4.88671875" style="1" customWidth="1"/>
    <col min="29" max="29" width="11.6640625" style="1" customWidth="1"/>
    <col min="30" max="16384" width="8.88671875" style="1"/>
  </cols>
  <sheetData>
    <row r="1" spans="1:29" ht="18" customHeight="1" x14ac:dyDescent="0.3">
      <c r="A1" s="268" t="s">
        <v>709</v>
      </c>
      <c r="B1" s="268" t="s">
        <v>27</v>
      </c>
      <c r="C1" s="268" t="s">
        <v>27</v>
      </c>
      <c r="D1" s="268" t="s">
        <v>27</v>
      </c>
      <c r="E1" s="268" t="s">
        <v>27</v>
      </c>
      <c r="F1" s="268" t="s">
        <v>27</v>
      </c>
      <c r="G1" s="268" t="s">
        <v>27</v>
      </c>
      <c r="H1" s="268" t="s">
        <v>27</v>
      </c>
      <c r="I1" s="268" t="s">
        <v>27</v>
      </c>
      <c r="J1" s="268" t="s">
        <v>27</v>
      </c>
      <c r="K1" s="268" t="s">
        <v>27</v>
      </c>
      <c r="L1" s="268" t="s">
        <v>27</v>
      </c>
      <c r="M1" s="268" t="s">
        <v>27</v>
      </c>
      <c r="N1" s="268" t="s">
        <v>27</v>
      </c>
      <c r="O1" s="268" t="s">
        <v>27</v>
      </c>
      <c r="P1" s="268" t="s">
        <v>27</v>
      </c>
      <c r="Q1" s="268" t="s">
        <v>27</v>
      </c>
      <c r="R1" s="268" t="s">
        <v>27</v>
      </c>
      <c r="S1" s="268" t="s">
        <v>27</v>
      </c>
      <c r="T1" s="268" t="s">
        <v>27</v>
      </c>
      <c r="U1" s="268" t="s">
        <v>27</v>
      </c>
      <c r="V1" s="268" t="s">
        <v>27</v>
      </c>
      <c r="W1" s="268" t="s">
        <v>27</v>
      </c>
      <c r="X1" s="268" t="s">
        <v>27</v>
      </c>
      <c r="Y1" s="268" t="s">
        <v>27</v>
      </c>
      <c r="Z1" s="268" t="s">
        <v>27</v>
      </c>
      <c r="AA1" s="268" t="s">
        <v>27</v>
      </c>
      <c r="AB1" s="268" t="s">
        <v>27</v>
      </c>
      <c r="AC1" s="268" t="s">
        <v>27</v>
      </c>
    </row>
    <row r="2" spans="1:29" ht="39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53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27</v>
      </c>
      <c r="K2" s="2" t="s">
        <v>8</v>
      </c>
      <c r="L2" s="2" t="s">
        <v>27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</row>
    <row r="3" spans="1:29" x14ac:dyDescent="0.3">
      <c r="A3" s="5">
        <v>1</v>
      </c>
      <c r="B3" s="10" t="s">
        <v>236</v>
      </c>
      <c r="C3" s="5" t="s">
        <v>26</v>
      </c>
      <c r="D3" s="5" t="s">
        <v>708</v>
      </c>
      <c r="E3" s="5">
        <v>262938</v>
      </c>
      <c r="F3" s="5" t="s">
        <v>707</v>
      </c>
      <c r="G3" s="5">
        <v>360</v>
      </c>
      <c r="H3" s="7">
        <v>0.76600000000000001</v>
      </c>
      <c r="I3" s="7">
        <v>1.43</v>
      </c>
      <c r="J3" s="5" t="s">
        <v>27</v>
      </c>
      <c r="K3" s="5" t="s">
        <v>33</v>
      </c>
      <c r="L3" s="5" t="s">
        <v>27</v>
      </c>
      <c r="M3" s="7">
        <v>394.33699999999999</v>
      </c>
      <c r="N3" s="9">
        <v>257.39999999999998</v>
      </c>
      <c r="O3" s="6">
        <v>3.5700000000000003E-2</v>
      </c>
      <c r="P3" s="8">
        <v>2.15</v>
      </c>
      <c r="Q3" s="5">
        <v>212.2</v>
      </c>
      <c r="R3" s="5">
        <v>2</v>
      </c>
      <c r="S3" s="5">
        <v>1600</v>
      </c>
      <c r="T3" s="7">
        <v>1.532</v>
      </c>
      <c r="U3" s="5">
        <v>68</v>
      </c>
      <c r="V3" s="6">
        <v>4.2500000000000003E-2</v>
      </c>
      <c r="W3" s="5" t="s">
        <v>28</v>
      </c>
      <c r="X3" s="5" t="s">
        <v>29</v>
      </c>
      <c r="Y3" s="5" t="s">
        <v>28</v>
      </c>
      <c r="Z3" s="5" t="s">
        <v>28</v>
      </c>
      <c r="AA3" s="5" t="s">
        <v>28</v>
      </c>
      <c r="AB3" s="5" t="s">
        <v>32</v>
      </c>
      <c r="AC3" s="5" t="s">
        <v>372</v>
      </c>
    </row>
    <row r="4" spans="1:29" x14ac:dyDescent="0.3">
      <c r="A4" s="5">
        <v>2</v>
      </c>
      <c r="B4" s="10" t="s">
        <v>236</v>
      </c>
      <c r="C4" s="5" t="s">
        <v>35</v>
      </c>
      <c r="D4" s="5" t="s">
        <v>708</v>
      </c>
      <c r="E4" s="5">
        <v>262937</v>
      </c>
      <c r="F4" s="5" t="s">
        <v>707</v>
      </c>
      <c r="G4" s="5">
        <v>1395</v>
      </c>
      <c r="H4" s="7">
        <v>0.61</v>
      </c>
      <c r="I4" s="7">
        <v>0.96</v>
      </c>
      <c r="J4" s="5" t="s">
        <v>27</v>
      </c>
      <c r="K4" s="5" t="s">
        <v>373</v>
      </c>
      <c r="L4" s="5" t="s">
        <v>27</v>
      </c>
      <c r="M4" s="7">
        <v>816.91200000000003</v>
      </c>
      <c r="N4" s="9">
        <v>669.6</v>
      </c>
      <c r="O4" s="6">
        <v>9.2999999999999999E-2</v>
      </c>
      <c r="P4" s="8">
        <v>5.58</v>
      </c>
      <c r="Q4" s="5">
        <v>257.3</v>
      </c>
      <c r="R4" s="5">
        <v>2</v>
      </c>
      <c r="S4" s="5">
        <v>1250</v>
      </c>
      <c r="T4" s="7">
        <v>1.22</v>
      </c>
      <c r="U4" s="5">
        <v>30</v>
      </c>
      <c r="V4" s="6">
        <v>2.4E-2</v>
      </c>
      <c r="W4" s="5" t="s">
        <v>28</v>
      </c>
      <c r="X4" s="5" t="s">
        <v>28</v>
      </c>
      <c r="Y4" s="5" t="s">
        <v>28</v>
      </c>
      <c r="Z4" s="5" t="s">
        <v>27</v>
      </c>
      <c r="AA4" s="5" t="s">
        <v>27</v>
      </c>
      <c r="AB4" s="5" t="s">
        <v>32</v>
      </c>
      <c r="AC4" s="5" t="s">
        <v>372</v>
      </c>
    </row>
    <row r="5" spans="1:29" x14ac:dyDescent="0.3">
      <c r="A5" s="5">
        <v>3</v>
      </c>
      <c r="B5" s="10" t="s">
        <v>236</v>
      </c>
      <c r="C5" s="5" t="s">
        <v>35</v>
      </c>
      <c r="D5" s="5" t="s">
        <v>708</v>
      </c>
      <c r="E5" s="5">
        <v>262935</v>
      </c>
      <c r="F5" s="5" t="s">
        <v>707</v>
      </c>
      <c r="G5" s="5">
        <v>5400</v>
      </c>
      <c r="H5" s="7">
        <v>0.27400000000000002</v>
      </c>
      <c r="I5" s="7">
        <v>0.71</v>
      </c>
      <c r="J5" s="5" t="s">
        <v>27</v>
      </c>
      <c r="K5" s="5" t="s">
        <v>368</v>
      </c>
      <c r="L5" s="5" t="s">
        <v>27</v>
      </c>
      <c r="M5" s="7">
        <v>1050.5160000000001</v>
      </c>
      <c r="N5" s="9">
        <v>958.5</v>
      </c>
      <c r="O5" s="6">
        <v>6.6600000000000006E-2</v>
      </c>
      <c r="P5" s="8">
        <v>3.99</v>
      </c>
      <c r="Q5" s="5">
        <v>330.9</v>
      </c>
      <c r="R5" s="5">
        <v>4</v>
      </c>
      <c r="S5" s="5">
        <v>1150</v>
      </c>
      <c r="T5" s="7">
        <v>1.0960000000000001</v>
      </c>
      <c r="U5" s="5">
        <v>54</v>
      </c>
      <c r="V5" s="6">
        <v>4.7E-2</v>
      </c>
      <c r="W5" s="5" t="s">
        <v>28</v>
      </c>
      <c r="X5" s="5" t="s">
        <v>28</v>
      </c>
      <c r="Y5" s="5" t="s">
        <v>28</v>
      </c>
      <c r="Z5" s="5" t="s">
        <v>27</v>
      </c>
      <c r="AA5" s="5" t="s">
        <v>27</v>
      </c>
      <c r="AB5" s="5" t="s">
        <v>32</v>
      </c>
      <c r="AC5" s="5" t="s">
        <v>367</v>
      </c>
    </row>
    <row r="6" spans="1:29" x14ac:dyDescent="0.3">
      <c r="A6" s="5">
        <v>4</v>
      </c>
      <c r="B6" s="10" t="s">
        <v>236</v>
      </c>
      <c r="C6" s="5" t="s">
        <v>35</v>
      </c>
      <c r="D6" s="5" t="s">
        <v>708</v>
      </c>
      <c r="E6" s="5">
        <v>262936</v>
      </c>
      <c r="F6" s="5" t="s">
        <v>707</v>
      </c>
      <c r="G6" s="5">
        <v>2760</v>
      </c>
      <c r="H6" s="7">
        <v>0.91</v>
      </c>
      <c r="I6" s="7">
        <v>1.1599999999999999</v>
      </c>
      <c r="J6" s="5" t="s">
        <v>27</v>
      </c>
      <c r="K6" s="5" t="s">
        <v>371</v>
      </c>
      <c r="L6" s="5" t="s">
        <v>27</v>
      </c>
      <c r="M6" s="7">
        <v>2913.4560000000001</v>
      </c>
      <c r="N6" s="9">
        <v>3201.6</v>
      </c>
      <c r="O6" s="6">
        <v>0.88929999999999998</v>
      </c>
      <c r="P6" s="8">
        <v>53.36</v>
      </c>
      <c r="Q6" s="5">
        <v>917.7</v>
      </c>
      <c r="R6" s="5">
        <v>1</v>
      </c>
      <c r="S6" s="5">
        <v>950</v>
      </c>
      <c r="T6" s="7">
        <v>0.91</v>
      </c>
      <c r="U6" s="5">
        <v>40</v>
      </c>
      <c r="V6" s="6">
        <v>4.2099999999999999E-2</v>
      </c>
      <c r="W6" s="5" t="s">
        <v>28</v>
      </c>
      <c r="X6" s="5" t="s">
        <v>28</v>
      </c>
      <c r="Y6" s="5" t="s">
        <v>28</v>
      </c>
      <c r="Z6" s="5" t="s">
        <v>27</v>
      </c>
      <c r="AA6" s="5" t="s">
        <v>27</v>
      </c>
      <c r="AB6" s="5" t="s">
        <v>31</v>
      </c>
      <c r="AC6" s="5" t="s">
        <v>370</v>
      </c>
    </row>
    <row r="7" spans="1:29" x14ac:dyDescent="0.3">
      <c r="A7" s="5">
        <v>5</v>
      </c>
      <c r="B7" s="10" t="s">
        <v>236</v>
      </c>
      <c r="C7" s="5" t="s">
        <v>81</v>
      </c>
      <c r="D7" s="5" t="s">
        <v>708</v>
      </c>
      <c r="E7" s="5">
        <v>262934</v>
      </c>
      <c r="F7" s="5" t="s">
        <v>707</v>
      </c>
      <c r="G7" s="5">
        <v>525</v>
      </c>
      <c r="H7" s="7">
        <v>0.93</v>
      </c>
      <c r="I7" s="7">
        <v>1.21</v>
      </c>
      <c r="J7" s="5" t="s">
        <v>27</v>
      </c>
      <c r="K7" s="5" t="s">
        <v>33</v>
      </c>
      <c r="L7" s="5" t="s">
        <v>27</v>
      </c>
      <c r="M7" s="7">
        <v>590.78300000000002</v>
      </c>
      <c r="N7" s="9">
        <v>635.29999999999995</v>
      </c>
      <c r="O7" s="6">
        <v>0.17649999999999999</v>
      </c>
      <c r="P7" s="8">
        <v>10.59</v>
      </c>
      <c r="Q7" s="5">
        <v>215.6</v>
      </c>
      <c r="R7" s="5">
        <v>1</v>
      </c>
      <c r="S7" s="5">
        <v>950</v>
      </c>
      <c r="T7" s="7">
        <v>0.93</v>
      </c>
      <c r="U7" s="5">
        <v>20</v>
      </c>
      <c r="V7" s="6">
        <v>2.1100000000000001E-2</v>
      </c>
      <c r="W7" s="5" t="s">
        <v>41</v>
      </c>
      <c r="X7" s="5" t="s">
        <v>29</v>
      </c>
      <c r="Y7" s="5" t="s">
        <v>28</v>
      </c>
      <c r="Z7" s="5" t="s">
        <v>27</v>
      </c>
      <c r="AA7" s="5" t="s">
        <v>27</v>
      </c>
      <c r="AB7" s="5" t="s">
        <v>32</v>
      </c>
      <c r="AC7" s="5" t="s">
        <v>369</v>
      </c>
    </row>
    <row r="8" spans="1:29" x14ac:dyDescent="0.3">
      <c r="A8" s="11" t="s">
        <v>27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>
        <v>10440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>
        <v>1933.8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</row>
  </sheetData>
  <mergeCells count="1">
    <mergeCell ref="A1:AC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F8E9-EB48-4F27-808B-8CFA1336D81D}">
  <sheetPr>
    <pageSetUpPr fitToPage="1"/>
  </sheetPr>
  <dimension ref="A1:AC7"/>
  <sheetViews>
    <sheetView workbookViewId="0">
      <selection activeCell="X25" sqref="X25"/>
    </sheetView>
  </sheetViews>
  <sheetFormatPr defaultRowHeight="14.4" x14ac:dyDescent="0.3"/>
  <cols>
    <col min="1" max="1" width="4.44140625" style="1" customWidth="1"/>
    <col min="2" max="2" width="20.77734375" style="1" hidden="1" customWidth="1"/>
    <col min="3" max="3" width="6.33203125" style="1" customWidth="1"/>
    <col min="4" max="4" width="11.77734375" style="1" hidden="1" customWidth="1"/>
    <col min="5" max="5" width="7.33203125" style="1" customWidth="1"/>
    <col min="6" max="6" width="5.21875" style="1" customWidth="1"/>
    <col min="7" max="7" width="5.77734375" style="1" customWidth="1"/>
    <col min="8" max="8" width="6.33203125" style="1" customWidth="1"/>
    <col min="9" max="9" width="6.5546875" style="1" customWidth="1"/>
    <col min="10" max="10" width="7.109375" style="1" customWidth="1"/>
    <col min="11" max="11" width="21.33203125" style="1" customWidth="1"/>
    <col min="12" max="12" width="9" style="1" customWidth="1"/>
    <col min="13" max="13" width="9.77734375" style="1" hidden="1" customWidth="1"/>
    <col min="14" max="14" width="8.77734375" style="1" hidden="1" customWidth="1"/>
    <col min="15" max="16" width="9.77734375" style="1" hidden="1" customWidth="1"/>
    <col min="17" max="17" width="7.33203125" style="1" customWidth="1"/>
    <col min="18" max="18" width="4.5546875" style="1" customWidth="1"/>
    <col min="19" max="19" width="6" style="1" customWidth="1"/>
    <col min="20" max="20" width="6.6640625" style="1" customWidth="1"/>
    <col min="21" max="21" width="11.77734375" style="1" hidden="1" customWidth="1"/>
    <col min="22" max="22" width="8.77734375" style="1" hidden="1" customWidth="1"/>
    <col min="23" max="23" width="8" style="1" customWidth="1"/>
    <col min="24" max="24" width="8.109375" style="1" customWidth="1"/>
    <col min="25" max="25" width="7.6640625" style="1" customWidth="1"/>
    <col min="26" max="26" width="7.109375" style="1" customWidth="1"/>
    <col min="27" max="27" width="6.88671875" style="1" customWidth="1"/>
    <col min="28" max="28" width="4.88671875" style="1" customWidth="1"/>
    <col min="29" max="29" width="11.33203125" style="1" customWidth="1"/>
    <col min="30" max="16384" width="8.88671875" style="1"/>
  </cols>
  <sheetData>
    <row r="1" spans="1:29" ht="18" customHeight="1" x14ac:dyDescent="0.35">
      <c r="A1" s="267" t="s">
        <v>738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  <c r="AC1" s="267" t="s">
        <v>27</v>
      </c>
    </row>
    <row r="2" spans="1:29" ht="63.6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53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27</v>
      </c>
      <c r="K2" s="2" t="s">
        <v>8</v>
      </c>
      <c r="L2" s="2" t="s">
        <v>27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</row>
    <row r="3" spans="1:29" s="12" customFormat="1" ht="25.05" customHeight="1" x14ac:dyDescent="0.3">
      <c r="A3" s="5">
        <v>1</v>
      </c>
      <c r="B3" s="10" t="s">
        <v>92</v>
      </c>
      <c r="C3" s="5" t="s">
        <v>44</v>
      </c>
      <c r="D3" s="5" t="s">
        <v>698</v>
      </c>
      <c r="E3" s="5">
        <v>262933</v>
      </c>
      <c r="F3" s="5" t="s">
        <v>706</v>
      </c>
      <c r="G3" s="5">
        <v>100</v>
      </c>
      <c r="H3" s="7">
        <v>1.08</v>
      </c>
      <c r="I3" s="7">
        <v>2.5830000000000002</v>
      </c>
      <c r="J3" s="5" t="s">
        <v>27</v>
      </c>
      <c r="K3" s="5" t="s">
        <v>33</v>
      </c>
      <c r="L3" s="5" t="s">
        <v>27</v>
      </c>
      <c r="M3" s="7">
        <v>278.964</v>
      </c>
      <c r="N3" s="9">
        <v>258.3</v>
      </c>
      <c r="O3" s="6">
        <v>7.1800000000000003E-2</v>
      </c>
      <c r="P3" s="8">
        <v>4.3099999999999996</v>
      </c>
      <c r="Q3" s="5">
        <v>158.5</v>
      </c>
      <c r="R3" s="5">
        <v>1</v>
      </c>
      <c r="S3" s="5">
        <v>1100</v>
      </c>
      <c r="T3" s="7">
        <v>1.08</v>
      </c>
      <c r="U3" s="5">
        <v>20</v>
      </c>
      <c r="V3" s="6">
        <v>1.8200000000000001E-2</v>
      </c>
      <c r="W3" s="5" t="s">
        <v>34</v>
      </c>
      <c r="X3" s="5" t="s">
        <v>39</v>
      </c>
      <c r="Y3" s="5" t="s">
        <v>34</v>
      </c>
      <c r="Z3" s="5" t="s">
        <v>34</v>
      </c>
      <c r="AA3" s="5" t="s">
        <v>34</v>
      </c>
      <c r="AB3" s="5" t="s">
        <v>38</v>
      </c>
      <c r="AC3" s="5" t="s">
        <v>705</v>
      </c>
    </row>
    <row r="4" spans="1:29" s="12" customFormat="1" ht="25.05" customHeight="1" x14ac:dyDescent="0.3">
      <c r="A4" s="5">
        <v>2</v>
      </c>
      <c r="B4" s="244" t="s">
        <v>90</v>
      </c>
      <c r="C4" s="244" t="s">
        <v>35</v>
      </c>
      <c r="D4" s="244" t="s">
        <v>698</v>
      </c>
      <c r="E4" s="245">
        <v>262944</v>
      </c>
      <c r="F4" s="244" t="s">
        <v>722</v>
      </c>
      <c r="G4" s="245">
        <v>1000</v>
      </c>
      <c r="H4" s="246">
        <v>0.75</v>
      </c>
      <c r="I4" s="246">
        <v>2.1</v>
      </c>
      <c r="J4" s="245"/>
      <c r="K4" s="244" t="s">
        <v>33</v>
      </c>
      <c r="L4" s="245"/>
      <c r="M4" s="246">
        <v>1575</v>
      </c>
      <c r="N4" s="247">
        <v>1050</v>
      </c>
      <c r="O4" s="248">
        <v>0.14580000000000001</v>
      </c>
      <c r="P4" s="249">
        <v>8.75</v>
      </c>
      <c r="Q4" s="245">
        <v>496.1</v>
      </c>
      <c r="R4" s="245">
        <v>2</v>
      </c>
      <c r="S4" s="245">
        <v>1550</v>
      </c>
      <c r="T4" s="246">
        <v>1.5</v>
      </c>
      <c r="U4" s="245">
        <v>50</v>
      </c>
      <c r="V4" s="248">
        <v>3.2300000000000002E-2</v>
      </c>
      <c r="W4" s="244" t="s">
        <v>28</v>
      </c>
      <c r="X4" s="244" t="s">
        <v>28</v>
      </c>
      <c r="Y4" s="244" t="s">
        <v>28</v>
      </c>
      <c r="Z4" s="244"/>
      <c r="AA4" s="244"/>
      <c r="AB4" s="244" t="s">
        <v>30</v>
      </c>
      <c r="AC4" s="244" t="s">
        <v>723</v>
      </c>
    </row>
    <row r="5" spans="1:29" s="12" customFormat="1" ht="25.05" customHeight="1" x14ac:dyDescent="0.3">
      <c r="A5" s="5">
        <v>3</v>
      </c>
      <c r="B5" s="244" t="s">
        <v>90</v>
      </c>
      <c r="C5" s="244" t="s">
        <v>35</v>
      </c>
      <c r="D5" s="244" t="s">
        <v>708</v>
      </c>
      <c r="E5" s="245">
        <v>262945</v>
      </c>
      <c r="F5" s="244" t="s">
        <v>724</v>
      </c>
      <c r="G5" s="245">
        <v>1000</v>
      </c>
      <c r="H5" s="246">
        <v>1.1120000000000001</v>
      </c>
      <c r="I5" s="246">
        <v>1.24</v>
      </c>
      <c r="J5" s="245"/>
      <c r="K5" s="244" t="s">
        <v>33</v>
      </c>
      <c r="L5" s="245"/>
      <c r="M5" s="246">
        <v>1378.88</v>
      </c>
      <c r="N5" s="247">
        <v>1240</v>
      </c>
      <c r="O5" s="248">
        <v>0.34439999999999998</v>
      </c>
      <c r="P5" s="249">
        <v>20.67</v>
      </c>
      <c r="Q5" s="245">
        <v>434.3</v>
      </c>
      <c r="R5" s="245">
        <v>1</v>
      </c>
      <c r="S5" s="245">
        <v>1150</v>
      </c>
      <c r="T5" s="246">
        <v>1.1120000000000001</v>
      </c>
      <c r="U5" s="245">
        <v>38</v>
      </c>
      <c r="V5" s="248">
        <v>3.3000000000000002E-2</v>
      </c>
      <c r="W5" s="244" t="s">
        <v>28</v>
      </c>
      <c r="X5" s="244" t="s">
        <v>28</v>
      </c>
      <c r="Y5" s="244" t="s">
        <v>28</v>
      </c>
      <c r="Z5" s="244"/>
      <c r="AA5" s="244"/>
      <c r="AB5" s="244" t="s">
        <v>30</v>
      </c>
      <c r="AC5" s="244" t="s">
        <v>725</v>
      </c>
    </row>
    <row r="6" spans="1:29" s="12" customFormat="1" ht="25.05" customHeight="1" x14ac:dyDescent="0.3">
      <c r="A6" s="5">
        <v>4</v>
      </c>
      <c r="B6" s="244" t="s">
        <v>90</v>
      </c>
      <c r="C6" s="244" t="s">
        <v>35</v>
      </c>
      <c r="D6" s="244" t="s">
        <v>698</v>
      </c>
      <c r="E6" s="245">
        <v>262943</v>
      </c>
      <c r="F6" s="244" t="s">
        <v>722</v>
      </c>
      <c r="G6" s="245">
        <v>2000</v>
      </c>
      <c r="H6" s="246">
        <v>0.94599999999999995</v>
      </c>
      <c r="I6" s="246">
        <v>2.1</v>
      </c>
      <c r="J6" s="245"/>
      <c r="K6" s="244" t="s">
        <v>726</v>
      </c>
      <c r="L6" s="245"/>
      <c r="M6" s="246">
        <v>3973.2</v>
      </c>
      <c r="N6" s="247">
        <v>4200</v>
      </c>
      <c r="O6" s="248">
        <v>1.1667000000000001</v>
      </c>
      <c r="P6" s="249">
        <v>70</v>
      </c>
      <c r="Q6" s="245">
        <v>1251.5999999999999</v>
      </c>
      <c r="R6" s="245">
        <v>1</v>
      </c>
      <c r="S6" s="245">
        <v>1000</v>
      </c>
      <c r="T6" s="246">
        <v>0.94599999999999995</v>
      </c>
      <c r="U6" s="245">
        <v>54</v>
      </c>
      <c r="V6" s="248">
        <v>5.3999999999999999E-2</v>
      </c>
      <c r="W6" s="244" t="s">
        <v>28</v>
      </c>
      <c r="X6" s="244" t="s">
        <v>28</v>
      </c>
      <c r="Y6" s="244" t="s">
        <v>28</v>
      </c>
      <c r="Z6" s="244"/>
      <c r="AA6" s="244"/>
      <c r="AB6" s="244" t="s">
        <v>48</v>
      </c>
      <c r="AC6" s="244" t="s">
        <v>727</v>
      </c>
    </row>
    <row r="7" spans="1:29" s="12" customFormat="1" ht="25.05" customHeight="1" x14ac:dyDescent="0.3">
      <c r="A7" s="11" t="s">
        <v>27</v>
      </c>
      <c r="B7" s="11" t="s">
        <v>27</v>
      </c>
      <c r="C7" s="11" t="s">
        <v>27</v>
      </c>
      <c r="D7" s="11" t="s">
        <v>27</v>
      </c>
      <c r="E7" s="11" t="s">
        <v>27</v>
      </c>
      <c r="F7" s="11" t="s">
        <v>27</v>
      </c>
      <c r="G7" s="11">
        <f>SUM(G3:G6)</f>
        <v>4100</v>
      </c>
      <c r="H7" s="11" t="s">
        <v>27</v>
      </c>
      <c r="I7" s="11" t="s">
        <v>27</v>
      </c>
      <c r="J7" s="11" t="s">
        <v>27</v>
      </c>
      <c r="K7" s="11" t="s">
        <v>27</v>
      </c>
      <c r="L7" s="11" t="s">
        <v>27</v>
      </c>
      <c r="M7" s="11" t="s">
        <v>27</v>
      </c>
      <c r="N7" s="11" t="s">
        <v>27</v>
      </c>
      <c r="O7" s="11" t="s">
        <v>27</v>
      </c>
      <c r="P7" s="11" t="s">
        <v>27</v>
      </c>
      <c r="Q7" s="11">
        <f>SUM(Q3:Q6)</f>
        <v>2340.5</v>
      </c>
      <c r="R7" s="11" t="s">
        <v>27</v>
      </c>
      <c r="S7" s="11" t="s">
        <v>27</v>
      </c>
      <c r="T7" s="11" t="s">
        <v>27</v>
      </c>
      <c r="U7" s="11" t="s">
        <v>27</v>
      </c>
      <c r="V7" s="11" t="s">
        <v>27</v>
      </c>
      <c r="W7" s="11" t="s">
        <v>27</v>
      </c>
      <c r="X7" s="11" t="s">
        <v>27</v>
      </c>
      <c r="Y7" s="11" t="s">
        <v>27</v>
      </c>
      <c r="Z7" s="11" t="s">
        <v>27</v>
      </c>
      <c r="AA7" s="11" t="s">
        <v>27</v>
      </c>
      <c r="AB7" s="11" t="s">
        <v>27</v>
      </c>
      <c r="AC7" s="11" t="s">
        <v>27</v>
      </c>
    </row>
  </sheetData>
  <mergeCells count="1">
    <mergeCell ref="A1:AC1"/>
  </mergeCells>
  <pageMargins left="0.511811024" right="0.511811024" top="1.29" bottom="0.78740157499999996" header="0.31496062000000002" footer="0.31496062000000002"/>
  <pageSetup paperSize="9" scale="86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2BD0-01B8-40A4-86C4-0C407CD88084}">
  <sheetPr>
    <pageSetUpPr fitToPage="1"/>
  </sheetPr>
  <dimension ref="A1:AC17"/>
  <sheetViews>
    <sheetView workbookViewId="0">
      <selection activeCell="AN23" sqref="AN23"/>
    </sheetView>
  </sheetViews>
  <sheetFormatPr defaultRowHeight="14.4" x14ac:dyDescent="0.3"/>
  <cols>
    <col min="1" max="1" width="4.5546875" style="33" customWidth="1"/>
    <col min="2" max="2" width="20.77734375" style="33" hidden="1" customWidth="1"/>
    <col min="3" max="3" width="6.5546875" style="33" customWidth="1"/>
    <col min="4" max="4" width="11.77734375" style="33" hidden="1" customWidth="1"/>
    <col min="5" max="5" width="8.77734375" style="33" customWidth="1"/>
    <col min="6" max="6" width="7.77734375" style="33" customWidth="1"/>
    <col min="7" max="7" width="6.33203125" style="33" customWidth="1"/>
    <col min="8" max="8" width="7.109375" style="33" customWidth="1"/>
    <col min="9" max="9" width="8.77734375" style="33" customWidth="1"/>
    <col min="10" max="10" width="8.109375" style="33" customWidth="1"/>
    <col min="11" max="11" width="17" style="33" customWidth="1"/>
    <col min="12" max="12" width="8.77734375" style="33" customWidth="1"/>
    <col min="13" max="13" width="9.77734375" style="33" hidden="1" customWidth="1"/>
    <col min="14" max="14" width="8.77734375" style="33" hidden="1" customWidth="1"/>
    <col min="15" max="16" width="9.77734375" style="33" hidden="1" customWidth="1"/>
    <col min="17" max="17" width="7.77734375" style="33" customWidth="1"/>
    <col min="18" max="18" width="4.88671875" style="33" customWidth="1"/>
    <col min="19" max="19" width="7.21875" style="33" customWidth="1"/>
    <col min="20" max="20" width="6" style="33" customWidth="1"/>
    <col min="21" max="21" width="11.77734375" style="33" hidden="1" customWidth="1"/>
    <col min="22" max="22" width="8.77734375" style="33" hidden="1" customWidth="1"/>
    <col min="23" max="23" width="8" style="33" customWidth="1"/>
    <col min="24" max="25" width="7.5546875" style="33" customWidth="1"/>
    <col min="26" max="26" width="7.44140625" style="33" customWidth="1"/>
    <col min="27" max="27" width="7" style="33" customWidth="1"/>
    <col min="28" max="28" width="3.77734375" style="33" customWidth="1"/>
    <col min="29" max="29" width="11.21875" style="33" customWidth="1"/>
    <col min="30" max="16384" width="8.88671875" style="33"/>
  </cols>
  <sheetData>
    <row r="1" spans="1:29" ht="18" customHeight="1" x14ac:dyDescent="0.35">
      <c r="A1" s="269" t="s">
        <v>696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  <c r="AC1" s="269" t="s">
        <v>27</v>
      </c>
    </row>
    <row r="2" spans="1:29" ht="40.799999999999997" customHeight="1" x14ac:dyDescent="0.3">
      <c r="A2" s="171" t="s">
        <v>0</v>
      </c>
      <c r="B2" s="171" t="s">
        <v>36</v>
      </c>
      <c r="C2" s="171" t="s">
        <v>1</v>
      </c>
      <c r="D2" s="171" t="s">
        <v>2</v>
      </c>
      <c r="E2" s="171" t="s">
        <v>53</v>
      </c>
      <c r="F2" s="171" t="s">
        <v>4</v>
      </c>
      <c r="G2" s="171" t="s">
        <v>5</v>
      </c>
      <c r="H2" s="171" t="s">
        <v>6</v>
      </c>
      <c r="I2" s="171" t="s">
        <v>7</v>
      </c>
      <c r="J2" s="171" t="s">
        <v>27</v>
      </c>
      <c r="K2" s="171" t="s">
        <v>8</v>
      </c>
      <c r="L2" s="171" t="s">
        <v>27</v>
      </c>
      <c r="M2" s="171" t="s">
        <v>9</v>
      </c>
      <c r="N2" s="171" t="s">
        <v>10</v>
      </c>
      <c r="O2" s="171" t="s">
        <v>11</v>
      </c>
      <c r="P2" s="171" t="s">
        <v>12</v>
      </c>
      <c r="Q2" s="171" t="s">
        <v>13</v>
      </c>
      <c r="R2" s="171" t="s">
        <v>14</v>
      </c>
      <c r="S2" s="171" t="s">
        <v>15</v>
      </c>
      <c r="T2" s="171" t="s">
        <v>16</v>
      </c>
      <c r="U2" s="171" t="s">
        <v>17</v>
      </c>
      <c r="V2" s="171" t="s">
        <v>18</v>
      </c>
      <c r="W2" s="171" t="s">
        <v>19</v>
      </c>
      <c r="X2" s="171" t="s">
        <v>20</v>
      </c>
      <c r="Y2" s="171" t="s">
        <v>21</v>
      </c>
      <c r="Z2" s="171" t="s">
        <v>22</v>
      </c>
      <c r="AA2" s="171" t="s">
        <v>23</v>
      </c>
      <c r="AB2" s="171" t="s">
        <v>24</v>
      </c>
      <c r="AC2" s="171" t="s">
        <v>25</v>
      </c>
    </row>
    <row r="3" spans="1:29" s="170" customFormat="1" ht="25.05" customHeight="1" x14ac:dyDescent="0.3">
      <c r="A3" s="173">
        <v>1</v>
      </c>
      <c r="B3" s="174" t="s">
        <v>90</v>
      </c>
      <c r="C3" s="173" t="s">
        <v>44</v>
      </c>
      <c r="D3" s="173" t="s">
        <v>695</v>
      </c>
      <c r="E3" s="173">
        <v>262920</v>
      </c>
      <c r="F3" s="173" t="s">
        <v>694</v>
      </c>
      <c r="G3" s="173">
        <v>160</v>
      </c>
      <c r="H3" s="175">
        <v>1.1379999999999999</v>
      </c>
      <c r="I3" s="175">
        <v>1.597</v>
      </c>
      <c r="J3" s="173" t="s">
        <v>27</v>
      </c>
      <c r="K3" s="173" t="s">
        <v>693</v>
      </c>
      <c r="L3" s="173"/>
      <c r="M3" s="175">
        <v>290.78199999999998</v>
      </c>
      <c r="N3" s="176">
        <v>255.5</v>
      </c>
      <c r="O3" s="177">
        <v>7.0999999999999994E-2</v>
      </c>
      <c r="P3" s="178">
        <v>4.26</v>
      </c>
      <c r="Q3" s="173">
        <v>165.2</v>
      </c>
      <c r="R3" s="173">
        <v>1</v>
      </c>
      <c r="S3" s="173">
        <v>1200</v>
      </c>
      <c r="T3" s="175">
        <v>1.1379999999999999</v>
      </c>
      <c r="U3" s="173">
        <v>62</v>
      </c>
      <c r="V3" s="177">
        <v>5.1700000000000003E-2</v>
      </c>
      <c r="W3" s="173" t="s">
        <v>34</v>
      </c>
      <c r="X3" s="173" t="s">
        <v>39</v>
      </c>
      <c r="Y3" s="173" t="s">
        <v>34</v>
      </c>
      <c r="Z3" s="173" t="s">
        <v>34</v>
      </c>
      <c r="AA3" s="173" t="s">
        <v>34</v>
      </c>
      <c r="AB3" s="173" t="s">
        <v>38</v>
      </c>
      <c r="AC3" s="173" t="s">
        <v>692</v>
      </c>
    </row>
    <row r="4" spans="1:29" s="170" customFormat="1" ht="25.05" customHeight="1" x14ac:dyDescent="0.3">
      <c r="A4" s="179">
        <v>6</v>
      </c>
      <c r="B4" s="174" t="s">
        <v>92</v>
      </c>
      <c r="C4" s="173" t="s">
        <v>44</v>
      </c>
      <c r="D4" s="173" t="s">
        <v>222</v>
      </c>
      <c r="E4" s="173">
        <v>252635</v>
      </c>
      <c r="F4" s="173" t="s">
        <v>223</v>
      </c>
      <c r="G4" s="173">
        <v>5000</v>
      </c>
      <c r="H4" s="175">
        <v>0.55900000000000005</v>
      </c>
      <c r="I4" s="175">
        <v>1.389</v>
      </c>
      <c r="J4" s="175"/>
      <c r="K4" s="179" t="s">
        <v>33</v>
      </c>
      <c r="L4" s="175"/>
      <c r="M4" s="176">
        <v>3472.5</v>
      </c>
      <c r="N4" s="177">
        <v>0.48230000000000001</v>
      </c>
      <c r="O4" s="178">
        <v>28.94</v>
      </c>
      <c r="P4" s="178"/>
      <c r="Q4" s="173">
        <v>2205.1</v>
      </c>
      <c r="R4" s="173">
        <v>2</v>
      </c>
      <c r="S4" s="173">
        <v>1150</v>
      </c>
      <c r="T4" s="175">
        <v>1.1180000000000001</v>
      </c>
      <c r="U4" s="173">
        <v>32</v>
      </c>
      <c r="V4" s="177">
        <v>2.7799999999999998E-2</v>
      </c>
      <c r="W4" s="173" t="s">
        <v>34</v>
      </c>
      <c r="X4" s="173" t="s">
        <v>39</v>
      </c>
      <c r="Y4" s="173" t="s">
        <v>34</v>
      </c>
      <c r="Z4" s="173" t="s">
        <v>34</v>
      </c>
      <c r="AA4" s="173" t="s">
        <v>34</v>
      </c>
      <c r="AB4" s="173" t="s">
        <v>66</v>
      </c>
      <c r="AC4" s="173" t="s">
        <v>91</v>
      </c>
    </row>
    <row r="5" spans="1:29" s="170" customFormat="1" ht="25.05" customHeight="1" x14ac:dyDescent="0.3">
      <c r="A5" s="173">
        <v>2</v>
      </c>
      <c r="B5" s="174" t="s">
        <v>92</v>
      </c>
      <c r="C5" s="173" t="s">
        <v>35</v>
      </c>
      <c r="D5" s="173" t="s">
        <v>576</v>
      </c>
      <c r="E5" s="173">
        <v>262928</v>
      </c>
      <c r="F5" s="173" t="s">
        <v>691</v>
      </c>
      <c r="G5" s="173">
        <v>1000</v>
      </c>
      <c r="H5" s="175">
        <v>1.359</v>
      </c>
      <c r="I5" s="175">
        <v>2.1949999999999998</v>
      </c>
      <c r="J5" s="173" t="s">
        <v>27</v>
      </c>
      <c r="K5" s="173" t="s">
        <v>690</v>
      </c>
      <c r="L5" s="173"/>
      <c r="M5" s="175">
        <v>2983.0050000000001</v>
      </c>
      <c r="N5" s="176">
        <v>2195</v>
      </c>
      <c r="O5" s="177">
        <v>0.60970000000000002</v>
      </c>
      <c r="P5" s="178">
        <v>36.58</v>
      </c>
      <c r="Q5" s="173">
        <v>939.6</v>
      </c>
      <c r="R5" s="173">
        <v>1</v>
      </c>
      <c r="S5" s="173">
        <v>1400</v>
      </c>
      <c r="T5" s="175">
        <v>1.359</v>
      </c>
      <c r="U5" s="173">
        <v>41</v>
      </c>
      <c r="V5" s="177">
        <v>2.93E-2</v>
      </c>
      <c r="W5" s="173" t="s">
        <v>28</v>
      </c>
      <c r="X5" s="173" t="s">
        <v>28</v>
      </c>
      <c r="Y5" s="173" t="s">
        <v>28</v>
      </c>
      <c r="Z5" s="173" t="s">
        <v>27</v>
      </c>
      <c r="AA5" s="173" t="s">
        <v>27</v>
      </c>
      <c r="AB5" s="173" t="s">
        <v>30</v>
      </c>
      <c r="AC5" s="173" t="s">
        <v>689</v>
      </c>
    </row>
    <row r="6" spans="1:29" s="170" customFormat="1" ht="25.05" customHeight="1" x14ac:dyDescent="0.3">
      <c r="A6" s="173">
        <v>1</v>
      </c>
      <c r="B6" s="174" t="s">
        <v>92</v>
      </c>
      <c r="C6" s="173" t="s">
        <v>35</v>
      </c>
      <c r="D6" s="173" t="s">
        <v>599</v>
      </c>
      <c r="E6" s="173">
        <v>262884</v>
      </c>
      <c r="F6" s="173" t="s">
        <v>688</v>
      </c>
      <c r="G6" s="173">
        <v>200</v>
      </c>
      <c r="H6" s="175">
        <v>1.304</v>
      </c>
      <c r="I6" s="175">
        <v>2.1259999999999999</v>
      </c>
      <c r="J6" s="175"/>
      <c r="K6" s="173" t="s">
        <v>33</v>
      </c>
      <c r="L6" s="175"/>
      <c r="M6" s="176">
        <v>425.2</v>
      </c>
      <c r="N6" s="177">
        <v>0.1181</v>
      </c>
      <c r="O6" s="178">
        <v>7.09</v>
      </c>
      <c r="P6" s="178"/>
      <c r="Q6" s="173">
        <v>174.7</v>
      </c>
      <c r="R6" s="173">
        <v>1</v>
      </c>
      <c r="S6" s="173">
        <v>1350</v>
      </c>
      <c r="T6" s="175">
        <v>1.304</v>
      </c>
      <c r="U6" s="173">
        <v>46</v>
      </c>
      <c r="V6" s="177">
        <v>3.4099999999999998E-2</v>
      </c>
      <c r="W6" s="173" t="s">
        <v>28</v>
      </c>
      <c r="X6" s="173" t="s">
        <v>28</v>
      </c>
      <c r="Y6" s="173" t="s">
        <v>28</v>
      </c>
      <c r="Z6" s="173" t="s">
        <v>27</v>
      </c>
      <c r="AA6" s="173" t="s">
        <v>27</v>
      </c>
      <c r="AB6" s="173" t="s">
        <v>38</v>
      </c>
      <c r="AC6" s="173" t="s">
        <v>687</v>
      </c>
    </row>
    <row r="7" spans="1:29" s="170" customFormat="1" ht="25.05" customHeight="1" x14ac:dyDescent="0.3">
      <c r="A7" s="173">
        <v>3</v>
      </c>
      <c r="B7" s="174" t="s">
        <v>92</v>
      </c>
      <c r="C7" s="173" t="s">
        <v>35</v>
      </c>
      <c r="D7" s="173" t="s">
        <v>576</v>
      </c>
      <c r="E7" s="173">
        <v>262929</v>
      </c>
      <c r="F7" s="173" t="s">
        <v>686</v>
      </c>
      <c r="G7" s="173">
        <v>170</v>
      </c>
      <c r="H7" s="175">
        <v>1.32</v>
      </c>
      <c r="I7" s="175">
        <v>2.0529999999999999</v>
      </c>
      <c r="J7" s="173" t="s">
        <v>27</v>
      </c>
      <c r="K7" s="173" t="s">
        <v>33</v>
      </c>
      <c r="L7" s="173"/>
      <c r="M7" s="175">
        <v>453.71300000000002</v>
      </c>
      <c r="N7" s="176">
        <v>349</v>
      </c>
      <c r="O7" s="177">
        <v>9.69E-2</v>
      </c>
      <c r="P7" s="178">
        <v>5.82</v>
      </c>
      <c r="Q7" s="173">
        <v>142.9</v>
      </c>
      <c r="R7" s="173">
        <v>1</v>
      </c>
      <c r="S7" s="173">
        <v>1350</v>
      </c>
      <c r="T7" s="175">
        <v>1.32</v>
      </c>
      <c r="U7" s="173">
        <v>50</v>
      </c>
      <c r="V7" s="177">
        <v>3.6999999999999998E-2</v>
      </c>
      <c r="W7" s="173" t="s">
        <v>28</v>
      </c>
      <c r="X7" s="173" t="s">
        <v>28</v>
      </c>
      <c r="Y7" s="173" t="s">
        <v>28</v>
      </c>
      <c r="Z7" s="173" t="s">
        <v>27</v>
      </c>
      <c r="AA7" s="173" t="s">
        <v>27</v>
      </c>
      <c r="AB7" s="173" t="s">
        <v>38</v>
      </c>
      <c r="AC7" s="173" t="s">
        <v>685</v>
      </c>
    </row>
    <row r="8" spans="1:29" s="170" customFormat="1" ht="25.05" customHeight="1" x14ac:dyDescent="0.3">
      <c r="A8" s="173">
        <v>4</v>
      </c>
      <c r="B8" s="174" t="s">
        <v>90</v>
      </c>
      <c r="C8" s="173" t="s">
        <v>35</v>
      </c>
      <c r="D8" s="173" t="s">
        <v>443</v>
      </c>
      <c r="E8" s="173">
        <v>262924</v>
      </c>
      <c r="F8" s="173" t="s">
        <v>681</v>
      </c>
      <c r="G8" s="173">
        <v>600</v>
      </c>
      <c r="H8" s="175">
        <v>0.66</v>
      </c>
      <c r="I8" s="175">
        <v>1.385</v>
      </c>
      <c r="J8" s="173" t="s">
        <v>27</v>
      </c>
      <c r="K8" s="173" t="s">
        <v>33</v>
      </c>
      <c r="L8" s="173"/>
      <c r="M8" s="175">
        <v>548.46</v>
      </c>
      <c r="N8" s="176">
        <v>415.5</v>
      </c>
      <c r="O8" s="177">
        <v>5.7700000000000001E-2</v>
      </c>
      <c r="P8" s="178">
        <v>3.46</v>
      </c>
      <c r="Q8" s="173">
        <v>172.8</v>
      </c>
      <c r="R8" s="173">
        <v>2</v>
      </c>
      <c r="S8" s="173">
        <v>1350</v>
      </c>
      <c r="T8" s="175">
        <v>1.32</v>
      </c>
      <c r="U8" s="173">
        <v>30</v>
      </c>
      <c r="V8" s="177">
        <v>2.2200000000000001E-2</v>
      </c>
      <c r="W8" s="173" t="s">
        <v>28</v>
      </c>
      <c r="X8" s="173" t="s">
        <v>28</v>
      </c>
      <c r="Y8" s="173" t="s">
        <v>28</v>
      </c>
      <c r="Z8" s="173" t="s">
        <v>27</v>
      </c>
      <c r="AA8" s="173" t="s">
        <v>27</v>
      </c>
      <c r="AB8" s="173" t="s">
        <v>32</v>
      </c>
      <c r="AC8" s="173" t="s">
        <v>684</v>
      </c>
    </row>
    <row r="9" spans="1:29" s="170" customFormat="1" ht="25.05" customHeight="1" x14ac:dyDescent="0.3">
      <c r="A9" s="173">
        <v>5</v>
      </c>
      <c r="B9" s="174" t="s">
        <v>90</v>
      </c>
      <c r="C9" s="173" t="s">
        <v>35</v>
      </c>
      <c r="D9" s="173" t="s">
        <v>443</v>
      </c>
      <c r="E9" s="173">
        <v>262925</v>
      </c>
      <c r="F9" s="173" t="s">
        <v>681</v>
      </c>
      <c r="G9" s="173">
        <v>500</v>
      </c>
      <c r="H9" s="175">
        <v>0.66</v>
      </c>
      <c r="I9" s="175">
        <v>1.6950000000000001</v>
      </c>
      <c r="J9" s="173" t="s">
        <v>27</v>
      </c>
      <c r="K9" s="173" t="s">
        <v>33</v>
      </c>
      <c r="L9" s="173"/>
      <c r="M9" s="175">
        <v>559.35</v>
      </c>
      <c r="N9" s="176">
        <v>423.8</v>
      </c>
      <c r="O9" s="177">
        <v>5.8900000000000001E-2</v>
      </c>
      <c r="P9" s="178">
        <v>3.53</v>
      </c>
      <c r="Q9" s="173">
        <v>176.2</v>
      </c>
      <c r="R9" s="173">
        <v>2</v>
      </c>
      <c r="S9" s="173">
        <v>1350</v>
      </c>
      <c r="T9" s="175">
        <v>1.32</v>
      </c>
      <c r="U9" s="173">
        <v>30</v>
      </c>
      <c r="V9" s="177">
        <v>2.2200000000000001E-2</v>
      </c>
      <c r="W9" s="173" t="s">
        <v>28</v>
      </c>
      <c r="X9" s="173" t="s">
        <v>28</v>
      </c>
      <c r="Y9" s="173" t="s">
        <v>28</v>
      </c>
      <c r="Z9" s="173" t="s">
        <v>27</v>
      </c>
      <c r="AA9" s="173" t="s">
        <v>27</v>
      </c>
      <c r="AB9" s="173" t="s">
        <v>30</v>
      </c>
      <c r="AC9" s="173" t="s">
        <v>683</v>
      </c>
    </row>
    <row r="10" spans="1:29" s="170" customFormat="1" ht="25.05" customHeight="1" x14ac:dyDescent="0.3">
      <c r="A10" s="173">
        <v>6</v>
      </c>
      <c r="B10" s="174" t="s">
        <v>90</v>
      </c>
      <c r="C10" s="173" t="s">
        <v>35</v>
      </c>
      <c r="D10" s="173" t="s">
        <v>443</v>
      </c>
      <c r="E10" s="173">
        <v>262926</v>
      </c>
      <c r="F10" s="173" t="s">
        <v>681</v>
      </c>
      <c r="G10" s="173">
        <v>1000</v>
      </c>
      <c r="H10" s="175">
        <v>0.66</v>
      </c>
      <c r="I10" s="175">
        <v>1.865</v>
      </c>
      <c r="J10" s="173" t="s">
        <v>27</v>
      </c>
      <c r="K10" s="173" t="s">
        <v>33</v>
      </c>
      <c r="L10" s="173"/>
      <c r="M10" s="175">
        <v>1230.9000000000001</v>
      </c>
      <c r="N10" s="176">
        <v>932.5</v>
      </c>
      <c r="O10" s="177">
        <v>0.1295</v>
      </c>
      <c r="P10" s="178">
        <v>7.77</v>
      </c>
      <c r="Q10" s="173">
        <v>387.7</v>
      </c>
      <c r="R10" s="173">
        <v>2</v>
      </c>
      <c r="S10" s="173">
        <v>1350</v>
      </c>
      <c r="T10" s="175">
        <v>1.32</v>
      </c>
      <c r="U10" s="173">
        <v>30</v>
      </c>
      <c r="V10" s="177">
        <v>2.2200000000000001E-2</v>
      </c>
      <c r="W10" s="173" t="s">
        <v>28</v>
      </c>
      <c r="X10" s="173" t="s">
        <v>28</v>
      </c>
      <c r="Y10" s="173" t="s">
        <v>28</v>
      </c>
      <c r="Z10" s="173" t="s">
        <v>27</v>
      </c>
      <c r="AA10" s="173" t="s">
        <v>27</v>
      </c>
      <c r="AB10" s="173" t="s">
        <v>32</v>
      </c>
      <c r="AC10" s="173" t="s">
        <v>682</v>
      </c>
    </row>
    <row r="11" spans="1:29" s="170" customFormat="1" ht="25.05" customHeight="1" x14ac:dyDescent="0.3">
      <c r="A11" s="173">
        <v>7</v>
      </c>
      <c r="B11" s="174" t="s">
        <v>90</v>
      </c>
      <c r="C11" s="173" t="s">
        <v>35</v>
      </c>
      <c r="D11" s="173" t="s">
        <v>443</v>
      </c>
      <c r="E11" s="173">
        <v>262927</v>
      </c>
      <c r="F11" s="173" t="s">
        <v>681</v>
      </c>
      <c r="G11" s="173">
        <v>800</v>
      </c>
      <c r="H11" s="175">
        <v>0.66</v>
      </c>
      <c r="I11" s="175">
        <v>2.0499999999999998</v>
      </c>
      <c r="J11" s="173" t="s">
        <v>27</v>
      </c>
      <c r="K11" s="173" t="s">
        <v>33</v>
      </c>
      <c r="L11" s="173"/>
      <c r="M11" s="175">
        <v>1082.4000000000001</v>
      </c>
      <c r="N11" s="176">
        <v>820</v>
      </c>
      <c r="O11" s="177">
        <v>0.1139</v>
      </c>
      <c r="P11" s="178">
        <v>6.83</v>
      </c>
      <c r="Q11" s="173">
        <v>341</v>
      </c>
      <c r="R11" s="173">
        <v>2</v>
      </c>
      <c r="S11" s="173">
        <v>1350</v>
      </c>
      <c r="T11" s="175">
        <v>1.32</v>
      </c>
      <c r="U11" s="173">
        <v>30</v>
      </c>
      <c r="V11" s="177">
        <v>2.2200000000000001E-2</v>
      </c>
      <c r="W11" s="173" t="s">
        <v>28</v>
      </c>
      <c r="X11" s="173" t="s">
        <v>28</v>
      </c>
      <c r="Y11" s="173" t="s">
        <v>28</v>
      </c>
      <c r="Z11" s="173" t="s">
        <v>27</v>
      </c>
      <c r="AA11" s="173" t="s">
        <v>27</v>
      </c>
      <c r="AB11" s="173" t="s">
        <v>32</v>
      </c>
      <c r="AC11" s="173" t="s">
        <v>680</v>
      </c>
    </row>
    <row r="12" spans="1:29" s="170" customFormat="1" ht="25.05" customHeight="1" x14ac:dyDescent="0.3">
      <c r="A12" s="173">
        <v>8</v>
      </c>
      <c r="B12" s="174" t="s">
        <v>90</v>
      </c>
      <c r="C12" s="173" t="s">
        <v>35</v>
      </c>
      <c r="D12" s="173" t="s">
        <v>440</v>
      </c>
      <c r="E12" s="173">
        <v>262921</v>
      </c>
      <c r="F12" s="173" t="s">
        <v>679</v>
      </c>
      <c r="G12" s="173">
        <v>300</v>
      </c>
      <c r="H12" s="175">
        <v>1.272</v>
      </c>
      <c r="I12" s="175">
        <v>1.4810000000000001</v>
      </c>
      <c r="J12" s="173" t="s">
        <v>27</v>
      </c>
      <c r="K12" s="173" t="s">
        <v>678</v>
      </c>
      <c r="L12" s="173"/>
      <c r="M12" s="175">
        <v>565.15</v>
      </c>
      <c r="N12" s="176">
        <v>444.3</v>
      </c>
      <c r="O12" s="177">
        <v>0.1234</v>
      </c>
      <c r="P12" s="178">
        <v>7.41</v>
      </c>
      <c r="Q12" s="173">
        <v>178</v>
      </c>
      <c r="R12" s="173">
        <v>1</v>
      </c>
      <c r="S12" s="173">
        <v>1300</v>
      </c>
      <c r="T12" s="175">
        <v>1.272</v>
      </c>
      <c r="U12" s="173">
        <v>28</v>
      </c>
      <c r="V12" s="177">
        <v>2.1499999999999998E-2</v>
      </c>
      <c r="W12" s="173" t="s">
        <v>28</v>
      </c>
      <c r="X12" s="173" t="s">
        <v>28</v>
      </c>
      <c r="Y12" s="173" t="s">
        <v>28</v>
      </c>
      <c r="Z12" s="173" t="s">
        <v>27</v>
      </c>
      <c r="AA12" s="173" t="s">
        <v>27</v>
      </c>
      <c r="AB12" s="173" t="s">
        <v>38</v>
      </c>
      <c r="AC12" s="173" t="s">
        <v>677</v>
      </c>
    </row>
    <row r="13" spans="1:29" s="170" customFormat="1" ht="25.05" customHeight="1" x14ac:dyDescent="0.3">
      <c r="A13" s="173">
        <v>9</v>
      </c>
      <c r="B13" s="174" t="s">
        <v>90</v>
      </c>
      <c r="C13" s="173" t="s">
        <v>35</v>
      </c>
      <c r="D13" s="173" t="s">
        <v>671</v>
      </c>
      <c r="E13" s="173">
        <v>262923</v>
      </c>
      <c r="F13" s="173" t="s">
        <v>670</v>
      </c>
      <c r="G13" s="173">
        <v>250</v>
      </c>
      <c r="H13" s="175">
        <v>0.56999999999999995</v>
      </c>
      <c r="I13" s="175">
        <v>0.45300000000000001</v>
      </c>
      <c r="J13" s="173" t="s">
        <v>27</v>
      </c>
      <c r="K13" s="173" t="s">
        <v>33</v>
      </c>
      <c r="L13" s="173"/>
      <c r="M13" s="175">
        <v>64.552000000000007</v>
      </c>
      <c r="N13" s="176">
        <v>56.6</v>
      </c>
      <c r="O13" s="177">
        <v>7.9000000000000008E-3</v>
      </c>
      <c r="P13" s="178">
        <v>0.47</v>
      </c>
      <c r="Q13" s="173">
        <v>20.3</v>
      </c>
      <c r="R13" s="173">
        <v>2</v>
      </c>
      <c r="S13" s="173">
        <v>1200</v>
      </c>
      <c r="T13" s="175">
        <v>1.1399999999999999</v>
      </c>
      <c r="U13" s="173">
        <v>60</v>
      </c>
      <c r="V13" s="177">
        <v>0.05</v>
      </c>
      <c r="W13" s="173" t="s">
        <v>28</v>
      </c>
      <c r="X13" s="173" t="s">
        <v>28</v>
      </c>
      <c r="Y13" s="173" t="s">
        <v>28</v>
      </c>
      <c r="Z13" s="173" t="s">
        <v>27</v>
      </c>
      <c r="AA13" s="173" t="s">
        <v>27</v>
      </c>
      <c r="AB13" s="173" t="s">
        <v>38</v>
      </c>
      <c r="AC13" s="173" t="s">
        <v>676</v>
      </c>
    </row>
    <row r="14" spans="1:29" s="170" customFormat="1" ht="25.05" customHeight="1" x14ac:dyDescent="0.3">
      <c r="A14" s="180">
        <v>1</v>
      </c>
      <c r="B14" s="181" t="s">
        <v>92</v>
      </c>
      <c r="C14" s="180" t="s">
        <v>35</v>
      </c>
      <c r="D14" s="180" t="s">
        <v>586</v>
      </c>
      <c r="E14" s="180">
        <v>262870</v>
      </c>
      <c r="F14" s="180" t="s">
        <v>675</v>
      </c>
      <c r="G14" s="180">
        <v>200</v>
      </c>
      <c r="H14" s="182">
        <v>0.93600000000000005</v>
      </c>
      <c r="I14" s="182">
        <v>1.829</v>
      </c>
      <c r="J14" s="182"/>
      <c r="K14" s="180" t="s">
        <v>33</v>
      </c>
      <c r="L14" s="182"/>
      <c r="M14" s="183">
        <v>365.8</v>
      </c>
      <c r="N14" s="184">
        <v>0.1016</v>
      </c>
      <c r="O14" s="185">
        <v>6.1</v>
      </c>
      <c r="P14" s="185"/>
      <c r="Q14" s="180">
        <v>107.9</v>
      </c>
      <c r="R14" s="180">
        <v>1</v>
      </c>
      <c r="S14" s="180">
        <v>1000</v>
      </c>
      <c r="T14" s="182">
        <v>0.93600000000000005</v>
      </c>
      <c r="U14" s="180">
        <v>64</v>
      </c>
      <c r="V14" s="184">
        <v>6.4000000000000001E-2</v>
      </c>
      <c r="W14" s="180" t="s">
        <v>28</v>
      </c>
      <c r="X14" s="180" t="s">
        <v>28</v>
      </c>
      <c r="Y14" s="180" t="s">
        <v>28</v>
      </c>
      <c r="Z14" s="180" t="s">
        <v>27</v>
      </c>
      <c r="AA14" s="180" t="s">
        <v>27</v>
      </c>
      <c r="AB14" s="180" t="s">
        <v>38</v>
      </c>
      <c r="AC14" s="180" t="s">
        <v>674</v>
      </c>
    </row>
    <row r="15" spans="1:29" s="170" customFormat="1" ht="25.05" customHeight="1" x14ac:dyDescent="0.3">
      <c r="A15" s="173">
        <v>2</v>
      </c>
      <c r="B15" s="174" t="s">
        <v>92</v>
      </c>
      <c r="C15" s="173" t="s">
        <v>42</v>
      </c>
      <c r="D15" s="173" t="s">
        <v>599</v>
      </c>
      <c r="E15" s="173">
        <v>262885</v>
      </c>
      <c r="F15" s="173" t="s">
        <v>673</v>
      </c>
      <c r="G15" s="173">
        <v>200</v>
      </c>
      <c r="H15" s="175">
        <v>0.88300000000000001</v>
      </c>
      <c r="I15" s="175">
        <v>1.5349999999999999</v>
      </c>
      <c r="J15" s="175"/>
      <c r="K15" s="173" t="s">
        <v>33</v>
      </c>
      <c r="L15" s="175"/>
      <c r="M15" s="176">
        <v>307</v>
      </c>
      <c r="N15" s="177">
        <v>8.5300000000000001E-2</v>
      </c>
      <c r="O15" s="178">
        <v>5.12</v>
      </c>
      <c r="P15" s="178"/>
      <c r="Q15" s="173">
        <v>93.5</v>
      </c>
      <c r="R15" s="173">
        <v>1</v>
      </c>
      <c r="S15" s="173">
        <v>950</v>
      </c>
      <c r="T15" s="175">
        <v>0.88300000000000001</v>
      </c>
      <c r="U15" s="173">
        <v>67</v>
      </c>
      <c r="V15" s="177">
        <v>7.0499999999999993E-2</v>
      </c>
      <c r="W15" s="173" t="s">
        <v>29</v>
      </c>
      <c r="X15" s="173" t="s">
        <v>29</v>
      </c>
      <c r="Y15" s="173" t="s">
        <v>28</v>
      </c>
      <c r="Z15" s="173" t="s">
        <v>27</v>
      </c>
      <c r="AA15" s="173" t="s">
        <v>27</v>
      </c>
      <c r="AB15" s="173" t="s">
        <v>38</v>
      </c>
      <c r="AC15" s="173" t="s">
        <v>672</v>
      </c>
    </row>
    <row r="16" spans="1:29" s="170" customFormat="1" ht="25.05" customHeight="1" x14ac:dyDescent="0.3">
      <c r="A16" s="173">
        <v>10</v>
      </c>
      <c r="B16" s="174" t="s">
        <v>90</v>
      </c>
      <c r="C16" s="173" t="s">
        <v>35</v>
      </c>
      <c r="D16" s="173" t="s">
        <v>671</v>
      </c>
      <c r="E16" s="173">
        <v>262922</v>
      </c>
      <c r="F16" s="173" t="s">
        <v>670</v>
      </c>
      <c r="G16" s="173">
        <v>500</v>
      </c>
      <c r="H16" s="175">
        <v>0.42599999999999999</v>
      </c>
      <c r="I16" s="175">
        <v>2.3199999999999998</v>
      </c>
      <c r="J16" s="173" t="s">
        <v>27</v>
      </c>
      <c r="K16" s="173" t="s">
        <v>669</v>
      </c>
      <c r="L16" s="173"/>
      <c r="M16" s="175">
        <v>494.16</v>
      </c>
      <c r="N16" s="176">
        <v>580</v>
      </c>
      <c r="O16" s="177">
        <v>8.0600000000000005E-2</v>
      </c>
      <c r="P16" s="178">
        <v>4.83</v>
      </c>
      <c r="Q16" s="173">
        <v>155.69999999999999</v>
      </c>
      <c r="R16" s="173">
        <v>2</v>
      </c>
      <c r="S16" s="173">
        <v>900</v>
      </c>
      <c r="T16" s="175">
        <v>0.85199999999999998</v>
      </c>
      <c r="U16" s="173">
        <v>48</v>
      </c>
      <c r="V16" s="177">
        <v>5.33E-2</v>
      </c>
      <c r="W16" s="173" t="s">
        <v>28</v>
      </c>
      <c r="X16" s="173" t="s">
        <v>28</v>
      </c>
      <c r="Y16" s="173" t="s">
        <v>28</v>
      </c>
      <c r="Z16" s="173" t="s">
        <v>27</v>
      </c>
      <c r="AA16" s="173" t="s">
        <v>27</v>
      </c>
      <c r="AB16" s="173" t="s">
        <v>32</v>
      </c>
      <c r="AC16" s="173" t="s">
        <v>668</v>
      </c>
    </row>
    <row r="17" spans="1:29" s="51" customFormat="1" ht="25.05" customHeight="1" x14ac:dyDescent="0.3">
      <c r="A17" s="172" t="s">
        <v>27</v>
      </c>
      <c r="B17" s="172" t="s">
        <v>27</v>
      </c>
      <c r="C17" s="172" t="s">
        <v>27</v>
      </c>
      <c r="D17" s="172" t="s">
        <v>27</v>
      </c>
      <c r="E17" s="172" t="s">
        <v>27</v>
      </c>
      <c r="F17" s="172" t="s">
        <v>27</v>
      </c>
      <c r="G17" s="172">
        <f>SUM(G3:G16)</f>
        <v>10880</v>
      </c>
      <c r="H17" s="172" t="s">
        <v>27</v>
      </c>
      <c r="I17" s="172" t="s">
        <v>27</v>
      </c>
      <c r="J17" s="172" t="s">
        <v>27</v>
      </c>
      <c r="K17" s="172" t="s">
        <v>27</v>
      </c>
      <c r="L17" s="172" t="s">
        <v>27</v>
      </c>
      <c r="M17" s="172" t="s">
        <v>27</v>
      </c>
      <c r="N17" s="172" t="s">
        <v>27</v>
      </c>
      <c r="O17" s="172" t="s">
        <v>27</v>
      </c>
      <c r="P17" s="172" t="s">
        <v>27</v>
      </c>
      <c r="Q17" s="172">
        <f>SUM(Q3:Q16)</f>
        <v>5260.5999999999995</v>
      </c>
      <c r="R17" s="172" t="s">
        <v>27</v>
      </c>
      <c r="S17" s="172" t="s">
        <v>27</v>
      </c>
      <c r="T17" s="172" t="s">
        <v>27</v>
      </c>
      <c r="U17" s="172" t="s">
        <v>27</v>
      </c>
      <c r="V17" s="172" t="s">
        <v>27</v>
      </c>
      <c r="W17" s="172" t="s">
        <v>27</v>
      </c>
      <c r="X17" s="172" t="s">
        <v>27</v>
      </c>
      <c r="Y17" s="172" t="s">
        <v>27</v>
      </c>
      <c r="Z17" s="172" t="s">
        <v>27</v>
      </c>
      <c r="AA17" s="172" t="s">
        <v>27</v>
      </c>
      <c r="AB17" s="172" t="s">
        <v>27</v>
      </c>
      <c r="AC17" s="172" t="s">
        <v>27</v>
      </c>
    </row>
  </sheetData>
  <mergeCells count="1">
    <mergeCell ref="A1:AC1"/>
  </mergeCells>
  <pageMargins left="0.511811024" right="0.511811024" top="0.78740157499999996" bottom="0.78740157499999996" header="0.31496062000000002" footer="0.31496062000000002"/>
  <pageSetup paperSize="9" scale="84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7C4F-0D46-40C5-9713-B07DDC64A79B}">
  <sheetPr>
    <pageSetUpPr fitToPage="1"/>
  </sheetPr>
  <dimension ref="A1:AC21"/>
  <sheetViews>
    <sheetView workbookViewId="0">
      <selection activeCell="AC47" sqref="AC47"/>
    </sheetView>
  </sheetViews>
  <sheetFormatPr defaultRowHeight="14.4" x14ac:dyDescent="0.3"/>
  <cols>
    <col min="1" max="1" width="4.109375" style="1" customWidth="1"/>
    <col min="2" max="2" width="20.77734375" style="1" hidden="1" customWidth="1"/>
    <col min="3" max="3" width="7.77734375" style="1" customWidth="1"/>
    <col min="4" max="4" width="11.77734375" style="1" hidden="1" customWidth="1"/>
    <col min="5" max="5" width="7.88671875" style="1" customWidth="1"/>
    <col min="6" max="6" width="7.6640625" style="168" customWidth="1"/>
    <col min="7" max="7" width="6.21875" style="1" customWidth="1"/>
    <col min="8" max="8" width="7.33203125" style="1" customWidth="1"/>
    <col min="9" max="9" width="7.6640625" style="1" customWidth="1"/>
    <col min="10" max="10" width="8" style="1" customWidth="1"/>
    <col min="11" max="11" width="7.44140625" style="1" customWidth="1"/>
    <col min="12" max="12" width="8.21875" style="1" customWidth="1"/>
    <col min="13" max="13" width="9.77734375" style="1" hidden="1" customWidth="1"/>
    <col min="14" max="14" width="8.77734375" style="1" hidden="1" customWidth="1"/>
    <col min="15" max="16" width="9.77734375" style="1" hidden="1" customWidth="1"/>
    <col min="17" max="17" width="7.44140625" style="1" customWidth="1"/>
    <col min="18" max="18" width="4.5546875" style="1" customWidth="1"/>
    <col min="19" max="19" width="6.44140625" style="1" customWidth="1"/>
    <col min="20" max="20" width="6.33203125" style="1" customWidth="1"/>
    <col min="21" max="21" width="11.77734375" style="1" hidden="1" customWidth="1"/>
    <col min="22" max="22" width="8.77734375" style="1" hidden="1" customWidth="1"/>
    <col min="23" max="23" width="8.6640625" style="1" customWidth="1"/>
    <col min="24" max="24" width="9" style="1" customWidth="1"/>
    <col min="25" max="25" width="7.44140625" style="1" customWidth="1"/>
    <col min="26" max="26" width="8.5546875" style="1" customWidth="1"/>
    <col min="27" max="27" width="9.33203125" style="1" customWidth="1"/>
    <col min="28" max="28" width="4.21875" style="1" customWidth="1"/>
    <col min="29" max="29" width="12" style="1" customWidth="1"/>
    <col min="30" max="16384" width="8.88671875" style="1"/>
  </cols>
  <sheetData>
    <row r="1" spans="1:29" ht="18" customHeight="1" x14ac:dyDescent="0.35">
      <c r="A1" s="267" t="s">
        <v>664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  <c r="AC1" s="267" t="s">
        <v>27</v>
      </c>
    </row>
    <row r="2" spans="1:29" ht="56.4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53</v>
      </c>
      <c r="F2" s="169" t="s">
        <v>4</v>
      </c>
      <c r="G2" s="2" t="s">
        <v>5</v>
      </c>
      <c r="H2" s="2" t="s">
        <v>6</v>
      </c>
      <c r="I2" s="2" t="s">
        <v>7</v>
      </c>
      <c r="J2" s="2" t="s">
        <v>27</v>
      </c>
      <c r="K2" s="2" t="s">
        <v>8</v>
      </c>
      <c r="L2" s="2" t="s">
        <v>27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</row>
    <row r="3" spans="1:29" s="206" customFormat="1" x14ac:dyDescent="0.3">
      <c r="A3" s="199">
        <v>1</v>
      </c>
      <c r="B3" s="200" t="s">
        <v>107</v>
      </c>
      <c r="C3" s="199" t="s">
        <v>49</v>
      </c>
      <c r="D3" s="199" t="s">
        <v>661</v>
      </c>
      <c r="E3" s="199">
        <v>262917</v>
      </c>
      <c r="F3" s="201">
        <v>71026</v>
      </c>
      <c r="G3" s="199">
        <v>5086</v>
      </c>
      <c r="H3" s="202">
        <v>0.39</v>
      </c>
      <c r="I3" s="202">
        <v>0.71</v>
      </c>
      <c r="J3" s="199" t="s">
        <v>27</v>
      </c>
      <c r="K3" s="199" t="s">
        <v>33</v>
      </c>
      <c r="L3" s="199" t="s">
        <v>27</v>
      </c>
      <c r="M3" s="202">
        <v>1408.3130000000001</v>
      </c>
      <c r="N3" s="203">
        <v>902.8</v>
      </c>
      <c r="O3" s="204">
        <v>6.2700000000000006E-2</v>
      </c>
      <c r="P3" s="205">
        <v>3.76</v>
      </c>
      <c r="Q3" s="199">
        <v>500</v>
      </c>
      <c r="R3" s="199">
        <v>4</v>
      </c>
      <c r="S3" s="199">
        <v>1600</v>
      </c>
      <c r="T3" s="202">
        <v>1.56</v>
      </c>
      <c r="U3" s="199">
        <v>40</v>
      </c>
      <c r="V3" s="204">
        <v>2.5000000000000001E-2</v>
      </c>
      <c r="W3" s="199" t="s">
        <v>29</v>
      </c>
      <c r="X3" s="199" t="s">
        <v>28</v>
      </c>
      <c r="Y3" s="199" t="s">
        <v>29</v>
      </c>
      <c r="Z3" s="199" t="s">
        <v>27</v>
      </c>
      <c r="AA3" s="199" t="s">
        <v>27</v>
      </c>
      <c r="AB3" s="199" t="s">
        <v>32</v>
      </c>
      <c r="AC3" s="199" t="s">
        <v>108</v>
      </c>
    </row>
    <row r="4" spans="1:29" s="213" customFormat="1" x14ac:dyDescent="0.3">
      <c r="A4" s="207">
        <v>1</v>
      </c>
      <c r="B4" s="208" t="s">
        <v>700</v>
      </c>
      <c r="C4" s="207" t="s">
        <v>55</v>
      </c>
      <c r="D4" s="207" t="s">
        <v>698</v>
      </c>
      <c r="E4" s="207">
        <v>262931</v>
      </c>
      <c r="F4" s="201">
        <v>71026</v>
      </c>
      <c r="G4" s="207">
        <v>2283</v>
      </c>
      <c r="H4" s="209">
        <v>0.48</v>
      </c>
      <c r="I4" s="209">
        <v>1.25</v>
      </c>
      <c r="J4" s="207" t="s">
        <v>27</v>
      </c>
      <c r="K4" s="207" t="s">
        <v>33</v>
      </c>
      <c r="L4" s="207" t="s">
        <v>27</v>
      </c>
      <c r="M4" s="209">
        <v>1369.8</v>
      </c>
      <c r="N4" s="210">
        <v>951.3</v>
      </c>
      <c r="O4" s="211">
        <v>8.8099999999999998E-2</v>
      </c>
      <c r="P4" s="212">
        <v>5.28</v>
      </c>
      <c r="Q4" s="207">
        <v>500</v>
      </c>
      <c r="R4" s="207">
        <v>3</v>
      </c>
      <c r="S4" s="207">
        <v>1500</v>
      </c>
      <c r="T4" s="209">
        <v>1.44</v>
      </c>
      <c r="U4" s="207">
        <v>60</v>
      </c>
      <c r="V4" s="211">
        <v>0.04</v>
      </c>
      <c r="W4" s="207" t="s">
        <v>37</v>
      </c>
      <c r="X4" s="207" t="s">
        <v>29</v>
      </c>
      <c r="Y4" s="207" t="s">
        <v>34</v>
      </c>
      <c r="Z4" s="207" t="s">
        <v>27</v>
      </c>
      <c r="AA4" s="207" t="s">
        <v>27</v>
      </c>
      <c r="AB4" s="207" t="s">
        <v>30</v>
      </c>
      <c r="AC4" s="207" t="s">
        <v>239</v>
      </c>
    </row>
    <row r="5" spans="1:29" s="206" customFormat="1" x14ac:dyDescent="0.3">
      <c r="A5" s="199">
        <v>3</v>
      </c>
      <c r="B5" s="200" t="s">
        <v>107</v>
      </c>
      <c r="C5" s="199" t="s">
        <v>55</v>
      </c>
      <c r="D5" s="199" t="s">
        <v>661</v>
      </c>
      <c r="E5" s="199">
        <v>262914</v>
      </c>
      <c r="F5" s="201">
        <v>71026</v>
      </c>
      <c r="G5" s="199">
        <v>1378</v>
      </c>
      <c r="H5" s="202">
        <v>0.67</v>
      </c>
      <c r="I5" s="202">
        <v>0.89</v>
      </c>
      <c r="J5" s="199" t="s">
        <v>27</v>
      </c>
      <c r="K5" s="199" t="s">
        <v>33</v>
      </c>
      <c r="L5" s="199" t="s">
        <v>27</v>
      </c>
      <c r="M5" s="202">
        <v>821.70100000000002</v>
      </c>
      <c r="N5" s="203">
        <v>613.20000000000005</v>
      </c>
      <c r="O5" s="204">
        <v>8.5199999999999998E-2</v>
      </c>
      <c r="P5" s="205">
        <v>5.1100000000000003</v>
      </c>
      <c r="Q5" s="199">
        <v>299.89999999999998</v>
      </c>
      <c r="R5" s="199">
        <v>2</v>
      </c>
      <c r="S5" s="199">
        <v>1400</v>
      </c>
      <c r="T5" s="202">
        <v>1.34</v>
      </c>
      <c r="U5" s="199">
        <v>60</v>
      </c>
      <c r="V5" s="204">
        <v>4.2900000000000001E-2</v>
      </c>
      <c r="W5" s="199" t="s">
        <v>37</v>
      </c>
      <c r="X5" s="199" t="s">
        <v>29</v>
      </c>
      <c r="Y5" s="199" t="s">
        <v>34</v>
      </c>
      <c r="Z5" s="199" t="s">
        <v>27</v>
      </c>
      <c r="AA5" s="199" t="s">
        <v>27</v>
      </c>
      <c r="AB5" s="199" t="s">
        <v>32</v>
      </c>
      <c r="AC5" s="199" t="s">
        <v>663</v>
      </c>
    </row>
    <row r="6" spans="1:29" s="206" customFormat="1" x14ac:dyDescent="0.3">
      <c r="A6" s="199">
        <v>4</v>
      </c>
      <c r="B6" s="200" t="s">
        <v>107</v>
      </c>
      <c r="C6" s="199" t="s">
        <v>55</v>
      </c>
      <c r="D6" s="199" t="s">
        <v>661</v>
      </c>
      <c r="E6" s="199">
        <v>262913</v>
      </c>
      <c r="F6" s="201">
        <v>71026</v>
      </c>
      <c r="G6" s="199">
        <v>1662</v>
      </c>
      <c r="H6" s="202">
        <v>0.43</v>
      </c>
      <c r="I6" s="202">
        <v>1.1499999999999999</v>
      </c>
      <c r="J6" s="199" t="s">
        <v>27</v>
      </c>
      <c r="K6" s="199" t="s">
        <v>33</v>
      </c>
      <c r="L6" s="199" t="s">
        <v>27</v>
      </c>
      <c r="M6" s="202">
        <v>821.85900000000004</v>
      </c>
      <c r="N6" s="203">
        <v>637.1</v>
      </c>
      <c r="O6" s="204">
        <v>5.8999999999999997E-2</v>
      </c>
      <c r="P6" s="205">
        <v>3.54</v>
      </c>
      <c r="Q6" s="199">
        <v>300</v>
      </c>
      <c r="R6" s="199">
        <v>3</v>
      </c>
      <c r="S6" s="199">
        <v>1350</v>
      </c>
      <c r="T6" s="202">
        <v>1.29</v>
      </c>
      <c r="U6" s="199">
        <v>60</v>
      </c>
      <c r="V6" s="204">
        <v>4.4400000000000002E-2</v>
      </c>
      <c r="W6" s="199" t="s">
        <v>37</v>
      </c>
      <c r="X6" s="199" t="s">
        <v>29</v>
      </c>
      <c r="Y6" s="199" t="s">
        <v>34</v>
      </c>
      <c r="Z6" s="199" t="s">
        <v>27</v>
      </c>
      <c r="AA6" s="199" t="s">
        <v>27</v>
      </c>
      <c r="AB6" s="199" t="s">
        <v>32</v>
      </c>
      <c r="AC6" s="199" t="s">
        <v>238</v>
      </c>
    </row>
    <row r="7" spans="1:29" s="206" customFormat="1" x14ac:dyDescent="0.3">
      <c r="A7" s="199">
        <v>5</v>
      </c>
      <c r="B7" s="200" t="s">
        <v>107</v>
      </c>
      <c r="C7" s="199" t="s">
        <v>55</v>
      </c>
      <c r="D7" s="199" t="s">
        <v>661</v>
      </c>
      <c r="E7" s="199">
        <v>262915</v>
      </c>
      <c r="F7" s="201">
        <v>71026</v>
      </c>
      <c r="G7" s="199">
        <v>1287</v>
      </c>
      <c r="H7" s="202">
        <v>0.56999999999999995</v>
      </c>
      <c r="I7" s="202">
        <v>1.1200000000000001</v>
      </c>
      <c r="J7" s="199" t="s">
        <v>27</v>
      </c>
      <c r="K7" s="199" t="s">
        <v>33</v>
      </c>
      <c r="L7" s="199" t="s">
        <v>27</v>
      </c>
      <c r="M7" s="202">
        <v>821.62099999999998</v>
      </c>
      <c r="N7" s="203">
        <v>720.7</v>
      </c>
      <c r="O7" s="204">
        <v>0.10009999999999999</v>
      </c>
      <c r="P7" s="205">
        <v>6.01</v>
      </c>
      <c r="Q7" s="199">
        <v>299.89999999999998</v>
      </c>
      <c r="R7" s="199">
        <v>2</v>
      </c>
      <c r="S7" s="199">
        <v>1200</v>
      </c>
      <c r="T7" s="202">
        <v>1.1399999999999999</v>
      </c>
      <c r="U7" s="199">
        <v>60</v>
      </c>
      <c r="V7" s="204">
        <v>0.05</v>
      </c>
      <c r="W7" s="199" t="s">
        <v>37</v>
      </c>
      <c r="X7" s="199" t="s">
        <v>29</v>
      </c>
      <c r="Y7" s="199" t="s">
        <v>34</v>
      </c>
      <c r="Z7" s="199" t="s">
        <v>27</v>
      </c>
      <c r="AA7" s="199" t="s">
        <v>27</v>
      </c>
      <c r="AB7" s="199" t="s">
        <v>32</v>
      </c>
      <c r="AC7" s="199" t="s">
        <v>662</v>
      </c>
    </row>
    <row r="8" spans="1:29" s="206" customFormat="1" x14ac:dyDescent="0.3">
      <c r="A8" s="199">
        <v>6</v>
      </c>
      <c r="B8" s="200" t="s">
        <v>107</v>
      </c>
      <c r="C8" s="199" t="s">
        <v>49</v>
      </c>
      <c r="D8" s="199" t="s">
        <v>661</v>
      </c>
      <c r="E8" s="199">
        <v>262918</v>
      </c>
      <c r="F8" s="201">
        <v>71026</v>
      </c>
      <c r="G8" s="199">
        <v>2764</v>
      </c>
      <c r="H8" s="202">
        <v>0.56000000000000005</v>
      </c>
      <c r="I8" s="202">
        <v>0.91</v>
      </c>
      <c r="J8" s="199" t="s">
        <v>27</v>
      </c>
      <c r="K8" s="199" t="s">
        <v>33</v>
      </c>
      <c r="L8" s="199" t="s">
        <v>27</v>
      </c>
      <c r="M8" s="202">
        <v>1408.5340000000001</v>
      </c>
      <c r="N8" s="203">
        <v>1257.5999999999999</v>
      </c>
      <c r="O8" s="204">
        <v>0.17469999999999999</v>
      </c>
      <c r="P8" s="205">
        <v>10.48</v>
      </c>
      <c r="Q8" s="199">
        <v>500</v>
      </c>
      <c r="R8" s="199">
        <v>2</v>
      </c>
      <c r="S8" s="199">
        <v>1150</v>
      </c>
      <c r="T8" s="202">
        <v>1.1200000000000001</v>
      </c>
      <c r="U8" s="199">
        <v>30</v>
      </c>
      <c r="V8" s="204">
        <v>2.6100000000000002E-2</v>
      </c>
      <c r="W8" s="199" t="s">
        <v>29</v>
      </c>
      <c r="X8" s="199" t="s">
        <v>28</v>
      </c>
      <c r="Y8" s="199" t="s">
        <v>29</v>
      </c>
      <c r="Z8" s="199" t="s">
        <v>27</v>
      </c>
      <c r="AA8" s="199" t="s">
        <v>27</v>
      </c>
      <c r="AB8" s="199" t="s">
        <v>32</v>
      </c>
      <c r="AC8" s="199" t="s">
        <v>106</v>
      </c>
    </row>
    <row r="9" spans="1:29" s="12" customFormat="1" x14ac:dyDescent="0.3">
      <c r="A9" s="11" t="s">
        <v>27</v>
      </c>
      <c r="B9" s="11" t="s">
        <v>27</v>
      </c>
      <c r="C9" s="11" t="s">
        <v>27</v>
      </c>
      <c r="D9" s="11" t="s">
        <v>27</v>
      </c>
      <c r="E9" s="11" t="s">
        <v>27</v>
      </c>
      <c r="F9" s="214" t="s">
        <v>27</v>
      </c>
      <c r="G9" s="11">
        <f>SUM(G3:G8)</f>
        <v>14460</v>
      </c>
      <c r="H9" s="11" t="s">
        <v>27</v>
      </c>
      <c r="I9" s="11" t="s">
        <v>27</v>
      </c>
      <c r="J9" s="11" t="s">
        <v>27</v>
      </c>
      <c r="K9" s="11" t="s">
        <v>27</v>
      </c>
      <c r="L9" s="11" t="s">
        <v>27</v>
      </c>
      <c r="M9" s="11" t="s">
        <v>27</v>
      </c>
      <c r="N9" s="11" t="s">
        <v>27</v>
      </c>
      <c r="O9" s="11" t="s">
        <v>27</v>
      </c>
      <c r="P9" s="11" t="s">
        <v>27</v>
      </c>
      <c r="Q9" s="11">
        <f>SUM(Q3:Q8)</f>
        <v>2399.8000000000002</v>
      </c>
      <c r="R9" s="11" t="s">
        <v>27</v>
      </c>
      <c r="S9" s="11" t="s">
        <v>27</v>
      </c>
      <c r="T9" s="11" t="s">
        <v>27</v>
      </c>
      <c r="U9" s="11" t="s">
        <v>27</v>
      </c>
      <c r="V9" s="11" t="s">
        <v>27</v>
      </c>
      <c r="W9" s="11" t="s">
        <v>27</v>
      </c>
      <c r="X9" s="11" t="s">
        <v>27</v>
      </c>
      <c r="Y9" s="11" t="s">
        <v>27</v>
      </c>
      <c r="Z9" s="11" t="s">
        <v>27</v>
      </c>
      <c r="AA9" s="11" t="s">
        <v>27</v>
      </c>
      <c r="AB9" s="11" t="s">
        <v>27</v>
      </c>
      <c r="AC9" s="11" t="s">
        <v>27</v>
      </c>
    </row>
    <row r="21" spans="12:12" x14ac:dyDescent="0.3">
      <c r="L21" s="198"/>
    </row>
  </sheetData>
  <mergeCells count="1">
    <mergeCell ref="A1:AC1"/>
  </mergeCells>
  <pageMargins left="0.511811024" right="0.511811024" top="1.38" bottom="0.78740157499999996" header="0.31496062000000002" footer="0.31496062000000002"/>
  <pageSetup paperSize="9" scale="87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1D34-B718-44F1-B498-ACED89D8096E}">
  <sheetPr>
    <pageSetUpPr fitToPage="1"/>
  </sheetPr>
  <dimension ref="A1:AC11"/>
  <sheetViews>
    <sheetView workbookViewId="0">
      <selection activeCell="AE27" sqref="AE27"/>
    </sheetView>
  </sheetViews>
  <sheetFormatPr defaultRowHeight="14.4" x14ac:dyDescent="0.3"/>
  <cols>
    <col min="1" max="1" width="4.5546875" style="33" customWidth="1"/>
    <col min="2" max="2" width="20.77734375" style="33" hidden="1" customWidth="1"/>
    <col min="3" max="3" width="6.109375" style="33" customWidth="1"/>
    <col min="4" max="4" width="11.77734375" style="33" hidden="1" customWidth="1"/>
    <col min="5" max="5" width="8" style="33" customWidth="1"/>
    <col min="6" max="6" width="4.6640625" style="33" customWidth="1"/>
    <col min="7" max="7" width="7.6640625" style="33" customWidth="1"/>
    <col min="8" max="8" width="6.21875" style="33" customWidth="1"/>
    <col min="9" max="9" width="7.33203125" style="33" customWidth="1"/>
    <col min="10" max="10" width="7" style="33" customWidth="1"/>
    <col min="11" max="11" width="13.5546875" style="33" customWidth="1"/>
    <col min="12" max="12" width="8.109375" style="33" customWidth="1"/>
    <col min="13" max="13" width="9.77734375" style="33" hidden="1" customWidth="1"/>
    <col min="14" max="14" width="8.77734375" style="33" hidden="1" customWidth="1"/>
    <col min="15" max="16" width="9.77734375" style="33" hidden="1" customWidth="1"/>
    <col min="17" max="17" width="7.88671875" style="33" customWidth="1"/>
    <col min="18" max="18" width="4.44140625" style="33" customWidth="1"/>
    <col min="19" max="19" width="5.88671875" style="33" customWidth="1"/>
    <col min="20" max="20" width="6.44140625" style="33" customWidth="1"/>
    <col min="21" max="21" width="11.77734375" style="33" hidden="1" customWidth="1"/>
    <col min="22" max="22" width="8.77734375" style="33" hidden="1" customWidth="1"/>
    <col min="23" max="23" width="8.44140625" style="33" customWidth="1"/>
    <col min="24" max="26" width="7.5546875" style="33" customWidth="1"/>
    <col min="27" max="27" width="8" style="33" customWidth="1"/>
    <col min="28" max="28" width="4" style="33" customWidth="1"/>
    <col min="29" max="29" width="10" style="33" customWidth="1"/>
    <col min="30" max="16384" width="8.88671875" style="33"/>
  </cols>
  <sheetData>
    <row r="1" spans="1:29" ht="18" customHeight="1" x14ac:dyDescent="0.35">
      <c r="A1" s="269" t="s">
        <v>660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/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  <c r="AC1" s="269" t="s">
        <v>27</v>
      </c>
    </row>
    <row r="2" spans="1:29" ht="56.4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53</v>
      </c>
      <c r="F2" s="44" t="s">
        <v>4</v>
      </c>
      <c r="G2" s="44" t="s">
        <v>5</v>
      </c>
      <c r="H2" s="44" t="s">
        <v>6</v>
      </c>
      <c r="I2" s="44" t="s">
        <v>7</v>
      </c>
      <c r="J2" s="44"/>
      <c r="K2" s="44" t="s">
        <v>8</v>
      </c>
      <c r="L2" s="44" t="s">
        <v>27</v>
      </c>
      <c r="M2" s="44" t="s">
        <v>9</v>
      </c>
      <c r="N2" s="44" t="s">
        <v>10</v>
      </c>
      <c r="O2" s="44" t="s">
        <v>11</v>
      </c>
      <c r="P2" s="44" t="s">
        <v>12</v>
      </c>
      <c r="Q2" s="44" t="s">
        <v>13</v>
      </c>
      <c r="R2" s="44" t="s">
        <v>14</v>
      </c>
      <c r="S2" s="44" t="s">
        <v>15</v>
      </c>
      <c r="T2" s="44" t="s">
        <v>16</v>
      </c>
      <c r="U2" s="44" t="s">
        <v>17</v>
      </c>
      <c r="V2" s="44" t="s">
        <v>18</v>
      </c>
      <c r="W2" s="44" t="s">
        <v>19</v>
      </c>
      <c r="X2" s="44" t="s">
        <v>20</v>
      </c>
      <c r="Y2" s="44" t="s">
        <v>21</v>
      </c>
      <c r="Z2" s="44" t="s">
        <v>22</v>
      </c>
      <c r="AA2" s="44" t="s">
        <v>23</v>
      </c>
      <c r="AB2" s="44" t="s">
        <v>24</v>
      </c>
      <c r="AC2" s="44" t="s">
        <v>25</v>
      </c>
    </row>
    <row r="3" spans="1:29" s="51" customFormat="1" ht="25.05" customHeight="1" x14ac:dyDescent="0.3">
      <c r="A3" s="45">
        <v>1</v>
      </c>
      <c r="B3" s="46" t="s">
        <v>366</v>
      </c>
      <c r="C3" s="45" t="s">
        <v>26</v>
      </c>
      <c r="D3" s="45" t="s">
        <v>586</v>
      </c>
      <c r="E3" s="45">
        <v>262909</v>
      </c>
      <c r="F3" s="45" t="s">
        <v>66</v>
      </c>
      <c r="G3" s="45">
        <v>200</v>
      </c>
      <c r="H3" s="47">
        <v>1.4159999999999999</v>
      </c>
      <c r="I3" s="47">
        <v>2.0299999999999998</v>
      </c>
      <c r="J3" s="47"/>
      <c r="K3" s="45" t="s">
        <v>659</v>
      </c>
      <c r="L3" s="45" t="s">
        <v>27</v>
      </c>
      <c r="M3" s="47">
        <v>574.89599999999996</v>
      </c>
      <c r="N3" s="48">
        <v>406</v>
      </c>
      <c r="O3" s="49">
        <v>0.1128</v>
      </c>
      <c r="P3" s="50">
        <v>6.77</v>
      </c>
      <c r="Q3" s="45">
        <v>309.3</v>
      </c>
      <c r="R3" s="45">
        <v>1</v>
      </c>
      <c r="S3" s="45">
        <v>1450</v>
      </c>
      <c r="T3" s="47">
        <v>1.4159999999999999</v>
      </c>
      <c r="U3" s="45">
        <v>34</v>
      </c>
      <c r="V3" s="49">
        <v>2.3400000000000001E-2</v>
      </c>
      <c r="W3" s="45" t="s">
        <v>28</v>
      </c>
      <c r="X3" s="45" t="s">
        <v>29</v>
      </c>
      <c r="Y3" s="45" t="s">
        <v>28</v>
      </c>
      <c r="Z3" s="45" t="s">
        <v>28</v>
      </c>
      <c r="AA3" s="45" t="s">
        <v>28</v>
      </c>
      <c r="AB3" s="45" t="s">
        <v>32</v>
      </c>
      <c r="AC3" s="45" t="s">
        <v>658</v>
      </c>
    </row>
    <row r="4" spans="1:29" s="51" customFormat="1" ht="25.05" customHeight="1" x14ac:dyDescent="0.3">
      <c r="A4" s="45">
        <v>2</v>
      </c>
      <c r="B4" s="46" t="s">
        <v>366</v>
      </c>
      <c r="C4" s="45" t="s">
        <v>26</v>
      </c>
      <c r="D4" s="45" t="s">
        <v>586</v>
      </c>
      <c r="E4" s="45">
        <v>262910</v>
      </c>
      <c r="F4" s="45" t="s">
        <v>66</v>
      </c>
      <c r="G4" s="45">
        <v>292</v>
      </c>
      <c r="H4" s="47">
        <v>1.36</v>
      </c>
      <c r="I4" s="47">
        <v>1.4059999999999999</v>
      </c>
      <c r="J4" s="47"/>
      <c r="K4" s="45" t="s">
        <v>33</v>
      </c>
      <c r="L4" s="45" t="s">
        <v>27</v>
      </c>
      <c r="M4" s="47">
        <v>558.351</v>
      </c>
      <c r="N4" s="48">
        <v>410.6</v>
      </c>
      <c r="O4" s="49">
        <v>0.114</v>
      </c>
      <c r="P4" s="50">
        <v>6.84</v>
      </c>
      <c r="Q4" s="45">
        <v>300.39999999999998</v>
      </c>
      <c r="R4" s="45">
        <v>1</v>
      </c>
      <c r="S4" s="45">
        <v>1400</v>
      </c>
      <c r="T4" s="47">
        <v>1.36</v>
      </c>
      <c r="U4" s="45">
        <v>40</v>
      </c>
      <c r="V4" s="49">
        <v>2.86E-2</v>
      </c>
      <c r="W4" s="45" t="s">
        <v>28</v>
      </c>
      <c r="X4" s="45" t="s">
        <v>29</v>
      </c>
      <c r="Y4" s="45" t="s">
        <v>28</v>
      </c>
      <c r="Z4" s="45" t="s">
        <v>28</v>
      </c>
      <c r="AA4" s="45" t="s">
        <v>28</v>
      </c>
      <c r="AB4" s="45" t="s">
        <v>32</v>
      </c>
      <c r="AC4" s="45" t="s">
        <v>657</v>
      </c>
    </row>
    <row r="5" spans="1:29" s="51" customFormat="1" ht="25.05" customHeight="1" x14ac:dyDescent="0.3">
      <c r="A5" s="45">
        <v>3</v>
      </c>
      <c r="B5" s="46" t="s">
        <v>366</v>
      </c>
      <c r="C5" s="45" t="s">
        <v>26</v>
      </c>
      <c r="D5" s="45" t="s">
        <v>586</v>
      </c>
      <c r="E5" s="45">
        <v>262911</v>
      </c>
      <c r="F5" s="45" t="s">
        <v>66</v>
      </c>
      <c r="G5" s="45">
        <v>200</v>
      </c>
      <c r="H5" s="47">
        <v>1.34</v>
      </c>
      <c r="I5" s="47">
        <v>2.1219999999999999</v>
      </c>
      <c r="J5" s="47"/>
      <c r="K5" s="45" t="s">
        <v>33</v>
      </c>
      <c r="L5" s="45" t="s">
        <v>27</v>
      </c>
      <c r="M5" s="47">
        <v>568.69600000000003</v>
      </c>
      <c r="N5" s="48">
        <v>424.4</v>
      </c>
      <c r="O5" s="49">
        <v>0.1179</v>
      </c>
      <c r="P5" s="50">
        <v>7.07</v>
      </c>
      <c r="Q5" s="45">
        <v>306</v>
      </c>
      <c r="R5" s="45">
        <v>1</v>
      </c>
      <c r="S5" s="45">
        <v>1400</v>
      </c>
      <c r="T5" s="47">
        <v>1.34</v>
      </c>
      <c r="U5" s="45">
        <v>60</v>
      </c>
      <c r="V5" s="49">
        <v>4.2900000000000001E-2</v>
      </c>
      <c r="W5" s="45" t="s">
        <v>28</v>
      </c>
      <c r="X5" s="45" t="s">
        <v>29</v>
      </c>
      <c r="Y5" s="45" t="s">
        <v>28</v>
      </c>
      <c r="Z5" s="45" t="s">
        <v>28</v>
      </c>
      <c r="AA5" s="45" t="s">
        <v>28</v>
      </c>
      <c r="AB5" s="45" t="s">
        <v>32</v>
      </c>
      <c r="AC5" s="45" t="s">
        <v>656</v>
      </c>
    </row>
    <row r="6" spans="1:29" s="51" customFormat="1" ht="25.05" customHeight="1" x14ac:dyDescent="0.3">
      <c r="A6" s="45">
        <v>4</v>
      </c>
      <c r="B6" s="46" t="s">
        <v>366</v>
      </c>
      <c r="C6" s="45" t="s">
        <v>26</v>
      </c>
      <c r="D6" s="45" t="s">
        <v>586</v>
      </c>
      <c r="E6" s="45">
        <v>262912</v>
      </c>
      <c r="F6" s="45" t="s">
        <v>66</v>
      </c>
      <c r="G6" s="45">
        <v>258</v>
      </c>
      <c r="H6" s="47">
        <v>1.1559999999999999</v>
      </c>
      <c r="I6" s="47">
        <v>1.87</v>
      </c>
      <c r="J6" s="47"/>
      <c r="K6" s="45" t="s">
        <v>655</v>
      </c>
      <c r="L6" s="45" t="s">
        <v>27</v>
      </c>
      <c r="M6" s="47">
        <v>557.72400000000005</v>
      </c>
      <c r="N6" s="48">
        <v>482.5</v>
      </c>
      <c r="O6" s="49">
        <v>0.13400000000000001</v>
      </c>
      <c r="P6" s="50">
        <v>8.0399999999999991</v>
      </c>
      <c r="Q6" s="45">
        <v>300.10000000000002</v>
      </c>
      <c r="R6" s="45">
        <v>1</v>
      </c>
      <c r="S6" s="45">
        <v>1200</v>
      </c>
      <c r="T6" s="47">
        <v>1.1559999999999999</v>
      </c>
      <c r="U6" s="45">
        <v>44</v>
      </c>
      <c r="V6" s="49">
        <v>3.6700000000000003E-2</v>
      </c>
      <c r="W6" s="45" t="s">
        <v>28</v>
      </c>
      <c r="X6" s="45" t="s">
        <v>29</v>
      </c>
      <c r="Y6" s="45" t="s">
        <v>28</v>
      </c>
      <c r="Z6" s="45" t="s">
        <v>28</v>
      </c>
      <c r="AA6" s="45" t="s">
        <v>28</v>
      </c>
      <c r="AB6" s="45" t="s">
        <v>32</v>
      </c>
      <c r="AC6" s="45" t="s">
        <v>654</v>
      </c>
    </row>
    <row r="7" spans="1:29" s="51" customFormat="1" ht="25.05" customHeight="1" x14ac:dyDescent="0.3">
      <c r="A7" s="45">
        <v>5</v>
      </c>
      <c r="B7" s="46" t="s">
        <v>366</v>
      </c>
      <c r="C7" s="45" t="s">
        <v>653</v>
      </c>
      <c r="D7" s="45" t="s">
        <v>576</v>
      </c>
      <c r="E7" s="45">
        <v>262907</v>
      </c>
      <c r="F7" s="45" t="s">
        <v>52</v>
      </c>
      <c r="G7" s="45">
        <v>400</v>
      </c>
      <c r="H7" s="47">
        <v>1.18</v>
      </c>
      <c r="I7" s="47">
        <v>1.23</v>
      </c>
      <c r="J7" s="47"/>
      <c r="K7" s="45" t="s">
        <v>33</v>
      </c>
      <c r="L7" s="45" t="s">
        <v>27</v>
      </c>
      <c r="M7" s="47">
        <v>580.55999999999995</v>
      </c>
      <c r="N7" s="48">
        <v>492</v>
      </c>
      <c r="O7" s="49">
        <v>0.13669999999999999</v>
      </c>
      <c r="P7" s="50">
        <v>8.1999999999999993</v>
      </c>
      <c r="Q7" s="45">
        <v>384.3</v>
      </c>
      <c r="R7" s="45">
        <v>1</v>
      </c>
      <c r="S7" s="45">
        <v>1200</v>
      </c>
      <c r="T7" s="47">
        <v>1.18</v>
      </c>
      <c r="U7" s="45">
        <v>20</v>
      </c>
      <c r="V7" s="49">
        <v>1.67E-2</v>
      </c>
      <c r="W7" s="45" t="s">
        <v>41</v>
      </c>
      <c r="X7" s="45" t="s">
        <v>39</v>
      </c>
      <c r="Y7" s="45" t="s">
        <v>28</v>
      </c>
      <c r="Z7" s="45" t="s">
        <v>28</v>
      </c>
      <c r="AA7" s="45" t="s">
        <v>41</v>
      </c>
      <c r="AB7" s="45" t="s">
        <v>30</v>
      </c>
      <c r="AC7" s="45" t="s">
        <v>652</v>
      </c>
    </row>
    <row r="8" spans="1:29" s="51" customFormat="1" ht="25.05" customHeight="1" x14ac:dyDescent="0.3">
      <c r="A8" s="45">
        <v>6</v>
      </c>
      <c r="B8" s="46" t="s">
        <v>366</v>
      </c>
      <c r="C8" s="45" t="s">
        <v>26</v>
      </c>
      <c r="D8" s="45" t="s">
        <v>576</v>
      </c>
      <c r="E8" s="45">
        <v>262905</v>
      </c>
      <c r="F8" s="45" t="s">
        <v>52</v>
      </c>
      <c r="G8" s="45">
        <v>570</v>
      </c>
      <c r="H8" s="47">
        <v>0.95599999999999996</v>
      </c>
      <c r="I8" s="47">
        <v>1.03</v>
      </c>
      <c r="J8" s="47"/>
      <c r="K8" s="45" t="s">
        <v>651</v>
      </c>
      <c r="L8" s="45" t="s">
        <v>27</v>
      </c>
      <c r="M8" s="47">
        <v>561.26800000000003</v>
      </c>
      <c r="N8" s="48">
        <v>587.1</v>
      </c>
      <c r="O8" s="49">
        <v>0.16309999999999999</v>
      </c>
      <c r="P8" s="50">
        <v>9.7899999999999991</v>
      </c>
      <c r="Q8" s="45">
        <v>302</v>
      </c>
      <c r="R8" s="45">
        <v>1</v>
      </c>
      <c r="S8" s="45">
        <v>1000</v>
      </c>
      <c r="T8" s="47">
        <v>0.95599999999999996</v>
      </c>
      <c r="U8" s="45">
        <v>44</v>
      </c>
      <c r="V8" s="49">
        <v>4.3999999999999997E-2</v>
      </c>
      <c r="W8" s="45" t="s">
        <v>28</v>
      </c>
      <c r="X8" s="45" t="s">
        <v>29</v>
      </c>
      <c r="Y8" s="45" t="s">
        <v>28</v>
      </c>
      <c r="Z8" s="45" t="s">
        <v>28</v>
      </c>
      <c r="AA8" s="45" t="s">
        <v>28</v>
      </c>
      <c r="AB8" s="45" t="s">
        <v>32</v>
      </c>
      <c r="AC8" s="45" t="s">
        <v>650</v>
      </c>
    </row>
    <row r="9" spans="1:29" s="51" customFormat="1" ht="25.05" customHeight="1" x14ac:dyDescent="0.3">
      <c r="A9" s="45">
        <v>7</v>
      </c>
      <c r="B9" s="46" t="s">
        <v>366</v>
      </c>
      <c r="C9" s="45" t="s">
        <v>81</v>
      </c>
      <c r="D9" s="45" t="s">
        <v>576</v>
      </c>
      <c r="E9" s="45">
        <v>262906</v>
      </c>
      <c r="F9" s="45" t="s">
        <v>52</v>
      </c>
      <c r="G9" s="45">
        <v>3500</v>
      </c>
      <c r="H9" s="47">
        <v>0.46100000000000002</v>
      </c>
      <c r="I9" s="47">
        <v>1.32</v>
      </c>
      <c r="J9" s="47"/>
      <c r="K9" s="45" t="s">
        <v>649</v>
      </c>
      <c r="L9" s="45" t="s">
        <v>27</v>
      </c>
      <c r="M9" s="47">
        <v>2129.8200000000002</v>
      </c>
      <c r="N9" s="48">
        <v>1540</v>
      </c>
      <c r="O9" s="49">
        <v>0.1426</v>
      </c>
      <c r="P9" s="50">
        <v>8.56</v>
      </c>
      <c r="Q9" s="45">
        <v>777.4</v>
      </c>
      <c r="R9" s="45">
        <v>3</v>
      </c>
      <c r="S9" s="45">
        <v>1450</v>
      </c>
      <c r="T9" s="47">
        <v>1.383</v>
      </c>
      <c r="U9" s="45">
        <v>67</v>
      </c>
      <c r="V9" s="49">
        <v>4.6199999999999998E-2</v>
      </c>
      <c r="W9" s="45" t="s">
        <v>41</v>
      </c>
      <c r="X9" s="45" t="s">
        <v>29</v>
      </c>
      <c r="Y9" s="45" t="s">
        <v>28</v>
      </c>
      <c r="Z9" s="45" t="s">
        <v>27</v>
      </c>
      <c r="AA9" s="45" t="s">
        <v>27</v>
      </c>
      <c r="AB9" s="45" t="s">
        <v>48</v>
      </c>
      <c r="AC9" s="45" t="s">
        <v>114</v>
      </c>
    </row>
    <row r="10" spans="1:29" s="51" customFormat="1" ht="25.05" customHeight="1" x14ac:dyDescent="0.3">
      <c r="A10" s="45">
        <v>8</v>
      </c>
      <c r="B10" s="46" t="s">
        <v>366</v>
      </c>
      <c r="C10" s="45" t="s">
        <v>648</v>
      </c>
      <c r="D10" s="45" t="s">
        <v>576</v>
      </c>
      <c r="E10" s="45">
        <v>262908</v>
      </c>
      <c r="F10" s="45" t="s">
        <v>52</v>
      </c>
      <c r="G10" s="45">
        <v>10000</v>
      </c>
      <c r="H10" s="47">
        <v>0.25600000000000001</v>
      </c>
      <c r="I10" s="47">
        <v>0.83599999999999997</v>
      </c>
      <c r="J10" s="47"/>
      <c r="K10" s="45" t="s">
        <v>647</v>
      </c>
      <c r="L10" s="45" t="s">
        <v>27</v>
      </c>
      <c r="M10" s="47">
        <v>2140.16</v>
      </c>
      <c r="N10" s="48">
        <v>2090</v>
      </c>
      <c r="O10" s="49">
        <v>0.14510000000000001</v>
      </c>
      <c r="P10" s="50">
        <v>8.7100000000000009</v>
      </c>
      <c r="Q10" s="45">
        <v>851.8</v>
      </c>
      <c r="R10" s="45">
        <v>4</v>
      </c>
      <c r="S10" s="45">
        <v>1050</v>
      </c>
      <c r="T10" s="47">
        <v>1.024</v>
      </c>
      <c r="U10" s="45">
        <v>26</v>
      </c>
      <c r="V10" s="49">
        <v>2.4799999999999999E-2</v>
      </c>
      <c r="W10" s="45" t="s">
        <v>39</v>
      </c>
      <c r="X10" s="45" t="s">
        <v>39</v>
      </c>
      <c r="Y10" s="45" t="s">
        <v>29</v>
      </c>
      <c r="Z10" s="45" t="s">
        <v>27</v>
      </c>
      <c r="AA10" s="45" t="s">
        <v>27</v>
      </c>
      <c r="AB10" s="45" t="s">
        <v>31</v>
      </c>
      <c r="AC10" s="45" t="s">
        <v>646</v>
      </c>
    </row>
    <row r="11" spans="1:29" s="51" customFormat="1" ht="25.05" customHeight="1" x14ac:dyDescent="0.3">
      <c r="A11" s="52" t="s">
        <v>27</v>
      </c>
      <c r="B11" s="52" t="s">
        <v>27</v>
      </c>
      <c r="C11" s="52" t="s">
        <v>27</v>
      </c>
      <c r="D11" s="52" t="s">
        <v>27</v>
      </c>
      <c r="E11" s="52" t="s">
        <v>27</v>
      </c>
      <c r="F11" s="52" t="s">
        <v>27</v>
      </c>
      <c r="G11" s="52">
        <v>15420</v>
      </c>
      <c r="H11" s="52" t="s">
        <v>27</v>
      </c>
      <c r="I11" s="52" t="s">
        <v>27</v>
      </c>
      <c r="J11" s="52"/>
      <c r="K11" s="52" t="s">
        <v>27</v>
      </c>
      <c r="L11" s="52" t="s">
        <v>27</v>
      </c>
      <c r="M11" s="52" t="s">
        <v>27</v>
      </c>
      <c r="N11" s="52" t="s">
        <v>27</v>
      </c>
      <c r="O11" s="52" t="s">
        <v>27</v>
      </c>
      <c r="P11" s="52" t="s">
        <v>27</v>
      </c>
      <c r="Q11" s="52">
        <v>3531.2</v>
      </c>
      <c r="R11" s="52" t="s">
        <v>27</v>
      </c>
      <c r="S11" s="52" t="s">
        <v>27</v>
      </c>
      <c r="T11" s="52" t="s">
        <v>27</v>
      </c>
      <c r="U11" s="52" t="s">
        <v>27</v>
      </c>
      <c r="V11" s="52" t="s">
        <v>27</v>
      </c>
      <c r="W11" s="52" t="s">
        <v>27</v>
      </c>
      <c r="X11" s="52" t="s">
        <v>27</v>
      </c>
      <c r="Y11" s="52" t="s">
        <v>27</v>
      </c>
      <c r="Z11" s="52" t="s">
        <v>27</v>
      </c>
      <c r="AA11" s="52" t="s">
        <v>27</v>
      </c>
      <c r="AB11" s="52" t="s">
        <v>27</v>
      </c>
      <c r="AC11" s="52" t="s">
        <v>27</v>
      </c>
    </row>
  </sheetData>
  <mergeCells count="1">
    <mergeCell ref="A1:AC1"/>
  </mergeCells>
  <pageMargins left="0.511811024" right="0.511811024" top="0.78740157499999996" bottom="0.78740157499999996" header="0.31496062000000002" footer="0.31496062000000002"/>
  <pageSetup paperSize="9" scale="90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A51C-2827-473A-8AA7-451500989983}">
  <sheetPr>
    <pageSetUpPr fitToPage="1"/>
  </sheetPr>
  <dimension ref="A1:AD18"/>
  <sheetViews>
    <sheetView topLeftCell="A22" workbookViewId="0">
      <selection sqref="A1:AD1"/>
    </sheetView>
  </sheetViews>
  <sheetFormatPr defaultRowHeight="14.4" x14ac:dyDescent="0.3"/>
  <cols>
    <col min="1" max="1" width="6" style="33" customWidth="1"/>
    <col min="2" max="2" width="20.77734375" style="33" hidden="1" customWidth="1"/>
    <col min="3" max="3" width="7.33203125" style="33" customWidth="1"/>
    <col min="4" max="4" width="11.77734375" style="33" hidden="1" customWidth="1"/>
    <col min="5" max="5" width="8.77734375" style="33" hidden="1" customWidth="1"/>
    <col min="6" max="6" width="8.77734375" style="33" customWidth="1"/>
    <col min="7" max="7" width="7.77734375" style="33" customWidth="1"/>
    <col min="8" max="8" width="6" style="33" customWidth="1"/>
    <col min="9" max="9" width="6.5546875" style="33" customWidth="1"/>
    <col min="10" max="11" width="7.88671875" style="33" customWidth="1"/>
    <col min="12" max="12" width="30.109375" style="33" customWidth="1"/>
    <col min="13" max="13" width="9.77734375" style="33" hidden="1" customWidth="1"/>
    <col min="14" max="14" width="8.77734375" style="33" hidden="1" customWidth="1"/>
    <col min="15" max="15" width="6.5546875" style="33" hidden="1" customWidth="1"/>
    <col min="16" max="16" width="9.44140625" style="33" customWidth="1"/>
    <col min="17" max="17" width="9.77734375" style="33" hidden="1" customWidth="1"/>
    <col min="18" max="18" width="8.77734375" style="33" customWidth="1"/>
    <col min="19" max="19" width="5.88671875" style="33" customWidth="1"/>
    <col min="20" max="20" width="8" style="33" customWidth="1"/>
    <col min="21" max="21" width="8.77734375" style="33" customWidth="1"/>
    <col min="22" max="22" width="11.77734375" style="33" hidden="1" customWidth="1"/>
    <col min="23" max="23" width="8.77734375" style="33" hidden="1" customWidth="1"/>
    <col min="24" max="24" width="10.21875" style="33" customWidth="1"/>
    <col min="25" max="25" width="10.33203125" style="33" customWidth="1"/>
    <col min="26" max="26" width="10.5546875" style="33" customWidth="1"/>
    <col min="27" max="27" width="9.88671875" style="33" customWidth="1"/>
    <col min="28" max="28" width="10.33203125" style="33" customWidth="1"/>
    <col min="29" max="29" width="6.5546875" style="33" customWidth="1"/>
    <col min="30" max="30" width="13.44140625" style="33" customWidth="1"/>
    <col min="31" max="16384" width="8.88671875" style="33"/>
  </cols>
  <sheetData>
    <row r="1" spans="1:30" ht="18" customHeight="1" x14ac:dyDescent="0.35">
      <c r="A1" s="269" t="s">
        <v>645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/>
      <c r="L1" s="269" t="s">
        <v>27</v>
      </c>
      <c r="M1" s="269" t="s">
        <v>27</v>
      </c>
      <c r="N1" s="269" t="s">
        <v>27</v>
      </c>
      <c r="O1" s="269" t="s">
        <v>27</v>
      </c>
      <c r="P1" s="269"/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  <c r="AC1" s="269" t="s">
        <v>27</v>
      </c>
      <c r="AD1" s="269" t="s">
        <v>27</v>
      </c>
    </row>
    <row r="2" spans="1:30" ht="38.4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/>
      <c r="L2" s="44" t="s">
        <v>8</v>
      </c>
      <c r="M2" s="44" t="s">
        <v>9</v>
      </c>
      <c r="N2" s="44" t="s">
        <v>10</v>
      </c>
      <c r="O2" s="44" t="s">
        <v>11</v>
      </c>
      <c r="P2" s="44"/>
      <c r="Q2" s="44" t="s">
        <v>12</v>
      </c>
      <c r="R2" s="44" t="s">
        <v>13</v>
      </c>
      <c r="S2" s="44" t="s">
        <v>14</v>
      </c>
      <c r="T2" s="44" t="s">
        <v>15</v>
      </c>
      <c r="U2" s="44" t="s">
        <v>16</v>
      </c>
      <c r="V2" s="44" t="s">
        <v>17</v>
      </c>
      <c r="W2" s="44" t="s">
        <v>18</v>
      </c>
      <c r="X2" s="44" t="s">
        <v>19</v>
      </c>
      <c r="Y2" s="44" t="s">
        <v>20</v>
      </c>
      <c r="Z2" s="44" t="s">
        <v>21</v>
      </c>
      <c r="AA2" s="44" t="s">
        <v>22</v>
      </c>
      <c r="AB2" s="44" t="s">
        <v>23</v>
      </c>
      <c r="AC2" s="44" t="s">
        <v>24</v>
      </c>
      <c r="AD2" s="44" t="s">
        <v>25</v>
      </c>
    </row>
    <row r="3" spans="1:30" s="51" customFormat="1" ht="25.05" customHeight="1" x14ac:dyDescent="0.3">
      <c r="A3" s="162"/>
      <c r="B3" s="163" t="s">
        <v>60</v>
      </c>
      <c r="C3" s="162" t="s">
        <v>26</v>
      </c>
      <c r="D3" s="162" t="s">
        <v>599</v>
      </c>
      <c r="E3" s="162" t="s">
        <v>27</v>
      </c>
      <c r="F3" s="162">
        <v>262903</v>
      </c>
      <c r="G3" s="162" t="s">
        <v>627</v>
      </c>
      <c r="H3" s="162">
        <v>2500</v>
      </c>
      <c r="I3" s="164">
        <v>0.49</v>
      </c>
      <c r="J3" s="164">
        <v>1.5489999999999999</v>
      </c>
      <c r="K3" s="164"/>
      <c r="L3" s="162" t="s">
        <v>33</v>
      </c>
      <c r="M3" s="164">
        <v>948.76199999999994</v>
      </c>
      <c r="N3" s="165">
        <v>645.4</v>
      </c>
      <c r="O3" s="166">
        <v>5.9799999999999999E-2</v>
      </c>
      <c r="P3" s="166"/>
      <c r="Q3" s="167">
        <v>3.59</v>
      </c>
      <c r="R3" s="162">
        <v>510.4</v>
      </c>
      <c r="S3" s="162">
        <v>3</v>
      </c>
      <c r="T3" s="162">
        <v>1500</v>
      </c>
      <c r="U3" s="164">
        <v>1.47</v>
      </c>
      <c r="V3" s="162">
        <v>30</v>
      </c>
      <c r="W3" s="166">
        <v>0.02</v>
      </c>
      <c r="X3" s="162" t="s">
        <v>28</v>
      </c>
      <c r="Y3" s="162" t="s">
        <v>29</v>
      </c>
      <c r="Z3" s="162" t="s">
        <v>28</v>
      </c>
      <c r="AA3" s="162" t="s">
        <v>28</v>
      </c>
      <c r="AB3" s="162" t="s">
        <v>28</v>
      </c>
      <c r="AC3" s="162" t="s">
        <v>31</v>
      </c>
      <c r="AD3" s="162" t="s">
        <v>172</v>
      </c>
    </row>
    <row r="4" spans="1:30" s="51" customFormat="1" ht="25.05" customHeight="1" x14ac:dyDescent="0.3">
      <c r="A4" s="162"/>
      <c r="B4" s="163" t="s">
        <v>60</v>
      </c>
      <c r="C4" s="162" t="s">
        <v>26</v>
      </c>
      <c r="D4" s="162" t="s">
        <v>599</v>
      </c>
      <c r="E4" s="162" t="s">
        <v>27</v>
      </c>
      <c r="F4" s="162">
        <v>262904</v>
      </c>
      <c r="G4" s="162" t="s">
        <v>627</v>
      </c>
      <c r="H4" s="162">
        <v>2500</v>
      </c>
      <c r="I4" s="164">
        <v>0.49</v>
      </c>
      <c r="J4" s="164">
        <v>1.36</v>
      </c>
      <c r="K4" s="164"/>
      <c r="L4" s="162" t="s">
        <v>33</v>
      </c>
      <c r="M4" s="164">
        <v>1666</v>
      </c>
      <c r="N4" s="165">
        <v>1133.3</v>
      </c>
      <c r="O4" s="166">
        <v>0.10489999999999999</v>
      </c>
      <c r="P4" s="166"/>
      <c r="Q4" s="167">
        <v>6.3</v>
      </c>
      <c r="R4" s="162">
        <v>896.3</v>
      </c>
      <c r="S4" s="162">
        <v>3</v>
      </c>
      <c r="T4" s="162">
        <v>1500</v>
      </c>
      <c r="U4" s="164">
        <v>1.47</v>
      </c>
      <c r="V4" s="162">
        <v>30</v>
      </c>
      <c r="W4" s="166">
        <v>0.02</v>
      </c>
      <c r="X4" s="162" t="s">
        <v>28</v>
      </c>
      <c r="Y4" s="162" t="s">
        <v>29</v>
      </c>
      <c r="Z4" s="162" t="s">
        <v>28</v>
      </c>
      <c r="AA4" s="162" t="s">
        <v>28</v>
      </c>
      <c r="AB4" s="162" t="s">
        <v>28</v>
      </c>
      <c r="AC4" s="162" t="s">
        <v>54</v>
      </c>
      <c r="AD4" s="162" t="s">
        <v>644</v>
      </c>
    </row>
    <row r="5" spans="1:30" s="51" customFormat="1" ht="25.05" customHeight="1" x14ac:dyDescent="0.3">
      <c r="A5" s="45"/>
      <c r="B5" s="46" t="s">
        <v>60</v>
      </c>
      <c r="C5" s="45" t="s">
        <v>26</v>
      </c>
      <c r="D5" s="45" t="s">
        <v>599</v>
      </c>
      <c r="E5" s="45" t="s">
        <v>27</v>
      </c>
      <c r="F5" s="45">
        <v>262897</v>
      </c>
      <c r="G5" s="45" t="s">
        <v>627</v>
      </c>
      <c r="H5" s="45">
        <v>300</v>
      </c>
      <c r="I5" s="47">
        <v>0.60899999999999999</v>
      </c>
      <c r="J5" s="47">
        <v>2.319</v>
      </c>
      <c r="K5" s="47"/>
      <c r="L5" s="45" t="s">
        <v>643</v>
      </c>
      <c r="M5" s="47">
        <v>423.68099999999998</v>
      </c>
      <c r="N5" s="48">
        <v>347.8</v>
      </c>
      <c r="O5" s="49">
        <v>4.8300000000000003E-2</v>
      </c>
      <c r="P5" s="49"/>
      <c r="Q5" s="50">
        <v>2.9</v>
      </c>
      <c r="R5" s="45">
        <v>227.9</v>
      </c>
      <c r="S5" s="45">
        <v>2</v>
      </c>
      <c r="T5" s="45">
        <v>1250</v>
      </c>
      <c r="U5" s="47">
        <v>1.218</v>
      </c>
      <c r="V5" s="45">
        <v>32</v>
      </c>
      <c r="W5" s="49">
        <v>2.5600000000000001E-2</v>
      </c>
      <c r="X5" s="45" t="s">
        <v>28</v>
      </c>
      <c r="Y5" s="45" t="s">
        <v>29</v>
      </c>
      <c r="Z5" s="45" t="s">
        <v>28</v>
      </c>
      <c r="AA5" s="45" t="s">
        <v>28</v>
      </c>
      <c r="AB5" s="45" t="s">
        <v>28</v>
      </c>
      <c r="AC5" s="45" t="s">
        <v>32</v>
      </c>
      <c r="AD5" s="45" t="s">
        <v>642</v>
      </c>
    </row>
    <row r="6" spans="1:30" s="51" customFormat="1" ht="25.05" customHeight="1" x14ac:dyDescent="0.3">
      <c r="A6" s="45"/>
      <c r="B6" s="46" t="s">
        <v>60</v>
      </c>
      <c r="C6" s="45" t="s">
        <v>49</v>
      </c>
      <c r="D6" s="45" t="s">
        <v>599</v>
      </c>
      <c r="E6" s="45" t="s">
        <v>27</v>
      </c>
      <c r="F6" s="45">
        <v>262900</v>
      </c>
      <c r="G6" s="45" t="s">
        <v>627</v>
      </c>
      <c r="H6" s="45">
        <v>600</v>
      </c>
      <c r="I6" s="47">
        <v>0.51400000000000001</v>
      </c>
      <c r="J6" s="47">
        <v>1.2490000000000001</v>
      </c>
      <c r="K6" s="47"/>
      <c r="L6" s="45" t="s">
        <v>641</v>
      </c>
      <c r="M6" s="47">
        <v>385.19200000000001</v>
      </c>
      <c r="N6" s="48">
        <v>249.8</v>
      </c>
      <c r="O6" s="49">
        <v>2.3099999999999999E-2</v>
      </c>
      <c r="P6" s="49"/>
      <c r="Q6" s="50">
        <v>1.39</v>
      </c>
      <c r="R6" s="45">
        <v>136.69999999999999</v>
      </c>
      <c r="S6" s="45">
        <v>3</v>
      </c>
      <c r="T6" s="45">
        <v>1600</v>
      </c>
      <c r="U6" s="47">
        <v>1.542</v>
      </c>
      <c r="V6" s="45">
        <v>58</v>
      </c>
      <c r="W6" s="49">
        <v>3.6200000000000003E-2</v>
      </c>
      <c r="X6" s="45" t="s">
        <v>29</v>
      </c>
      <c r="Y6" s="45" t="s">
        <v>28</v>
      </c>
      <c r="Z6" s="45" t="s">
        <v>29</v>
      </c>
      <c r="AA6" s="45" t="s">
        <v>27</v>
      </c>
      <c r="AB6" s="45" t="s">
        <v>27</v>
      </c>
      <c r="AC6" s="45" t="s">
        <v>38</v>
      </c>
      <c r="AD6" s="45" t="s">
        <v>640</v>
      </c>
    </row>
    <row r="7" spans="1:30" s="51" customFormat="1" ht="25.05" customHeight="1" x14ac:dyDescent="0.3">
      <c r="A7" s="45"/>
      <c r="B7" s="46" t="s">
        <v>60</v>
      </c>
      <c r="C7" s="45" t="s">
        <v>35</v>
      </c>
      <c r="D7" s="45" t="s">
        <v>599</v>
      </c>
      <c r="E7" s="45" t="s">
        <v>27</v>
      </c>
      <c r="F7" s="45">
        <v>262893</v>
      </c>
      <c r="G7" s="45" t="s">
        <v>627</v>
      </c>
      <c r="H7" s="45">
        <v>1250</v>
      </c>
      <c r="I7" s="47">
        <v>0.38</v>
      </c>
      <c r="J7" s="47">
        <v>1.163</v>
      </c>
      <c r="K7" s="47"/>
      <c r="L7" s="45" t="s">
        <v>33</v>
      </c>
      <c r="M7" s="47">
        <v>552.42499999999995</v>
      </c>
      <c r="N7" s="48">
        <v>363.4</v>
      </c>
      <c r="O7" s="49">
        <v>2.52E-2</v>
      </c>
      <c r="P7" s="49"/>
      <c r="Q7" s="50">
        <v>1.51</v>
      </c>
      <c r="R7" s="45">
        <v>174</v>
      </c>
      <c r="S7" s="45">
        <v>4</v>
      </c>
      <c r="T7" s="45">
        <v>1550</v>
      </c>
      <c r="U7" s="47">
        <v>1.52</v>
      </c>
      <c r="V7" s="45">
        <v>30</v>
      </c>
      <c r="W7" s="49">
        <v>1.9400000000000001E-2</v>
      </c>
      <c r="X7" s="45" t="s">
        <v>28</v>
      </c>
      <c r="Y7" s="45" t="s">
        <v>28</v>
      </c>
      <c r="Z7" s="45" t="s">
        <v>28</v>
      </c>
      <c r="AA7" s="45" t="s">
        <v>27</v>
      </c>
      <c r="AB7" s="45" t="s">
        <v>27</v>
      </c>
      <c r="AC7" s="45" t="s">
        <v>38</v>
      </c>
      <c r="AD7" s="45" t="s">
        <v>639</v>
      </c>
    </row>
    <row r="8" spans="1:30" s="51" customFormat="1" ht="25.05" customHeight="1" x14ac:dyDescent="0.3">
      <c r="A8" s="45"/>
      <c r="B8" s="46" t="s">
        <v>60</v>
      </c>
      <c r="C8" s="45" t="s">
        <v>35</v>
      </c>
      <c r="D8" s="45" t="s">
        <v>599</v>
      </c>
      <c r="E8" s="45" t="s">
        <v>27</v>
      </c>
      <c r="F8" s="45">
        <v>262896</v>
      </c>
      <c r="G8" s="45" t="s">
        <v>627</v>
      </c>
      <c r="H8" s="45">
        <v>3500</v>
      </c>
      <c r="I8" s="47">
        <v>0.35</v>
      </c>
      <c r="J8" s="47">
        <v>0.74</v>
      </c>
      <c r="K8" s="47"/>
      <c r="L8" s="45" t="s">
        <v>33</v>
      </c>
      <c r="M8" s="47">
        <v>906.5</v>
      </c>
      <c r="N8" s="48">
        <v>647.5</v>
      </c>
      <c r="O8" s="49">
        <v>4.4999999999999998E-2</v>
      </c>
      <c r="P8" s="49"/>
      <c r="Q8" s="50">
        <v>2.7</v>
      </c>
      <c r="R8" s="45">
        <v>285.5</v>
      </c>
      <c r="S8" s="45">
        <v>4</v>
      </c>
      <c r="T8" s="45">
        <v>1450</v>
      </c>
      <c r="U8" s="47">
        <v>1.4</v>
      </c>
      <c r="V8" s="45">
        <v>50</v>
      </c>
      <c r="W8" s="49">
        <v>3.4500000000000003E-2</v>
      </c>
      <c r="X8" s="45" t="s">
        <v>28</v>
      </c>
      <c r="Y8" s="45" t="s">
        <v>28</v>
      </c>
      <c r="Z8" s="45" t="s">
        <v>28</v>
      </c>
      <c r="AA8" s="45" t="s">
        <v>27</v>
      </c>
      <c r="AB8" s="45" t="s">
        <v>27</v>
      </c>
      <c r="AC8" s="45" t="s">
        <v>32</v>
      </c>
      <c r="AD8" s="45" t="s">
        <v>638</v>
      </c>
    </row>
    <row r="9" spans="1:30" s="51" customFormat="1" ht="25.05" customHeight="1" x14ac:dyDescent="0.3">
      <c r="A9" s="45"/>
      <c r="B9" s="46" t="s">
        <v>60</v>
      </c>
      <c r="C9" s="45" t="s">
        <v>35</v>
      </c>
      <c r="D9" s="45" t="s">
        <v>599</v>
      </c>
      <c r="E9" s="45" t="s">
        <v>27</v>
      </c>
      <c r="F9" s="45">
        <v>262895</v>
      </c>
      <c r="G9" s="45" t="s">
        <v>627</v>
      </c>
      <c r="H9" s="45">
        <v>3000</v>
      </c>
      <c r="I9" s="47">
        <v>0.34</v>
      </c>
      <c r="J9" s="47">
        <v>0.67900000000000005</v>
      </c>
      <c r="K9" s="47"/>
      <c r="L9" s="45" t="s">
        <v>637</v>
      </c>
      <c r="M9" s="47">
        <v>692.58</v>
      </c>
      <c r="N9" s="48">
        <v>509.3</v>
      </c>
      <c r="O9" s="49">
        <v>3.5400000000000001E-2</v>
      </c>
      <c r="P9" s="49"/>
      <c r="Q9" s="50">
        <v>2.12</v>
      </c>
      <c r="R9" s="45">
        <v>218.2</v>
      </c>
      <c r="S9" s="45">
        <v>4</v>
      </c>
      <c r="T9" s="45">
        <v>1400</v>
      </c>
      <c r="U9" s="47">
        <v>1.36</v>
      </c>
      <c r="V9" s="45">
        <v>40</v>
      </c>
      <c r="W9" s="49">
        <v>2.86E-2</v>
      </c>
      <c r="X9" s="45" t="s">
        <v>28</v>
      </c>
      <c r="Y9" s="45" t="s">
        <v>28</v>
      </c>
      <c r="Z9" s="45" t="s">
        <v>28</v>
      </c>
      <c r="AA9" s="45" t="s">
        <v>27</v>
      </c>
      <c r="AB9" s="45" t="s">
        <v>27</v>
      </c>
      <c r="AC9" s="45" t="s">
        <v>38</v>
      </c>
      <c r="AD9" s="45" t="s">
        <v>636</v>
      </c>
    </row>
    <row r="10" spans="1:30" s="51" customFormat="1" ht="25.05" customHeight="1" x14ac:dyDescent="0.3">
      <c r="A10" s="45"/>
      <c r="B10" s="46" t="s">
        <v>60</v>
      </c>
      <c r="C10" s="45" t="s">
        <v>35</v>
      </c>
      <c r="D10" s="45" t="s">
        <v>599</v>
      </c>
      <c r="E10" s="45" t="s">
        <v>27</v>
      </c>
      <c r="F10" s="45">
        <v>262892</v>
      </c>
      <c r="G10" s="45" t="s">
        <v>627</v>
      </c>
      <c r="H10" s="45">
        <v>2500</v>
      </c>
      <c r="I10" s="47">
        <v>0.41299999999999998</v>
      </c>
      <c r="J10" s="47">
        <v>0.96299999999999997</v>
      </c>
      <c r="K10" s="47"/>
      <c r="L10" s="45" t="s">
        <v>33</v>
      </c>
      <c r="M10" s="47">
        <v>994.298</v>
      </c>
      <c r="N10" s="48">
        <v>802.5</v>
      </c>
      <c r="O10" s="49">
        <v>7.4300000000000005E-2</v>
      </c>
      <c r="P10" s="49"/>
      <c r="Q10" s="50">
        <v>4.46</v>
      </c>
      <c r="R10" s="45">
        <v>313.2</v>
      </c>
      <c r="S10" s="45">
        <v>3</v>
      </c>
      <c r="T10" s="45">
        <v>1300</v>
      </c>
      <c r="U10" s="47">
        <v>1.2390000000000001</v>
      </c>
      <c r="V10" s="45">
        <v>61</v>
      </c>
      <c r="W10" s="49">
        <v>4.6899999999999997E-2</v>
      </c>
      <c r="X10" s="45" t="s">
        <v>28</v>
      </c>
      <c r="Y10" s="45" t="s">
        <v>28</v>
      </c>
      <c r="Z10" s="45" t="s">
        <v>28</v>
      </c>
      <c r="AA10" s="45" t="s">
        <v>27</v>
      </c>
      <c r="AB10" s="45" t="s">
        <v>27</v>
      </c>
      <c r="AC10" s="45" t="s">
        <v>32</v>
      </c>
      <c r="AD10" s="45" t="s">
        <v>635</v>
      </c>
    </row>
    <row r="11" spans="1:30" s="51" customFormat="1" ht="25.05" customHeight="1" x14ac:dyDescent="0.3">
      <c r="A11" s="45"/>
      <c r="B11" s="46" t="s">
        <v>60</v>
      </c>
      <c r="C11" s="45" t="s">
        <v>35</v>
      </c>
      <c r="D11" s="45" t="s">
        <v>599</v>
      </c>
      <c r="E11" s="45" t="s">
        <v>27</v>
      </c>
      <c r="F11" s="45">
        <v>262894</v>
      </c>
      <c r="G11" s="45" t="s">
        <v>627</v>
      </c>
      <c r="H11" s="45">
        <v>3800</v>
      </c>
      <c r="I11" s="47">
        <v>0.30399999999999999</v>
      </c>
      <c r="J11" s="47">
        <v>0.60899999999999999</v>
      </c>
      <c r="K11" s="47"/>
      <c r="L11" s="45" t="s">
        <v>634</v>
      </c>
      <c r="M11" s="47">
        <v>703.51700000000005</v>
      </c>
      <c r="N11" s="48">
        <v>578.5</v>
      </c>
      <c r="O11" s="49">
        <v>4.02E-2</v>
      </c>
      <c r="P11" s="49"/>
      <c r="Q11" s="50">
        <v>2.41</v>
      </c>
      <c r="R11" s="45">
        <v>221.6</v>
      </c>
      <c r="S11" s="45">
        <v>4</v>
      </c>
      <c r="T11" s="45">
        <v>1250</v>
      </c>
      <c r="U11" s="47">
        <v>1.216</v>
      </c>
      <c r="V11" s="45">
        <v>34</v>
      </c>
      <c r="W11" s="49">
        <v>2.7199999999999998E-2</v>
      </c>
      <c r="X11" s="45" t="s">
        <v>28</v>
      </c>
      <c r="Y11" s="45" t="s">
        <v>28</v>
      </c>
      <c r="Z11" s="45" t="s">
        <v>28</v>
      </c>
      <c r="AA11" s="45" t="s">
        <v>27</v>
      </c>
      <c r="AB11" s="45" t="s">
        <v>27</v>
      </c>
      <c r="AC11" s="45" t="s">
        <v>32</v>
      </c>
      <c r="AD11" s="45" t="s">
        <v>633</v>
      </c>
    </row>
    <row r="12" spans="1:30" s="51" customFormat="1" ht="25.05" customHeight="1" x14ac:dyDescent="0.3">
      <c r="A12" s="45"/>
      <c r="B12" s="46" t="s">
        <v>60</v>
      </c>
      <c r="C12" s="45" t="s">
        <v>144</v>
      </c>
      <c r="D12" s="45" t="s">
        <v>599</v>
      </c>
      <c r="E12" s="45" t="s">
        <v>27</v>
      </c>
      <c r="F12" s="45">
        <v>262899</v>
      </c>
      <c r="G12" s="45" t="s">
        <v>627</v>
      </c>
      <c r="H12" s="45">
        <v>250</v>
      </c>
      <c r="I12" s="47">
        <v>1.21</v>
      </c>
      <c r="J12" s="47">
        <v>1.7150000000000001</v>
      </c>
      <c r="K12" s="47"/>
      <c r="L12" s="45" t="s">
        <v>33</v>
      </c>
      <c r="M12" s="47">
        <v>518.78700000000003</v>
      </c>
      <c r="N12" s="48">
        <v>428.8</v>
      </c>
      <c r="O12" s="49">
        <v>0.1191</v>
      </c>
      <c r="P12" s="49"/>
      <c r="Q12" s="50">
        <v>7.15</v>
      </c>
      <c r="R12" s="45">
        <v>201.3</v>
      </c>
      <c r="S12" s="45">
        <v>1</v>
      </c>
      <c r="T12" s="45">
        <v>1250</v>
      </c>
      <c r="U12" s="47">
        <v>1.21</v>
      </c>
      <c r="V12" s="45">
        <v>40</v>
      </c>
      <c r="W12" s="49">
        <v>3.2000000000000001E-2</v>
      </c>
      <c r="X12" s="45" t="s">
        <v>39</v>
      </c>
      <c r="Y12" s="45" t="s">
        <v>29</v>
      </c>
      <c r="Z12" s="45" t="s">
        <v>29</v>
      </c>
      <c r="AA12" s="45" t="s">
        <v>27</v>
      </c>
      <c r="AB12" s="45" t="s">
        <v>27</v>
      </c>
      <c r="AC12" s="45" t="s">
        <v>38</v>
      </c>
      <c r="AD12" s="45" t="s">
        <v>632</v>
      </c>
    </row>
    <row r="13" spans="1:30" s="51" customFormat="1" ht="25.05" customHeight="1" x14ac:dyDescent="0.3">
      <c r="A13" s="45"/>
      <c r="B13" s="46" t="s">
        <v>60</v>
      </c>
      <c r="C13" s="45" t="s">
        <v>35</v>
      </c>
      <c r="D13" s="45" t="s">
        <v>599</v>
      </c>
      <c r="E13" s="45" t="s">
        <v>27</v>
      </c>
      <c r="F13" s="45">
        <v>262902</v>
      </c>
      <c r="G13" s="45" t="s">
        <v>627</v>
      </c>
      <c r="H13" s="45">
        <v>3000</v>
      </c>
      <c r="I13" s="47">
        <v>0.40400000000000003</v>
      </c>
      <c r="J13" s="47">
        <v>0.6</v>
      </c>
      <c r="K13" s="47"/>
      <c r="L13" s="45" t="s">
        <v>33</v>
      </c>
      <c r="M13" s="47">
        <v>727.2</v>
      </c>
      <c r="N13" s="48">
        <v>600</v>
      </c>
      <c r="O13" s="49">
        <v>5.5599999999999997E-2</v>
      </c>
      <c r="P13" s="49"/>
      <c r="Q13" s="50">
        <v>3.33</v>
      </c>
      <c r="R13" s="45">
        <v>229.1</v>
      </c>
      <c r="S13" s="45">
        <v>3</v>
      </c>
      <c r="T13" s="45">
        <v>1250</v>
      </c>
      <c r="U13" s="47">
        <v>1.212</v>
      </c>
      <c r="V13" s="45">
        <v>38</v>
      </c>
      <c r="W13" s="49">
        <v>3.04E-2</v>
      </c>
      <c r="X13" s="45" t="s">
        <v>28</v>
      </c>
      <c r="Y13" s="45" t="s">
        <v>28</v>
      </c>
      <c r="Z13" s="45" t="s">
        <v>28</v>
      </c>
      <c r="AA13" s="45" t="s">
        <v>27</v>
      </c>
      <c r="AB13" s="45" t="s">
        <v>27</v>
      </c>
      <c r="AC13" s="45" t="s">
        <v>32</v>
      </c>
      <c r="AD13" s="45" t="s">
        <v>631</v>
      </c>
    </row>
    <row r="14" spans="1:30" s="51" customFormat="1" ht="25.05" customHeight="1" x14ac:dyDescent="0.3">
      <c r="A14" s="45"/>
      <c r="B14" s="46" t="s">
        <v>60</v>
      </c>
      <c r="C14" s="45" t="s">
        <v>144</v>
      </c>
      <c r="D14" s="45" t="s">
        <v>599</v>
      </c>
      <c r="E14" s="45" t="s">
        <v>27</v>
      </c>
      <c r="F14" s="45">
        <v>262898</v>
      </c>
      <c r="G14" s="45" t="s">
        <v>627</v>
      </c>
      <c r="H14" s="45">
        <v>350</v>
      </c>
      <c r="I14" s="47">
        <v>1.1100000000000001</v>
      </c>
      <c r="J14" s="47">
        <v>1.5149999999999999</v>
      </c>
      <c r="K14" s="47"/>
      <c r="L14" s="45" t="s">
        <v>33</v>
      </c>
      <c r="M14" s="47">
        <v>588.577</v>
      </c>
      <c r="N14" s="48">
        <v>530.29999999999995</v>
      </c>
      <c r="O14" s="49">
        <v>0.14729999999999999</v>
      </c>
      <c r="P14" s="49"/>
      <c r="Q14" s="50">
        <v>8.84</v>
      </c>
      <c r="R14" s="45">
        <v>228.4</v>
      </c>
      <c r="S14" s="45">
        <v>1</v>
      </c>
      <c r="T14" s="45">
        <v>1150</v>
      </c>
      <c r="U14" s="47">
        <v>1.1100000000000001</v>
      </c>
      <c r="V14" s="45">
        <v>40</v>
      </c>
      <c r="W14" s="49">
        <v>3.4799999999999998E-2</v>
      </c>
      <c r="X14" s="45" t="s">
        <v>39</v>
      </c>
      <c r="Y14" s="45" t="s">
        <v>29</v>
      </c>
      <c r="Z14" s="45" t="s">
        <v>29</v>
      </c>
      <c r="AA14" s="45" t="s">
        <v>27</v>
      </c>
      <c r="AB14" s="45" t="s">
        <v>27</v>
      </c>
      <c r="AC14" s="45" t="s">
        <v>38</v>
      </c>
      <c r="AD14" s="45" t="s">
        <v>630</v>
      </c>
    </row>
    <row r="15" spans="1:30" s="51" customFormat="1" ht="25.05" customHeight="1" x14ac:dyDescent="0.3">
      <c r="A15" s="45"/>
      <c r="B15" s="46" t="s">
        <v>60</v>
      </c>
      <c r="C15" s="45" t="s">
        <v>35</v>
      </c>
      <c r="D15" s="45" t="s">
        <v>599</v>
      </c>
      <c r="E15" s="45" t="s">
        <v>27</v>
      </c>
      <c r="F15" s="45">
        <v>262901</v>
      </c>
      <c r="G15" s="45" t="s">
        <v>627</v>
      </c>
      <c r="H15" s="45">
        <v>375</v>
      </c>
      <c r="I15" s="47">
        <v>0.996</v>
      </c>
      <c r="J15" s="47">
        <v>0.94899999999999995</v>
      </c>
      <c r="K15" s="47"/>
      <c r="L15" s="45" t="s">
        <v>629</v>
      </c>
      <c r="M15" s="47">
        <v>354.45100000000002</v>
      </c>
      <c r="N15" s="48">
        <v>355.9</v>
      </c>
      <c r="O15" s="49">
        <v>9.8900000000000002E-2</v>
      </c>
      <c r="P15" s="49"/>
      <c r="Q15" s="50">
        <v>5.93</v>
      </c>
      <c r="R15" s="45">
        <v>111.7</v>
      </c>
      <c r="S15" s="45">
        <v>1</v>
      </c>
      <c r="T15" s="45">
        <v>1050</v>
      </c>
      <c r="U15" s="47">
        <v>0.996</v>
      </c>
      <c r="V15" s="45">
        <v>54</v>
      </c>
      <c r="W15" s="49">
        <v>5.1400000000000001E-2</v>
      </c>
      <c r="X15" s="45" t="s">
        <v>28</v>
      </c>
      <c r="Y15" s="45" t="s">
        <v>28</v>
      </c>
      <c r="Z15" s="45" t="s">
        <v>28</v>
      </c>
      <c r="AA15" s="45" t="s">
        <v>27</v>
      </c>
      <c r="AB15" s="45" t="s">
        <v>27</v>
      </c>
      <c r="AC15" s="45" t="s">
        <v>38</v>
      </c>
      <c r="AD15" s="45" t="s">
        <v>628</v>
      </c>
    </row>
    <row r="16" spans="1:30" s="51" customFormat="1" ht="25.05" customHeight="1" x14ac:dyDescent="0.3">
      <c r="A16" s="45"/>
      <c r="B16" s="46" t="s">
        <v>60</v>
      </c>
      <c r="C16" s="45" t="s">
        <v>35</v>
      </c>
      <c r="D16" s="45" t="s">
        <v>599</v>
      </c>
      <c r="E16" s="45" t="s">
        <v>27</v>
      </c>
      <c r="F16" s="45">
        <v>262891</v>
      </c>
      <c r="G16" s="45" t="s">
        <v>627</v>
      </c>
      <c r="H16" s="45">
        <v>1250</v>
      </c>
      <c r="I16" s="47">
        <v>0.95199999999999996</v>
      </c>
      <c r="J16" s="47">
        <v>0.871</v>
      </c>
      <c r="K16" s="47"/>
      <c r="L16" s="45" t="s">
        <v>33</v>
      </c>
      <c r="M16" s="47">
        <v>1036.49</v>
      </c>
      <c r="N16" s="48">
        <v>1088.8</v>
      </c>
      <c r="O16" s="49">
        <v>0.3024</v>
      </c>
      <c r="P16" s="49"/>
      <c r="Q16" s="50">
        <v>18.149999999999999</v>
      </c>
      <c r="R16" s="45">
        <v>326.5</v>
      </c>
      <c r="S16" s="45">
        <v>1</v>
      </c>
      <c r="T16" s="45">
        <v>1000</v>
      </c>
      <c r="U16" s="47">
        <v>0.95199999999999996</v>
      </c>
      <c r="V16" s="45">
        <v>48</v>
      </c>
      <c r="W16" s="49">
        <v>4.8000000000000001E-2</v>
      </c>
      <c r="X16" s="45" t="s">
        <v>28</v>
      </c>
      <c r="Y16" s="45" t="s">
        <v>28</v>
      </c>
      <c r="Z16" s="45" t="s">
        <v>28</v>
      </c>
      <c r="AA16" s="45" t="s">
        <v>27</v>
      </c>
      <c r="AB16" s="45" t="s">
        <v>27</v>
      </c>
      <c r="AC16" s="45" t="s">
        <v>32</v>
      </c>
      <c r="AD16" s="45" t="s">
        <v>626</v>
      </c>
    </row>
    <row r="17" spans="1:30" s="51" customFormat="1" ht="25.05" customHeight="1" x14ac:dyDescent="0.3">
      <c r="A17" s="52" t="s">
        <v>27</v>
      </c>
      <c r="B17" s="52" t="s">
        <v>27</v>
      </c>
      <c r="C17" s="52" t="s">
        <v>27</v>
      </c>
      <c r="D17" s="52" t="s">
        <v>27</v>
      </c>
      <c r="E17" s="52" t="s">
        <v>27</v>
      </c>
      <c r="F17" s="52" t="s">
        <v>27</v>
      </c>
      <c r="G17" s="52" t="s">
        <v>27</v>
      </c>
      <c r="H17" s="52">
        <v>23925</v>
      </c>
      <c r="I17" s="52" t="s">
        <v>27</v>
      </c>
      <c r="J17" s="52" t="s">
        <v>27</v>
      </c>
      <c r="K17" s="52"/>
      <c r="L17" s="52" t="s">
        <v>27</v>
      </c>
      <c r="M17" s="52" t="s">
        <v>27</v>
      </c>
      <c r="N17" s="52" t="s">
        <v>27</v>
      </c>
      <c r="O17" s="52" t="s">
        <v>27</v>
      </c>
      <c r="P17" s="52"/>
      <c r="Q17" s="52" t="s">
        <v>27</v>
      </c>
      <c r="R17" s="52">
        <v>4080.8</v>
      </c>
      <c r="S17" s="52" t="s">
        <v>27</v>
      </c>
      <c r="T17" s="52" t="s">
        <v>27</v>
      </c>
      <c r="U17" s="52" t="s">
        <v>27</v>
      </c>
      <c r="V17" s="52" t="s">
        <v>27</v>
      </c>
      <c r="W17" s="52" t="s">
        <v>27</v>
      </c>
      <c r="X17" s="52" t="s">
        <v>27</v>
      </c>
      <c r="Y17" s="52" t="s">
        <v>27</v>
      </c>
      <c r="Z17" s="52" t="s">
        <v>27</v>
      </c>
      <c r="AA17" s="52" t="s">
        <v>27</v>
      </c>
      <c r="AB17" s="52" t="s">
        <v>27</v>
      </c>
      <c r="AC17" s="52" t="s">
        <v>27</v>
      </c>
      <c r="AD17" s="52" t="s">
        <v>27</v>
      </c>
    </row>
    <row r="18" spans="1:30" ht="25.05" customHeight="1" x14ac:dyDescent="0.3"/>
  </sheetData>
  <mergeCells count="1">
    <mergeCell ref="A1:AD1"/>
  </mergeCells>
  <pageMargins left="0.511811024" right="0.511811024" top="1.35" bottom="0.78740157499999996" header="0.31496062000000002" footer="0.31496062000000002"/>
  <pageSetup paperSize="9" scale="68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156F-8F1F-41FA-A0D4-3F89D9E1E24A}">
  <sheetPr>
    <pageSetUpPr fitToPage="1"/>
  </sheetPr>
  <dimension ref="A1:AD6"/>
  <sheetViews>
    <sheetView zoomScale="192" zoomScaleNormal="192" workbookViewId="0">
      <selection activeCell="A3" sqref="A3"/>
    </sheetView>
  </sheetViews>
  <sheetFormatPr defaultRowHeight="14.4" x14ac:dyDescent="0.3"/>
  <cols>
    <col min="1" max="1" width="6" style="33" customWidth="1"/>
    <col min="2" max="2" width="20.77734375" style="33" hidden="1" customWidth="1"/>
    <col min="3" max="3" width="7.77734375" style="33" customWidth="1"/>
    <col min="4" max="4" width="11.77734375" style="33" hidden="1" customWidth="1"/>
    <col min="5" max="5" width="8.5546875" style="33" hidden="1" customWidth="1"/>
    <col min="6" max="6" width="7.88671875" style="33" customWidth="1"/>
    <col min="7" max="7" width="8.6640625" style="33" customWidth="1"/>
    <col min="8" max="8" width="5.5546875" style="33" customWidth="1"/>
    <col min="9" max="9" width="6.88671875" style="33" customWidth="1"/>
    <col min="10" max="11" width="6.6640625" style="33" customWidth="1"/>
    <col min="12" max="12" width="12.6640625" style="33" customWidth="1"/>
    <col min="13" max="13" width="9.77734375" style="33" hidden="1" customWidth="1"/>
    <col min="14" max="14" width="8.77734375" style="33" hidden="1" customWidth="1"/>
    <col min="15" max="16" width="9.77734375" style="33" hidden="1" customWidth="1"/>
    <col min="17" max="17" width="9.109375" style="33" customWidth="1"/>
    <col min="18" max="18" width="7.88671875" style="33" customWidth="1"/>
    <col min="19" max="19" width="4.33203125" style="33" customWidth="1"/>
    <col min="20" max="20" width="5.33203125" style="33" customWidth="1"/>
    <col min="21" max="21" width="7.21875" style="33" customWidth="1"/>
    <col min="22" max="22" width="11.77734375" style="33" hidden="1" customWidth="1"/>
    <col min="23" max="23" width="8.77734375" style="33" hidden="1" customWidth="1"/>
    <col min="24" max="25" width="8.6640625" style="33" customWidth="1"/>
    <col min="26" max="26" width="8.33203125" style="33" customWidth="1"/>
    <col min="27" max="27" width="8.109375" style="33" customWidth="1"/>
    <col min="28" max="28" width="7.21875" style="33" customWidth="1"/>
    <col min="29" max="29" width="4.33203125" style="33" customWidth="1"/>
    <col min="30" max="30" width="10.109375" style="33" customWidth="1"/>
    <col min="31" max="16384" width="8.88671875" style="33"/>
  </cols>
  <sheetData>
    <row r="1" spans="1:30" ht="18" customHeight="1" x14ac:dyDescent="0.35">
      <c r="A1" s="269" t="s">
        <v>622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/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/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  <c r="AC1" s="269" t="s">
        <v>27</v>
      </c>
      <c r="AD1" s="269" t="s">
        <v>27</v>
      </c>
    </row>
    <row r="2" spans="1:30" ht="49.8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/>
      <c r="L2" s="44" t="s">
        <v>8</v>
      </c>
      <c r="M2" s="44" t="s">
        <v>9</v>
      </c>
      <c r="N2" s="44" t="s">
        <v>10</v>
      </c>
      <c r="O2" s="44" t="s">
        <v>11</v>
      </c>
      <c r="P2" s="44" t="s">
        <v>12</v>
      </c>
      <c r="Q2" s="44"/>
      <c r="R2" s="44" t="s">
        <v>13</v>
      </c>
      <c r="S2" s="44" t="s">
        <v>14</v>
      </c>
      <c r="T2" s="44" t="s">
        <v>15</v>
      </c>
      <c r="U2" s="44" t="s">
        <v>16</v>
      </c>
      <c r="V2" s="44" t="s">
        <v>17</v>
      </c>
      <c r="W2" s="44" t="s">
        <v>18</v>
      </c>
      <c r="X2" s="44" t="s">
        <v>19</v>
      </c>
      <c r="Y2" s="44" t="s">
        <v>20</v>
      </c>
      <c r="Z2" s="44" t="s">
        <v>21</v>
      </c>
      <c r="AA2" s="44" t="s">
        <v>22</v>
      </c>
      <c r="AB2" s="44" t="s">
        <v>23</v>
      </c>
      <c r="AC2" s="44" t="s">
        <v>24</v>
      </c>
      <c r="AD2" s="44" t="s">
        <v>25</v>
      </c>
    </row>
    <row r="3" spans="1:30" s="51" customFormat="1" ht="25.05" customHeight="1" x14ac:dyDescent="0.3">
      <c r="A3" s="45"/>
      <c r="B3" s="46" t="s">
        <v>60</v>
      </c>
      <c r="C3" s="45" t="s">
        <v>26</v>
      </c>
      <c r="D3" s="45" t="s">
        <v>586</v>
      </c>
      <c r="E3" s="45" t="s">
        <v>27</v>
      </c>
      <c r="F3" s="45">
        <v>262887</v>
      </c>
      <c r="G3" s="45" t="s">
        <v>617</v>
      </c>
      <c r="H3" s="45">
        <v>550</v>
      </c>
      <c r="I3" s="47">
        <v>0.51900000000000002</v>
      </c>
      <c r="J3" s="47">
        <v>1.2589999999999999</v>
      </c>
      <c r="K3" s="47"/>
      <c r="L3" s="45" t="s">
        <v>621</v>
      </c>
      <c r="M3" s="47">
        <v>359.38200000000001</v>
      </c>
      <c r="N3" s="48">
        <v>230.8</v>
      </c>
      <c r="O3" s="49">
        <v>2.1399999999999999E-2</v>
      </c>
      <c r="P3" s="50">
        <v>1.28</v>
      </c>
      <c r="Q3" s="50"/>
      <c r="R3" s="45">
        <v>193.3</v>
      </c>
      <c r="S3" s="45">
        <v>3</v>
      </c>
      <c r="T3" s="45">
        <v>1600</v>
      </c>
      <c r="U3" s="47">
        <v>1.5569999999999999</v>
      </c>
      <c r="V3" s="45">
        <v>43</v>
      </c>
      <c r="W3" s="49">
        <v>2.69E-2</v>
      </c>
      <c r="X3" s="45" t="s">
        <v>28</v>
      </c>
      <c r="Y3" s="45" t="s">
        <v>29</v>
      </c>
      <c r="Z3" s="45" t="s">
        <v>28</v>
      </c>
      <c r="AA3" s="45" t="s">
        <v>28</v>
      </c>
      <c r="AB3" s="45" t="s">
        <v>28</v>
      </c>
      <c r="AC3" s="45" t="s">
        <v>32</v>
      </c>
      <c r="AD3" s="45" t="s">
        <v>620</v>
      </c>
    </row>
    <row r="4" spans="1:30" s="51" customFormat="1" ht="25.05" customHeight="1" x14ac:dyDescent="0.3">
      <c r="A4" s="45"/>
      <c r="B4" s="46" t="s">
        <v>60</v>
      </c>
      <c r="C4" s="45" t="s">
        <v>26</v>
      </c>
      <c r="D4" s="45" t="s">
        <v>586</v>
      </c>
      <c r="E4" s="45" t="s">
        <v>27</v>
      </c>
      <c r="F4" s="45">
        <v>262889</v>
      </c>
      <c r="G4" s="45" t="s">
        <v>617</v>
      </c>
      <c r="H4" s="45">
        <v>2500</v>
      </c>
      <c r="I4" s="47">
        <v>0.434</v>
      </c>
      <c r="J4" s="47">
        <v>1.4990000000000001</v>
      </c>
      <c r="K4" s="47"/>
      <c r="L4" s="45" t="s">
        <v>619</v>
      </c>
      <c r="M4" s="47">
        <v>1626.415</v>
      </c>
      <c r="N4" s="48">
        <v>1249.2</v>
      </c>
      <c r="O4" s="49">
        <v>0.1157</v>
      </c>
      <c r="P4" s="50">
        <v>6.94</v>
      </c>
      <c r="Q4" s="50"/>
      <c r="R4" s="45">
        <v>875</v>
      </c>
      <c r="S4" s="45">
        <v>3</v>
      </c>
      <c r="T4" s="45">
        <v>1350</v>
      </c>
      <c r="U4" s="47">
        <v>1.302</v>
      </c>
      <c r="V4" s="45">
        <v>48</v>
      </c>
      <c r="W4" s="49">
        <v>3.56E-2</v>
      </c>
      <c r="X4" s="45" t="s">
        <v>28</v>
      </c>
      <c r="Y4" s="45" t="s">
        <v>29</v>
      </c>
      <c r="Z4" s="45" t="s">
        <v>28</v>
      </c>
      <c r="AA4" s="45" t="s">
        <v>28</v>
      </c>
      <c r="AB4" s="45" t="s">
        <v>28</v>
      </c>
      <c r="AC4" s="45" t="s">
        <v>54</v>
      </c>
      <c r="AD4" s="45" t="s">
        <v>618</v>
      </c>
    </row>
    <row r="5" spans="1:30" s="51" customFormat="1" ht="25.05" customHeight="1" x14ac:dyDescent="0.3">
      <c r="A5" s="45"/>
      <c r="B5" s="46" t="s">
        <v>60</v>
      </c>
      <c r="C5" s="45" t="s">
        <v>42</v>
      </c>
      <c r="D5" s="45" t="s">
        <v>586</v>
      </c>
      <c r="E5" s="45" t="s">
        <v>27</v>
      </c>
      <c r="F5" s="45">
        <v>262886</v>
      </c>
      <c r="G5" s="45" t="s">
        <v>617</v>
      </c>
      <c r="H5" s="45">
        <v>600</v>
      </c>
      <c r="I5" s="47">
        <v>0.84499999999999997</v>
      </c>
      <c r="J5" s="47">
        <v>1.589</v>
      </c>
      <c r="K5" s="47"/>
      <c r="L5" s="45" t="s">
        <v>616</v>
      </c>
      <c r="M5" s="47">
        <v>805.62300000000005</v>
      </c>
      <c r="N5" s="48">
        <v>953.4</v>
      </c>
      <c r="O5" s="49">
        <v>0.26479999999999998</v>
      </c>
      <c r="P5" s="50">
        <v>15.89</v>
      </c>
      <c r="Q5" s="50"/>
      <c r="R5" s="45">
        <v>277.89999999999998</v>
      </c>
      <c r="S5" s="45">
        <v>1</v>
      </c>
      <c r="T5" s="45">
        <v>900</v>
      </c>
      <c r="U5" s="47">
        <v>0.84499999999999997</v>
      </c>
      <c r="V5" s="45">
        <v>55</v>
      </c>
      <c r="W5" s="49">
        <v>6.1100000000000002E-2</v>
      </c>
      <c r="X5" s="45" t="s">
        <v>29</v>
      </c>
      <c r="Y5" s="45" t="s">
        <v>29</v>
      </c>
      <c r="Z5" s="45" t="s">
        <v>28</v>
      </c>
      <c r="AA5" s="45" t="s">
        <v>27</v>
      </c>
      <c r="AB5" s="45" t="s">
        <v>27</v>
      </c>
      <c r="AC5" s="45" t="s">
        <v>32</v>
      </c>
      <c r="AD5" s="45" t="s">
        <v>615</v>
      </c>
    </row>
    <row r="6" spans="1:30" s="51" customFormat="1" ht="25.05" customHeight="1" x14ac:dyDescent="0.3">
      <c r="A6" s="52" t="s">
        <v>27</v>
      </c>
      <c r="B6" s="52" t="s">
        <v>27</v>
      </c>
      <c r="C6" s="52" t="s">
        <v>27</v>
      </c>
      <c r="D6" s="52" t="s">
        <v>27</v>
      </c>
      <c r="E6" s="52" t="s">
        <v>27</v>
      </c>
      <c r="F6" s="52" t="s">
        <v>27</v>
      </c>
      <c r="G6" s="52" t="s">
        <v>27</v>
      </c>
      <c r="H6" s="52">
        <v>4900</v>
      </c>
      <c r="I6" s="52" t="s">
        <v>27</v>
      </c>
      <c r="J6" s="52" t="s">
        <v>27</v>
      </c>
      <c r="K6" s="52"/>
      <c r="L6" s="52" t="s">
        <v>27</v>
      </c>
      <c r="M6" s="52" t="s">
        <v>27</v>
      </c>
      <c r="N6" s="52" t="s">
        <v>27</v>
      </c>
      <c r="O6" s="52" t="s">
        <v>27</v>
      </c>
      <c r="P6" s="52" t="s">
        <v>27</v>
      </c>
      <c r="Q6" s="52"/>
      <c r="R6" s="52">
        <v>1856.7</v>
      </c>
      <c r="S6" s="52" t="s">
        <v>27</v>
      </c>
      <c r="T6" s="52" t="s">
        <v>27</v>
      </c>
      <c r="U6" s="52" t="s">
        <v>27</v>
      </c>
      <c r="V6" s="52" t="s">
        <v>27</v>
      </c>
      <c r="W6" s="52" t="s">
        <v>27</v>
      </c>
      <c r="X6" s="52" t="s">
        <v>27</v>
      </c>
      <c r="Y6" s="52" t="s">
        <v>27</v>
      </c>
      <c r="Z6" s="52" t="s">
        <v>27</v>
      </c>
      <c r="AA6" s="52" t="s">
        <v>27</v>
      </c>
      <c r="AB6" s="52" t="s">
        <v>27</v>
      </c>
      <c r="AC6" s="52" t="s">
        <v>27</v>
      </c>
      <c r="AD6" s="52" t="s">
        <v>27</v>
      </c>
    </row>
  </sheetData>
  <mergeCells count="1">
    <mergeCell ref="A1:AD1"/>
  </mergeCells>
  <pageMargins left="0.511811024" right="0.511811024" top="1.93" bottom="0.78740157499999996" header="0.31496062000000002" footer="0.31496062000000002"/>
  <pageSetup paperSize="9" scale="86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8BAE-FE47-4FBD-BB06-82E305150C21}">
  <sheetPr>
    <pageSetUpPr fitToPage="1"/>
  </sheetPr>
  <dimension ref="A1:AB7"/>
  <sheetViews>
    <sheetView workbookViewId="0">
      <selection activeCell="Y34" sqref="Y34"/>
    </sheetView>
  </sheetViews>
  <sheetFormatPr defaultRowHeight="14.4" x14ac:dyDescent="0.3"/>
  <cols>
    <col min="1" max="1" width="4.77734375" style="33" customWidth="1"/>
    <col min="2" max="2" width="20.77734375" style="33" hidden="1" customWidth="1"/>
    <col min="3" max="3" width="7.77734375" style="33" customWidth="1"/>
    <col min="4" max="4" width="11.77734375" style="33" hidden="1" customWidth="1"/>
    <col min="5" max="6" width="7.88671875" style="33" customWidth="1"/>
    <col min="7" max="7" width="7.21875" style="33" customWidth="1"/>
    <col min="8" max="8" width="6.5546875" style="33" customWidth="1"/>
    <col min="9" max="9" width="6.6640625" style="33" customWidth="1"/>
    <col min="10" max="10" width="6.21875" style="33" customWidth="1"/>
    <col min="11" max="11" width="10.55468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44140625" style="33" customWidth="1"/>
    <col min="17" max="17" width="3.88671875" style="33" customWidth="1"/>
    <col min="18" max="18" width="6.21875" style="33" customWidth="1"/>
    <col min="19" max="19" width="6.109375" style="33" customWidth="1"/>
    <col min="20" max="20" width="11.77734375" style="33" hidden="1" customWidth="1"/>
    <col min="21" max="21" width="8.77734375" style="33" hidden="1" customWidth="1"/>
    <col min="22" max="22" width="7.6640625" style="33" customWidth="1"/>
    <col min="23" max="24" width="7.88671875" style="33" customWidth="1"/>
    <col min="25" max="25" width="8" style="33" customWidth="1"/>
    <col min="26" max="26" width="8.44140625" style="33" customWidth="1"/>
    <col min="27" max="27" width="4.5546875" style="33" customWidth="1"/>
    <col min="28" max="28" width="11.33203125" style="33" customWidth="1"/>
    <col min="29" max="16384" width="8.88671875" style="33"/>
  </cols>
  <sheetData>
    <row r="1" spans="1:28" ht="18" customHeight="1" x14ac:dyDescent="0.35">
      <c r="A1" s="269" t="s">
        <v>614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46.2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51" customFormat="1" ht="25.05" customHeight="1" x14ac:dyDescent="0.3">
      <c r="A3" s="45"/>
      <c r="B3" s="46" t="s">
        <v>610</v>
      </c>
      <c r="C3" s="45" t="s">
        <v>35</v>
      </c>
      <c r="D3" s="45" t="s">
        <v>443</v>
      </c>
      <c r="E3" s="45" t="s">
        <v>27</v>
      </c>
      <c r="F3" s="45">
        <v>262883</v>
      </c>
      <c r="G3" s="45" t="s">
        <v>609</v>
      </c>
      <c r="H3" s="45">
        <v>1600</v>
      </c>
      <c r="I3" s="47">
        <v>0.72</v>
      </c>
      <c r="J3" s="47">
        <v>0.85</v>
      </c>
      <c r="K3" s="45" t="s">
        <v>33</v>
      </c>
      <c r="L3" s="47">
        <v>979.2</v>
      </c>
      <c r="M3" s="48">
        <v>680</v>
      </c>
      <c r="N3" s="49">
        <v>9.4399999999999998E-2</v>
      </c>
      <c r="O3" s="50">
        <v>5.67</v>
      </c>
      <c r="P3" s="45">
        <v>308.39999999999998</v>
      </c>
      <c r="Q3" s="45">
        <v>2</v>
      </c>
      <c r="R3" s="45">
        <v>1500</v>
      </c>
      <c r="S3" s="47">
        <v>1.44</v>
      </c>
      <c r="T3" s="45">
        <v>60</v>
      </c>
      <c r="U3" s="49">
        <v>0.04</v>
      </c>
      <c r="V3" s="45" t="s">
        <v>28</v>
      </c>
      <c r="W3" s="45" t="s">
        <v>28</v>
      </c>
      <c r="X3" s="45" t="s">
        <v>28</v>
      </c>
      <c r="Y3" s="45" t="s">
        <v>27</v>
      </c>
      <c r="Z3" s="45" t="s">
        <v>27</v>
      </c>
      <c r="AA3" s="45" t="s">
        <v>32</v>
      </c>
      <c r="AB3" s="45" t="s">
        <v>613</v>
      </c>
    </row>
    <row r="4" spans="1:28" s="51" customFormat="1" ht="25.05" customHeight="1" x14ac:dyDescent="0.3">
      <c r="A4" s="45"/>
      <c r="B4" s="46" t="s">
        <v>610</v>
      </c>
      <c r="C4" s="45" t="s">
        <v>42</v>
      </c>
      <c r="D4" s="45" t="s">
        <v>443</v>
      </c>
      <c r="E4" s="45" t="s">
        <v>27</v>
      </c>
      <c r="F4" s="45">
        <v>262882</v>
      </c>
      <c r="G4" s="45" t="s">
        <v>609</v>
      </c>
      <c r="H4" s="45">
        <v>3000</v>
      </c>
      <c r="I4" s="47">
        <v>0.45500000000000002</v>
      </c>
      <c r="J4" s="47">
        <v>0.64</v>
      </c>
      <c r="K4" s="45" t="s">
        <v>33</v>
      </c>
      <c r="L4" s="47">
        <v>873.6</v>
      </c>
      <c r="M4" s="48">
        <v>640</v>
      </c>
      <c r="N4" s="49">
        <v>5.9299999999999999E-2</v>
      </c>
      <c r="O4" s="50">
        <v>3.56</v>
      </c>
      <c r="P4" s="45">
        <v>301.39999999999998</v>
      </c>
      <c r="Q4" s="45">
        <v>3</v>
      </c>
      <c r="R4" s="45">
        <v>1400</v>
      </c>
      <c r="S4" s="47">
        <v>1.365</v>
      </c>
      <c r="T4" s="45">
        <v>35</v>
      </c>
      <c r="U4" s="49">
        <v>2.5000000000000001E-2</v>
      </c>
      <c r="V4" s="45" t="s">
        <v>29</v>
      </c>
      <c r="W4" s="45" t="s">
        <v>29</v>
      </c>
      <c r="X4" s="45" t="s">
        <v>28</v>
      </c>
      <c r="Y4" s="45" t="s">
        <v>27</v>
      </c>
      <c r="Z4" s="45" t="s">
        <v>27</v>
      </c>
      <c r="AA4" s="45" t="s">
        <v>32</v>
      </c>
      <c r="AB4" s="45" t="s">
        <v>612</v>
      </c>
    </row>
    <row r="5" spans="1:28" s="51" customFormat="1" ht="25.05" customHeight="1" x14ac:dyDescent="0.3">
      <c r="A5" s="45"/>
      <c r="B5" s="46" t="s">
        <v>610</v>
      </c>
      <c r="C5" s="45" t="s">
        <v>42</v>
      </c>
      <c r="D5" s="45" t="s">
        <v>443</v>
      </c>
      <c r="E5" s="45" t="s">
        <v>27</v>
      </c>
      <c r="F5" s="45">
        <v>262880</v>
      </c>
      <c r="G5" s="45" t="s">
        <v>609</v>
      </c>
      <c r="H5" s="45">
        <v>1600</v>
      </c>
      <c r="I5" s="47">
        <v>0.57699999999999996</v>
      </c>
      <c r="J5" s="47">
        <v>1.1100000000000001</v>
      </c>
      <c r="K5" s="45" t="s">
        <v>608</v>
      </c>
      <c r="L5" s="47">
        <v>1024.752</v>
      </c>
      <c r="M5" s="48">
        <v>888</v>
      </c>
      <c r="N5" s="49">
        <v>0.12330000000000001</v>
      </c>
      <c r="O5" s="50">
        <v>7.4</v>
      </c>
      <c r="P5" s="45">
        <v>353.5</v>
      </c>
      <c r="Q5" s="45">
        <v>2</v>
      </c>
      <c r="R5" s="45">
        <v>1200</v>
      </c>
      <c r="S5" s="47">
        <v>1.1539999999999999</v>
      </c>
      <c r="T5" s="45">
        <v>46</v>
      </c>
      <c r="U5" s="49">
        <v>3.8300000000000001E-2</v>
      </c>
      <c r="V5" s="45" t="s">
        <v>29</v>
      </c>
      <c r="W5" s="45" t="s">
        <v>29</v>
      </c>
      <c r="X5" s="45" t="s">
        <v>28</v>
      </c>
      <c r="Y5" s="45" t="s">
        <v>27</v>
      </c>
      <c r="Z5" s="45" t="s">
        <v>27</v>
      </c>
      <c r="AA5" s="45" t="s">
        <v>32</v>
      </c>
      <c r="AB5" s="45" t="s">
        <v>611</v>
      </c>
    </row>
    <row r="6" spans="1:28" s="51" customFormat="1" ht="25.05" customHeight="1" x14ac:dyDescent="0.3">
      <c r="A6" s="45"/>
      <c r="B6" s="46" t="s">
        <v>610</v>
      </c>
      <c r="C6" s="45" t="s">
        <v>42</v>
      </c>
      <c r="D6" s="45" t="s">
        <v>443</v>
      </c>
      <c r="E6" s="45" t="s">
        <v>27</v>
      </c>
      <c r="F6" s="45">
        <v>262881</v>
      </c>
      <c r="G6" s="45" t="s">
        <v>609</v>
      </c>
      <c r="H6" s="45">
        <v>2500</v>
      </c>
      <c r="I6" s="47">
        <v>0.57699999999999996</v>
      </c>
      <c r="J6" s="47">
        <v>0.84</v>
      </c>
      <c r="K6" s="45" t="s">
        <v>608</v>
      </c>
      <c r="L6" s="47">
        <v>1211.7</v>
      </c>
      <c r="M6" s="48">
        <v>1050</v>
      </c>
      <c r="N6" s="49">
        <v>0.14580000000000001</v>
      </c>
      <c r="O6" s="50">
        <v>8.75</v>
      </c>
      <c r="P6" s="45">
        <v>418</v>
      </c>
      <c r="Q6" s="45">
        <v>2</v>
      </c>
      <c r="R6" s="45">
        <v>1200</v>
      </c>
      <c r="S6" s="47">
        <v>1.1539999999999999</v>
      </c>
      <c r="T6" s="45">
        <v>46</v>
      </c>
      <c r="U6" s="49">
        <v>3.8300000000000001E-2</v>
      </c>
      <c r="V6" s="45" t="s">
        <v>29</v>
      </c>
      <c r="W6" s="45" t="s">
        <v>29</v>
      </c>
      <c r="X6" s="45" t="s">
        <v>28</v>
      </c>
      <c r="Y6" s="45" t="s">
        <v>27</v>
      </c>
      <c r="Z6" s="45" t="s">
        <v>27</v>
      </c>
      <c r="AA6" s="45" t="s">
        <v>32</v>
      </c>
      <c r="AB6" s="45" t="s">
        <v>607</v>
      </c>
    </row>
    <row r="7" spans="1:28" s="51" customFormat="1" ht="25.05" customHeight="1" x14ac:dyDescent="0.3">
      <c r="A7" s="52" t="s">
        <v>27</v>
      </c>
      <c r="B7" s="52" t="s">
        <v>27</v>
      </c>
      <c r="C7" s="52" t="s">
        <v>27</v>
      </c>
      <c r="D7" s="52" t="s">
        <v>27</v>
      </c>
      <c r="E7" s="52" t="s">
        <v>27</v>
      </c>
      <c r="F7" s="52" t="s">
        <v>27</v>
      </c>
      <c r="G7" s="52" t="s">
        <v>27</v>
      </c>
      <c r="H7" s="52">
        <v>8700</v>
      </c>
      <c r="I7" s="52" t="s">
        <v>27</v>
      </c>
      <c r="J7" s="52" t="s">
        <v>27</v>
      </c>
      <c r="K7" s="52" t="s">
        <v>27</v>
      </c>
      <c r="L7" s="52" t="s">
        <v>27</v>
      </c>
      <c r="M7" s="52" t="s">
        <v>27</v>
      </c>
      <c r="N7" s="52" t="s">
        <v>27</v>
      </c>
      <c r="O7" s="52" t="s">
        <v>27</v>
      </c>
      <c r="P7" s="52">
        <v>1381.4</v>
      </c>
      <c r="Q7" s="52" t="s">
        <v>27</v>
      </c>
      <c r="R7" s="52" t="s">
        <v>27</v>
      </c>
      <c r="S7" s="52" t="s">
        <v>27</v>
      </c>
      <c r="T7" s="52" t="s">
        <v>27</v>
      </c>
      <c r="U7" s="52" t="s">
        <v>27</v>
      </c>
      <c r="V7" s="52" t="s">
        <v>27</v>
      </c>
      <c r="W7" s="52" t="s">
        <v>27</v>
      </c>
      <c r="X7" s="52" t="s">
        <v>27</v>
      </c>
      <c r="Y7" s="52" t="s">
        <v>27</v>
      </c>
      <c r="Z7" s="52" t="s">
        <v>27</v>
      </c>
      <c r="AA7" s="52" t="s">
        <v>27</v>
      </c>
      <c r="AB7" s="52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4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67D4-E105-4895-ACA6-545D75EA7908}">
  <sheetPr>
    <pageSetUpPr fitToPage="1"/>
  </sheetPr>
  <dimension ref="A1:AB8"/>
  <sheetViews>
    <sheetView workbookViewId="0">
      <selection activeCell="Q10" sqref="Q10"/>
    </sheetView>
  </sheetViews>
  <sheetFormatPr defaultRowHeight="14.4" x14ac:dyDescent="0.3"/>
  <cols>
    <col min="1" max="1" width="5.21875" style="1" customWidth="1"/>
    <col min="2" max="2" width="20.77734375" style="1" hidden="1" customWidth="1"/>
    <col min="3" max="3" width="6.44140625" style="1" customWidth="1"/>
    <col min="4" max="4" width="11.77734375" style="1" hidden="1" customWidth="1"/>
    <col min="5" max="5" width="8.109375" style="1" customWidth="1"/>
    <col min="6" max="6" width="7.6640625" style="1" customWidth="1"/>
    <col min="7" max="7" width="7.77734375" style="1" customWidth="1"/>
    <col min="8" max="9" width="6.5546875" style="1" customWidth="1"/>
    <col min="10" max="10" width="6.109375" style="1" customWidth="1"/>
    <col min="11" max="11" width="18.7773437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6.21875" style="1" customWidth="1"/>
    <col min="17" max="17" width="4.44140625" style="1" customWidth="1"/>
    <col min="18" max="18" width="5.77734375" style="1" customWidth="1"/>
    <col min="19" max="19" width="6.44140625" style="1" customWidth="1"/>
    <col min="20" max="20" width="11.77734375" style="1" hidden="1" customWidth="1"/>
    <col min="21" max="21" width="8.77734375" style="1" hidden="1" customWidth="1"/>
    <col min="22" max="22" width="7.21875" style="1" customWidth="1"/>
    <col min="23" max="23" width="8.6640625" style="1" customWidth="1"/>
    <col min="24" max="24" width="7.88671875" style="1" customWidth="1"/>
    <col min="25" max="25" width="8.109375" style="1" customWidth="1"/>
    <col min="26" max="26" width="9.21875" style="1" customWidth="1"/>
    <col min="27" max="27" width="4.88671875" style="1" customWidth="1"/>
    <col min="28" max="28" width="11.109375" style="1" customWidth="1"/>
    <col min="29" max="16384" width="8.88671875" style="1"/>
  </cols>
  <sheetData>
    <row r="1" spans="1:28" ht="18" customHeight="1" x14ac:dyDescent="0.35">
      <c r="A1" s="267" t="s">
        <v>606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</row>
    <row r="2" spans="1:28" ht="46.2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53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</row>
    <row r="3" spans="1:28" s="12" customFormat="1" ht="25.05" customHeight="1" x14ac:dyDescent="0.3">
      <c r="A3" s="5"/>
      <c r="B3" s="10" t="s">
        <v>600</v>
      </c>
      <c r="C3" s="5" t="s">
        <v>35</v>
      </c>
      <c r="D3" s="5" t="s">
        <v>599</v>
      </c>
      <c r="E3" s="5" t="s">
        <v>27</v>
      </c>
      <c r="F3" s="5">
        <v>262876</v>
      </c>
      <c r="G3" s="5" t="s">
        <v>598</v>
      </c>
      <c r="H3" s="5">
        <v>500</v>
      </c>
      <c r="I3" s="7">
        <v>0.46</v>
      </c>
      <c r="J3" s="7">
        <v>1.57</v>
      </c>
      <c r="K3" s="5" t="s">
        <v>605</v>
      </c>
      <c r="L3" s="7">
        <v>361.1</v>
      </c>
      <c r="M3" s="9">
        <v>261.7</v>
      </c>
      <c r="N3" s="6">
        <v>2.4199999999999999E-2</v>
      </c>
      <c r="O3" s="8">
        <v>1.45</v>
      </c>
      <c r="P3" s="5">
        <v>113.7</v>
      </c>
      <c r="Q3" s="5">
        <v>3</v>
      </c>
      <c r="R3" s="5">
        <v>1400</v>
      </c>
      <c r="S3" s="7">
        <v>1.38</v>
      </c>
      <c r="T3" s="5">
        <v>20</v>
      </c>
      <c r="U3" s="6">
        <v>1.43E-2</v>
      </c>
      <c r="V3" s="5" t="s">
        <v>28</v>
      </c>
      <c r="W3" s="5" t="s">
        <v>28</v>
      </c>
      <c r="X3" s="5" t="s">
        <v>28</v>
      </c>
      <c r="Y3" s="5" t="s">
        <v>27</v>
      </c>
      <c r="Z3" s="5" t="s">
        <v>27</v>
      </c>
      <c r="AA3" s="5" t="s">
        <v>38</v>
      </c>
      <c r="AB3" s="5" t="s">
        <v>604</v>
      </c>
    </row>
    <row r="4" spans="1:28" s="12" customFormat="1" ht="25.05" customHeight="1" x14ac:dyDescent="0.3">
      <c r="A4" s="5"/>
      <c r="B4" s="10" t="s">
        <v>600</v>
      </c>
      <c r="C4" s="5" t="s">
        <v>35</v>
      </c>
      <c r="D4" s="5" t="s">
        <v>599</v>
      </c>
      <c r="E4" s="5" t="s">
        <v>27</v>
      </c>
      <c r="F4" s="5">
        <v>262878</v>
      </c>
      <c r="G4" s="5" t="s">
        <v>598</v>
      </c>
      <c r="H4" s="5">
        <v>2000</v>
      </c>
      <c r="I4" s="7">
        <v>0.33400000000000002</v>
      </c>
      <c r="J4" s="7">
        <v>1.24</v>
      </c>
      <c r="K4" s="5" t="s">
        <v>603</v>
      </c>
      <c r="L4" s="7">
        <v>828.32</v>
      </c>
      <c r="M4" s="9">
        <v>620</v>
      </c>
      <c r="N4" s="6">
        <v>4.3099999999999999E-2</v>
      </c>
      <c r="O4" s="8">
        <v>2.58</v>
      </c>
      <c r="P4" s="5">
        <v>260.89999999999998</v>
      </c>
      <c r="Q4" s="5">
        <v>4</v>
      </c>
      <c r="R4" s="5">
        <v>1400</v>
      </c>
      <c r="S4" s="7">
        <v>1.3360000000000001</v>
      </c>
      <c r="T4" s="5">
        <v>64</v>
      </c>
      <c r="U4" s="6">
        <v>4.5699999999999998E-2</v>
      </c>
      <c r="V4" s="5" t="s">
        <v>28</v>
      </c>
      <c r="W4" s="5" t="s">
        <v>28</v>
      </c>
      <c r="X4" s="5" t="s">
        <v>28</v>
      </c>
      <c r="Y4" s="5" t="s">
        <v>27</v>
      </c>
      <c r="Z4" s="5" t="s">
        <v>27</v>
      </c>
      <c r="AA4" s="5" t="s">
        <v>32</v>
      </c>
      <c r="AB4" s="5" t="s">
        <v>602</v>
      </c>
    </row>
    <row r="5" spans="1:28" s="12" customFormat="1" ht="25.05" customHeight="1" x14ac:dyDescent="0.3">
      <c r="A5" s="5"/>
      <c r="B5" s="10" t="s">
        <v>600</v>
      </c>
      <c r="C5" s="5" t="s">
        <v>35</v>
      </c>
      <c r="D5" s="5" t="s">
        <v>599</v>
      </c>
      <c r="E5" s="5" t="s">
        <v>27</v>
      </c>
      <c r="F5" s="5">
        <v>262879</v>
      </c>
      <c r="G5" s="5" t="s">
        <v>598</v>
      </c>
      <c r="H5" s="5">
        <v>2000</v>
      </c>
      <c r="I5" s="7">
        <v>0.40400000000000003</v>
      </c>
      <c r="J5" s="7">
        <v>1.39</v>
      </c>
      <c r="K5" s="5" t="s">
        <v>78</v>
      </c>
      <c r="L5" s="7">
        <v>1123.1199999999999</v>
      </c>
      <c r="M5" s="9">
        <v>926.7</v>
      </c>
      <c r="N5" s="6">
        <v>8.5800000000000001E-2</v>
      </c>
      <c r="O5" s="8">
        <v>5.15</v>
      </c>
      <c r="P5" s="5">
        <v>353.8</v>
      </c>
      <c r="Q5" s="5">
        <v>3</v>
      </c>
      <c r="R5" s="5">
        <v>1250</v>
      </c>
      <c r="S5" s="7">
        <v>1.212</v>
      </c>
      <c r="T5" s="5">
        <v>38</v>
      </c>
      <c r="U5" s="6">
        <v>3.04E-2</v>
      </c>
      <c r="V5" s="5" t="s">
        <v>28</v>
      </c>
      <c r="W5" s="5" t="s">
        <v>28</v>
      </c>
      <c r="X5" s="5" t="s">
        <v>28</v>
      </c>
      <c r="Y5" s="5" t="s">
        <v>27</v>
      </c>
      <c r="Z5" s="5" t="s">
        <v>27</v>
      </c>
      <c r="AA5" s="5" t="s">
        <v>30</v>
      </c>
      <c r="AB5" s="5" t="s">
        <v>77</v>
      </c>
    </row>
    <row r="6" spans="1:28" s="12" customFormat="1" ht="25.05" customHeight="1" x14ac:dyDescent="0.3">
      <c r="A6" s="5"/>
      <c r="B6" s="10" t="s">
        <v>600</v>
      </c>
      <c r="C6" s="5" t="s">
        <v>35</v>
      </c>
      <c r="D6" s="5" t="s">
        <v>599</v>
      </c>
      <c r="E6" s="5" t="s">
        <v>27</v>
      </c>
      <c r="F6" s="5">
        <v>262875</v>
      </c>
      <c r="G6" s="5" t="s">
        <v>598</v>
      </c>
      <c r="H6" s="5">
        <v>8000</v>
      </c>
      <c r="I6" s="7">
        <v>0.41</v>
      </c>
      <c r="J6" s="7">
        <v>0.59</v>
      </c>
      <c r="K6" s="5" t="s">
        <v>601</v>
      </c>
      <c r="L6" s="7">
        <v>1935.2</v>
      </c>
      <c r="M6" s="9">
        <v>2360</v>
      </c>
      <c r="N6" s="6">
        <v>0.32779999999999998</v>
      </c>
      <c r="O6" s="8">
        <v>19.670000000000002</v>
      </c>
      <c r="P6" s="5">
        <v>609.6</v>
      </c>
      <c r="Q6" s="5">
        <v>2</v>
      </c>
      <c r="R6" s="5">
        <v>850</v>
      </c>
      <c r="S6" s="7">
        <v>0.82</v>
      </c>
      <c r="T6" s="5">
        <v>30</v>
      </c>
      <c r="U6" s="6">
        <v>3.5299999999999998E-2</v>
      </c>
      <c r="V6" s="5" t="s">
        <v>28</v>
      </c>
      <c r="W6" s="5" t="s">
        <v>28</v>
      </c>
      <c r="X6" s="5" t="s">
        <v>28</v>
      </c>
      <c r="Y6" s="5" t="s">
        <v>27</v>
      </c>
      <c r="Z6" s="5" t="s">
        <v>27</v>
      </c>
      <c r="AA6" s="5" t="s">
        <v>30</v>
      </c>
      <c r="AB6" s="5" t="s">
        <v>73</v>
      </c>
    </row>
    <row r="7" spans="1:28" s="12" customFormat="1" ht="25.05" customHeight="1" x14ac:dyDescent="0.3">
      <c r="A7" s="5"/>
      <c r="B7" s="10" t="s">
        <v>600</v>
      </c>
      <c r="C7" s="5" t="s">
        <v>35</v>
      </c>
      <c r="D7" s="5" t="s">
        <v>599</v>
      </c>
      <c r="E7" s="5" t="s">
        <v>27</v>
      </c>
      <c r="F7" s="5">
        <v>262877</v>
      </c>
      <c r="G7" s="5" t="s">
        <v>598</v>
      </c>
      <c r="H7" s="5">
        <v>4000</v>
      </c>
      <c r="I7" s="7">
        <v>0.37</v>
      </c>
      <c r="J7" s="7">
        <v>0.59399999999999997</v>
      </c>
      <c r="K7" s="5" t="s">
        <v>597</v>
      </c>
      <c r="L7" s="7">
        <v>879.12</v>
      </c>
      <c r="M7" s="9">
        <v>1188</v>
      </c>
      <c r="N7" s="6">
        <v>0.16500000000000001</v>
      </c>
      <c r="O7" s="8">
        <v>9.9</v>
      </c>
      <c r="P7" s="5">
        <v>276.89999999999998</v>
      </c>
      <c r="Q7" s="5">
        <v>2</v>
      </c>
      <c r="R7" s="5">
        <v>800</v>
      </c>
      <c r="S7" s="7">
        <v>0.74</v>
      </c>
      <c r="T7" s="5">
        <v>60</v>
      </c>
      <c r="U7" s="6">
        <v>7.4999999999999997E-2</v>
      </c>
      <c r="V7" s="5" t="s">
        <v>28</v>
      </c>
      <c r="W7" s="5" t="s">
        <v>28</v>
      </c>
      <c r="X7" s="5" t="s">
        <v>28</v>
      </c>
      <c r="Y7" s="5" t="s">
        <v>27</v>
      </c>
      <c r="Z7" s="5" t="s">
        <v>27</v>
      </c>
      <c r="AA7" s="5" t="s">
        <v>32</v>
      </c>
      <c r="AB7" s="5" t="s">
        <v>596</v>
      </c>
    </row>
    <row r="8" spans="1:28" s="12" customFormat="1" ht="25.05" customHeight="1" x14ac:dyDescent="0.3">
      <c r="A8" s="11" t="s">
        <v>27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>
        <v>16500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>
        <v>1615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</row>
  </sheetData>
  <mergeCells count="1">
    <mergeCell ref="A1:AB1"/>
  </mergeCells>
  <pageMargins left="0.511811024" right="0.511811024" top="1.18" bottom="0.78740157499999996" header="0.31496062000000002" footer="0.31496062000000002"/>
  <pageSetup paperSize="9" scale="89"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2235-C567-41A3-8266-0293935D38B1}">
  <sheetPr>
    <pageSetUpPr fitToPage="1"/>
  </sheetPr>
  <dimension ref="A1:AB4"/>
  <sheetViews>
    <sheetView workbookViewId="0">
      <selection activeCell="AG30" sqref="AG30"/>
    </sheetView>
  </sheetViews>
  <sheetFormatPr defaultRowHeight="14.4" x14ac:dyDescent="0.3"/>
  <cols>
    <col min="1" max="1" width="4" style="33" customWidth="1"/>
    <col min="2" max="2" width="20.77734375" style="33" hidden="1" customWidth="1"/>
    <col min="3" max="3" width="6.88671875" style="33" customWidth="1"/>
    <col min="4" max="4" width="11.77734375" style="33" hidden="1" customWidth="1"/>
    <col min="5" max="5" width="8.33203125" style="33" customWidth="1"/>
    <col min="6" max="6" width="7.33203125" style="33" customWidth="1"/>
    <col min="7" max="7" width="7.77734375" style="33" customWidth="1"/>
    <col min="8" max="8" width="3.77734375" style="33" customWidth="1"/>
    <col min="9" max="9" width="7.21875" style="33" customWidth="1"/>
    <col min="10" max="10" width="6" style="33" customWidth="1"/>
    <col min="11" max="11" width="8.777343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5.21875" style="33" customWidth="1"/>
    <col min="17" max="17" width="4.21875" style="33" customWidth="1"/>
    <col min="18" max="18" width="5.44140625" style="33" customWidth="1"/>
    <col min="19" max="19" width="6.5546875" style="33" customWidth="1"/>
    <col min="20" max="20" width="11.77734375" style="33" hidden="1" customWidth="1"/>
    <col min="21" max="21" width="8.77734375" style="33" hidden="1" customWidth="1"/>
    <col min="22" max="22" width="8.33203125" style="33" customWidth="1"/>
    <col min="23" max="23" width="8.109375" style="33" customWidth="1"/>
    <col min="24" max="24" width="7" style="33" customWidth="1"/>
    <col min="25" max="25" width="8" style="33" customWidth="1"/>
    <col min="26" max="26" width="7.5546875" style="33" customWidth="1"/>
    <col min="27" max="27" width="4" style="33" customWidth="1"/>
    <col min="28" max="28" width="9.5546875" style="33" customWidth="1"/>
    <col min="29" max="16384" width="8.88671875" style="33"/>
  </cols>
  <sheetData>
    <row r="1" spans="1:28" ht="18" customHeight="1" x14ac:dyDescent="0.35">
      <c r="A1" s="269" t="s">
        <v>595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54.6" customHeight="1" x14ac:dyDescent="0.3">
      <c r="A2" s="161" t="s">
        <v>0</v>
      </c>
      <c r="B2" s="161" t="s">
        <v>36</v>
      </c>
      <c r="C2" s="161" t="s">
        <v>1</v>
      </c>
      <c r="D2" s="161" t="s">
        <v>2</v>
      </c>
      <c r="E2" s="161" t="s">
        <v>3</v>
      </c>
      <c r="F2" s="161" t="s">
        <v>53</v>
      </c>
      <c r="G2" s="161" t="s">
        <v>4</v>
      </c>
      <c r="H2" s="161" t="s">
        <v>5</v>
      </c>
      <c r="I2" s="161" t="s">
        <v>6</v>
      </c>
      <c r="J2" s="161" t="s">
        <v>7</v>
      </c>
      <c r="K2" s="161" t="s">
        <v>8</v>
      </c>
      <c r="L2" s="161" t="s">
        <v>9</v>
      </c>
      <c r="M2" s="161" t="s">
        <v>10</v>
      </c>
      <c r="N2" s="161" t="s">
        <v>11</v>
      </c>
      <c r="O2" s="161" t="s">
        <v>12</v>
      </c>
      <c r="P2" s="161" t="s">
        <v>13</v>
      </c>
      <c r="Q2" s="161" t="s">
        <v>14</v>
      </c>
      <c r="R2" s="161" t="s">
        <v>15</v>
      </c>
      <c r="S2" s="161" t="s">
        <v>16</v>
      </c>
      <c r="T2" s="161" t="s">
        <v>17</v>
      </c>
      <c r="U2" s="161" t="s">
        <v>18</v>
      </c>
      <c r="V2" s="161" t="s">
        <v>19</v>
      </c>
      <c r="W2" s="161" t="s">
        <v>20</v>
      </c>
      <c r="X2" s="161" t="s">
        <v>21</v>
      </c>
      <c r="Y2" s="161" t="s">
        <v>22</v>
      </c>
      <c r="Z2" s="161" t="s">
        <v>23</v>
      </c>
      <c r="AA2" s="161" t="s">
        <v>24</v>
      </c>
      <c r="AB2" s="161" t="s">
        <v>25</v>
      </c>
    </row>
    <row r="3" spans="1:28" x14ac:dyDescent="0.3">
      <c r="A3" s="158">
        <v>1</v>
      </c>
      <c r="B3" s="160" t="s">
        <v>93</v>
      </c>
      <c r="C3" s="158" t="s">
        <v>35</v>
      </c>
      <c r="D3" s="158" t="s">
        <v>576</v>
      </c>
      <c r="E3" s="158" t="s">
        <v>27</v>
      </c>
      <c r="F3" s="158">
        <v>262874</v>
      </c>
      <c r="G3" s="158" t="s">
        <v>527</v>
      </c>
      <c r="H3" s="158">
        <v>10</v>
      </c>
      <c r="I3" s="159">
        <v>0.6</v>
      </c>
      <c r="J3" s="159">
        <v>1.33</v>
      </c>
      <c r="K3" s="158" t="s">
        <v>33</v>
      </c>
      <c r="L3" s="155">
        <v>7.98</v>
      </c>
      <c r="M3" s="157">
        <v>6.7</v>
      </c>
      <c r="N3" s="154">
        <v>8.9999999999999998E-4</v>
      </c>
      <c r="O3" s="156">
        <v>0.06</v>
      </c>
      <c r="P3" s="153">
        <v>2.5</v>
      </c>
      <c r="Q3" s="153">
        <v>2</v>
      </c>
      <c r="R3" s="153">
        <v>1250</v>
      </c>
      <c r="S3" s="155">
        <v>1.2</v>
      </c>
      <c r="T3" s="153">
        <v>50</v>
      </c>
      <c r="U3" s="154">
        <v>0.04</v>
      </c>
      <c r="V3" s="153" t="s">
        <v>28</v>
      </c>
      <c r="W3" s="153" t="s">
        <v>28</v>
      </c>
      <c r="X3" s="153" t="s">
        <v>28</v>
      </c>
      <c r="Y3" s="153" t="s">
        <v>27</v>
      </c>
      <c r="Z3" s="153" t="s">
        <v>27</v>
      </c>
      <c r="AA3" s="153" t="s">
        <v>38</v>
      </c>
      <c r="AB3" s="153" t="s">
        <v>594</v>
      </c>
    </row>
    <row r="4" spans="1:28" x14ac:dyDescent="0.3">
      <c r="A4" s="152" t="s">
        <v>27</v>
      </c>
      <c r="B4" s="152" t="s">
        <v>27</v>
      </c>
      <c r="C4" s="152" t="s">
        <v>27</v>
      </c>
      <c r="D4" s="152" t="s">
        <v>27</v>
      </c>
      <c r="E4" s="152" t="s">
        <v>27</v>
      </c>
      <c r="F4" s="152" t="s">
        <v>27</v>
      </c>
      <c r="G4" s="152" t="s">
        <v>27</v>
      </c>
      <c r="H4" s="152">
        <v>10</v>
      </c>
      <c r="I4" s="152" t="s">
        <v>27</v>
      </c>
      <c r="J4" s="152" t="s">
        <v>27</v>
      </c>
      <c r="K4" s="152" t="s">
        <v>27</v>
      </c>
      <c r="L4" s="151" t="s">
        <v>27</v>
      </c>
      <c r="M4" s="151" t="s">
        <v>27</v>
      </c>
      <c r="N4" s="151" t="s">
        <v>27</v>
      </c>
      <c r="O4" s="151" t="s">
        <v>27</v>
      </c>
      <c r="P4" s="151">
        <v>2.5</v>
      </c>
      <c r="Q4" s="151" t="s">
        <v>27</v>
      </c>
      <c r="R4" s="151" t="s">
        <v>27</v>
      </c>
      <c r="S4" s="151" t="s">
        <v>27</v>
      </c>
      <c r="T4" s="151" t="s">
        <v>27</v>
      </c>
      <c r="U4" s="151" t="s">
        <v>27</v>
      </c>
      <c r="V4" s="151" t="s">
        <v>27</v>
      </c>
      <c r="W4" s="151" t="s">
        <v>27</v>
      </c>
      <c r="X4" s="151" t="s">
        <v>27</v>
      </c>
      <c r="Y4" s="151" t="s">
        <v>27</v>
      </c>
      <c r="Z4" s="151" t="s">
        <v>27</v>
      </c>
      <c r="AA4" s="151" t="s">
        <v>27</v>
      </c>
      <c r="AB4" s="151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B3B9-8120-44A3-A90A-291F01CD8DD1}">
  <sheetPr>
    <pageSetUpPr fitToPage="1"/>
  </sheetPr>
  <dimension ref="A1:AB5"/>
  <sheetViews>
    <sheetView workbookViewId="0">
      <selection sqref="A1:AB1"/>
    </sheetView>
  </sheetViews>
  <sheetFormatPr defaultRowHeight="14.4" x14ac:dyDescent="0.3"/>
  <cols>
    <col min="1" max="1" width="4.44140625" style="1" customWidth="1"/>
    <col min="2" max="2" width="20.77734375" style="1" hidden="1" customWidth="1"/>
    <col min="3" max="3" width="7.77734375" style="1" customWidth="1"/>
    <col min="4" max="4" width="11.77734375" style="1" hidden="1" customWidth="1"/>
    <col min="5" max="5" width="10.77734375" style="1" customWidth="1"/>
    <col min="6" max="6" width="7.33203125" style="1" customWidth="1"/>
    <col min="7" max="7" width="5.5546875" style="1" customWidth="1"/>
    <col min="8" max="8" width="6" style="1" customWidth="1"/>
    <col min="9" max="9" width="5.5546875" style="1" customWidth="1"/>
    <col min="10" max="10" width="6.109375" style="1" customWidth="1"/>
    <col min="11" max="11" width="7.664062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6.77734375" style="1" customWidth="1"/>
    <col min="17" max="17" width="4" style="1" customWidth="1"/>
    <col min="18" max="18" width="6" style="1" customWidth="1"/>
    <col min="19" max="19" width="6.88671875" style="1" customWidth="1"/>
    <col min="20" max="20" width="11.77734375" style="1" hidden="1" customWidth="1"/>
    <col min="21" max="21" width="8.77734375" style="1" hidden="1" customWidth="1"/>
    <col min="22" max="22" width="8.77734375" style="1" customWidth="1"/>
    <col min="23" max="23" width="8.109375" style="1" customWidth="1"/>
    <col min="24" max="24" width="7.33203125" style="1" customWidth="1"/>
    <col min="25" max="25" width="8" style="1" customWidth="1"/>
    <col min="26" max="26" width="8.44140625" style="1" customWidth="1"/>
    <col min="27" max="27" width="3.6640625" style="1" customWidth="1"/>
    <col min="28" max="28" width="10.44140625" style="1" customWidth="1"/>
    <col min="29" max="16384" width="8.88671875" style="1"/>
  </cols>
  <sheetData>
    <row r="1" spans="1:28" ht="18" customHeight="1" x14ac:dyDescent="0.35">
      <c r="A1" s="267" t="s">
        <v>585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</row>
    <row r="2" spans="1:28" ht="56.4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53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</row>
    <row r="3" spans="1:28" x14ac:dyDescent="0.3">
      <c r="A3" s="126">
        <v>1</v>
      </c>
      <c r="B3" s="128" t="s">
        <v>582</v>
      </c>
      <c r="C3" s="126" t="s">
        <v>581</v>
      </c>
      <c r="D3" s="126" t="s">
        <v>576</v>
      </c>
      <c r="E3" s="126" t="s">
        <v>27</v>
      </c>
      <c r="F3" s="126">
        <v>262868</v>
      </c>
      <c r="G3" s="126" t="s">
        <v>584</v>
      </c>
      <c r="H3" s="126">
        <v>2000</v>
      </c>
      <c r="I3" s="127">
        <v>0.72</v>
      </c>
      <c r="J3" s="127">
        <v>0.72</v>
      </c>
      <c r="K3" s="126" t="s">
        <v>33</v>
      </c>
      <c r="L3" s="123">
        <v>1036.8</v>
      </c>
      <c r="M3" s="125">
        <v>720</v>
      </c>
      <c r="N3" s="122">
        <v>0.1</v>
      </c>
      <c r="O3" s="124">
        <v>6</v>
      </c>
      <c r="P3" s="121">
        <v>402.3</v>
      </c>
      <c r="Q3" s="121">
        <v>2</v>
      </c>
      <c r="R3" s="121">
        <v>1500</v>
      </c>
      <c r="S3" s="123">
        <v>1.44</v>
      </c>
      <c r="T3" s="121">
        <v>60</v>
      </c>
      <c r="U3" s="122">
        <v>0.04</v>
      </c>
      <c r="V3" s="121" t="s">
        <v>37</v>
      </c>
      <c r="W3" s="121" t="s">
        <v>29</v>
      </c>
      <c r="X3" s="121" t="s">
        <v>29</v>
      </c>
      <c r="Y3" s="121" t="s">
        <v>27</v>
      </c>
      <c r="Z3" s="121" t="s">
        <v>27</v>
      </c>
      <c r="AA3" s="121" t="s">
        <v>32</v>
      </c>
      <c r="AB3" s="121" t="s">
        <v>583</v>
      </c>
    </row>
    <row r="4" spans="1:28" x14ac:dyDescent="0.3">
      <c r="A4" s="126">
        <v>2</v>
      </c>
      <c r="B4" s="128" t="s">
        <v>582</v>
      </c>
      <c r="C4" s="126" t="s">
        <v>581</v>
      </c>
      <c r="D4" s="126" t="s">
        <v>576</v>
      </c>
      <c r="E4" s="126" t="s">
        <v>27</v>
      </c>
      <c r="F4" s="126">
        <v>262867</v>
      </c>
      <c r="G4" s="126" t="s">
        <v>580</v>
      </c>
      <c r="H4" s="126">
        <v>7000</v>
      </c>
      <c r="I4" s="127">
        <v>0.68</v>
      </c>
      <c r="J4" s="127">
        <v>1</v>
      </c>
      <c r="K4" s="126" t="s">
        <v>33</v>
      </c>
      <c r="L4" s="123">
        <v>4760</v>
      </c>
      <c r="M4" s="125">
        <v>3500</v>
      </c>
      <c r="N4" s="122">
        <v>0.48609999999999998</v>
      </c>
      <c r="O4" s="124">
        <v>29.17</v>
      </c>
      <c r="P4" s="121">
        <v>1846.9</v>
      </c>
      <c r="Q4" s="121">
        <v>2</v>
      </c>
      <c r="R4" s="121">
        <v>1400</v>
      </c>
      <c r="S4" s="123">
        <v>1.36</v>
      </c>
      <c r="T4" s="121">
        <v>40</v>
      </c>
      <c r="U4" s="122">
        <v>2.86E-2</v>
      </c>
      <c r="V4" s="121" t="s">
        <v>37</v>
      </c>
      <c r="W4" s="121" t="s">
        <v>29</v>
      </c>
      <c r="X4" s="121" t="s">
        <v>29</v>
      </c>
      <c r="Y4" s="121" t="s">
        <v>27</v>
      </c>
      <c r="Z4" s="121" t="s">
        <v>27</v>
      </c>
      <c r="AA4" s="121" t="s">
        <v>40</v>
      </c>
      <c r="AB4" s="121" t="s">
        <v>579</v>
      </c>
    </row>
    <row r="5" spans="1:28" x14ac:dyDescent="0.3">
      <c r="A5" s="120" t="s">
        <v>27</v>
      </c>
      <c r="B5" s="120" t="s">
        <v>27</v>
      </c>
      <c r="C5" s="120" t="s">
        <v>27</v>
      </c>
      <c r="D5" s="120" t="s">
        <v>27</v>
      </c>
      <c r="E5" s="120" t="s">
        <v>27</v>
      </c>
      <c r="F5" s="120" t="s">
        <v>27</v>
      </c>
      <c r="G5" s="120" t="s">
        <v>27</v>
      </c>
      <c r="H5" s="120">
        <v>9000</v>
      </c>
      <c r="I5" s="120" t="s">
        <v>27</v>
      </c>
      <c r="J5" s="120" t="s">
        <v>27</v>
      </c>
      <c r="K5" s="120" t="s">
        <v>27</v>
      </c>
      <c r="L5" s="119" t="s">
        <v>27</v>
      </c>
      <c r="M5" s="119" t="s">
        <v>27</v>
      </c>
      <c r="N5" s="119" t="s">
        <v>27</v>
      </c>
      <c r="O5" s="119" t="s">
        <v>27</v>
      </c>
      <c r="P5" s="119">
        <v>2249.1999999999998</v>
      </c>
      <c r="Q5" s="119" t="s">
        <v>27</v>
      </c>
      <c r="R5" s="119" t="s">
        <v>27</v>
      </c>
      <c r="S5" s="119" t="s">
        <v>27</v>
      </c>
      <c r="T5" s="119" t="s">
        <v>27</v>
      </c>
      <c r="U5" s="119" t="s">
        <v>27</v>
      </c>
      <c r="V5" s="119" t="s">
        <v>27</v>
      </c>
      <c r="W5" s="119" t="s">
        <v>27</v>
      </c>
      <c r="X5" s="119" t="s">
        <v>27</v>
      </c>
      <c r="Y5" s="119" t="s">
        <v>27</v>
      </c>
      <c r="Z5" s="119" t="s">
        <v>27</v>
      </c>
      <c r="AA5" s="119" t="s">
        <v>27</v>
      </c>
      <c r="AB5" s="119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8" orientation="landscape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B982-CBC1-4C54-94E1-F9EF1E9B916F}">
  <sheetPr>
    <pageSetUpPr fitToPage="1"/>
  </sheetPr>
  <dimension ref="A1:AC9"/>
  <sheetViews>
    <sheetView zoomScale="220" zoomScaleNormal="220" workbookViewId="0">
      <selection sqref="A1:AC9"/>
    </sheetView>
  </sheetViews>
  <sheetFormatPr defaultRowHeight="14.4" x14ac:dyDescent="0.3"/>
  <cols>
    <col min="1" max="1" width="3" style="1" customWidth="1"/>
    <col min="2" max="2" width="20.77734375" style="1" hidden="1" customWidth="1"/>
    <col min="3" max="3" width="5.33203125" style="1" customWidth="1"/>
    <col min="4" max="4" width="11.77734375" style="1" hidden="1" customWidth="1"/>
    <col min="5" max="5" width="9" style="1" customWidth="1"/>
    <col min="6" max="6" width="4.44140625" style="1" customWidth="1"/>
    <col min="7" max="7" width="6.44140625" style="1" customWidth="1"/>
    <col min="8" max="8" width="7.77734375" style="1" customWidth="1"/>
    <col min="9" max="10" width="7.109375" style="1" customWidth="1"/>
    <col min="11" max="11" width="11.2187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7.77734375" style="1" customWidth="1"/>
    <col min="17" max="17" width="6.6640625" style="1" customWidth="1"/>
    <col min="18" max="18" width="3.77734375" style="1" customWidth="1"/>
    <col min="19" max="19" width="6.21875" style="1" customWidth="1"/>
    <col min="20" max="20" width="6.6640625" style="1" customWidth="1"/>
    <col min="21" max="21" width="11.77734375" style="1" hidden="1" customWidth="1"/>
    <col min="22" max="22" width="8.77734375" style="1" hidden="1" customWidth="1"/>
    <col min="23" max="23" width="8.33203125" style="1" customWidth="1"/>
    <col min="24" max="24" width="7.44140625" style="1" customWidth="1"/>
    <col min="25" max="25" width="8" style="1" customWidth="1"/>
    <col min="26" max="26" width="7" style="1" customWidth="1"/>
    <col min="27" max="27" width="7.5546875" style="1" customWidth="1"/>
    <col min="28" max="28" width="4.6640625" style="1" customWidth="1"/>
    <col min="29" max="29" width="10.5546875" style="1" customWidth="1"/>
    <col min="30" max="16384" width="8.88671875" style="1"/>
  </cols>
  <sheetData>
    <row r="1" spans="1:29" ht="18" customHeight="1" x14ac:dyDescent="0.35">
      <c r="A1" s="270" t="s">
        <v>578</v>
      </c>
      <c r="B1" s="270" t="s">
        <v>27</v>
      </c>
      <c r="C1" s="270" t="s">
        <v>27</v>
      </c>
      <c r="D1" s="270" t="s">
        <v>27</v>
      </c>
      <c r="E1" s="270" t="s">
        <v>27</v>
      </c>
      <c r="F1" s="270" t="s">
        <v>27</v>
      </c>
      <c r="G1" s="270" t="s">
        <v>27</v>
      </c>
      <c r="H1" s="270" t="s">
        <v>27</v>
      </c>
      <c r="I1" s="270" t="s">
        <v>27</v>
      </c>
      <c r="J1" s="270"/>
      <c r="K1" s="270" t="s">
        <v>27</v>
      </c>
      <c r="L1" s="270" t="s">
        <v>27</v>
      </c>
      <c r="M1" s="270" t="s">
        <v>27</v>
      </c>
      <c r="N1" s="270" t="s">
        <v>27</v>
      </c>
      <c r="O1" s="270" t="s">
        <v>27</v>
      </c>
      <c r="P1" s="270"/>
      <c r="Q1" s="270" t="s">
        <v>27</v>
      </c>
      <c r="R1" s="270" t="s">
        <v>27</v>
      </c>
      <c r="S1" s="270" t="s">
        <v>27</v>
      </c>
      <c r="T1" s="270" t="s">
        <v>27</v>
      </c>
      <c r="U1" s="270" t="s">
        <v>27</v>
      </c>
      <c r="V1" s="270" t="s">
        <v>27</v>
      </c>
      <c r="W1" s="270" t="s">
        <v>27</v>
      </c>
      <c r="X1" s="270" t="s">
        <v>27</v>
      </c>
      <c r="Y1" s="270" t="s">
        <v>27</v>
      </c>
      <c r="Z1" s="270" t="s">
        <v>27</v>
      </c>
      <c r="AA1" s="270" t="s">
        <v>27</v>
      </c>
      <c r="AB1" s="270" t="s">
        <v>27</v>
      </c>
      <c r="AC1" s="270" t="s">
        <v>27</v>
      </c>
    </row>
    <row r="2" spans="1:29" ht="42" customHeight="1" x14ac:dyDescent="0.3">
      <c r="A2" s="221" t="s">
        <v>0</v>
      </c>
      <c r="B2" s="221" t="s">
        <v>36</v>
      </c>
      <c r="C2" s="221" t="s">
        <v>1</v>
      </c>
      <c r="D2" s="221" t="s">
        <v>2</v>
      </c>
      <c r="E2" s="221" t="s">
        <v>53</v>
      </c>
      <c r="F2" s="221" t="s">
        <v>4</v>
      </c>
      <c r="G2" s="221" t="s">
        <v>5</v>
      </c>
      <c r="H2" s="221" t="s">
        <v>6</v>
      </c>
      <c r="I2" s="221" t="s">
        <v>7</v>
      </c>
      <c r="J2" s="221"/>
      <c r="K2" s="221" t="s">
        <v>8</v>
      </c>
      <c r="L2" s="221" t="s">
        <v>9</v>
      </c>
      <c r="M2" s="221" t="s">
        <v>10</v>
      </c>
      <c r="N2" s="221" t="s">
        <v>11</v>
      </c>
      <c r="O2" s="221" t="s">
        <v>12</v>
      </c>
      <c r="P2" s="221"/>
      <c r="Q2" s="221" t="s">
        <v>13</v>
      </c>
      <c r="R2" s="221" t="s">
        <v>14</v>
      </c>
      <c r="S2" s="221" t="s">
        <v>15</v>
      </c>
      <c r="T2" s="221" t="s">
        <v>16</v>
      </c>
      <c r="U2" s="221" t="s">
        <v>17</v>
      </c>
      <c r="V2" s="221" t="s">
        <v>18</v>
      </c>
      <c r="W2" s="221" t="s">
        <v>19</v>
      </c>
      <c r="X2" s="221" t="s">
        <v>20</v>
      </c>
      <c r="Y2" s="221" t="s">
        <v>21</v>
      </c>
      <c r="Z2" s="221" t="s">
        <v>22</v>
      </c>
      <c r="AA2" s="221" t="s">
        <v>23</v>
      </c>
      <c r="AB2" s="221" t="s">
        <v>24</v>
      </c>
      <c r="AC2" s="221" t="s">
        <v>25</v>
      </c>
    </row>
    <row r="3" spans="1:29" s="12" customFormat="1" ht="25.05" customHeight="1" x14ac:dyDescent="0.3">
      <c r="A3" s="222">
        <v>1</v>
      </c>
      <c r="B3" s="223" t="s">
        <v>93</v>
      </c>
      <c r="C3" s="222" t="s">
        <v>35</v>
      </c>
      <c r="D3" s="222" t="s">
        <v>576</v>
      </c>
      <c r="E3" s="222">
        <v>262865</v>
      </c>
      <c r="F3" s="222" t="s">
        <v>575</v>
      </c>
      <c r="G3" s="222">
        <v>1400</v>
      </c>
      <c r="H3" s="224">
        <v>0.44500000000000001</v>
      </c>
      <c r="I3" s="224">
        <v>0.83</v>
      </c>
      <c r="J3" s="224"/>
      <c r="K3" s="222" t="s">
        <v>577</v>
      </c>
      <c r="L3" s="224">
        <v>517.09</v>
      </c>
      <c r="M3" s="225">
        <v>387.3</v>
      </c>
      <c r="N3" s="226">
        <v>3.5900000000000001E-2</v>
      </c>
      <c r="O3" s="227">
        <v>2.15</v>
      </c>
      <c r="P3" s="227"/>
      <c r="Q3" s="222">
        <v>162.9</v>
      </c>
      <c r="R3" s="222">
        <v>3</v>
      </c>
      <c r="S3" s="222">
        <v>1400</v>
      </c>
      <c r="T3" s="224">
        <v>1.335</v>
      </c>
      <c r="U3" s="222">
        <v>65</v>
      </c>
      <c r="V3" s="226">
        <v>4.6399999999999997E-2</v>
      </c>
      <c r="W3" s="222" t="s">
        <v>28</v>
      </c>
      <c r="X3" s="222" t="s">
        <v>28</v>
      </c>
      <c r="Y3" s="222" t="s">
        <v>28</v>
      </c>
      <c r="Z3" s="222" t="s">
        <v>27</v>
      </c>
      <c r="AA3" s="222" t="s">
        <v>27</v>
      </c>
      <c r="AB3" s="222" t="s">
        <v>38</v>
      </c>
      <c r="AC3" s="222" t="s">
        <v>574</v>
      </c>
    </row>
    <row r="4" spans="1:29" s="98" customFormat="1" ht="25.05" customHeight="1" x14ac:dyDescent="0.3">
      <c r="A4" s="215">
        <v>1</v>
      </c>
      <c r="B4" s="216" t="s">
        <v>126</v>
      </c>
      <c r="C4" s="215" t="s">
        <v>35</v>
      </c>
      <c r="D4" s="215" t="s">
        <v>698</v>
      </c>
      <c r="E4" s="215">
        <v>262930</v>
      </c>
      <c r="F4" s="215" t="s">
        <v>699</v>
      </c>
      <c r="G4" s="215">
        <v>500</v>
      </c>
      <c r="H4" s="217">
        <v>0.62</v>
      </c>
      <c r="I4" s="217">
        <v>0.96</v>
      </c>
      <c r="J4" s="215" t="s">
        <v>27</v>
      </c>
      <c r="K4" s="215" t="s">
        <v>33</v>
      </c>
      <c r="L4" s="215" t="s">
        <v>27</v>
      </c>
      <c r="M4" s="217">
        <v>297.60000000000002</v>
      </c>
      <c r="N4" s="218">
        <v>240</v>
      </c>
      <c r="O4" s="219">
        <v>3.3300000000000003E-2</v>
      </c>
      <c r="P4" s="220"/>
      <c r="Q4" s="215">
        <v>93.7</v>
      </c>
      <c r="R4" s="215">
        <v>2</v>
      </c>
      <c r="S4" s="215">
        <v>1300</v>
      </c>
      <c r="T4" s="217">
        <v>1.24</v>
      </c>
      <c r="U4" s="215">
        <v>60</v>
      </c>
      <c r="V4" s="219">
        <v>4.6199999999999998E-2</v>
      </c>
      <c r="W4" s="215" t="s">
        <v>28</v>
      </c>
      <c r="X4" s="215" t="s">
        <v>28</v>
      </c>
      <c r="Y4" s="215" t="s">
        <v>28</v>
      </c>
      <c r="Z4" s="215" t="s">
        <v>27</v>
      </c>
      <c r="AA4" s="215" t="s">
        <v>27</v>
      </c>
      <c r="AB4" s="215" t="s">
        <v>38</v>
      </c>
      <c r="AC4" s="215" t="s">
        <v>697</v>
      </c>
    </row>
    <row r="5" spans="1:29" s="12" customFormat="1" ht="25.05" customHeight="1" x14ac:dyDescent="0.3">
      <c r="A5" s="222">
        <v>2</v>
      </c>
      <c r="B5" s="223" t="s">
        <v>93</v>
      </c>
      <c r="C5" s="222" t="s">
        <v>35</v>
      </c>
      <c r="D5" s="222" t="s">
        <v>576</v>
      </c>
      <c r="E5" s="222">
        <v>262866</v>
      </c>
      <c r="F5" s="222">
        <v>83</v>
      </c>
      <c r="G5" s="222">
        <v>1000</v>
      </c>
      <c r="H5" s="224">
        <v>0.63</v>
      </c>
      <c r="I5" s="224">
        <v>1</v>
      </c>
      <c r="J5" s="224"/>
      <c r="K5" s="222" t="s">
        <v>33</v>
      </c>
      <c r="L5" s="224">
        <v>630</v>
      </c>
      <c r="M5" s="225">
        <v>500</v>
      </c>
      <c r="N5" s="226">
        <v>6.9400000000000003E-2</v>
      </c>
      <c r="O5" s="227">
        <v>4.17</v>
      </c>
      <c r="P5" s="227"/>
      <c r="Q5" s="222">
        <v>198.4</v>
      </c>
      <c r="R5" s="222">
        <v>2</v>
      </c>
      <c r="S5" s="222">
        <v>1300</v>
      </c>
      <c r="T5" s="224">
        <v>1.26</v>
      </c>
      <c r="U5" s="222">
        <v>40</v>
      </c>
      <c r="V5" s="226">
        <v>3.0800000000000001E-2</v>
      </c>
      <c r="W5" s="222" t="s">
        <v>28</v>
      </c>
      <c r="X5" s="222" t="s">
        <v>28</v>
      </c>
      <c r="Y5" s="222" t="s">
        <v>28</v>
      </c>
      <c r="Z5" s="222" t="s">
        <v>27</v>
      </c>
      <c r="AA5" s="222" t="s">
        <v>27</v>
      </c>
      <c r="AB5" s="222" t="s">
        <v>38</v>
      </c>
      <c r="AC5" s="222" t="s">
        <v>574</v>
      </c>
    </row>
    <row r="6" spans="1:29" s="90" customFormat="1" ht="25.05" customHeight="1" x14ac:dyDescent="0.3">
      <c r="A6" s="215">
        <v>1</v>
      </c>
      <c r="B6" s="216" t="s">
        <v>704</v>
      </c>
      <c r="C6" s="215" t="s">
        <v>45</v>
      </c>
      <c r="D6" s="215" t="s">
        <v>661</v>
      </c>
      <c r="E6" s="215">
        <v>262932</v>
      </c>
      <c r="F6" s="215" t="s">
        <v>703</v>
      </c>
      <c r="G6" s="215">
        <v>450</v>
      </c>
      <c r="H6" s="217">
        <v>0.56699999999999995</v>
      </c>
      <c r="I6" s="217">
        <v>1.6619999999999999</v>
      </c>
      <c r="J6" s="215" t="s">
        <v>27</v>
      </c>
      <c r="K6" s="215" t="s">
        <v>702</v>
      </c>
      <c r="L6" s="215" t="s">
        <v>27</v>
      </c>
      <c r="M6" s="217">
        <v>424.05900000000003</v>
      </c>
      <c r="N6" s="218">
        <v>373.9</v>
      </c>
      <c r="O6" s="219">
        <v>5.1900000000000002E-2</v>
      </c>
      <c r="P6" s="220"/>
      <c r="Q6" s="215">
        <v>186.6</v>
      </c>
      <c r="R6" s="215">
        <v>2</v>
      </c>
      <c r="S6" s="215">
        <v>1200</v>
      </c>
      <c r="T6" s="217">
        <v>1.1339999999999999</v>
      </c>
      <c r="U6" s="215">
        <v>66</v>
      </c>
      <c r="V6" s="219">
        <v>5.5E-2</v>
      </c>
      <c r="W6" s="215" t="s">
        <v>41</v>
      </c>
      <c r="X6" s="215" t="s">
        <v>41</v>
      </c>
      <c r="Y6" s="215" t="s">
        <v>41</v>
      </c>
      <c r="Z6" s="215" t="s">
        <v>27</v>
      </c>
      <c r="AA6" s="215" t="s">
        <v>27</v>
      </c>
      <c r="AB6" s="215" t="s">
        <v>38</v>
      </c>
      <c r="AC6" s="215" t="s">
        <v>701</v>
      </c>
    </row>
    <row r="7" spans="1:29" s="51" customFormat="1" ht="25.05" customHeight="1" x14ac:dyDescent="0.3">
      <c r="A7" s="222">
        <v>3</v>
      </c>
      <c r="B7" s="228" t="s">
        <v>126</v>
      </c>
      <c r="C7" s="229" t="s">
        <v>35</v>
      </c>
      <c r="D7" s="229"/>
      <c r="E7" s="229">
        <v>262919</v>
      </c>
      <c r="F7" s="229" t="s">
        <v>665</v>
      </c>
      <c r="G7" s="229">
        <v>4500</v>
      </c>
      <c r="H7" s="230">
        <v>0.58099999999999996</v>
      </c>
      <c r="I7" s="230">
        <v>1.9059999999999999</v>
      </c>
      <c r="J7" s="230"/>
      <c r="K7" s="229" t="s">
        <v>666</v>
      </c>
      <c r="L7" s="230"/>
      <c r="M7" s="231"/>
      <c r="N7" s="232"/>
      <c r="O7" s="233"/>
      <c r="P7" s="233"/>
      <c r="Q7" s="229">
        <v>1569.7</v>
      </c>
      <c r="R7" s="229">
        <v>2</v>
      </c>
      <c r="S7" s="229">
        <v>1200</v>
      </c>
      <c r="T7" s="230">
        <v>1.1619999999999999</v>
      </c>
      <c r="U7" s="229">
        <v>38</v>
      </c>
      <c r="V7" s="232">
        <v>3.1699999999999999E-2</v>
      </c>
      <c r="W7" s="229" t="s">
        <v>28</v>
      </c>
      <c r="X7" s="229" t="s">
        <v>28</v>
      </c>
      <c r="Y7" s="229" t="s">
        <v>28</v>
      </c>
      <c r="Z7" s="229" t="s">
        <v>27</v>
      </c>
      <c r="AA7" s="229" t="s">
        <v>27</v>
      </c>
      <c r="AB7" s="229" t="s">
        <v>40</v>
      </c>
      <c r="AC7" s="229" t="s">
        <v>667</v>
      </c>
    </row>
    <row r="8" spans="1:29" s="98" customFormat="1" ht="25.05" customHeight="1" x14ac:dyDescent="0.3">
      <c r="A8" s="222">
        <v>4</v>
      </c>
      <c r="B8" s="216" t="s">
        <v>126</v>
      </c>
      <c r="C8" s="215" t="s">
        <v>49</v>
      </c>
      <c r="D8" s="215" t="s">
        <v>599</v>
      </c>
      <c r="E8" s="215">
        <v>262890</v>
      </c>
      <c r="F8" s="215" t="s">
        <v>625</v>
      </c>
      <c r="G8" s="215">
        <v>1000</v>
      </c>
      <c r="H8" s="217">
        <v>0.55000000000000004</v>
      </c>
      <c r="I8" s="217">
        <v>1.45</v>
      </c>
      <c r="J8" s="217"/>
      <c r="K8" s="215" t="s">
        <v>623</v>
      </c>
      <c r="L8" s="217">
        <v>797.5</v>
      </c>
      <c r="M8" s="218">
        <v>725</v>
      </c>
      <c r="N8" s="219">
        <v>0.1007</v>
      </c>
      <c r="O8" s="220">
        <v>6.04</v>
      </c>
      <c r="P8" s="220"/>
      <c r="Q8" s="215">
        <v>283.10000000000002</v>
      </c>
      <c r="R8" s="215">
        <v>2</v>
      </c>
      <c r="S8" s="215">
        <v>1150</v>
      </c>
      <c r="T8" s="217">
        <v>1.1000000000000001</v>
      </c>
      <c r="U8" s="215">
        <v>50</v>
      </c>
      <c r="V8" s="219">
        <v>4.3499999999999997E-2</v>
      </c>
      <c r="W8" s="215" t="s">
        <v>29</v>
      </c>
      <c r="X8" s="215" t="s">
        <v>28</v>
      </c>
      <c r="Y8" s="215" t="s">
        <v>29</v>
      </c>
      <c r="Z8" s="215" t="s">
        <v>27</v>
      </c>
      <c r="AA8" s="215" t="s">
        <v>27</v>
      </c>
      <c r="AB8" s="215" t="s">
        <v>32</v>
      </c>
      <c r="AC8" s="215" t="s">
        <v>624</v>
      </c>
    </row>
    <row r="9" spans="1:29" s="129" customFormat="1" x14ac:dyDescent="0.3">
      <c r="A9" s="234" t="s">
        <v>27</v>
      </c>
      <c r="B9" s="234" t="s">
        <v>27</v>
      </c>
      <c r="C9" s="234" t="s">
        <v>27</v>
      </c>
      <c r="D9" s="234" t="s">
        <v>27</v>
      </c>
      <c r="E9" s="234" t="s">
        <v>27</v>
      </c>
      <c r="F9" s="234" t="s">
        <v>27</v>
      </c>
      <c r="G9" s="234">
        <f>SUM(G3:G8)</f>
        <v>8850</v>
      </c>
      <c r="H9" s="234" t="s">
        <v>27</v>
      </c>
      <c r="I9" s="234" t="s">
        <v>27</v>
      </c>
      <c r="J9" s="234"/>
      <c r="K9" s="234" t="s">
        <v>27</v>
      </c>
      <c r="L9" s="234" t="s">
        <v>27</v>
      </c>
      <c r="M9" s="234" t="s">
        <v>27</v>
      </c>
      <c r="N9" s="234" t="s">
        <v>27</v>
      </c>
      <c r="O9" s="234" t="s">
        <v>27</v>
      </c>
      <c r="P9" s="234"/>
      <c r="Q9" s="234">
        <f>SUM(Q3:Q8)</f>
        <v>2494.4</v>
      </c>
      <c r="R9" s="234" t="s">
        <v>27</v>
      </c>
      <c r="S9" s="234" t="s">
        <v>27</v>
      </c>
      <c r="T9" s="234" t="s">
        <v>27</v>
      </c>
      <c r="U9" s="234" t="s">
        <v>27</v>
      </c>
      <c r="V9" s="234" t="s">
        <v>27</v>
      </c>
      <c r="W9" s="234" t="s">
        <v>27</v>
      </c>
      <c r="X9" s="234" t="s">
        <v>27</v>
      </c>
      <c r="Y9" s="234" t="s">
        <v>27</v>
      </c>
      <c r="Z9" s="234" t="s">
        <v>27</v>
      </c>
      <c r="AA9" s="234" t="s">
        <v>27</v>
      </c>
      <c r="AB9" s="234" t="s">
        <v>27</v>
      </c>
      <c r="AC9" s="234" t="s">
        <v>27</v>
      </c>
    </row>
  </sheetData>
  <mergeCells count="1">
    <mergeCell ref="A1:AC1"/>
  </mergeCells>
  <pageMargins left="0.511811024" right="0.511811024" top="1.39" bottom="0.78740157499999996" header="0.31496062000000002" footer="0.31496062000000002"/>
  <pageSetup paperSize="9" scale="93" orientation="landscape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06A8-0CA1-4D47-807D-665992F3D55A}">
  <sheetPr>
    <pageSetUpPr fitToPage="1"/>
  </sheetPr>
  <dimension ref="A1:AB7"/>
  <sheetViews>
    <sheetView workbookViewId="0">
      <selection activeCell="AE36" sqref="AE36"/>
    </sheetView>
  </sheetViews>
  <sheetFormatPr defaultRowHeight="14.4" x14ac:dyDescent="0.3"/>
  <cols>
    <col min="1" max="1" width="4" style="1" customWidth="1"/>
    <col min="2" max="2" width="20.77734375" style="1" customWidth="1"/>
    <col min="3" max="3" width="6.33203125" style="1" customWidth="1"/>
    <col min="4" max="4" width="11.77734375" style="1" hidden="1" customWidth="1"/>
    <col min="5" max="5" width="8" style="1" customWidth="1"/>
    <col min="6" max="6" width="7.33203125" style="1" customWidth="1"/>
    <col min="7" max="7" width="10.88671875" style="1" customWidth="1"/>
    <col min="8" max="8" width="6.21875" style="1" customWidth="1"/>
    <col min="9" max="9" width="6.6640625" style="1" customWidth="1"/>
    <col min="10" max="10" width="7.21875" style="1" customWidth="1"/>
    <col min="11" max="11" width="4.10937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6.88671875" style="1" customWidth="1"/>
    <col min="17" max="17" width="4.44140625" style="1" customWidth="1"/>
    <col min="18" max="18" width="6.44140625" style="1" customWidth="1"/>
    <col min="19" max="19" width="6.109375" style="1" customWidth="1"/>
    <col min="20" max="20" width="11.77734375" style="1" hidden="1" customWidth="1"/>
    <col min="21" max="21" width="8.77734375" style="1" hidden="1" customWidth="1"/>
    <col min="22" max="22" width="8" style="1" customWidth="1"/>
    <col min="23" max="23" width="7.6640625" style="1" customWidth="1"/>
    <col min="24" max="24" width="8.109375" style="1" customWidth="1"/>
    <col min="25" max="25" width="8.44140625" style="1" customWidth="1"/>
    <col min="26" max="26" width="8.6640625" style="1" customWidth="1"/>
    <col min="27" max="27" width="4.33203125" style="1" customWidth="1"/>
    <col min="28" max="28" width="11.77734375" style="1" customWidth="1"/>
    <col min="29" max="16384" width="8.88671875" style="1"/>
  </cols>
  <sheetData>
    <row r="1" spans="1:28" ht="18" customHeight="1" x14ac:dyDescent="0.35">
      <c r="A1" s="267" t="s">
        <v>573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</row>
    <row r="2" spans="1:28" ht="61.8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53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</row>
    <row r="3" spans="1:28" s="12" customFormat="1" ht="25.05" customHeight="1" x14ac:dyDescent="0.3">
      <c r="A3" s="5">
        <v>1</v>
      </c>
      <c r="B3" s="10" t="s">
        <v>569</v>
      </c>
      <c r="C3" s="5" t="s">
        <v>55</v>
      </c>
      <c r="D3" s="5" t="s">
        <v>333</v>
      </c>
      <c r="E3" s="5" t="s">
        <v>27</v>
      </c>
      <c r="F3" s="5">
        <v>262863</v>
      </c>
      <c r="G3" s="5" t="s">
        <v>572</v>
      </c>
      <c r="H3" s="5">
        <v>2000</v>
      </c>
      <c r="I3" s="7">
        <v>0.51</v>
      </c>
      <c r="J3" s="7">
        <v>1.02</v>
      </c>
      <c r="K3" s="5" t="s">
        <v>33</v>
      </c>
      <c r="L3" s="7">
        <v>1040.4000000000001</v>
      </c>
      <c r="M3" s="9">
        <v>680</v>
      </c>
      <c r="N3" s="6">
        <v>6.3E-2</v>
      </c>
      <c r="O3" s="8">
        <v>3.78</v>
      </c>
      <c r="P3" s="5">
        <v>327.7</v>
      </c>
      <c r="Q3" s="5">
        <v>3</v>
      </c>
      <c r="R3" s="5">
        <v>1550</v>
      </c>
      <c r="S3" s="7">
        <v>1.53</v>
      </c>
      <c r="T3" s="5">
        <v>20</v>
      </c>
      <c r="U3" s="6">
        <v>1.29E-2</v>
      </c>
      <c r="V3" s="5" t="s">
        <v>28</v>
      </c>
      <c r="W3" s="5" t="s">
        <v>28</v>
      </c>
      <c r="X3" s="5" t="s">
        <v>28</v>
      </c>
      <c r="Y3" s="5" t="s">
        <v>27</v>
      </c>
      <c r="Z3" s="5" t="s">
        <v>27</v>
      </c>
      <c r="AA3" s="5" t="s">
        <v>32</v>
      </c>
      <c r="AB3" s="5" t="s">
        <v>571</v>
      </c>
    </row>
    <row r="4" spans="1:28" s="12" customFormat="1" ht="25.05" customHeight="1" x14ac:dyDescent="0.3">
      <c r="A4" s="5">
        <v>2</v>
      </c>
      <c r="B4" s="10" t="s">
        <v>569</v>
      </c>
      <c r="C4" s="5" t="s">
        <v>35</v>
      </c>
      <c r="D4" s="5" t="s">
        <v>440</v>
      </c>
      <c r="E4" s="5" t="s">
        <v>27</v>
      </c>
      <c r="F4" s="5">
        <v>262861</v>
      </c>
      <c r="G4" s="5" t="s">
        <v>568</v>
      </c>
      <c r="H4" s="5">
        <v>2550</v>
      </c>
      <c r="I4" s="7">
        <v>0.67</v>
      </c>
      <c r="J4" s="7">
        <v>0.95</v>
      </c>
      <c r="K4" s="5" t="s">
        <v>33</v>
      </c>
      <c r="L4" s="7">
        <v>1623.075</v>
      </c>
      <c r="M4" s="9">
        <v>1211.3</v>
      </c>
      <c r="N4" s="6">
        <v>0.16819999999999999</v>
      </c>
      <c r="O4" s="8">
        <v>10.09</v>
      </c>
      <c r="P4" s="5">
        <v>511.3</v>
      </c>
      <c r="Q4" s="5">
        <v>2</v>
      </c>
      <c r="R4" s="5">
        <v>1400</v>
      </c>
      <c r="S4" s="7">
        <v>1.34</v>
      </c>
      <c r="T4" s="5">
        <v>60</v>
      </c>
      <c r="U4" s="6">
        <v>4.2900000000000001E-2</v>
      </c>
      <c r="V4" s="5" t="s">
        <v>28</v>
      </c>
      <c r="W4" s="5" t="s">
        <v>28</v>
      </c>
      <c r="X4" s="5" t="s">
        <v>28</v>
      </c>
      <c r="Y4" s="5" t="s">
        <v>27</v>
      </c>
      <c r="Z4" s="5" t="s">
        <v>27</v>
      </c>
      <c r="AA4" s="5" t="s">
        <v>30</v>
      </c>
      <c r="AB4" s="5" t="s">
        <v>570</v>
      </c>
    </row>
    <row r="5" spans="1:28" s="12" customFormat="1" ht="25.05" customHeight="1" x14ac:dyDescent="0.3">
      <c r="A5" s="5">
        <v>3</v>
      </c>
      <c r="B5" s="10" t="s">
        <v>569</v>
      </c>
      <c r="C5" s="5" t="s">
        <v>35</v>
      </c>
      <c r="D5" s="5" t="s">
        <v>440</v>
      </c>
      <c r="E5" s="5" t="s">
        <v>27</v>
      </c>
      <c r="F5" s="5">
        <v>262862</v>
      </c>
      <c r="G5" s="5" t="s">
        <v>568</v>
      </c>
      <c r="H5" s="5">
        <v>500</v>
      </c>
      <c r="I5" s="7">
        <v>0.82499999999999996</v>
      </c>
      <c r="J5" s="7">
        <v>1.175</v>
      </c>
      <c r="K5" s="5" t="s">
        <v>33</v>
      </c>
      <c r="L5" s="7">
        <v>484.68799999999999</v>
      </c>
      <c r="M5" s="9">
        <v>587.5</v>
      </c>
      <c r="N5" s="6">
        <v>0.16320000000000001</v>
      </c>
      <c r="O5" s="8">
        <v>9.7899999999999991</v>
      </c>
      <c r="P5" s="5">
        <v>152.69999999999999</v>
      </c>
      <c r="Q5" s="5">
        <v>1</v>
      </c>
      <c r="R5" s="5">
        <v>850</v>
      </c>
      <c r="S5" s="7">
        <v>0.82499999999999996</v>
      </c>
      <c r="T5" s="5">
        <v>25</v>
      </c>
      <c r="U5" s="6">
        <v>2.9399999999999999E-2</v>
      </c>
      <c r="V5" s="5" t="s">
        <v>28</v>
      </c>
      <c r="W5" s="5" t="s">
        <v>28</v>
      </c>
      <c r="X5" s="5" t="s">
        <v>28</v>
      </c>
      <c r="Y5" s="5" t="s">
        <v>27</v>
      </c>
      <c r="Z5" s="5" t="s">
        <v>27</v>
      </c>
      <c r="AA5" s="5" t="s">
        <v>38</v>
      </c>
      <c r="AB5" s="5" t="s">
        <v>567</v>
      </c>
    </row>
    <row r="6" spans="1:28" s="12" customFormat="1" ht="25.05" customHeight="1" x14ac:dyDescent="0.3">
      <c r="A6" s="11" t="s">
        <v>27</v>
      </c>
      <c r="B6" s="11" t="s">
        <v>27</v>
      </c>
      <c r="C6" s="11" t="s">
        <v>27</v>
      </c>
      <c r="D6" s="11" t="s">
        <v>27</v>
      </c>
      <c r="E6" s="11" t="s">
        <v>27</v>
      </c>
      <c r="F6" s="11" t="s">
        <v>27</v>
      </c>
      <c r="G6" s="11" t="s">
        <v>27</v>
      </c>
      <c r="H6" s="11">
        <v>5050</v>
      </c>
      <c r="I6" s="11" t="s">
        <v>27</v>
      </c>
      <c r="J6" s="11" t="s">
        <v>27</v>
      </c>
      <c r="K6" s="11" t="s">
        <v>27</v>
      </c>
      <c r="L6" s="11" t="s">
        <v>27</v>
      </c>
      <c r="M6" s="11" t="s">
        <v>27</v>
      </c>
      <c r="N6" s="11" t="s">
        <v>27</v>
      </c>
      <c r="O6" s="11" t="s">
        <v>27</v>
      </c>
      <c r="P6" s="11">
        <v>991.7</v>
      </c>
      <c r="Q6" s="11" t="s">
        <v>27</v>
      </c>
      <c r="R6" s="11" t="s">
        <v>27</v>
      </c>
      <c r="S6" s="11" t="s">
        <v>27</v>
      </c>
      <c r="T6" s="11" t="s">
        <v>27</v>
      </c>
      <c r="U6" s="11" t="s">
        <v>27</v>
      </c>
      <c r="V6" s="11" t="s">
        <v>27</v>
      </c>
      <c r="W6" s="11" t="s">
        <v>27</v>
      </c>
      <c r="X6" s="11" t="s">
        <v>27</v>
      </c>
      <c r="Y6" s="11" t="s">
        <v>27</v>
      </c>
      <c r="Z6" s="11" t="s">
        <v>27</v>
      </c>
      <c r="AA6" s="11" t="s">
        <v>27</v>
      </c>
      <c r="AB6" s="11" t="s">
        <v>27</v>
      </c>
    </row>
    <row r="7" spans="1:28" s="12" customFormat="1" ht="25.05" customHeight="1" x14ac:dyDescent="0.3"/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85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AD08-A19C-4AB3-8139-90400A7A453C}">
  <sheetPr>
    <pageSetUpPr fitToPage="1"/>
  </sheetPr>
  <dimension ref="A1:AB25"/>
  <sheetViews>
    <sheetView zoomScale="130" zoomScaleNormal="130" workbookViewId="0">
      <selection activeCell="AE10" sqref="AE10"/>
    </sheetView>
  </sheetViews>
  <sheetFormatPr defaultRowHeight="14.4" x14ac:dyDescent="0.3"/>
  <cols>
    <col min="1" max="1" width="3.77734375" style="33" customWidth="1"/>
    <col min="2" max="2" width="20.77734375" style="33" hidden="1" customWidth="1"/>
    <col min="3" max="3" width="7.77734375" style="33" customWidth="1"/>
    <col min="4" max="4" width="11.77734375" style="33" hidden="1" customWidth="1"/>
    <col min="5" max="5" width="8.33203125" style="33" customWidth="1"/>
    <col min="6" max="6" width="7.33203125" style="33" customWidth="1"/>
    <col min="7" max="7" width="9.77734375" style="33" customWidth="1"/>
    <col min="8" max="8" width="7.33203125" style="33" customWidth="1"/>
    <col min="9" max="9" width="7.21875" style="33" customWidth="1"/>
    <col min="10" max="10" width="7.33203125" style="33" customWidth="1"/>
    <col min="11" max="11" width="20.664062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33203125" style="33" customWidth="1"/>
    <col min="17" max="17" width="3.33203125" style="33" customWidth="1"/>
    <col min="18" max="18" width="6.33203125" style="33" customWidth="1"/>
    <col min="19" max="19" width="6.44140625" style="33" customWidth="1"/>
    <col min="20" max="20" width="11.77734375" style="33" hidden="1" customWidth="1"/>
    <col min="21" max="21" width="8.77734375" style="33" hidden="1" customWidth="1"/>
    <col min="22" max="22" width="9.21875" style="33" customWidth="1"/>
    <col min="23" max="23" width="8.77734375" style="33" customWidth="1"/>
    <col min="24" max="24" width="9.21875" style="33" customWidth="1"/>
    <col min="25" max="25" width="9" style="33" customWidth="1"/>
    <col min="26" max="26" width="8.33203125" style="33" customWidth="1"/>
    <col min="27" max="27" width="4.33203125" style="33" customWidth="1"/>
    <col min="28" max="28" width="12.109375" style="33" customWidth="1"/>
    <col min="29" max="16384" width="8.88671875" style="33"/>
  </cols>
  <sheetData>
    <row r="1" spans="1:28" ht="18" customHeight="1" x14ac:dyDescent="0.35">
      <c r="A1" s="269" t="s">
        <v>566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43.8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51" customFormat="1" ht="25.05" customHeight="1" x14ac:dyDescent="0.3">
      <c r="A3" s="45">
        <v>1</v>
      </c>
      <c r="B3" s="46" t="s">
        <v>60</v>
      </c>
      <c r="C3" s="45" t="s">
        <v>26</v>
      </c>
      <c r="D3" s="45" t="s">
        <v>465</v>
      </c>
      <c r="E3" s="45" t="s">
        <v>27</v>
      </c>
      <c r="F3" s="45">
        <v>262848</v>
      </c>
      <c r="G3" s="45" t="s">
        <v>537</v>
      </c>
      <c r="H3" s="45">
        <v>300</v>
      </c>
      <c r="I3" s="47">
        <v>0.49399999999999999</v>
      </c>
      <c r="J3" s="47">
        <v>1.7789999999999999</v>
      </c>
      <c r="K3" s="45" t="s">
        <v>565</v>
      </c>
      <c r="L3" s="47">
        <v>263.64800000000002</v>
      </c>
      <c r="M3" s="48">
        <v>177.9</v>
      </c>
      <c r="N3" s="49">
        <v>1.6500000000000001E-2</v>
      </c>
      <c r="O3" s="50">
        <v>0.99</v>
      </c>
      <c r="P3" s="45">
        <v>141.80000000000001</v>
      </c>
      <c r="Q3" s="45">
        <v>3</v>
      </c>
      <c r="R3" s="45">
        <v>1550</v>
      </c>
      <c r="S3" s="47">
        <v>1.482</v>
      </c>
      <c r="T3" s="45">
        <v>68</v>
      </c>
      <c r="U3" s="49">
        <v>4.3900000000000002E-2</v>
      </c>
      <c r="V3" s="45" t="s">
        <v>28</v>
      </c>
      <c r="W3" s="45" t="s">
        <v>29</v>
      </c>
      <c r="X3" s="45" t="s">
        <v>28</v>
      </c>
      <c r="Y3" s="45" t="s">
        <v>28</v>
      </c>
      <c r="Z3" s="45" t="s">
        <v>28</v>
      </c>
      <c r="AA3" s="45" t="s">
        <v>38</v>
      </c>
      <c r="AB3" s="45" t="s">
        <v>564</v>
      </c>
    </row>
    <row r="4" spans="1:28" s="51" customFormat="1" ht="25.05" customHeight="1" x14ac:dyDescent="0.3">
      <c r="A4" s="45">
        <v>2</v>
      </c>
      <c r="B4" s="46" t="s">
        <v>60</v>
      </c>
      <c r="C4" s="45" t="s">
        <v>26</v>
      </c>
      <c r="D4" s="45" t="s">
        <v>379</v>
      </c>
      <c r="E4" s="45" t="s">
        <v>27</v>
      </c>
      <c r="F4" s="45">
        <v>262853</v>
      </c>
      <c r="G4" s="45" t="s">
        <v>530</v>
      </c>
      <c r="H4" s="45">
        <v>1000</v>
      </c>
      <c r="I4" s="47">
        <v>0.749</v>
      </c>
      <c r="J4" s="47">
        <v>1.7190000000000001</v>
      </c>
      <c r="K4" s="45" t="s">
        <v>563</v>
      </c>
      <c r="L4" s="47">
        <v>1287.5309999999999</v>
      </c>
      <c r="M4" s="48">
        <v>859.5</v>
      </c>
      <c r="N4" s="49">
        <v>0.11940000000000001</v>
      </c>
      <c r="O4" s="50">
        <v>7.16</v>
      </c>
      <c r="P4" s="45">
        <v>692.7</v>
      </c>
      <c r="Q4" s="45">
        <v>2</v>
      </c>
      <c r="R4" s="45">
        <v>1550</v>
      </c>
      <c r="S4" s="47">
        <v>1.498</v>
      </c>
      <c r="T4" s="45">
        <v>52</v>
      </c>
      <c r="U4" s="49">
        <v>3.3500000000000002E-2</v>
      </c>
      <c r="V4" s="45" t="s">
        <v>28</v>
      </c>
      <c r="W4" s="45" t="s">
        <v>29</v>
      </c>
      <c r="X4" s="45" t="s">
        <v>28</v>
      </c>
      <c r="Y4" s="45" t="s">
        <v>28</v>
      </c>
      <c r="Z4" s="45" t="s">
        <v>28</v>
      </c>
      <c r="AA4" s="45" t="s">
        <v>40</v>
      </c>
      <c r="AB4" s="45" t="s">
        <v>562</v>
      </c>
    </row>
    <row r="5" spans="1:28" s="51" customFormat="1" ht="25.05" customHeight="1" x14ac:dyDescent="0.3">
      <c r="A5" s="45">
        <v>3</v>
      </c>
      <c r="B5" s="46" t="s">
        <v>60</v>
      </c>
      <c r="C5" s="45" t="s">
        <v>26</v>
      </c>
      <c r="D5" s="45" t="s">
        <v>465</v>
      </c>
      <c r="E5" s="45" t="s">
        <v>27</v>
      </c>
      <c r="F5" s="45">
        <v>262844</v>
      </c>
      <c r="G5" s="45" t="s">
        <v>537</v>
      </c>
      <c r="H5" s="45">
        <v>400</v>
      </c>
      <c r="I5" s="47">
        <v>0.74399999999999999</v>
      </c>
      <c r="J5" s="47">
        <v>1.7190000000000001</v>
      </c>
      <c r="K5" s="45" t="s">
        <v>561</v>
      </c>
      <c r="L5" s="47">
        <v>511.57400000000001</v>
      </c>
      <c r="M5" s="48">
        <v>343.8</v>
      </c>
      <c r="N5" s="49">
        <v>4.7800000000000002E-2</v>
      </c>
      <c r="O5" s="50">
        <v>2.87</v>
      </c>
      <c r="P5" s="45">
        <v>275.2</v>
      </c>
      <c r="Q5" s="45">
        <v>2</v>
      </c>
      <c r="R5" s="45">
        <v>1550</v>
      </c>
      <c r="S5" s="47">
        <v>1.488</v>
      </c>
      <c r="T5" s="45">
        <v>62</v>
      </c>
      <c r="U5" s="49">
        <v>0.04</v>
      </c>
      <c r="V5" s="45" t="s">
        <v>28</v>
      </c>
      <c r="W5" s="45" t="s">
        <v>29</v>
      </c>
      <c r="X5" s="45" t="s">
        <v>28</v>
      </c>
      <c r="Y5" s="45" t="s">
        <v>28</v>
      </c>
      <c r="Z5" s="45" t="s">
        <v>28</v>
      </c>
      <c r="AA5" s="45" t="s">
        <v>30</v>
      </c>
      <c r="AB5" s="45" t="s">
        <v>560</v>
      </c>
    </row>
    <row r="6" spans="1:28" s="51" customFormat="1" ht="25.05" customHeight="1" x14ac:dyDescent="0.3">
      <c r="A6" s="45">
        <v>4</v>
      </c>
      <c r="B6" s="46" t="s">
        <v>60</v>
      </c>
      <c r="C6" s="45" t="s">
        <v>26</v>
      </c>
      <c r="D6" s="45" t="s">
        <v>379</v>
      </c>
      <c r="E6" s="45" t="s">
        <v>27</v>
      </c>
      <c r="F6" s="45">
        <v>262854</v>
      </c>
      <c r="G6" s="45" t="s">
        <v>530</v>
      </c>
      <c r="H6" s="45">
        <v>400</v>
      </c>
      <c r="I6" s="47">
        <v>0.33900000000000002</v>
      </c>
      <c r="J6" s="47">
        <v>1.0589999999999999</v>
      </c>
      <c r="K6" s="45" t="s">
        <v>559</v>
      </c>
      <c r="L6" s="47">
        <v>143.6</v>
      </c>
      <c r="M6" s="48">
        <v>105.9</v>
      </c>
      <c r="N6" s="49">
        <v>7.4000000000000003E-3</v>
      </c>
      <c r="O6" s="50">
        <v>0.44</v>
      </c>
      <c r="P6" s="45">
        <v>77.3</v>
      </c>
      <c r="Q6" s="45">
        <v>4</v>
      </c>
      <c r="R6" s="45">
        <v>1400</v>
      </c>
      <c r="S6" s="47">
        <v>1.3560000000000001</v>
      </c>
      <c r="T6" s="45">
        <v>44</v>
      </c>
      <c r="U6" s="49">
        <v>3.1399999999999997E-2</v>
      </c>
      <c r="V6" s="45" t="s">
        <v>28</v>
      </c>
      <c r="W6" s="45" t="s">
        <v>29</v>
      </c>
      <c r="X6" s="45" t="s">
        <v>28</v>
      </c>
      <c r="Y6" s="45" t="s">
        <v>28</v>
      </c>
      <c r="Z6" s="45" t="s">
        <v>28</v>
      </c>
      <c r="AA6" s="45" t="s">
        <v>38</v>
      </c>
      <c r="AB6" s="45" t="s">
        <v>558</v>
      </c>
    </row>
    <row r="7" spans="1:28" s="141" customFormat="1" ht="25.05" customHeight="1" x14ac:dyDescent="0.3">
      <c r="A7" s="89">
        <v>5</v>
      </c>
      <c r="B7" s="136" t="s">
        <v>60</v>
      </c>
      <c r="C7" s="89" t="s">
        <v>57</v>
      </c>
      <c r="D7" s="89" t="s">
        <v>379</v>
      </c>
      <c r="E7" s="89" t="s">
        <v>27</v>
      </c>
      <c r="F7" s="89">
        <v>262859</v>
      </c>
      <c r="G7" s="89" t="s">
        <v>546</v>
      </c>
      <c r="H7" s="89">
        <v>600</v>
      </c>
      <c r="I7" s="137">
        <v>1.236</v>
      </c>
      <c r="J7" s="137">
        <v>2.5910000000000002</v>
      </c>
      <c r="K7" s="89" t="s">
        <v>104</v>
      </c>
      <c r="L7" s="137">
        <v>1921.4860000000001</v>
      </c>
      <c r="M7" s="138">
        <v>1554.6</v>
      </c>
      <c r="N7" s="139">
        <v>0.43180000000000002</v>
      </c>
      <c r="O7" s="140">
        <v>25.91</v>
      </c>
      <c r="P7" s="89">
        <v>1214.4000000000001</v>
      </c>
      <c r="Q7" s="89">
        <v>1</v>
      </c>
      <c r="R7" s="89">
        <v>1300</v>
      </c>
      <c r="S7" s="137">
        <v>1.236</v>
      </c>
      <c r="T7" s="89">
        <v>64</v>
      </c>
      <c r="U7" s="139">
        <v>4.9200000000000001E-2</v>
      </c>
      <c r="V7" s="89" t="s">
        <v>29</v>
      </c>
      <c r="W7" s="89" t="s">
        <v>39</v>
      </c>
      <c r="X7" s="89" t="s">
        <v>28</v>
      </c>
      <c r="Y7" s="89" t="s">
        <v>28</v>
      </c>
      <c r="Z7" s="89" t="s">
        <v>29</v>
      </c>
      <c r="AA7" s="89" t="s">
        <v>31</v>
      </c>
      <c r="AB7" s="89" t="s">
        <v>103</v>
      </c>
    </row>
    <row r="8" spans="1:28" s="51" customFormat="1" ht="25.05" customHeight="1" x14ac:dyDescent="0.3">
      <c r="A8" s="45">
        <v>6</v>
      </c>
      <c r="B8" s="46" t="s">
        <v>60</v>
      </c>
      <c r="C8" s="45" t="s">
        <v>26</v>
      </c>
      <c r="D8" s="45" t="s">
        <v>379</v>
      </c>
      <c r="E8" s="45" t="s">
        <v>27</v>
      </c>
      <c r="F8" s="45">
        <v>262855</v>
      </c>
      <c r="G8" s="45" t="s">
        <v>530</v>
      </c>
      <c r="H8" s="45">
        <v>200</v>
      </c>
      <c r="I8" s="47">
        <v>0.61399999999999999</v>
      </c>
      <c r="J8" s="47">
        <v>1.2589999999999999</v>
      </c>
      <c r="K8" s="45" t="s">
        <v>557</v>
      </c>
      <c r="L8" s="47">
        <v>154.60499999999999</v>
      </c>
      <c r="M8" s="48">
        <v>125.9</v>
      </c>
      <c r="N8" s="49">
        <v>1.7500000000000002E-2</v>
      </c>
      <c r="O8" s="50">
        <v>1.05</v>
      </c>
      <c r="P8" s="45">
        <v>83.2</v>
      </c>
      <c r="Q8" s="45">
        <v>2</v>
      </c>
      <c r="R8" s="45">
        <v>1250</v>
      </c>
      <c r="S8" s="47">
        <v>1.228</v>
      </c>
      <c r="T8" s="45">
        <v>22</v>
      </c>
      <c r="U8" s="49">
        <v>1.7600000000000001E-2</v>
      </c>
      <c r="V8" s="45" t="s">
        <v>28</v>
      </c>
      <c r="W8" s="45" t="s">
        <v>29</v>
      </c>
      <c r="X8" s="45" t="s">
        <v>28</v>
      </c>
      <c r="Y8" s="45" t="s">
        <v>28</v>
      </c>
      <c r="Z8" s="45" t="s">
        <v>28</v>
      </c>
      <c r="AA8" s="45" t="s">
        <v>32</v>
      </c>
      <c r="AB8" s="45" t="s">
        <v>556</v>
      </c>
    </row>
    <row r="9" spans="1:28" s="51" customFormat="1" ht="25.05" customHeight="1" x14ac:dyDescent="0.3">
      <c r="A9" s="45">
        <v>7</v>
      </c>
      <c r="B9" s="46" t="s">
        <v>60</v>
      </c>
      <c r="C9" s="45" t="s">
        <v>26</v>
      </c>
      <c r="D9" s="45" t="s">
        <v>465</v>
      </c>
      <c r="E9" s="45" t="s">
        <v>27</v>
      </c>
      <c r="F9" s="45">
        <v>262843</v>
      </c>
      <c r="G9" s="45" t="s">
        <v>537</v>
      </c>
      <c r="H9" s="45">
        <v>500</v>
      </c>
      <c r="I9" s="47">
        <v>0.6</v>
      </c>
      <c r="J9" s="47">
        <v>1.629</v>
      </c>
      <c r="K9" s="45" t="s">
        <v>555</v>
      </c>
      <c r="L9" s="47">
        <v>488.7</v>
      </c>
      <c r="M9" s="48">
        <v>407.3</v>
      </c>
      <c r="N9" s="49">
        <v>5.6599999999999998E-2</v>
      </c>
      <c r="O9" s="50">
        <v>3.39</v>
      </c>
      <c r="P9" s="45">
        <v>262.89999999999998</v>
      </c>
      <c r="Q9" s="45">
        <v>2</v>
      </c>
      <c r="R9" s="45">
        <v>1250</v>
      </c>
      <c r="S9" s="47">
        <v>1.2</v>
      </c>
      <c r="T9" s="45">
        <v>50</v>
      </c>
      <c r="U9" s="49">
        <v>0.04</v>
      </c>
      <c r="V9" s="45" t="s">
        <v>28</v>
      </c>
      <c r="W9" s="45" t="s">
        <v>29</v>
      </c>
      <c r="X9" s="45" t="s">
        <v>28</v>
      </c>
      <c r="Y9" s="45" t="s">
        <v>28</v>
      </c>
      <c r="Z9" s="45" t="s">
        <v>28</v>
      </c>
      <c r="AA9" s="45" t="s">
        <v>30</v>
      </c>
      <c r="AB9" s="45" t="s">
        <v>554</v>
      </c>
    </row>
    <row r="10" spans="1:28" s="141" customFormat="1" ht="25.05" customHeight="1" x14ac:dyDescent="0.3">
      <c r="A10" s="89">
        <v>8</v>
      </c>
      <c r="B10" s="136" t="s">
        <v>60</v>
      </c>
      <c r="C10" s="89" t="s">
        <v>57</v>
      </c>
      <c r="D10" s="89" t="s">
        <v>379</v>
      </c>
      <c r="E10" s="89" t="s">
        <v>27</v>
      </c>
      <c r="F10" s="89">
        <v>262858</v>
      </c>
      <c r="G10" s="89" t="s">
        <v>546</v>
      </c>
      <c r="H10" s="89">
        <v>1200</v>
      </c>
      <c r="I10" s="137">
        <v>1.196</v>
      </c>
      <c r="J10" s="137">
        <v>1.6910000000000001</v>
      </c>
      <c r="K10" s="89" t="s">
        <v>101</v>
      </c>
      <c r="L10" s="137">
        <v>2426.9229999999998</v>
      </c>
      <c r="M10" s="138">
        <v>2029.2</v>
      </c>
      <c r="N10" s="139">
        <v>0.56369999999999998</v>
      </c>
      <c r="O10" s="140">
        <v>33.82</v>
      </c>
      <c r="P10" s="89">
        <v>1533.8</v>
      </c>
      <c r="Q10" s="89">
        <v>1</v>
      </c>
      <c r="R10" s="89">
        <v>1250</v>
      </c>
      <c r="S10" s="137">
        <v>1.196</v>
      </c>
      <c r="T10" s="89">
        <v>54</v>
      </c>
      <c r="U10" s="139">
        <v>4.3200000000000002E-2</v>
      </c>
      <c r="V10" s="89" t="s">
        <v>29</v>
      </c>
      <c r="W10" s="89" t="s">
        <v>39</v>
      </c>
      <c r="X10" s="89" t="s">
        <v>28</v>
      </c>
      <c r="Y10" s="89" t="s">
        <v>28</v>
      </c>
      <c r="Z10" s="89" t="s">
        <v>29</v>
      </c>
      <c r="AA10" s="89" t="s">
        <v>54</v>
      </c>
      <c r="AB10" s="89" t="s">
        <v>100</v>
      </c>
    </row>
    <row r="11" spans="1:28" s="141" customFormat="1" ht="25.05" customHeight="1" x14ac:dyDescent="0.3">
      <c r="A11" s="89">
        <v>9</v>
      </c>
      <c r="B11" s="136" t="s">
        <v>60</v>
      </c>
      <c r="C11" s="89" t="s">
        <v>44</v>
      </c>
      <c r="D11" s="89" t="s">
        <v>379</v>
      </c>
      <c r="E11" s="89" t="s">
        <v>27</v>
      </c>
      <c r="F11" s="89">
        <v>262857</v>
      </c>
      <c r="G11" s="89" t="s">
        <v>546</v>
      </c>
      <c r="H11" s="89">
        <v>1700</v>
      </c>
      <c r="I11" s="137">
        <v>1.2050000000000001</v>
      </c>
      <c r="J11" s="137">
        <v>2.5110000000000001</v>
      </c>
      <c r="K11" s="89" t="s">
        <v>553</v>
      </c>
      <c r="L11" s="137">
        <v>5143.7839999999997</v>
      </c>
      <c r="M11" s="138">
        <v>4268.7</v>
      </c>
      <c r="N11" s="139">
        <v>1.1857</v>
      </c>
      <c r="O11" s="140">
        <v>71.14</v>
      </c>
      <c r="P11" s="89">
        <v>2921.7</v>
      </c>
      <c r="Q11" s="89">
        <v>1</v>
      </c>
      <c r="R11" s="89">
        <v>1250</v>
      </c>
      <c r="S11" s="137">
        <v>1.2050000000000001</v>
      </c>
      <c r="T11" s="89">
        <v>45</v>
      </c>
      <c r="U11" s="139">
        <v>3.5999999999999997E-2</v>
      </c>
      <c r="V11" s="89" t="s">
        <v>34</v>
      </c>
      <c r="W11" s="89" t="s">
        <v>39</v>
      </c>
      <c r="X11" s="89" t="s">
        <v>34</v>
      </c>
      <c r="Y11" s="89" t="s">
        <v>34</v>
      </c>
      <c r="Z11" s="89" t="s">
        <v>34</v>
      </c>
      <c r="AA11" s="89" t="s">
        <v>63</v>
      </c>
      <c r="AB11" s="89" t="s">
        <v>552</v>
      </c>
    </row>
    <row r="12" spans="1:28" s="141" customFormat="1" ht="25.05" customHeight="1" x14ac:dyDescent="0.3">
      <c r="A12" s="89">
        <v>10</v>
      </c>
      <c r="B12" s="136" t="s">
        <v>60</v>
      </c>
      <c r="C12" s="89" t="s">
        <v>44</v>
      </c>
      <c r="D12" s="89" t="s">
        <v>379</v>
      </c>
      <c r="E12" s="89" t="s">
        <v>27</v>
      </c>
      <c r="F12" s="89">
        <v>262856</v>
      </c>
      <c r="G12" s="89" t="s">
        <v>546</v>
      </c>
      <c r="H12" s="89">
        <v>1400</v>
      </c>
      <c r="I12" s="137">
        <v>1.2050000000000001</v>
      </c>
      <c r="J12" s="137">
        <v>2.5910000000000002</v>
      </c>
      <c r="K12" s="89" t="s">
        <v>50</v>
      </c>
      <c r="L12" s="137">
        <v>4371.0169999999998</v>
      </c>
      <c r="M12" s="138">
        <v>3627.4</v>
      </c>
      <c r="N12" s="139">
        <v>1.0076000000000001</v>
      </c>
      <c r="O12" s="140">
        <v>60.46</v>
      </c>
      <c r="P12" s="89">
        <v>2482.6999999999998</v>
      </c>
      <c r="Q12" s="89">
        <v>1</v>
      </c>
      <c r="R12" s="89">
        <v>1250</v>
      </c>
      <c r="S12" s="137">
        <v>1.2050000000000001</v>
      </c>
      <c r="T12" s="89">
        <v>45</v>
      </c>
      <c r="U12" s="139">
        <v>3.5999999999999997E-2</v>
      </c>
      <c r="V12" s="89" t="s">
        <v>34</v>
      </c>
      <c r="W12" s="89" t="s">
        <v>39</v>
      </c>
      <c r="X12" s="89" t="s">
        <v>34</v>
      </c>
      <c r="Y12" s="89" t="s">
        <v>34</v>
      </c>
      <c r="Z12" s="89" t="s">
        <v>34</v>
      </c>
      <c r="AA12" s="89" t="s">
        <v>52</v>
      </c>
      <c r="AB12" s="89" t="s">
        <v>51</v>
      </c>
    </row>
    <row r="13" spans="1:28" s="51" customFormat="1" ht="25.05" customHeight="1" x14ac:dyDescent="0.3">
      <c r="A13" s="45">
        <v>11</v>
      </c>
      <c r="B13" s="46" t="s">
        <v>60</v>
      </c>
      <c r="C13" s="45" t="s">
        <v>26</v>
      </c>
      <c r="D13" s="45" t="s">
        <v>379</v>
      </c>
      <c r="E13" s="45" t="s">
        <v>27</v>
      </c>
      <c r="F13" s="45">
        <v>262851</v>
      </c>
      <c r="G13" s="45" t="s">
        <v>530</v>
      </c>
      <c r="H13" s="45">
        <v>15000</v>
      </c>
      <c r="I13" s="47">
        <v>0.29399999999999998</v>
      </c>
      <c r="J13" s="47">
        <v>0.95899999999999996</v>
      </c>
      <c r="K13" s="45" t="s">
        <v>551</v>
      </c>
      <c r="L13" s="47">
        <v>4229.1899999999996</v>
      </c>
      <c r="M13" s="48">
        <v>3596.3</v>
      </c>
      <c r="N13" s="49">
        <v>0.24970000000000001</v>
      </c>
      <c r="O13" s="50">
        <v>14.98</v>
      </c>
      <c r="P13" s="45">
        <v>2275.3000000000002</v>
      </c>
      <c r="Q13" s="45">
        <v>4</v>
      </c>
      <c r="R13" s="45">
        <v>1200</v>
      </c>
      <c r="S13" s="47">
        <v>1.1759999999999999</v>
      </c>
      <c r="T13" s="45">
        <v>24</v>
      </c>
      <c r="U13" s="49">
        <v>0.02</v>
      </c>
      <c r="V13" s="45" t="s">
        <v>28</v>
      </c>
      <c r="W13" s="45" t="s">
        <v>29</v>
      </c>
      <c r="X13" s="45" t="s">
        <v>28</v>
      </c>
      <c r="Y13" s="45" t="s">
        <v>28</v>
      </c>
      <c r="Z13" s="45" t="s">
        <v>28</v>
      </c>
      <c r="AA13" s="45" t="s">
        <v>550</v>
      </c>
      <c r="AB13" s="45" t="s">
        <v>549</v>
      </c>
    </row>
    <row r="14" spans="1:28" s="51" customFormat="1" ht="25.05" customHeight="1" x14ac:dyDescent="0.3">
      <c r="A14" s="45">
        <v>12</v>
      </c>
      <c r="B14" s="46" t="s">
        <v>60</v>
      </c>
      <c r="C14" s="45" t="s">
        <v>26</v>
      </c>
      <c r="D14" s="45" t="s">
        <v>465</v>
      </c>
      <c r="E14" s="45" t="s">
        <v>27</v>
      </c>
      <c r="F14" s="45">
        <v>262841</v>
      </c>
      <c r="G14" s="45" t="s">
        <v>537</v>
      </c>
      <c r="H14" s="45">
        <v>300</v>
      </c>
      <c r="I14" s="47">
        <v>1.0309999999999999</v>
      </c>
      <c r="J14" s="47">
        <v>2.024</v>
      </c>
      <c r="K14" s="45" t="s">
        <v>548</v>
      </c>
      <c r="L14" s="47">
        <v>626.02300000000002</v>
      </c>
      <c r="M14" s="48">
        <v>607.20000000000005</v>
      </c>
      <c r="N14" s="49">
        <v>0.16869999999999999</v>
      </c>
      <c r="O14" s="50">
        <v>10.119999999999999</v>
      </c>
      <c r="P14" s="45">
        <v>336.8</v>
      </c>
      <c r="Q14" s="45">
        <v>1</v>
      </c>
      <c r="R14" s="45">
        <v>1100</v>
      </c>
      <c r="S14" s="47">
        <v>1.0309999999999999</v>
      </c>
      <c r="T14" s="45">
        <v>69</v>
      </c>
      <c r="U14" s="49">
        <v>6.2700000000000006E-2</v>
      </c>
      <c r="V14" s="45" t="s">
        <v>28</v>
      </c>
      <c r="W14" s="45" t="s">
        <v>29</v>
      </c>
      <c r="X14" s="45" t="s">
        <v>28</v>
      </c>
      <c r="Y14" s="45" t="s">
        <v>28</v>
      </c>
      <c r="Z14" s="45" t="s">
        <v>28</v>
      </c>
      <c r="AA14" s="45" t="s">
        <v>32</v>
      </c>
      <c r="AB14" s="45" t="s">
        <v>547</v>
      </c>
    </row>
    <row r="15" spans="1:28" s="141" customFormat="1" ht="25.05" customHeight="1" x14ac:dyDescent="0.3">
      <c r="A15" s="89">
        <v>13</v>
      </c>
      <c r="B15" s="136" t="s">
        <v>60</v>
      </c>
      <c r="C15" s="89" t="s">
        <v>26</v>
      </c>
      <c r="D15" s="89" t="s">
        <v>379</v>
      </c>
      <c r="E15" s="89" t="s">
        <v>27</v>
      </c>
      <c r="F15" s="89">
        <v>262860</v>
      </c>
      <c r="G15" s="89" t="s">
        <v>546</v>
      </c>
      <c r="H15" s="89">
        <v>1300</v>
      </c>
      <c r="I15" s="137">
        <v>0.97599999999999998</v>
      </c>
      <c r="J15" s="137">
        <v>2.331</v>
      </c>
      <c r="K15" s="89" t="s">
        <v>545</v>
      </c>
      <c r="L15" s="137">
        <v>2957.5729999999999</v>
      </c>
      <c r="M15" s="138">
        <v>3030.3</v>
      </c>
      <c r="N15" s="139">
        <v>0.8417</v>
      </c>
      <c r="O15" s="140">
        <v>50.5</v>
      </c>
      <c r="P15" s="89">
        <v>1591.2</v>
      </c>
      <c r="Q15" s="89">
        <v>1</v>
      </c>
      <c r="R15" s="89">
        <v>1000</v>
      </c>
      <c r="S15" s="137">
        <v>0.97599999999999998</v>
      </c>
      <c r="T15" s="89">
        <v>24</v>
      </c>
      <c r="U15" s="139">
        <v>2.4E-2</v>
      </c>
      <c r="V15" s="89" t="s">
        <v>28</v>
      </c>
      <c r="W15" s="89" t="s">
        <v>29</v>
      </c>
      <c r="X15" s="89" t="s">
        <v>28</v>
      </c>
      <c r="Y15" s="89" t="s">
        <v>28</v>
      </c>
      <c r="Z15" s="89" t="s">
        <v>28</v>
      </c>
      <c r="AA15" s="89" t="s">
        <v>54</v>
      </c>
      <c r="AB15" s="89" t="s">
        <v>544</v>
      </c>
    </row>
    <row r="16" spans="1:28" s="51" customFormat="1" ht="25.05" customHeight="1" x14ac:dyDescent="0.3">
      <c r="A16" s="45">
        <v>14</v>
      </c>
      <c r="B16" s="46" t="s">
        <v>60</v>
      </c>
      <c r="C16" s="45" t="s">
        <v>44</v>
      </c>
      <c r="D16" s="45" t="s">
        <v>465</v>
      </c>
      <c r="E16" s="45" t="s">
        <v>27</v>
      </c>
      <c r="F16" s="45">
        <v>262845</v>
      </c>
      <c r="G16" s="45" t="s">
        <v>537</v>
      </c>
      <c r="H16" s="45">
        <v>200</v>
      </c>
      <c r="I16" s="47">
        <v>0.84399999999999997</v>
      </c>
      <c r="J16" s="47">
        <v>2.069</v>
      </c>
      <c r="K16" s="45" t="s">
        <v>543</v>
      </c>
      <c r="L16" s="47">
        <v>349.24700000000001</v>
      </c>
      <c r="M16" s="48">
        <v>413.8</v>
      </c>
      <c r="N16" s="49">
        <v>0.1149</v>
      </c>
      <c r="O16" s="50">
        <v>6.9</v>
      </c>
      <c r="P16" s="45">
        <v>198.4</v>
      </c>
      <c r="Q16" s="45">
        <v>1</v>
      </c>
      <c r="R16" s="45">
        <v>900</v>
      </c>
      <c r="S16" s="47">
        <v>0.84399999999999997</v>
      </c>
      <c r="T16" s="45">
        <v>56</v>
      </c>
      <c r="U16" s="49">
        <v>6.2199999999999998E-2</v>
      </c>
      <c r="V16" s="45" t="s">
        <v>34</v>
      </c>
      <c r="W16" s="45" t="s">
        <v>39</v>
      </c>
      <c r="X16" s="45" t="s">
        <v>34</v>
      </c>
      <c r="Y16" s="45" t="s">
        <v>34</v>
      </c>
      <c r="Z16" s="45" t="s">
        <v>34</v>
      </c>
      <c r="AA16" s="45" t="s">
        <v>32</v>
      </c>
      <c r="AB16" s="45" t="s">
        <v>542</v>
      </c>
    </row>
    <row r="17" spans="1:28" s="51" customFormat="1" ht="25.05" customHeight="1" x14ac:dyDescent="0.3">
      <c r="A17" s="45">
        <v>15</v>
      </c>
      <c r="B17" s="46" t="s">
        <v>60</v>
      </c>
      <c r="C17" s="45" t="s">
        <v>35</v>
      </c>
      <c r="D17" s="45" t="s">
        <v>465</v>
      </c>
      <c r="E17" s="45" t="s">
        <v>27</v>
      </c>
      <c r="F17" s="45">
        <v>262842</v>
      </c>
      <c r="G17" s="45" t="s">
        <v>537</v>
      </c>
      <c r="H17" s="45">
        <v>1500</v>
      </c>
      <c r="I17" s="47">
        <v>0.377</v>
      </c>
      <c r="J17" s="47">
        <v>1.0129999999999999</v>
      </c>
      <c r="K17" s="45" t="s">
        <v>541</v>
      </c>
      <c r="L17" s="47">
        <v>572.851</v>
      </c>
      <c r="M17" s="48">
        <v>379.9</v>
      </c>
      <c r="N17" s="49">
        <v>2.64E-2</v>
      </c>
      <c r="O17" s="50">
        <v>1.58</v>
      </c>
      <c r="P17" s="45">
        <v>180.4</v>
      </c>
      <c r="Q17" s="45">
        <v>4</v>
      </c>
      <c r="R17" s="45">
        <v>1550</v>
      </c>
      <c r="S17" s="47">
        <v>1.508</v>
      </c>
      <c r="T17" s="45">
        <v>42</v>
      </c>
      <c r="U17" s="49">
        <v>2.7099999999999999E-2</v>
      </c>
      <c r="V17" s="45" t="s">
        <v>28</v>
      </c>
      <c r="W17" s="45" t="s">
        <v>28</v>
      </c>
      <c r="X17" s="45" t="s">
        <v>28</v>
      </c>
      <c r="Y17" s="45" t="s">
        <v>27</v>
      </c>
      <c r="Z17" s="45" t="s">
        <v>27</v>
      </c>
      <c r="AA17" s="45" t="s">
        <v>38</v>
      </c>
      <c r="AB17" s="45" t="s">
        <v>540</v>
      </c>
    </row>
    <row r="18" spans="1:28" s="51" customFormat="1" ht="25.05" customHeight="1" x14ac:dyDescent="0.3">
      <c r="A18" s="45">
        <v>16</v>
      </c>
      <c r="B18" s="46" t="s">
        <v>60</v>
      </c>
      <c r="C18" s="45" t="s">
        <v>35</v>
      </c>
      <c r="D18" s="45" t="s">
        <v>465</v>
      </c>
      <c r="E18" s="45" t="s">
        <v>27</v>
      </c>
      <c r="F18" s="45">
        <v>262846</v>
      </c>
      <c r="G18" s="45" t="s">
        <v>537</v>
      </c>
      <c r="H18" s="45">
        <v>550</v>
      </c>
      <c r="I18" s="47">
        <v>0.49399999999999999</v>
      </c>
      <c r="J18" s="47">
        <v>1.409</v>
      </c>
      <c r="K18" s="45" t="s">
        <v>539</v>
      </c>
      <c r="L18" s="47">
        <v>382.82499999999999</v>
      </c>
      <c r="M18" s="48">
        <v>258.3</v>
      </c>
      <c r="N18" s="49">
        <v>2.3900000000000001E-2</v>
      </c>
      <c r="O18" s="50">
        <v>1.44</v>
      </c>
      <c r="P18" s="45">
        <v>120.6</v>
      </c>
      <c r="Q18" s="45">
        <v>3</v>
      </c>
      <c r="R18" s="45">
        <v>1550</v>
      </c>
      <c r="S18" s="47">
        <v>1.482</v>
      </c>
      <c r="T18" s="45">
        <v>68</v>
      </c>
      <c r="U18" s="49">
        <v>4.3900000000000002E-2</v>
      </c>
      <c r="V18" s="45" t="s">
        <v>28</v>
      </c>
      <c r="W18" s="45" t="s">
        <v>28</v>
      </c>
      <c r="X18" s="45" t="s">
        <v>28</v>
      </c>
      <c r="Y18" s="45" t="s">
        <v>27</v>
      </c>
      <c r="Z18" s="45" t="s">
        <v>27</v>
      </c>
      <c r="AA18" s="45" t="s">
        <v>38</v>
      </c>
      <c r="AB18" s="45" t="s">
        <v>538</v>
      </c>
    </row>
    <row r="19" spans="1:28" s="51" customFormat="1" ht="25.05" customHeight="1" x14ac:dyDescent="0.3">
      <c r="A19" s="45">
        <v>17</v>
      </c>
      <c r="B19" s="46" t="s">
        <v>60</v>
      </c>
      <c r="C19" s="45" t="s">
        <v>35</v>
      </c>
      <c r="D19" s="45" t="s">
        <v>465</v>
      </c>
      <c r="E19" s="45" t="s">
        <v>27</v>
      </c>
      <c r="F19" s="45">
        <v>262847</v>
      </c>
      <c r="G19" s="45" t="s">
        <v>537</v>
      </c>
      <c r="H19" s="45">
        <v>350</v>
      </c>
      <c r="I19" s="47">
        <v>0.75</v>
      </c>
      <c r="J19" s="47">
        <v>1.929</v>
      </c>
      <c r="K19" s="45" t="s">
        <v>536</v>
      </c>
      <c r="L19" s="47">
        <v>506.363</v>
      </c>
      <c r="M19" s="48">
        <v>337.6</v>
      </c>
      <c r="N19" s="49">
        <v>4.6899999999999997E-2</v>
      </c>
      <c r="O19" s="50">
        <v>2.81</v>
      </c>
      <c r="P19" s="45">
        <v>159.5</v>
      </c>
      <c r="Q19" s="45">
        <v>2</v>
      </c>
      <c r="R19" s="45">
        <v>1550</v>
      </c>
      <c r="S19" s="47">
        <v>1.5</v>
      </c>
      <c r="T19" s="45">
        <v>50</v>
      </c>
      <c r="U19" s="49">
        <v>3.2300000000000002E-2</v>
      </c>
      <c r="V19" s="45" t="s">
        <v>28</v>
      </c>
      <c r="W19" s="45" t="s">
        <v>28</v>
      </c>
      <c r="X19" s="45" t="s">
        <v>28</v>
      </c>
      <c r="Y19" s="45" t="s">
        <v>27</v>
      </c>
      <c r="Z19" s="45" t="s">
        <v>27</v>
      </c>
      <c r="AA19" s="45" t="s">
        <v>38</v>
      </c>
      <c r="AB19" s="45" t="s">
        <v>535</v>
      </c>
    </row>
    <row r="20" spans="1:28" s="51" customFormat="1" ht="25.05" customHeight="1" x14ac:dyDescent="0.3">
      <c r="A20" s="45">
        <v>18</v>
      </c>
      <c r="B20" s="46" t="s">
        <v>60</v>
      </c>
      <c r="C20" s="45" t="s">
        <v>35</v>
      </c>
      <c r="D20" s="45" t="s">
        <v>379</v>
      </c>
      <c r="E20" s="45" t="s">
        <v>27</v>
      </c>
      <c r="F20" s="45">
        <v>262852</v>
      </c>
      <c r="G20" s="45" t="s">
        <v>530</v>
      </c>
      <c r="H20" s="45">
        <v>1500</v>
      </c>
      <c r="I20" s="47">
        <v>0.36199999999999999</v>
      </c>
      <c r="J20" s="47">
        <v>0.95299999999999996</v>
      </c>
      <c r="K20" s="45" t="s">
        <v>534</v>
      </c>
      <c r="L20" s="47">
        <v>517.47900000000004</v>
      </c>
      <c r="M20" s="48">
        <v>357.4</v>
      </c>
      <c r="N20" s="49">
        <v>2.4799999999999999E-2</v>
      </c>
      <c r="O20" s="50">
        <v>1.49</v>
      </c>
      <c r="P20" s="45">
        <v>163</v>
      </c>
      <c r="Q20" s="45">
        <v>4</v>
      </c>
      <c r="R20" s="45">
        <v>1500</v>
      </c>
      <c r="S20" s="47">
        <v>1.448</v>
      </c>
      <c r="T20" s="45">
        <v>52</v>
      </c>
      <c r="U20" s="49">
        <v>3.4700000000000002E-2</v>
      </c>
      <c r="V20" s="45" t="s">
        <v>28</v>
      </c>
      <c r="W20" s="45" t="s">
        <v>28</v>
      </c>
      <c r="X20" s="45" t="s">
        <v>28</v>
      </c>
      <c r="Y20" s="45" t="s">
        <v>27</v>
      </c>
      <c r="Z20" s="45" t="s">
        <v>27</v>
      </c>
      <c r="AA20" s="45" t="s">
        <v>38</v>
      </c>
      <c r="AB20" s="45" t="s">
        <v>533</v>
      </c>
    </row>
    <row r="21" spans="1:28" s="51" customFormat="1" ht="25.05" customHeight="1" x14ac:dyDescent="0.3">
      <c r="A21" s="45">
        <v>19</v>
      </c>
      <c r="B21" s="46" t="s">
        <v>60</v>
      </c>
      <c r="C21" s="45" t="s">
        <v>35</v>
      </c>
      <c r="D21" s="45" t="s">
        <v>379</v>
      </c>
      <c r="E21" s="45" t="s">
        <v>27</v>
      </c>
      <c r="F21" s="45">
        <v>262849</v>
      </c>
      <c r="G21" s="45" t="s">
        <v>530</v>
      </c>
      <c r="H21" s="45">
        <v>3000</v>
      </c>
      <c r="I21" s="47">
        <v>0.44400000000000001</v>
      </c>
      <c r="J21" s="47">
        <v>0.90900000000000003</v>
      </c>
      <c r="K21" s="45" t="s">
        <v>532</v>
      </c>
      <c r="L21" s="47">
        <v>1210.788</v>
      </c>
      <c r="M21" s="48">
        <v>909</v>
      </c>
      <c r="N21" s="49">
        <v>8.4199999999999997E-2</v>
      </c>
      <c r="O21" s="50">
        <v>5.05</v>
      </c>
      <c r="P21" s="45">
        <v>381.4</v>
      </c>
      <c r="Q21" s="45">
        <v>3</v>
      </c>
      <c r="R21" s="45">
        <v>1400</v>
      </c>
      <c r="S21" s="47">
        <v>1.3320000000000001</v>
      </c>
      <c r="T21" s="45">
        <v>68</v>
      </c>
      <c r="U21" s="49">
        <v>4.8599999999999997E-2</v>
      </c>
      <c r="V21" s="45" t="s">
        <v>28</v>
      </c>
      <c r="W21" s="45" t="s">
        <v>28</v>
      </c>
      <c r="X21" s="45" t="s">
        <v>28</v>
      </c>
      <c r="Y21" s="45" t="s">
        <v>27</v>
      </c>
      <c r="Z21" s="45" t="s">
        <v>27</v>
      </c>
      <c r="AA21" s="45" t="s">
        <v>32</v>
      </c>
      <c r="AB21" s="45" t="s">
        <v>531</v>
      </c>
    </row>
    <row r="22" spans="1:28" s="51" customFormat="1" ht="25.05" customHeight="1" x14ac:dyDescent="0.3">
      <c r="A22" s="45">
        <v>20</v>
      </c>
      <c r="B22" s="46" t="s">
        <v>60</v>
      </c>
      <c r="C22" s="45" t="s">
        <v>35</v>
      </c>
      <c r="D22" s="45" t="s">
        <v>379</v>
      </c>
      <c r="E22" s="45" t="s">
        <v>27</v>
      </c>
      <c r="F22" s="45">
        <v>262850</v>
      </c>
      <c r="G22" s="45" t="s">
        <v>530</v>
      </c>
      <c r="H22" s="45">
        <v>400</v>
      </c>
      <c r="I22" s="47">
        <v>1.3</v>
      </c>
      <c r="J22" s="47">
        <v>1.8</v>
      </c>
      <c r="K22" s="45" t="s">
        <v>33</v>
      </c>
      <c r="L22" s="47">
        <v>936</v>
      </c>
      <c r="M22" s="48">
        <v>720</v>
      </c>
      <c r="N22" s="49">
        <v>0.2</v>
      </c>
      <c r="O22" s="50">
        <v>12</v>
      </c>
      <c r="P22" s="45">
        <v>294.8</v>
      </c>
      <c r="Q22" s="45">
        <v>1</v>
      </c>
      <c r="R22" s="45">
        <v>1350</v>
      </c>
      <c r="S22" s="47">
        <v>1.3</v>
      </c>
      <c r="T22" s="45">
        <v>50</v>
      </c>
      <c r="U22" s="49">
        <v>3.6999999999999998E-2</v>
      </c>
      <c r="V22" s="45" t="s">
        <v>28</v>
      </c>
      <c r="W22" s="45" t="s">
        <v>28</v>
      </c>
      <c r="X22" s="45" t="s">
        <v>28</v>
      </c>
      <c r="Y22" s="45" t="s">
        <v>27</v>
      </c>
      <c r="Z22" s="45" t="s">
        <v>27</v>
      </c>
      <c r="AA22" s="45" t="s">
        <v>38</v>
      </c>
      <c r="AB22" s="45" t="s">
        <v>529</v>
      </c>
    </row>
    <row r="23" spans="1:28" s="51" customFormat="1" ht="25.05" customHeight="1" x14ac:dyDescent="0.3">
      <c r="A23" s="52" t="s">
        <v>27</v>
      </c>
      <c r="B23" s="52" t="s">
        <v>27</v>
      </c>
      <c r="C23" s="52" t="s">
        <v>27</v>
      </c>
      <c r="D23" s="52" t="s">
        <v>27</v>
      </c>
      <c r="E23" s="52" t="s">
        <v>27</v>
      </c>
      <c r="F23" s="52" t="s">
        <v>27</v>
      </c>
      <c r="G23" s="52" t="s">
        <v>27</v>
      </c>
      <c r="H23" s="52">
        <v>31800</v>
      </c>
      <c r="I23" s="52" t="s">
        <v>27</v>
      </c>
      <c r="J23" s="52" t="s">
        <v>27</v>
      </c>
      <c r="K23" s="52" t="s">
        <v>27</v>
      </c>
      <c r="L23" s="52" t="s">
        <v>27</v>
      </c>
      <c r="M23" s="52" t="s">
        <v>27</v>
      </c>
      <c r="N23" s="52" t="s">
        <v>27</v>
      </c>
      <c r="O23" s="52" t="s">
        <v>27</v>
      </c>
      <c r="P23" s="52">
        <v>15387.2</v>
      </c>
      <c r="Q23" s="52" t="s">
        <v>27</v>
      </c>
      <c r="R23" s="52" t="s">
        <v>27</v>
      </c>
      <c r="S23" s="52" t="s">
        <v>27</v>
      </c>
      <c r="T23" s="52" t="s">
        <v>27</v>
      </c>
      <c r="U23" s="52" t="s">
        <v>27</v>
      </c>
      <c r="V23" s="52" t="s">
        <v>27</v>
      </c>
      <c r="W23" s="52" t="s">
        <v>27</v>
      </c>
      <c r="X23" s="52" t="s">
        <v>27</v>
      </c>
      <c r="Y23" s="52" t="s">
        <v>27</v>
      </c>
      <c r="Z23" s="52" t="s">
        <v>27</v>
      </c>
      <c r="AA23" s="52" t="s">
        <v>27</v>
      </c>
      <c r="AB23" s="52" t="s">
        <v>27</v>
      </c>
    </row>
    <row r="24" spans="1:28" ht="25.05" customHeight="1" x14ac:dyDescent="0.3"/>
    <row r="25" spans="1:28" ht="25.05" customHeight="1" x14ac:dyDescent="0.3"/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81" orientation="landscape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77CC-4795-45AC-B871-6AB835B37081}">
  <sheetPr>
    <pageSetUpPr fitToPage="1"/>
  </sheetPr>
  <dimension ref="A1:AB5"/>
  <sheetViews>
    <sheetView workbookViewId="0">
      <selection activeCell="AH50" sqref="AH50"/>
    </sheetView>
  </sheetViews>
  <sheetFormatPr defaultRowHeight="14.4" x14ac:dyDescent="0.3"/>
  <cols>
    <col min="1" max="1" width="3" style="1" customWidth="1"/>
    <col min="2" max="2" width="20.77734375" style="1" hidden="1" customWidth="1"/>
    <col min="3" max="3" width="7.77734375" style="1" customWidth="1"/>
    <col min="4" max="4" width="11.77734375" style="1" hidden="1" customWidth="1"/>
    <col min="5" max="5" width="9.21875" style="1" customWidth="1"/>
    <col min="6" max="6" width="7.44140625" style="1" customWidth="1"/>
    <col min="7" max="7" width="9.77734375" style="1" customWidth="1"/>
    <col min="8" max="8" width="4.33203125" style="1" customWidth="1"/>
    <col min="9" max="9" width="6.44140625" style="1" customWidth="1"/>
    <col min="10" max="10" width="7.77734375" style="1" customWidth="1"/>
    <col min="11" max="11" width="4.4414062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5.21875" style="1" customWidth="1"/>
    <col min="17" max="17" width="4.21875" style="1" customWidth="1"/>
    <col min="18" max="18" width="6.5546875" style="1" customWidth="1"/>
    <col min="19" max="19" width="6.77734375" style="1" customWidth="1"/>
    <col min="20" max="20" width="11.77734375" style="1" hidden="1" customWidth="1"/>
    <col min="21" max="21" width="8.77734375" style="1" hidden="1" customWidth="1"/>
    <col min="22" max="22" width="8.21875" style="1" customWidth="1"/>
    <col min="23" max="23" width="9" style="1" customWidth="1"/>
    <col min="24" max="24" width="8.21875" style="1" customWidth="1"/>
    <col min="25" max="25" width="8.109375" style="1" customWidth="1"/>
    <col min="26" max="26" width="8.88671875" style="1" customWidth="1"/>
    <col min="27" max="27" width="5.77734375" style="1" customWidth="1"/>
    <col min="28" max="28" width="11.33203125" style="1" customWidth="1"/>
    <col min="29" max="16384" width="8.88671875" style="1"/>
  </cols>
  <sheetData>
    <row r="1" spans="1:28" ht="18" customHeight="1" x14ac:dyDescent="0.35">
      <c r="A1" s="267" t="s">
        <v>528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</row>
    <row r="2" spans="1:28" ht="66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53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</row>
    <row r="3" spans="1:28" ht="30" customHeight="1" x14ac:dyDescent="0.3">
      <c r="A3" s="126">
        <v>1</v>
      </c>
      <c r="B3" s="128" t="s">
        <v>126</v>
      </c>
      <c r="C3" s="126" t="s">
        <v>44</v>
      </c>
      <c r="D3" s="126" t="s">
        <v>482</v>
      </c>
      <c r="E3" s="126" t="s">
        <v>27</v>
      </c>
      <c r="F3" s="126">
        <v>262840</v>
      </c>
      <c r="G3" s="126" t="s">
        <v>527</v>
      </c>
      <c r="H3" s="126">
        <v>6</v>
      </c>
      <c r="I3" s="127">
        <v>1.1000000000000001</v>
      </c>
      <c r="J3" s="127">
        <v>1.7</v>
      </c>
      <c r="K3" s="126" t="s">
        <v>43</v>
      </c>
      <c r="L3" s="123">
        <v>11.22</v>
      </c>
      <c r="M3" s="125">
        <v>10.199999999999999</v>
      </c>
      <c r="N3" s="122">
        <v>2.8E-3</v>
      </c>
      <c r="O3" s="124">
        <v>0.17</v>
      </c>
      <c r="P3" s="121">
        <v>6.4</v>
      </c>
      <c r="Q3" s="121">
        <v>1</v>
      </c>
      <c r="R3" s="121">
        <v>1150</v>
      </c>
      <c r="S3" s="123">
        <v>1.1000000000000001</v>
      </c>
      <c r="T3" s="121">
        <v>50</v>
      </c>
      <c r="U3" s="122">
        <v>4.3499999999999997E-2</v>
      </c>
      <c r="V3" s="121" t="s">
        <v>34</v>
      </c>
      <c r="W3" s="121" t="s">
        <v>39</v>
      </c>
      <c r="X3" s="121" t="s">
        <v>34</v>
      </c>
      <c r="Y3" s="121" t="s">
        <v>34</v>
      </c>
      <c r="Z3" s="121" t="s">
        <v>34</v>
      </c>
      <c r="AA3" s="121" t="s">
        <v>38</v>
      </c>
      <c r="AB3" s="121" t="s">
        <v>526</v>
      </c>
    </row>
    <row r="4" spans="1:28" ht="30" customHeight="1" x14ac:dyDescent="0.3">
      <c r="A4" s="120" t="s">
        <v>27</v>
      </c>
      <c r="B4" s="120" t="s">
        <v>27</v>
      </c>
      <c r="C4" s="120" t="s">
        <v>27</v>
      </c>
      <c r="D4" s="120" t="s">
        <v>27</v>
      </c>
      <c r="E4" s="120" t="s">
        <v>27</v>
      </c>
      <c r="F4" s="120" t="s">
        <v>27</v>
      </c>
      <c r="G4" s="120" t="s">
        <v>27</v>
      </c>
      <c r="H4" s="120">
        <v>6</v>
      </c>
      <c r="I4" s="120" t="s">
        <v>27</v>
      </c>
      <c r="J4" s="120" t="s">
        <v>27</v>
      </c>
      <c r="K4" s="120" t="s">
        <v>27</v>
      </c>
      <c r="L4" s="119" t="s">
        <v>27</v>
      </c>
      <c r="M4" s="119" t="s">
        <v>27</v>
      </c>
      <c r="N4" s="119" t="s">
        <v>27</v>
      </c>
      <c r="O4" s="119" t="s">
        <v>27</v>
      </c>
      <c r="P4" s="119">
        <v>6.4</v>
      </c>
      <c r="Q4" s="119" t="s">
        <v>27</v>
      </c>
      <c r="R4" s="119" t="s">
        <v>27</v>
      </c>
      <c r="S4" s="119" t="s">
        <v>27</v>
      </c>
      <c r="T4" s="119" t="s">
        <v>27</v>
      </c>
      <c r="U4" s="119" t="s">
        <v>27</v>
      </c>
      <c r="V4" s="119" t="s">
        <v>27</v>
      </c>
      <c r="W4" s="119" t="s">
        <v>27</v>
      </c>
      <c r="X4" s="119" t="s">
        <v>27</v>
      </c>
      <c r="Y4" s="119" t="s">
        <v>27</v>
      </c>
      <c r="Z4" s="119" t="s">
        <v>27</v>
      </c>
      <c r="AA4" s="119" t="s">
        <v>27</v>
      </c>
      <c r="AB4" s="119" t="s">
        <v>27</v>
      </c>
    </row>
    <row r="5" spans="1:28" ht="30" customHeight="1" x14ac:dyDescent="0.3"/>
  </sheetData>
  <mergeCells count="1">
    <mergeCell ref="A1:AB1"/>
  </mergeCells>
  <pageMargins left="0.511811024" right="0.511811024" top="1.45" bottom="0.78740157499999996" header="0.31496062000000002" footer="0.31496062000000002"/>
  <pageSetup paperSize="9" scale="96" orientation="landscape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0C74-521A-437D-96AD-D47A17957229}">
  <sheetPr>
    <pageSetUpPr fitToPage="1"/>
  </sheetPr>
  <dimension ref="A1:AB11"/>
  <sheetViews>
    <sheetView zoomScale="95" zoomScaleNormal="95" workbookViewId="0">
      <selection sqref="A1:AB10"/>
    </sheetView>
  </sheetViews>
  <sheetFormatPr defaultRowHeight="14.4" x14ac:dyDescent="0.3"/>
  <cols>
    <col min="1" max="1" width="4.44140625" style="1" customWidth="1"/>
    <col min="2" max="2" width="20.77734375" style="1" hidden="1" customWidth="1"/>
    <col min="3" max="3" width="6.77734375" style="1" customWidth="1"/>
    <col min="4" max="4" width="11.77734375" style="1" hidden="1" customWidth="1"/>
    <col min="5" max="5" width="8.44140625" style="1" customWidth="1"/>
    <col min="6" max="6" width="7.77734375" style="1" customWidth="1"/>
    <col min="7" max="7" width="5.88671875" style="1" customWidth="1"/>
    <col min="8" max="8" width="6.21875" style="1" customWidth="1"/>
    <col min="9" max="9" width="6.6640625" style="1" customWidth="1"/>
    <col min="10" max="10" width="7.88671875" style="1" customWidth="1"/>
    <col min="11" max="11" width="13.3320312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6.6640625" style="1" customWidth="1"/>
    <col min="17" max="17" width="4.44140625" style="1" customWidth="1"/>
    <col min="18" max="18" width="7" style="1" customWidth="1"/>
    <col min="19" max="19" width="6.77734375" style="1" customWidth="1"/>
    <col min="20" max="20" width="11.77734375" style="1" hidden="1" customWidth="1"/>
    <col min="21" max="21" width="8.77734375" style="1" hidden="1" customWidth="1"/>
    <col min="22" max="22" width="8.44140625" style="1" customWidth="1"/>
    <col min="23" max="23" width="7.77734375" style="1" customWidth="1"/>
    <col min="24" max="24" width="8.6640625" style="1" customWidth="1"/>
    <col min="25" max="25" width="7.5546875" style="1" customWidth="1"/>
    <col min="26" max="26" width="7.33203125" style="1" customWidth="1"/>
    <col min="27" max="27" width="5.88671875" style="1" customWidth="1"/>
    <col min="28" max="28" width="11.6640625" style="1" customWidth="1"/>
    <col min="29" max="16384" width="8.88671875" style="1"/>
  </cols>
  <sheetData>
    <row r="1" spans="1:28" ht="18" customHeight="1" x14ac:dyDescent="0.35">
      <c r="A1" s="267" t="s">
        <v>508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</row>
    <row r="2" spans="1:28" ht="44.4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53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</row>
    <row r="3" spans="1:28" s="12" customFormat="1" ht="25.05" customHeight="1" x14ac:dyDescent="0.3">
      <c r="A3" s="192">
        <v>1</v>
      </c>
      <c r="B3" s="193" t="s">
        <v>58</v>
      </c>
      <c r="C3" s="192" t="s">
        <v>26</v>
      </c>
      <c r="D3" s="192" t="s">
        <v>465</v>
      </c>
      <c r="E3" s="192" t="s">
        <v>27</v>
      </c>
      <c r="F3" s="192">
        <v>262830</v>
      </c>
      <c r="G3" s="192" t="s">
        <v>503</v>
      </c>
      <c r="H3" s="192">
        <v>1100</v>
      </c>
      <c r="I3" s="194">
        <v>0.51700000000000002</v>
      </c>
      <c r="J3" s="194">
        <v>2.68</v>
      </c>
      <c r="K3" s="192" t="s">
        <v>507</v>
      </c>
      <c r="L3" s="194">
        <v>1524.116</v>
      </c>
      <c r="M3" s="195">
        <v>982.7</v>
      </c>
      <c r="N3" s="196">
        <v>9.0999999999999998E-2</v>
      </c>
      <c r="O3" s="197">
        <v>5.46</v>
      </c>
      <c r="P3" s="192">
        <v>820</v>
      </c>
      <c r="Q3" s="192">
        <v>3</v>
      </c>
      <c r="R3" s="192">
        <v>1600</v>
      </c>
      <c r="S3" s="194">
        <v>1.5509999999999999</v>
      </c>
      <c r="T3" s="192">
        <v>49</v>
      </c>
      <c r="U3" s="196">
        <v>3.0599999999999999E-2</v>
      </c>
      <c r="V3" s="192" t="s">
        <v>28</v>
      </c>
      <c r="W3" s="192" t="s">
        <v>29</v>
      </c>
      <c r="X3" s="192" t="s">
        <v>28</v>
      </c>
      <c r="Y3" s="192" t="s">
        <v>28</v>
      </c>
      <c r="Z3" s="192" t="s">
        <v>28</v>
      </c>
      <c r="AA3" s="192" t="s">
        <v>40</v>
      </c>
      <c r="AB3" s="192" t="s">
        <v>506</v>
      </c>
    </row>
    <row r="4" spans="1:28" s="12" customFormat="1" ht="25.05" customHeight="1" x14ac:dyDescent="0.3">
      <c r="A4" s="192">
        <v>2</v>
      </c>
      <c r="B4" s="193" t="s">
        <v>58</v>
      </c>
      <c r="C4" s="192" t="s">
        <v>26</v>
      </c>
      <c r="D4" s="192" t="s">
        <v>465</v>
      </c>
      <c r="E4" s="192" t="s">
        <v>27</v>
      </c>
      <c r="F4" s="192">
        <v>262832</v>
      </c>
      <c r="G4" s="192" t="s">
        <v>503</v>
      </c>
      <c r="H4" s="192">
        <v>660</v>
      </c>
      <c r="I4" s="194">
        <v>0.91200000000000003</v>
      </c>
      <c r="J4" s="194">
        <v>2.1</v>
      </c>
      <c r="K4" s="192" t="s">
        <v>505</v>
      </c>
      <c r="L4" s="194">
        <v>1264.0319999999999</v>
      </c>
      <c r="M4" s="195">
        <v>1386</v>
      </c>
      <c r="N4" s="196">
        <v>0.38500000000000001</v>
      </c>
      <c r="O4" s="197">
        <v>23.1</v>
      </c>
      <c r="P4" s="192">
        <v>680</v>
      </c>
      <c r="Q4" s="192">
        <v>1</v>
      </c>
      <c r="R4" s="192">
        <v>950</v>
      </c>
      <c r="S4" s="194">
        <v>0.91200000000000003</v>
      </c>
      <c r="T4" s="192">
        <v>38</v>
      </c>
      <c r="U4" s="196">
        <v>0.04</v>
      </c>
      <c r="V4" s="192" t="s">
        <v>28</v>
      </c>
      <c r="W4" s="192" t="s">
        <v>29</v>
      </c>
      <c r="X4" s="192" t="s">
        <v>28</v>
      </c>
      <c r="Y4" s="192" t="s">
        <v>28</v>
      </c>
      <c r="Z4" s="192" t="s">
        <v>28</v>
      </c>
      <c r="AA4" s="192" t="s">
        <v>31</v>
      </c>
      <c r="AB4" s="192" t="s">
        <v>504</v>
      </c>
    </row>
    <row r="5" spans="1:28" s="98" customFormat="1" ht="25.05" customHeight="1" x14ac:dyDescent="0.3">
      <c r="A5" s="91">
        <v>1</v>
      </c>
      <c r="B5" s="92" t="s">
        <v>58</v>
      </c>
      <c r="C5" s="91" t="s">
        <v>26</v>
      </c>
      <c r="D5" s="91" t="s">
        <v>576</v>
      </c>
      <c r="E5" s="91" t="s">
        <v>27</v>
      </c>
      <c r="F5" s="91">
        <v>262873</v>
      </c>
      <c r="G5" s="91" t="s">
        <v>589</v>
      </c>
      <c r="H5" s="91">
        <v>300</v>
      </c>
      <c r="I5" s="93">
        <v>0.86199999999999999</v>
      </c>
      <c r="J5" s="93">
        <v>2.1789999999999998</v>
      </c>
      <c r="K5" s="91" t="s">
        <v>588</v>
      </c>
      <c r="L5" s="93">
        <v>563.48900000000003</v>
      </c>
      <c r="M5" s="94">
        <v>653.70000000000005</v>
      </c>
      <c r="N5" s="95">
        <v>0.18160000000000001</v>
      </c>
      <c r="O5" s="96">
        <v>10.89</v>
      </c>
      <c r="P5" s="91">
        <v>303.2</v>
      </c>
      <c r="Q5" s="91">
        <v>1</v>
      </c>
      <c r="R5" s="91">
        <v>900</v>
      </c>
      <c r="S5" s="93">
        <v>0.86199999999999999</v>
      </c>
      <c r="T5" s="91">
        <v>38</v>
      </c>
      <c r="U5" s="95">
        <v>4.2200000000000001E-2</v>
      </c>
      <c r="V5" s="91" t="s">
        <v>28</v>
      </c>
      <c r="W5" s="91" t="s">
        <v>29</v>
      </c>
      <c r="X5" s="91" t="s">
        <v>28</v>
      </c>
      <c r="Y5" s="91" t="s">
        <v>28</v>
      </c>
      <c r="Z5" s="91" t="s">
        <v>28</v>
      </c>
      <c r="AA5" s="91" t="s">
        <v>32</v>
      </c>
      <c r="AB5" s="91" t="s">
        <v>587</v>
      </c>
    </row>
    <row r="6" spans="1:28" s="98" customFormat="1" ht="25.05" customHeight="1" x14ac:dyDescent="0.3">
      <c r="A6" s="186">
        <v>2</v>
      </c>
      <c r="B6" s="187" t="s">
        <v>58</v>
      </c>
      <c r="C6" s="186" t="s">
        <v>26</v>
      </c>
      <c r="D6" s="186" t="s">
        <v>576</v>
      </c>
      <c r="E6" s="186" t="s">
        <v>27</v>
      </c>
      <c r="F6" s="186">
        <v>262872</v>
      </c>
      <c r="G6" s="186" t="s">
        <v>589</v>
      </c>
      <c r="H6" s="186">
        <v>600</v>
      </c>
      <c r="I6" s="188">
        <v>0.86799999999999999</v>
      </c>
      <c r="J6" s="188">
        <v>1.32</v>
      </c>
      <c r="K6" s="186" t="s">
        <v>591</v>
      </c>
      <c r="L6" s="188">
        <v>687.45600000000002</v>
      </c>
      <c r="M6" s="189">
        <v>792</v>
      </c>
      <c r="N6" s="190">
        <v>0.22</v>
      </c>
      <c r="O6" s="191">
        <v>13.2</v>
      </c>
      <c r="P6" s="186">
        <v>369.9</v>
      </c>
      <c r="Q6" s="186">
        <v>1</v>
      </c>
      <c r="R6" s="186">
        <v>900</v>
      </c>
      <c r="S6" s="188">
        <v>0.86799999999999999</v>
      </c>
      <c r="T6" s="186">
        <v>32</v>
      </c>
      <c r="U6" s="190">
        <v>3.56E-2</v>
      </c>
      <c r="V6" s="186" t="s">
        <v>28</v>
      </c>
      <c r="W6" s="186" t="s">
        <v>29</v>
      </c>
      <c r="X6" s="186" t="s">
        <v>28</v>
      </c>
      <c r="Y6" s="186" t="s">
        <v>28</v>
      </c>
      <c r="Z6" s="186" t="s">
        <v>28</v>
      </c>
      <c r="AA6" s="186" t="s">
        <v>31</v>
      </c>
      <c r="AB6" s="186" t="s">
        <v>590</v>
      </c>
    </row>
    <row r="7" spans="1:28" s="12" customFormat="1" ht="25.05" customHeight="1" x14ac:dyDescent="0.3">
      <c r="A7" s="192">
        <v>3</v>
      </c>
      <c r="B7" s="193" t="s">
        <v>58</v>
      </c>
      <c r="C7" s="192" t="s">
        <v>59</v>
      </c>
      <c r="D7" s="192" t="s">
        <v>465</v>
      </c>
      <c r="E7" s="192" t="s">
        <v>27</v>
      </c>
      <c r="F7" s="192">
        <v>262831</v>
      </c>
      <c r="G7" s="192" t="s">
        <v>503</v>
      </c>
      <c r="H7" s="192">
        <v>490</v>
      </c>
      <c r="I7" s="194">
        <v>1.0629999999999999</v>
      </c>
      <c r="J7" s="194">
        <v>1.93</v>
      </c>
      <c r="K7" s="192" t="s">
        <v>502</v>
      </c>
      <c r="L7" s="194">
        <v>1005.279</v>
      </c>
      <c r="M7" s="195">
        <v>945.7</v>
      </c>
      <c r="N7" s="196">
        <v>0.26269999999999999</v>
      </c>
      <c r="O7" s="197">
        <v>15.76</v>
      </c>
      <c r="P7" s="192">
        <v>325.7</v>
      </c>
      <c r="Q7" s="192">
        <v>1</v>
      </c>
      <c r="R7" s="192">
        <v>1100</v>
      </c>
      <c r="S7" s="194">
        <v>1.0629999999999999</v>
      </c>
      <c r="T7" s="192">
        <v>37</v>
      </c>
      <c r="U7" s="196">
        <v>3.3599999999999998E-2</v>
      </c>
      <c r="V7" s="192" t="s">
        <v>28</v>
      </c>
      <c r="W7" s="192" t="s">
        <v>28</v>
      </c>
      <c r="X7" s="192" t="s">
        <v>28</v>
      </c>
      <c r="Y7" s="192" t="s">
        <v>27</v>
      </c>
      <c r="Z7" s="192" t="s">
        <v>27</v>
      </c>
      <c r="AA7" s="192" t="s">
        <v>32</v>
      </c>
      <c r="AB7" s="192" t="s">
        <v>501</v>
      </c>
    </row>
    <row r="8" spans="1:28" s="98" customFormat="1" ht="25.05" customHeight="1" x14ac:dyDescent="0.3">
      <c r="A8" s="91">
        <v>3</v>
      </c>
      <c r="B8" s="92" t="s">
        <v>58</v>
      </c>
      <c r="C8" s="91" t="s">
        <v>35</v>
      </c>
      <c r="D8" s="91" t="s">
        <v>576</v>
      </c>
      <c r="E8" s="91" t="s">
        <v>27</v>
      </c>
      <c r="F8" s="91">
        <v>262871</v>
      </c>
      <c r="G8" s="91" t="s">
        <v>589</v>
      </c>
      <c r="H8" s="91">
        <v>2000</v>
      </c>
      <c r="I8" s="93">
        <v>0.76</v>
      </c>
      <c r="J8" s="93">
        <v>1.089</v>
      </c>
      <c r="K8" s="91" t="s">
        <v>33</v>
      </c>
      <c r="L8" s="93">
        <v>1655.28</v>
      </c>
      <c r="M8" s="94">
        <v>1089</v>
      </c>
      <c r="N8" s="95">
        <v>0.1512</v>
      </c>
      <c r="O8" s="96">
        <v>9.07</v>
      </c>
      <c r="P8" s="91">
        <v>521.4</v>
      </c>
      <c r="Q8" s="91">
        <v>2</v>
      </c>
      <c r="R8" s="91">
        <v>1550</v>
      </c>
      <c r="S8" s="93">
        <v>1.52</v>
      </c>
      <c r="T8" s="91">
        <v>30</v>
      </c>
      <c r="U8" s="95">
        <v>1.9400000000000001E-2</v>
      </c>
      <c r="V8" s="91" t="s">
        <v>28</v>
      </c>
      <c r="W8" s="91" t="s">
        <v>28</v>
      </c>
      <c r="X8" s="91" t="s">
        <v>28</v>
      </c>
      <c r="Y8" s="91" t="s">
        <v>27</v>
      </c>
      <c r="Z8" s="91" t="s">
        <v>27</v>
      </c>
      <c r="AA8" s="91" t="s">
        <v>30</v>
      </c>
      <c r="AB8" s="91" t="s">
        <v>592</v>
      </c>
    </row>
    <row r="9" spans="1:28" s="12" customFormat="1" ht="25.05" customHeight="1" x14ac:dyDescent="0.3">
      <c r="A9" s="5">
        <v>4</v>
      </c>
      <c r="B9" s="10" t="s">
        <v>58</v>
      </c>
      <c r="C9" s="5" t="s">
        <v>35</v>
      </c>
      <c r="D9" s="5" t="s">
        <v>465</v>
      </c>
      <c r="E9" s="5" t="s">
        <v>27</v>
      </c>
      <c r="F9" s="5">
        <v>262833</v>
      </c>
      <c r="G9" s="5" t="s">
        <v>500</v>
      </c>
      <c r="H9" s="5">
        <v>550</v>
      </c>
      <c r="I9" s="7">
        <v>0.81100000000000005</v>
      </c>
      <c r="J9" s="7">
        <v>2.29</v>
      </c>
      <c r="K9" s="5" t="s">
        <v>499</v>
      </c>
      <c r="L9" s="7">
        <v>1021.455</v>
      </c>
      <c r="M9" s="9">
        <v>1259.5</v>
      </c>
      <c r="N9" s="6">
        <v>0.34989999999999999</v>
      </c>
      <c r="O9" s="8">
        <v>20.99</v>
      </c>
      <c r="P9" s="5">
        <v>321.8</v>
      </c>
      <c r="Q9" s="5">
        <v>1</v>
      </c>
      <c r="R9" s="5">
        <v>850</v>
      </c>
      <c r="S9" s="7">
        <v>0.81100000000000005</v>
      </c>
      <c r="T9" s="5">
        <v>39</v>
      </c>
      <c r="U9" s="6">
        <v>4.5900000000000003E-2</v>
      </c>
      <c r="V9" s="5" t="s">
        <v>28</v>
      </c>
      <c r="W9" s="5" t="s">
        <v>28</v>
      </c>
      <c r="X9" s="5" t="s">
        <v>28</v>
      </c>
      <c r="Y9" s="5" t="s">
        <v>27</v>
      </c>
      <c r="Z9" s="5" t="s">
        <v>27</v>
      </c>
      <c r="AA9" s="5" t="s">
        <v>32</v>
      </c>
      <c r="AB9" s="5" t="s">
        <v>498</v>
      </c>
    </row>
    <row r="10" spans="1:28" s="12" customFormat="1" ht="25.05" customHeight="1" x14ac:dyDescent="0.3">
      <c r="A10" s="11" t="s">
        <v>27</v>
      </c>
      <c r="B10" s="11" t="s">
        <v>27</v>
      </c>
      <c r="C10" s="11" t="s">
        <v>27</v>
      </c>
      <c r="D10" s="11" t="s">
        <v>27</v>
      </c>
      <c r="E10" s="11" t="s">
        <v>27</v>
      </c>
      <c r="F10" s="11" t="s">
        <v>27</v>
      </c>
      <c r="G10" s="11" t="s">
        <v>27</v>
      </c>
      <c r="H10" s="11">
        <f>SUM(H3:H9)</f>
        <v>5700</v>
      </c>
      <c r="I10" s="11" t="s">
        <v>27</v>
      </c>
      <c r="J10" s="11" t="s">
        <v>27</v>
      </c>
      <c r="K10" s="11" t="s">
        <v>27</v>
      </c>
      <c r="L10" s="11" t="s">
        <v>27</v>
      </c>
      <c r="M10" s="11" t="s">
        <v>27</v>
      </c>
      <c r="N10" s="11" t="s">
        <v>27</v>
      </c>
      <c r="O10" s="11" t="s">
        <v>27</v>
      </c>
      <c r="P10" s="11">
        <f>SUM(P3:P9)</f>
        <v>3342</v>
      </c>
      <c r="Q10" s="11" t="s">
        <v>27</v>
      </c>
      <c r="R10" s="11" t="s">
        <v>27</v>
      </c>
      <c r="S10" s="11" t="s">
        <v>27</v>
      </c>
      <c r="T10" s="11" t="s">
        <v>27</v>
      </c>
      <c r="U10" s="11" t="s">
        <v>27</v>
      </c>
      <c r="V10" s="11" t="s">
        <v>27</v>
      </c>
      <c r="W10" s="11" t="s">
        <v>27</v>
      </c>
      <c r="X10" s="11" t="s">
        <v>27</v>
      </c>
      <c r="Y10" s="11" t="s">
        <v>27</v>
      </c>
      <c r="Z10" s="11" t="s">
        <v>27</v>
      </c>
      <c r="AA10" s="11" t="s">
        <v>27</v>
      </c>
      <c r="AB10" s="11" t="s">
        <v>27</v>
      </c>
    </row>
    <row r="11" spans="1:28" s="129" customFormat="1" ht="25.05" customHeight="1" x14ac:dyDescent="0.3"/>
  </sheetData>
  <mergeCells count="1">
    <mergeCell ref="A1:AB1"/>
  </mergeCells>
  <pageMargins left="0.511811024" right="0.511811024" top="0.78740157499999996" bottom="0.78740157499999996" header="0.31496062000000002" footer="0.31496062000000002"/>
  <pageSetup scale="85" orientation="landscape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3884-F477-41AF-855E-4F984E358A9D}">
  <sheetPr>
    <pageSetUpPr fitToPage="1"/>
  </sheetPr>
  <dimension ref="A1:AB10"/>
  <sheetViews>
    <sheetView workbookViewId="0">
      <selection activeCell="A6" sqref="A6:XFD6"/>
    </sheetView>
  </sheetViews>
  <sheetFormatPr defaultRowHeight="14.4" x14ac:dyDescent="0.3"/>
  <cols>
    <col min="1" max="1" width="5.109375" style="33" customWidth="1"/>
    <col min="2" max="2" width="20.77734375" style="33" hidden="1" customWidth="1"/>
    <col min="3" max="3" width="6.109375" style="33" customWidth="1"/>
    <col min="4" max="4" width="11.77734375" style="33" hidden="1" customWidth="1"/>
    <col min="5" max="5" width="8.21875" style="33" customWidth="1"/>
    <col min="6" max="6" width="9.21875" style="33" customWidth="1"/>
    <col min="7" max="7" width="5.109375" style="33" customWidth="1"/>
    <col min="8" max="8" width="8" style="33" customWidth="1"/>
    <col min="9" max="9" width="10.77734375" style="33" customWidth="1"/>
    <col min="10" max="10" width="10.6640625" style="33" customWidth="1"/>
    <col min="11" max="11" width="21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77734375" style="33" customWidth="1"/>
    <col min="17" max="17" width="4.77734375" style="33" customWidth="1"/>
    <col min="18" max="18" width="7.33203125" style="33" customWidth="1"/>
    <col min="19" max="19" width="9.21875" style="33" customWidth="1"/>
    <col min="20" max="20" width="11.77734375" style="33" hidden="1" customWidth="1"/>
    <col min="21" max="21" width="8.77734375" style="33" hidden="1" customWidth="1"/>
    <col min="22" max="22" width="7.88671875" style="33" customWidth="1"/>
    <col min="23" max="23" width="8.44140625" style="33" customWidth="1"/>
    <col min="24" max="24" width="8.6640625" style="33" customWidth="1"/>
    <col min="25" max="25" width="7.5546875" style="33" customWidth="1"/>
    <col min="26" max="26" width="8.88671875" style="33" customWidth="1"/>
    <col min="27" max="27" width="5.21875" style="33" customWidth="1"/>
    <col min="28" max="28" width="10.33203125" style="33" customWidth="1"/>
    <col min="29" max="16384" width="8.88671875" style="33"/>
  </cols>
  <sheetData>
    <row r="1" spans="1:28" ht="18" customHeight="1" x14ac:dyDescent="0.35">
      <c r="A1" s="271" t="s">
        <v>489</v>
      </c>
      <c r="B1" s="271" t="s">
        <v>27</v>
      </c>
      <c r="C1" s="271" t="s">
        <v>27</v>
      </c>
      <c r="D1" s="271" t="s">
        <v>27</v>
      </c>
      <c r="E1" s="271" t="s">
        <v>27</v>
      </c>
      <c r="F1" s="271" t="s">
        <v>27</v>
      </c>
      <c r="G1" s="271" t="s">
        <v>27</v>
      </c>
      <c r="H1" s="271" t="s">
        <v>27</v>
      </c>
      <c r="I1" s="271" t="s">
        <v>27</v>
      </c>
      <c r="J1" s="271" t="s">
        <v>27</v>
      </c>
      <c r="K1" s="271" t="s">
        <v>27</v>
      </c>
      <c r="L1" s="271" t="s">
        <v>27</v>
      </c>
      <c r="M1" s="271" t="s">
        <v>27</v>
      </c>
      <c r="N1" s="271" t="s">
        <v>27</v>
      </c>
      <c r="O1" s="271" t="s">
        <v>27</v>
      </c>
      <c r="P1" s="271" t="s">
        <v>27</v>
      </c>
      <c r="Q1" s="271" t="s">
        <v>27</v>
      </c>
      <c r="R1" s="271" t="s">
        <v>27</v>
      </c>
      <c r="S1" s="271" t="s">
        <v>27</v>
      </c>
      <c r="T1" s="271" t="s">
        <v>27</v>
      </c>
      <c r="U1" s="271" t="s">
        <v>27</v>
      </c>
      <c r="V1" s="271" t="s">
        <v>27</v>
      </c>
      <c r="W1" s="271" t="s">
        <v>27</v>
      </c>
      <c r="X1" s="271" t="s">
        <v>27</v>
      </c>
      <c r="Y1" s="271" t="s">
        <v>27</v>
      </c>
      <c r="Z1" s="271" t="s">
        <v>27</v>
      </c>
      <c r="AA1" s="271" t="s">
        <v>27</v>
      </c>
      <c r="AB1" s="271" t="s">
        <v>27</v>
      </c>
    </row>
    <row r="2" spans="1:28" ht="56.4" customHeight="1" x14ac:dyDescent="0.3">
      <c r="A2" s="108" t="s">
        <v>0</v>
      </c>
      <c r="B2" s="108" t="s">
        <v>36</v>
      </c>
      <c r="C2" s="108" t="s">
        <v>1</v>
      </c>
      <c r="D2" s="108" t="s">
        <v>2</v>
      </c>
      <c r="E2" s="108" t="s">
        <v>3</v>
      </c>
      <c r="F2" s="108" t="s">
        <v>53</v>
      </c>
      <c r="G2" s="108" t="s">
        <v>4</v>
      </c>
      <c r="H2" s="108" t="s">
        <v>5</v>
      </c>
      <c r="I2" s="108" t="s">
        <v>6</v>
      </c>
      <c r="J2" s="108" t="s">
        <v>7</v>
      </c>
      <c r="K2" s="108" t="s">
        <v>8</v>
      </c>
      <c r="L2" s="108" t="s">
        <v>9</v>
      </c>
      <c r="M2" s="108" t="s">
        <v>10</v>
      </c>
      <c r="N2" s="108" t="s">
        <v>11</v>
      </c>
      <c r="O2" s="108" t="s">
        <v>12</v>
      </c>
      <c r="P2" s="108" t="s">
        <v>13</v>
      </c>
      <c r="Q2" s="108" t="s">
        <v>14</v>
      </c>
      <c r="R2" s="108" t="s">
        <v>15</v>
      </c>
      <c r="S2" s="108" t="s">
        <v>16</v>
      </c>
      <c r="T2" s="108" t="s">
        <v>17</v>
      </c>
      <c r="U2" s="108" t="s">
        <v>18</v>
      </c>
      <c r="V2" s="108" t="s">
        <v>19</v>
      </c>
      <c r="W2" s="108" t="s">
        <v>20</v>
      </c>
      <c r="X2" s="108" t="s">
        <v>21</v>
      </c>
      <c r="Y2" s="108" t="s">
        <v>22</v>
      </c>
      <c r="Z2" s="108" t="s">
        <v>23</v>
      </c>
      <c r="AA2" s="108" t="s">
        <v>24</v>
      </c>
      <c r="AB2" s="108" t="s">
        <v>25</v>
      </c>
    </row>
    <row r="3" spans="1:28" s="85" customFormat="1" ht="25.05" customHeight="1" x14ac:dyDescent="0.3">
      <c r="A3" s="109">
        <v>1</v>
      </c>
      <c r="B3" s="109" t="s">
        <v>459</v>
      </c>
      <c r="C3" s="109" t="s">
        <v>49</v>
      </c>
      <c r="D3" s="110">
        <v>46297</v>
      </c>
      <c r="E3" s="109"/>
      <c r="F3" s="109">
        <v>262828</v>
      </c>
      <c r="G3" s="109">
        <v>81</v>
      </c>
      <c r="H3" s="109">
        <v>2000</v>
      </c>
      <c r="I3" s="109">
        <v>0.39400000000000002</v>
      </c>
      <c r="J3" s="149">
        <v>1.07</v>
      </c>
      <c r="K3" s="109" t="s">
        <v>494</v>
      </c>
      <c r="L3" s="109">
        <v>843.16</v>
      </c>
      <c r="M3" s="109">
        <v>535</v>
      </c>
      <c r="N3" s="109">
        <v>3.7199999999999997E-2</v>
      </c>
      <c r="O3" s="109">
        <v>2.23</v>
      </c>
      <c r="P3" s="109">
        <v>299.3</v>
      </c>
      <c r="Q3" s="109">
        <v>4</v>
      </c>
      <c r="R3" s="109">
        <v>1600</v>
      </c>
      <c r="S3" s="109">
        <v>1.5760000000000001</v>
      </c>
      <c r="T3" s="109">
        <v>24</v>
      </c>
      <c r="U3" s="109">
        <v>1.4999999999999999E-2</v>
      </c>
      <c r="V3" s="109" t="s">
        <v>29</v>
      </c>
      <c r="W3" s="109" t="s">
        <v>28</v>
      </c>
      <c r="X3" s="109" t="s">
        <v>29</v>
      </c>
      <c r="Y3" s="109"/>
      <c r="Z3" s="109"/>
      <c r="AA3" s="109">
        <v>2</v>
      </c>
      <c r="AB3" s="109" t="s">
        <v>495</v>
      </c>
    </row>
    <row r="4" spans="1:28" s="51" customFormat="1" ht="25.05" customHeight="1" x14ac:dyDescent="0.3">
      <c r="A4" s="109">
        <v>2</v>
      </c>
      <c r="B4" s="111" t="s">
        <v>126</v>
      </c>
      <c r="C4" s="112" t="s">
        <v>44</v>
      </c>
      <c r="D4" s="112" t="s">
        <v>482</v>
      </c>
      <c r="E4" s="112" t="s">
        <v>27</v>
      </c>
      <c r="F4" s="112">
        <v>262823</v>
      </c>
      <c r="G4" s="112" t="s">
        <v>488</v>
      </c>
      <c r="H4" s="112">
        <v>300</v>
      </c>
      <c r="I4" s="113">
        <v>0.36599999999999999</v>
      </c>
      <c r="J4" s="113">
        <v>1.57</v>
      </c>
      <c r="K4" s="112" t="s">
        <v>487</v>
      </c>
      <c r="L4" s="113">
        <v>172.386</v>
      </c>
      <c r="M4" s="114">
        <v>117.8</v>
      </c>
      <c r="N4" s="115">
        <v>8.2000000000000007E-3</v>
      </c>
      <c r="O4" s="116">
        <v>0.49</v>
      </c>
      <c r="P4" s="112">
        <v>97.9</v>
      </c>
      <c r="Q4" s="112">
        <v>4</v>
      </c>
      <c r="R4" s="112">
        <v>1500</v>
      </c>
      <c r="S4" s="113">
        <v>1.464</v>
      </c>
      <c r="T4" s="112">
        <v>36</v>
      </c>
      <c r="U4" s="115">
        <v>2.4E-2</v>
      </c>
      <c r="V4" s="112" t="s">
        <v>34</v>
      </c>
      <c r="W4" s="112" t="s">
        <v>39</v>
      </c>
      <c r="X4" s="112" t="s">
        <v>34</v>
      </c>
      <c r="Y4" s="112" t="s">
        <v>34</v>
      </c>
      <c r="Z4" s="112" t="s">
        <v>34</v>
      </c>
      <c r="AA4" s="112" t="s">
        <v>38</v>
      </c>
      <c r="AB4" s="112" t="s">
        <v>486</v>
      </c>
    </row>
    <row r="5" spans="1:28" s="51" customFormat="1" ht="25.05" customHeight="1" x14ac:dyDescent="0.3">
      <c r="A5" s="109">
        <v>3</v>
      </c>
      <c r="B5" s="111" t="s">
        <v>126</v>
      </c>
      <c r="C5" s="112" t="s">
        <v>35</v>
      </c>
      <c r="D5" s="112" t="s">
        <v>482</v>
      </c>
      <c r="E5" s="112" t="s">
        <v>27</v>
      </c>
      <c r="F5" s="112">
        <v>262824</v>
      </c>
      <c r="G5" s="112" t="s">
        <v>485</v>
      </c>
      <c r="H5" s="112">
        <v>350</v>
      </c>
      <c r="I5" s="113">
        <v>0.63900000000000001</v>
      </c>
      <c r="J5" s="113">
        <v>1.9019999999999999</v>
      </c>
      <c r="K5" s="112" t="s">
        <v>484</v>
      </c>
      <c r="L5" s="113">
        <v>425.38200000000001</v>
      </c>
      <c r="M5" s="114">
        <v>332.8</v>
      </c>
      <c r="N5" s="115">
        <v>4.6199999999999998E-2</v>
      </c>
      <c r="O5" s="116">
        <v>2.77</v>
      </c>
      <c r="P5" s="112">
        <v>134</v>
      </c>
      <c r="Q5" s="112">
        <v>2</v>
      </c>
      <c r="R5" s="112">
        <v>1300</v>
      </c>
      <c r="S5" s="113">
        <v>1.278</v>
      </c>
      <c r="T5" s="112">
        <v>22</v>
      </c>
      <c r="U5" s="115">
        <v>1.6899999999999998E-2</v>
      </c>
      <c r="V5" s="112" t="s">
        <v>28</v>
      </c>
      <c r="W5" s="112" t="s">
        <v>28</v>
      </c>
      <c r="X5" s="112" t="s">
        <v>28</v>
      </c>
      <c r="Y5" s="112" t="s">
        <v>27</v>
      </c>
      <c r="Z5" s="112" t="s">
        <v>27</v>
      </c>
      <c r="AA5" s="112" t="s">
        <v>38</v>
      </c>
      <c r="AB5" s="112" t="s">
        <v>483</v>
      </c>
    </row>
    <row r="7" spans="1:28" s="51" customFormat="1" ht="25.05" customHeight="1" x14ac:dyDescent="0.3">
      <c r="A7" s="109">
        <v>4</v>
      </c>
      <c r="B7" s="111" t="s">
        <v>459</v>
      </c>
      <c r="C7" s="112" t="s">
        <v>49</v>
      </c>
      <c r="D7" s="117">
        <v>46297</v>
      </c>
      <c r="E7" s="112"/>
      <c r="F7" s="112">
        <v>262829</v>
      </c>
      <c r="G7" s="112">
        <v>81</v>
      </c>
      <c r="H7" s="112">
        <v>2000</v>
      </c>
      <c r="I7" s="113">
        <v>0.54</v>
      </c>
      <c r="J7" s="113">
        <v>1.61</v>
      </c>
      <c r="K7" s="112" t="s">
        <v>496</v>
      </c>
      <c r="L7" s="113">
        <v>1738.8</v>
      </c>
      <c r="M7" s="114">
        <v>1610</v>
      </c>
      <c r="N7" s="115">
        <v>0.22359999999999999</v>
      </c>
      <c r="O7" s="116">
        <v>13.42</v>
      </c>
      <c r="P7" s="112">
        <v>617.29999999999995</v>
      </c>
      <c r="Q7" s="112">
        <v>2</v>
      </c>
      <c r="R7" s="112">
        <v>1100</v>
      </c>
      <c r="S7" s="113">
        <v>1.08</v>
      </c>
      <c r="T7" s="112">
        <v>20</v>
      </c>
      <c r="U7" s="115">
        <v>1.8200000000000001E-2</v>
      </c>
      <c r="V7" s="112" t="s">
        <v>29</v>
      </c>
      <c r="W7" s="112" t="s">
        <v>28</v>
      </c>
      <c r="X7" s="112" t="s">
        <v>29</v>
      </c>
      <c r="Y7" s="112"/>
      <c r="Z7" s="112"/>
      <c r="AA7" s="112">
        <v>3</v>
      </c>
      <c r="AB7" s="112" t="s">
        <v>497</v>
      </c>
    </row>
    <row r="8" spans="1:28" s="51" customFormat="1" ht="25.05" customHeight="1" x14ac:dyDescent="0.3">
      <c r="A8" s="109">
        <v>5</v>
      </c>
      <c r="B8" s="111" t="s">
        <v>126</v>
      </c>
      <c r="C8" s="112" t="s">
        <v>35</v>
      </c>
      <c r="D8" s="112" t="s">
        <v>482</v>
      </c>
      <c r="E8" s="112" t="s">
        <v>27</v>
      </c>
      <c r="F8" s="112">
        <v>262825</v>
      </c>
      <c r="G8" s="112" t="s">
        <v>481</v>
      </c>
      <c r="H8" s="112">
        <v>1175</v>
      </c>
      <c r="I8" s="113">
        <v>0.49199999999999999</v>
      </c>
      <c r="J8" s="113">
        <v>0.87</v>
      </c>
      <c r="K8" s="112" t="s">
        <v>480</v>
      </c>
      <c r="L8" s="113">
        <v>502.947</v>
      </c>
      <c r="M8" s="114">
        <v>511.1</v>
      </c>
      <c r="N8" s="115">
        <v>7.0999999999999994E-2</v>
      </c>
      <c r="O8" s="116">
        <v>4.26</v>
      </c>
      <c r="P8" s="112">
        <v>158.4</v>
      </c>
      <c r="Q8" s="112">
        <v>2</v>
      </c>
      <c r="R8" s="112">
        <v>1050</v>
      </c>
      <c r="S8" s="113">
        <v>0.98399999999999999</v>
      </c>
      <c r="T8" s="112">
        <v>66</v>
      </c>
      <c r="U8" s="115">
        <v>6.2899999999999998E-2</v>
      </c>
      <c r="V8" s="112" t="s">
        <v>28</v>
      </c>
      <c r="W8" s="112" t="s">
        <v>28</v>
      </c>
      <c r="X8" s="112" t="s">
        <v>28</v>
      </c>
      <c r="Y8" s="112" t="s">
        <v>27</v>
      </c>
      <c r="Z8" s="112" t="s">
        <v>27</v>
      </c>
      <c r="AA8" s="112" t="s">
        <v>38</v>
      </c>
      <c r="AB8" s="112" t="s">
        <v>479</v>
      </c>
    </row>
    <row r="9" spans="1:28" s="51" customFormat="1" ht="25.05" customHeight="1" x14ac:dyDescent="0.3">
      <c r="A9" s="118" t="s">
        <v>27</v>
      </c>
      <c r="B9" s="118" t="s">
        <v>27</v>
      </c>
      <c r="C9" s="118" t="s">
        <v>27</v>
      </c>
      <c r="D9" s="118" t="s">
        <v>27</v>
      </c>
      <c r="E9" s="118" t="s">
        <v>27</v>
      </c>
      <c r="F9" s="118" t="s">
        <v>27</v>
      </c>
      <c r="G9" s="118" t="s">
        <v>27</v>
      </c>
      <c r="H9" s="118">
        <f>SUM(H3:H8)</f>
        <v>5825</v>
      </c>
      <c r="I9" s="118" t="s">
        <v>27</v>
      </c>
      <c r="J9" s="118" t="s">
        <v>27</v>
      </c>
      <c r="K9" s="118" t="s">
        <v>27</v>
      </c>
      <c r="L9" s="118" t="s">
        <v>27</v>
      </c>
      <c r="M9" s="118" t="s">
        <v>27</v>
      </c>
      <c r="N9" s="118" t="s">
        <v>27</v>
      </c>
      <c r="O9" s="118" t="s">
        <v>27</v>
      </c>
      <c r="P9" s="118">
        <f>SUM(P3:P8)</f>
        <v>1306.9000000000001</v>
      </c>
      <c r="Q9" s="118" t="s">
        <v>27</v>
      </c>
      <c r="R9" s="118" t="s">
        <v>27</v>
      </c>
      <c r="S9" s="118" t="s">
        <v>27</v>
      </c>
      <c r="T9" s="118" t="s">
        <v>27</v>
      </c>
      <c r="U9" s="118" t="s">
        <v>27</v>
      </c>
      <c r="V9" s="118" t="s">
        <v>27</v>
      </c>
      <c r="W9" s="118" t="s">
        <v>27</v>
      </c>
      <c r="X9" s="118" t="s">
        <v>27</v>
      </c>
      <c r="Y9" s="118" t="s">
        <v>27</v>
      </c>
      <c r="Z9" s="118" t="s">
        <v>27</v>
      </c>
      <c r="AA9" s="118" t="s">
        <v>27</v>
      </c>
      <c r="AB9" s="118" t="s">
        <v>27</v>
      </c>
    </row>
    <row r="10" spans="1:28" s="51" customFormat="1" ht="25.05" customHeight="1" x14ac:dyDescent="0.3"/>
  </sheetData>
  <mergeCells count="1">
    <mergeCell ref="A1:AB1"/>
  </mergeCells>
  <pageMargins left="0.511811024" right="0.511811024" top="1.79" bottom="0.78740157499999996" header="0.31496062000000002" footer="0.31496062000000002"/>
  <pageSetup paperSize="9" scale="77" orientation="landscape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DBCC-160E-44D3-8678-28B0357A6831}">
  <sheetPr>
    <pageSetUpPr fitToPage="1"/>
  </sheetPr>
  <dimension ref="A1:AB22"/>
  <sheetViews>
    <sheetView zoomScale="140" zoomScaleNormal="140" workbookViewId="0">
      <selection activeCell="E22" sqref="E22"/>
    </sheetView>
  </sheetViews>
  <sheetFormatPr defaultRowHeight="14.4" x14ac:dyDescent="0.3"/>
  <cols>
    <col min="1" max="1" width="5.5546875" style="1" customWidth="1"/>
    <col min="2" max="2" width="20.77734375" style="1" hidden="1" customWidth="1"/>
    <col min="3" max="3" width="7.77734375" style="1" customWidth="1"/>
    <col min="4" max="4" width="11.77734375" style="1" hidden="1" customWidth="1"/>
    <col min="5" max="5" width="10.77734375" style="1" customWidth="1"/>
    <col min="6" max="6" width="7.5546875" style="1" customWidth="1"/>
    <col min="7" max="7" width="5.21875" style="1" customWidth="1"/>
    <col min="8" max="8" width="6.33203125" style="1" customWidth="1"/>
    <col min="9" max="9" width="6.5546875" style="1" customWidth="1"/>
    <col min="10" max="10" width="7" style="1" customWidth="1"/>
    <col min="11" max="11" width="14.3320312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8.44140625" style="1" customWidth="1"/>
    <col min="17" max="17" width="4.5546875" style="1" customWidth="1"/>
    <col min="18" max="18" width="6.6640625" style="1" customWidth="1"/>
    <col min="19" max="19" width="6.5546875" style="1" customWidth="1"/>
    <col min="20" max="20" width="11.77734375" style="1" hidden="1" customWidth="1"/>
    <col min="21" max="21" width="8.77734375" style="1" hidden="1" customWidth="1"/>
    <col min="22" max="22" width="8.88671875" style="1" customWidth="1"/>
    <col min="23" max="23" width="8" style="1" customWidth="1"/>
    <col min="24" max="24" width="8.6640625" style="1" customWidth="1"/>
    <col min="25" max="25" width="8.77734375" style="1" customWidth="1"/>
    <col min="26" max="26" width="10" style="1" customWidth="1"/>
    <col min="27" max="27" width="5.33203125" style="1" customWidth="1"/>
    <col min="28" max="28" width="12.33203125" style="1" customWidth="1"/>
    <col min="29" max="16384" width="8.88671875" style="1"/>
  </cols>
  <sheetData>
    <row r="1" spans="1:28" ht="18" customHeight="1" x14ac:dyDescent="0.35">
      <c r="A1" s="267" t="s">
        <v>478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</row>
    <row r="2" spans="1:28" ht="45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53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</row>
    <row r="3" spans="1:28" s="12" customFormat="1" ht="25.05" customHeight="1" x14ac:dyDescent="0.3">
      <c r="A3" s="5">
        <v>1</v>
      </c>
      <c r="B3" s="10" t="s">
        <v>404</v>
      </c>
      <c r="C3" s="5" t="s">
        <v>437</v>
      </c>
      <c r="D3" s="5" t="s">
        <v>403</v>
      </c>
      <c r="E3" s="5" t="s">
        <v>27</v>
      </c>
      <c r="F3" s="5">
        <v>262805</v>
      </c>
      <c r="G3" s="5" t="s">
        <v>402</v>
      </c>
      <c r="H3" s="5">
        <v>600</v>
      </c>
      <c r="I3" s="7">
        <v>0.51200000000000001</v>
      </c>
      <c r="J3" s="7">
        <v>1.375</v>
      </c>
      <c r="K3" s="5" t="s">
        <v>438</v>
      </c>
      <c r="L3" s="7">
        <v>422.4</v>
      </c>
      <c r="M3" s="9">
        <v>275</v>
      </c>
      <c r="N3" s="6">
        <v>2.5499999999999998E-2</v>
      </c>
      <c r="O3" s="8">
        <v>1.53</v>
      </c>
      <c r="P3" s="5">
        <v>198.5</v>
      </c>
      <c r="Q3" s="5">
        <v>3</v>
      </c>
      <c r="R3" s="5">
        <v>1600</v>
      </c>
      <c r="S3" s="7">
        <v>1.536</v>
      </c>
      <c r="T3" s="5">
        <v>64</v>
      </c>
      <c r="U3" s="6">
        <v>0.04</v>
      </c>
      <c r="V3" s="5" t="s">
        <v>435</v>
      </c>
      <c r="W3" s="5" t="s">
        <v>41</v>
      </c>
      <c r="X3" s="5" t="s">
        <v>435</v>
      </c>
      <c r="Y3" s="5" t="s">
        <v>27</v>
      </c>
      <c r="Z3" s="5" t="s">
        <v>27</v>
      </c>
      <c r="AA3" s="5" t="s">
        <v>32</v>
      </c>
      <c r="AB3" s="5" t="s">
        <v>79</v>
      </c>
    </row>
    <row r="4" spans="1:28" s="12" customFormat="1" ht="25.05" customHeight="1" x14ac:dyDescent="0.3">
      <c r="A4" s="5">
        <v>2</v>
      </c>
      <c r="B4" s="10" t="s">
        <v>404</v>
      </c>
      <c r="C4" s="5" t="s">
        <v>437</v>
      </c>
      <c r="D4" s="5" t="s">
        <v>403</v>
      </c>
      <c r="E4" s="5" t="s">
        <v>27</v>
      </c>
      <c r="F4" s="5">
        <v>262806</v>
      </c>
      <c r="G4" s="5" t="s">
        <v>402</v>
      </c>
      <c r="H4" s="5">
        <v>500</v>
      </c>
      <c r="I4" s="7">
        <v>0.66200000000000003</v>
      </c>
      <c r="J4" s="7">
        <v>1.7150000000000001</v>
      </c>
      <c r="K4" s="5" t="s">
        <v>436</v>
      </c>
      <c r="L4" s="7">
        <v>567.66499999999996</v>
      </c>
      <c r="M4" s="9">
        <v>428.8</v>
      </c>
      <c r="N4" s="6">
        <v>5.9499999999999997E-2</v>
      </c>
      <c r="O4" s="8">
        <v>3.57</v>
      </c>
      <c r="P4" s="5">
        <v>266.8</v>
      </c>
      <c r="Q4" s="5">
        <v>2</v>
      </c>
      <c r="R4" s="5">
        <v>1350</v>
      </c>
      <c r="S4" s="7">
        <v>1.3240000000000001</v>
      </c>
      <c r="T4" s="5">
        <v>26</v>
      </c>
      <c r="U4" s="6">
        <v>1.9300000000000001E-2</v>
      </c>
      <c r="V4" s="5" t="s">
        <v>435</v>
      </c>
      <c r="W4" s="5" t="s">
        <v>41</v>
      </c>
      <c r="X4" s="5" t="s">
        <v>435</v>
      </c>
      <c r="Y4" s="5" t="s">
        <v>27</v>
      </c>
      <c r="Z4" s="5" t="s">
        <v>27</v>
      </c>
      <c r="AA4" s="5" t="s">
        <v>32</v>
      </c>
      <c r="AB4" s="5" t="s">
        <v>434</v>
      </c>
    </row>
    <row r="5" spans="1:28" s="12" customFormat="1" ht="25.05" customHeight="1" x14ac:dyDescent="0.3">
      <c r="A5" s="5">
        <v>3</v>
      </c>
      <c r="B5" s="10" t="s">
        <v>404</v>
      </c>
      <c r="C5" s="5" t="s">
        <v>81</v>
      </c>
      <c r="D5" s="5" t="s">
        <v>403</v>
      </c>
      <c r="E5" s="5" t="s">
        <v>27</v>
      </c>
      <c r="F5" s="5">
        <v>262813</v>
      </c>
      <c r="G5" s="5" t="s">
        <v>402</v>
      </c>
      <c r="H5" s="5">
        <v>300</v>
      </c>
      <c r="I5" s="7">
        <v>0.36299999999999999</v>
      </c>
      <c r="J5" s="7">
        <v>0.95499999999999996</v>
      </c>
      <c r="K5" s="5" t="s">
        <v>433</v>
      </c>
      <c r="L5" s="7">
        <v>103.999</v>
      </c>
      <c r="M5" s="9">
        <v>71.599999999999994</v>
      </c>
      <c r="N5" s="6">
        <v>5.0000000000000001E-3</v>
      </c>
      <c r="O5" s="8">
        <v>0.3</v>
      </c>
      <c r="P5" s="5">
        <v>38</v>
      </c>
      <c r="Q5" s="5">
        <v>4</v>
      </c>
      <c r="R5" s="5">
        <v>1500</v>
      </c>
      <c r="S5" s="7">
        <v>1.452</v>
      </c>
      <c r="T5" s="5">
        <v>48</v>
      </c>
      <c r="U5" s="6">
        <v>3.2000000000000001E-2</v>
      </c>
      <c r="V5" s="5" t="s">
        <v>41</v>
      </c>
      <c r="W5" s="5" t="s">
        <v>29</v>
      </c>
      <c r="X5" s="5" t="s">
        <v>28</v>
      </c>
      <c r="Y5" s="5" t="s">
        <v>27</v>
      </c>
      <c r="Z5" s="5" t="s">
        <v>27</v>
      </c>
      <c r="AA5" s="5" t="s">
        <v>38</v>
      </c>
      <c r="AB5" s="5" t="s">
        <v>432</v>
      </c>
    </row>
    <row r="6" spans="1:28" s="12" customFormat="1" ht="25.05" customHeight="1" x14ac:dyDescent="0.3">
      <c r="A6" s="5">
        <v>4</v>
      </c>
      <c r="B6" s="10" t="s">
        <v>404</v>
      </c>
      <c r="C6" s="5" t="s">
        <v>81</v>
      </c>
      <c r="D6" s="5" t="s">
        <v>403</v>
      </c>
      <c r="E6" s="5" t="s">
        <v>27</v>
      </c>
      <c r="F6" s="5">
        <v>262807</v>
      </c>
      <c r="G6" s="5" t="s">
        <v>402</v>
      </c>
      <c r="H6" s="5">
        <v>400</v>
      </c>
      <c r="I6" s="7">
        <v>0.48199999999999998</v>
      </c>
      <c r="J6" s="7">
        <v>1.095</v>
      </c>
      <c r="K6" s="5" t="s">
        <v>431</v>
      </c>
      <c r="L6" s="7">
        <v>211.11600000000001</v>
      </c>
      <c r="M6" s="9">
        <v>146</v>
      </c>
      <c r="N6" s="6">
        <v>1.35E-2</v>
      </c>
      <c r="O6" s="8">
        <v>0.81</v>
      </c>
      <c r="P6" s="5">
        <v>77.099999999999994</v>
      </c>
      <c r="Q6" s="5">
        <v>3</v>
      </c>
      <c r="R6" s="5">
        <v>1500</v>
      </c>
      <c r="S6" s="7">
        <v>1.446</v>
      </c>
      <c r="T6" s="5">
        <v>54</v>
      </c>
      <c r="U6" s="6">
        <v>3.5999999999999997E-2</v>
      </c>
      <c r="V6" s="5" t="s">
        <v>41</v>
      </c>
      <c r="W6" s="5" t="s">
        <v>29</v>
      </c>
      <c r="X6" s="5" t="s">
        <v>28</v>
      </c>
      <c r="Y6" s="5" t="s">
        <v>27</v>
      </c>
      <c r="Z6" s="5" t="s">
        <v>27</v>
      </c>
      <c r="AA6" s="5" t="s">
        <v>38</v>
      </c>
      <c r="AB6" s="5" t="s">
        <v>430</v>
      </c>
    </row>
    <row r="7" spans="1:28" s="12" customFormat="1" ht="25.05" customHeight="1" x14ac:dyDescent="0.3">
      <c r="A7" s="5">
        <v>5</v>
      </c>
      <c r="B7" s="10" t="s">
        <v>404</v>
      </c>
      <c r="C7" s="5" t="s">
        <v>81</v>
      </c>
      <c r="D7" s="5" t="s">
        <v>403</v>
      </c>
      <c r="E7" s="5" t="s">
        <v>27</v>
      </c>
      <c r="F7" s="5">
        <v>262819</v>
      </c>
      <c r="G7" s="5" t="s">
        <v>402</v>
      </c>
      <c r="H7" s="5">
        <v>1000</v>
      </c>
      <c r="I7" s="7">
        <v>0.35199999999999998</v>
      </c>
      <c r="J7" s="7">
        <v>0.95499999999999996</v>
      </c>
      <c r="K7" s="5" t="s">
        <v>429</v>
      </c>
      <c r="L7" s="7">
        <v>336.16</v>
      </c>
      <c r="M7" s="9">
        <v>238.8</v>
      </c>
      <c r="N7" s="6">
        <v>1.66E-2</v>
      </c>
      <c r="O7" s="8">
        <v>0.99</v>
      </c>
      <c r="P7" s="5">
        <v>122.7</v>
      </c>
      <c r="Q7" s="5">
        <v>4</v>
      </c>
      <c r="R7" s="5">
        <v>1450</v>
      </c>
      <c r="S7" s="7">
        <v>1.4079999999999999</v>
      </c>
      <c r="T7" s="5">
        <v>42</v>
      </c>
      <c r="U7" s="6">
        <v>2.9000000000000001E-2</v>
      </c>
      <c r="V7" s="5" t="s">
        <v>41</v>
      </c>
      <c r="W7" s="5" t="s">
        <v>29</v>
      </c>
      <c r="X7" s="5" t="s">
        <v>28</v>
      </c>
      <c r="Y7" s="5" t="s">
        <v>27</v>
      </c>
      <c r="Z7" s="5" t="s">
        <v>27</v>
      </c>
      <c r="AA7" s="5" t="s">
        <v>38</v>
      </c>
      <c r="AB7" s="5" t="s">
        <v>428</v>
      </c>
    </row>
    <row r="8" spans="1:28" s="12" customFormat="1" ht="25.05" customHeight="1" x14ac:dyDescent="0.3">
      <c r="A8" s="5">
        <v>6</v>
      </c>
      <c r="B8" s="10" t="s">
        <v>404</v>
      </c>
      <c r="C8" s="5" t="s">
        <v>81</v>
      </c>
      <c r="D8" s="5" t="s">
        <v>403</v>
      </c>
      <c r="E8" s="5" t="s">
        <v>27</v>
      </c>
      <c r="F8" s="5">
        <v>262815</v>
      </c>
      <c r="G8" s="5" t="s">
        <v>402</v>
      </c>
      <c r="H8" s="5">
        <v>1000</v>
      </c>
      <c r="I8" s="7">
        <v>0.34799999999999998</v>
      </c>
      <c r="J8" s="7">
        <v>0.88500000000000001</v>
      </c>
      <c r="K8" s="5" t="s">
        <v>427</v>
      </c>
      <c r="L8" s="7">
        <v>307.98</v>
      </c>
      <c r="M8" s="9">
        <v>221.3</v>
      </c>
      <c r="N8" s="6">
        <v>1.54E-2</v>
      </c>
      <c r="O8" s="8">
        <v>0.92</v>
      </c>
      <c r="P8" s="5">
        <v>112.4</v>
      </c>
      <c r="Q8" s="5">
        <v>4</v>
      </c>
      <c r="R8" s="5">
        <v>1450</v>
      </c>
      <c r="S8" s="7">
        <v>1.3919999999999999</v>
      </c>
      <c r="T8" s="5">
        <v>58</v>
      </c>
      <c r="U8" s="6">
        <v>0.04</v>
      </c>
      <c r="V8" s="5" t="s">
        <v>41</v>
      </c>
      <c r="W8" s="5" t="s">
        <v>29</v>
      </c>
      <c r="X8" s="5" t="s">
        <v>28</v>
      </c>
      <c r="Y8" s="5" t="s">
        <v>27</v>
      </c>
      <c r="Z8" s="5" t="s">
        <v>27</v>
      </c>
      <c r="AA8" s="5" t="s">
        <v>38</v>
      </c>
      <c r="AB8" s="5" t="s">
        <v>426</v>
      </c>
    </row>
    <row r="9" spans="1:28" s="12" customFormat="1" ht="25.05" customHeight="1" x14ac:dyDescent="0.3">
      <c r="A9" s="5">
        <v>7</v>
      </c>
      <c r="B9" s="10" t="s">
        <v>404</v>
      </c>
      <c r="C9" s="5" t="s">
        <v>81</v>
      </c>
      <c r="D9" s="5" t="s">
        <v>403</v>
      </c>
      <c r="E9" s="5" t="s">
        <v>27</v>
      </c>
      <c r="F9" s="5">
        <v>262816</v>
      </c>
      <c r="G9" s="5" t="s">
        <v>402</v>
      </c>
      <c r="H9" s="5">
        <v>1000</v>
      </c>
      <c r="I9" s="7">
        <v>0.33300000000000002</v>
      </c>
      <c r="J9" s="7">
        <v>0.875</v>
      </c>
      <c r="K9" s="5" t="s">
        <v>425</v>
      </c>
      <c r="L9" s="7">
        <v>291.375</v>
      </c>
      <c r="M9" s="9">
        <v>218.8</v>
      </c>
      <c r="N9" s="6">
        <v>1.52E-2</v>
      </c>
      <c r="O9" s="8">
        <v>0.91</v>
      </c>
      <c r="P9" s="5">
        <v>106.4</v>
      </c>
      <c r="Q9" s="5">
        <v>4</v>
      </c>
      <c r="R9" s="5">
        <v>1400</v>
      </c>
      <c r="S9" s="7">
        <v>1.3320000000000001</v>
      </c>
      <c r="T9" s="5">
        <v>68</v>
      </c>
      <c r="U9" s="6">
        <v>4.8599999999999997E-2</v>
      </c>
      <c r="V9" s="5" t="s">
        <v>41</v>
      </c>
      <c r="W9" s="5" t="s">
        <v>29</v>
      </c>
      <c r="X9" s="5" t="s">
        <v>28</v>
      </c>
      <c r="Y9" s="5" t="s">
        <v>27</v>
      </c>
      <c r="Z9" s="5" t="s">
        <v>27</v>
      </c>
      <c r="AA9" s="5" t="s">
        <v>38</v>
      </c>
      <c r="AB9" s="5" t="s">
        <v>424</v>
      </c>
    </row>
    <row r="10" spans="1:28" s="12" customFormat="1" ht="25.05" customHeight="1" x14ac:dyDescent="0.3">
      <c r="A10" s="5">
        <v>8</v>
      </c>
      <c r="B10" s="10" t="s">
        <v>404</v>
      </c>
      <c r="C10" s="5" t="s">
        <v>81</v>
      </c>
      <c r="D10" s="5" t="s">
        <v>403</v>
      </c>
      <c r="E10" s="5" t="s">
        <v>27</v>
      </c>
      <c r="F10" s="5">
        <v>262814</v>
      </c>
      <c r="G10" s="5" t="s">
        <v>402</v>
      </c>
      <c r="H10" s="5">
        <v>2300</v>
      </c>
      <c r="I10" s="7">
        <v>0.432</v>
      </c>
      <c r="J10" s="7">
        <v>1.0489999999999999</v>
      </c>
      <c r="K10" s="5" t="s">
        <v>423</v>
      </c>
      <c r="L10" s="7">
        <v>1042.2860000000001</v>
      </c>
      <c r="M10" s="9">
        <v>804.2</v>
      </c>
      <c r="N10" s="6">
        <v>7.4499999999999997E-2</v>
      </c>
      <c r="O10" s="8">
        <v>4.47</v>
      </c>
      <c r="P10" s="5">
        <v>380.4</v>
      </c>
      <c r="Q10" s="5">
        <v>3</v>
      </c>
      <c r="R10" s="5">
        <v>1350</v>
      </c>
      <c r="S10" s="7">
        <v>1.296</v>
      </c>
      <c r="T10" s="5">
        <v>54</v>
      </c>
      <c r="U10" s="6">
        <v>0.04</v>
      </c>
      <c r="V10" s="5" t="s">
        <v>41</v>
      </c>
      <c r="W10" s="5" t="s">
        <v>29</v>
      </c>
      <c r="X10" s="5" t="s">
        <v>28</v>
      </c>
      <c r="Y10" s="5" t="s">
        <v>27</v>
      </c>
      <c r="Z10" s="5" t="s">
        <v>27</v>
      </c>
      <c r="AA10" s="5" t="s">
        <v>32</v>
      </c>
      <c r="AB10" s="5" t="s">
        <v>422</v>
      </c>
    </row>
    <row r="11" spans="1:28" s="12" customFormat="1" ht="25.05" customHeight="1" x14ac:dyDescent="0.3">
      <c r="A11" s="5">
        <v>9</v>
      </c>
      <c r="B11" s="10" t="s">
        <v>404</v>
      </c>
      <c r="C11" s="5" t="s">
        <v>81</v>
      </c>
      <c r="D11" s="5" t="s">
        <v>403</v>
      </c>
      <c r="E11" s="5" t="s">
        <v>27</v>
      </c>
      <c r="F11" s="5">
        <v>262809</v>
      </c>
      <c r="G11" s="5" t="s">
        <v>402</v>
      </c>
      <c r="H11" s="5">
        <v>300</v>
      </c>
      <c r="I11" s="7">
        <v>0.32200000000000001</v>
      </c>
      <c r="J11" s="7">
        <v>1.145</v>
      </c>
      <c r="K11" s="5" t="s">
        <v>421</v>
      </c>
      <c r="L11" s="7">
        <v>110.607</v>
      </c>
      <c r="M11" s="9">
        <v>85.9</v>
      </c>
      <c r="N11" s="6">
        <v>6.0000000000000001E-3</v>
      </c>
      <c r="O11" s="8">
        <v>0.36</v>
      </c>
      <c r="P11" s="5">
        <v>40.4</v>
      </c>
      <c r="Q11" s="5">
        <v>4</v>
      </c>
      <c r="R11" s="5">
        <v>1350</v>
      </c>
      <c r="S11" s="7">
        <v>1.288</v>
      </c>
      <c r="T11" s="5">
        <v>62</v>
      </c>
      <c r="U11" s="6">
        <v>4.5900000000000003E-2</v>
      </c>
      <c r="V11" s="5" t="s">
        <v>41</v>
      </c>
      <c r="W11" s="5" t="s">
        <v>29</v>
      </c>
      <c r="X11" s="5" t="s">
        <v>28</v>
      </c>
      <c r="Y11" s="5" t="s">
        <v>27</v>
      </c>
      <c r="Z11" s="5" t="s">
        <v>27</v>
      </c>
      <c r="AA11" s="5" t="s">
        <v>38</v>
      </c>
      <c r="AB11" s="5" t="s">
        <v>420</v>
      </c>
    </row>
    <row r="12" spans="1:28" s="12" customFormat="1" ht="25.05" customHeight="1" x14ac:dyDescent="0.3">
      <c r="A12" s="5">
        <v>10</v>
      </c>
      <c r="B12" s="10" t="s">
        <v>404</v>
      </c>
      <c r="C12" s="5" t="s">
        <v>81</v>
      </c>
      <c r="D12" s="5" t="s">
        <v>403</v>
      </c>
      <c r="E12" s="5" t="s">
        <v>27</v>
      </c>
      <c r="F12" s="5">
        <v>262818</v>
      </c>
      <c r="G12" s="5" t="s">
        <v>402</v>
      </c>
      <c r="H12" s="5">
        <v>1000</v>
      </c>
      <c r="I12" s="7">
        <v>0.32300000000000001</v>
      </c>
      <c r="J12" s="7">
        <v>0.76500000000000001</v>
      </c>
      <c r="K12" s="5" t="s">
        <v>419</v>
      </c>
      <c r="L12" s="7">
        <v>247.095</v>
      </c>
      <c r="M12" s="9">
        <v>191.3</v>
      </c>
      <c r="N12" s="6">
        <v>1.3299999999999999E-2</v>
      </c>
      <c r="O12" s="8">
        <v>0.8</v>
      </c>
      <c r="P12" s="5">
        <v>90.2</v>
      </c>
      <c r="Q12" s="5">
        <v>4</v>
      </c>
      <c r="R12" s="5">
        <v>1350</v>
      </c>
      <c r="S12" s="7">
        <v>1.292</v>
      </c>
      <c r="T12" s="5">
        <v>58</v>
      </c>
      <c r="U12" s="6">
        <v>4.2999999999999997E-2</v>
      </c>
      <c r="V12" s="5" t="s">
        <v>41</v>
      </c>
      <c r="W12" s="5" t="s">
        <v>29</v>
      </c>
      <c r="X12" s="5" t="s">
        <v>28</v>
      </c>
      <c r="Y12" s="5" t="s">
        <v>27</v>
      </c>
      <c r="Z12" s="5" t="s">
        <v>27</v>
      </c>
      <c r="AA12" s="5" t="s">
        <v>38</v>
      </c>
      <c r="AB12" s="5" t="s">
        <v>418</v>
      </c>
    </row>
    <row r="13" spans="1:28" s="12" customFormat="1" ht="25.05" customHeight="1" x14ac:dyDescent="0.3">
      <c r="A13" s="5">
        <v>11</v>
      </c>
      <c r="B13" s="10" t="s">
        <v>404</v>
      </c>
      <c r="C13" s="5" t="s">
        <v>81</v>
      </c>
      <c r="D13" s="5" t="s">
        <v>403</v>
      </c>
      <c r="E13" s="5" t="s">
        <v>27</v>
      </c>
      <c r="F13" s="5">
        <v>262810</v>
      </c>
      <c r="G13" s="5" t="s">
        <v>402</v>
      </c>
      <c r="H13" s="5">
        <v>300</v>
      </c>
      <c r="I13" s="7">
        <v>0.41699999999999998</v>
      </c>
      <c r="J13" s="7">
        <v>1.3149999999999999</v>
      </c>
      <c r="K13" s="5" t="s">
        <v>417</v>
      </c>
      <c r="L13" s="7">
        <v>164.506</v>
      </c>
      <c r="M13" s="9">
        <v>131.5</v>
      </c>
      <c r="N13" s="6">
        <v>1.2200000000000001E-2</v>
      </c>
      <c r="O13" s="8">
        <v>0.73</v>
      </c>
      <c r="P13" s="5">
        <v>60</v>
      </c>
      <c r="Q13" s="5">
        <v>3</v>
      </c>
      <c r="R13" s="5">
        <v>1300</v>
      </c>
      <c r="S13" s="7">
        <v>1.2509999999999999</v>
      </c>
      <c r="T13" s="5">
        <v>49</v>
      </c>
      <c r="U13" s="6">
        <v>3.7699999999999997E-2</v>
      </c>
      <c r="V13" s="5" t="s">
        <v>41</v>
      </c>
      <c r="W13" s="5" t="s">
        <v>29</v>
      </c>
      <c r="X13" s="5" t="s">
        <v>28</v>
      </c>
      <c r="Y13" s="5" t="s">
        <v>27</v>
      </c>
      <c r="Z13" s="5" t="s">
        <v>27</v>
      </c>
      <c r="AA13" s="5" t="s">
        <v>38</v>
      </c>
      <c r="AB13" s="5" t="s">
        <v>416</v>
      </c>
    </row>
    <row r="14" spans="1:28" s="12" customFormat="1" ht="25.05" customHeight="1" x14ac:dyDescent="0.3">
      <c r="A14" s="5">
        <v>12</v>
      </c>
      <c r="B14" s="10" t="s">
        <v>404</v>
      </c>
      <c r="C14" s="5" t="s">
        <v>81</v>
      </c>
      <c r="D14" s="5" t="s">
        <v>403</v>
      </c>
      <c r="E14" s="5" t="s">
        <v>27</v>
      </c>
      <c r="F14" s="5">
        <v>262812</v>
      </c>
      <c r="G14" s="5" t="s">
        <v>402</v>
      </c>
      <c r="H14" s="5">
        <v>300</v>
      </c>
      <c r="I14" s="7">
        <v>0.42299999999999999</v>
      </c>
      <c r="J14" s="7">
        <v>1.4350000000000001</v>
      </c>
      <c r="K14" s="5" t="s">
        <v>415</v>
      </c>
      <c r="L14" s="7">
        <v>182.102</v>
      </c>
      <c r="M14" s="9">
        <v>143.5</v>
      </c>
      <c r="N14" s="6">
        <v>1.3299999999999999E-2</v>
      </c>
      <c r="O14" s="8">
        <v>0.8</v>
      </c>
      <c r="P14" s="5">
        <v>66.5</v>
      </c>
      <c r="Q14" s="5">
        <v>3</v>
      </c>
      <c r="R14" s="5">
        <v>1300</v>
      </c>
      <c r="S14" s="7">
        <v>1.2689999999999999</v>
      </c>
      <c r="T14" s="5">
        <v>31</v>
      </c>
      <c r="U14" s="6">
        <v>2.3800000000000002E-2</v>
      </c>
      <c r="V14" s="5" t="s">
        <v>41</v>
      </c>
      <c r="W14" s="5" t="s">
        <v>29</v>
      </c>
      <c r="X14" s="5" t="s">
        <v>28</v>
      </c>
      <c r="Y14" s="5" t="s">
        <v>27</v>
      </c>
      <c r="Z14" s="5" t="s">
        <v>27</v>
      </c>
      <c r="AA14" s="5" t="s">
        <v>38</v>
      </c>
      <c r="AB14" s="5" t="s">
        <v>414</v>
      </c>
    </row>
    <row r="15" spans="1:28" s="12" customFormat="1" ht="25.05" customHeight="1" x14ac:dyDescent="0.3">
      <c r="A15" s="5">
        <v>13</v>
      </c>
      <c r="B15" s="10" t="s">
        <v>404</v>
      </c>
      <c r="C15" s="5" t="s">
        <v>81</v>
      </c>
      <c r="D15" s="5" t="s">
        <v>403</v>
      </c>
      <c r="E15" s="5" t="s">
        <v>27</v>
      </c>
      <c r="F15" s="5">
        <v>262820</v>
      </c>
      <c r="G15" s="5" t="s">
        <v>402</v>
      </c>
      <c r="H15" s="5">
        <v>1000</v>
      </c>
      <c r="I15" s="7">
        <v>0.311</v>
      </c>
      <c r="J15" s="7">
        <v>0.98699999999999999</v>
      </c>
      <c r="K15" s="5" t="s">
        <v>413</v>
      </c>
      <c r="L15" s="7">
        <v>306.95699999999999</v>
      </c>
      <c r="M15" s="9">
        <v>246.8</v>
      </c>
      <c r="N15" s="6">
        <v>1.7100000000000001E-2</v>
      </c>
      <c r="O15" s="8">
        <v>1.03</v>
      </c>
      <c r="P15" s="5">
        <v>112</v>
      </c>
      <c r="Q15" s="5">
        <v>4</v>
      </c>
      <c r="R15" s="5">
        <v>1300</v>
      </c>
      <c r="S15" s="7">
        <v>1.244</v>
      </c>
      <c r="T15" s="5">
        <v>56</v>
      </c>
      <c r="U15" s="6">
        <v>4.3099999999999999E-2</v>
      </c>
      <c r="V15" s="5" t="s">
        <v>41</v>
      </c>
      <c r="W15" s="5" t="s">
        <v>29</v>
      </c>
      <c r="X15" s="5" t="s">
        <v>28</v>
      </c>
      <c r="Y15" s="5" t="s">
        <v>27</v>
      </c>
      <c r="Z15" s="5" t="s">
        <v>27</v>
      </c>
      <c r="AA15" s="5" t="s">
        <v>38</v>
      </c>
      <c r="AB15" s="5" t="s">
        <v>412</v>
      </c>
    </row>
    <row r="16" spans="1:28" s="12" customFormat="1" ht="25.05" customHeight="1" x14ac:dyDescent="0.3">
      <c r="A16" s="5">
        <v>14</v>
      </c>
      <c r="B16" s="10" t="s">
        <v>404</v>
      </c>
      <c r="C16" s="5" t="s">
        <v>81</v>
      </c>
      <c r="D16" s="5" t="s">
        <v>403</v>
      </c>
      <c r="E16" s="5" t="s">
        <v>27</v>
      </c>
      <c r="F16" s="5">
        <v>262808</v>
      </c>
      <c r="G16" s="5" t="s">
        <v>402</v>
      </c>
      <c r="H16" s="5">
        <v>300</v>
      </c>
      <c r="I16" s="7">
        <v>0.29799999999999999</v>
      </c>
      <c r="J16" s="7">
        <v>1.0569999999999999</v>
      </c>
      <c r="K16" s="5" t="s">
        <v>411</v>
      </c>
      <c r="L16" s="7">
        <v>94.495999999999995</v>
      </c>
      <c r="M16" s="9">
        <v>79.3</v>
      </c>
      <c r="N16" s="6">
        <v>5.4999999999999997E-3</v>
      </c>
      <c r="O16" s="8">
        <v>0.33</v>
      </c>
      <c r="P16" s="5">
        <v>34.5</v>
      </c>
      <c r="Q16" s="5">
        <v>4</v>
      </c>
      <c r="R16" s="5">
        <v>1250</v>
      </c>
      <c r="S16" s="7">
        <v>1.1919999999999999</v>
      </c>
      <c r="T16" s="5">
        <v>58</v>
      </c>
      <c r="U16" s="6">
        <v>4.6399999999999997E-2</v>
      </c>
      <c r="V16" s="5" t="s">
        <v>41</v>
      </c>
      <c r="W16" s="5" t="s">
        <v>29</v>
      </c>
      <c r="X16" s="5" t="s">
        <v>28</v>
      </c>
      <c r="Y16" s="5" t="s">
        <v>27</v>
      </c>
      <c r="Z16" s="5" t="s">
        <v>27</v>
      </c>
      <c r="AA16" s="5" t="s">
        <v>38</v>
      </c>
      <c r="AB16" s="5" t="s">
        <v>410</v>
      </c>
    </row>
    <row r="17" spans="1:28" s="12" customFormat="1" ht="25.05" customHeight="1" x14ac:dyDescent="0.3">
      <c r="A17" s="5">
        <v>15</v>
      </c>
      <c r="B17" s="10" t="s">
        <v>404</v>
      </c>
      <c r="C17" s="5" t="s">
        <v>81</v>
      </c>
      <c r="D17" s="5" t="s">
        <v>403</v>
      </c>
      <c r="E17" s="5" t="s">
        <v>27</v>
      </c>
      <c r="F17" s="5">
        <v>262811</v>
      </c>
      <c r="G17" s="5" t="s">
        <v>402</v>
      </c>
      <c r="H17" s="5">
        <v>300</v>
      </c>
      <c r="I17" s="7">
        <v>0.30199999999999999</v>
      </c>
      <c r="J17" s="7">
        <v>1.0349999999999999</v>
      </c>
      <c r="K17" s="5" t="s">
        <v>409</v>
      </c>
      <c r="L17" s="7">
        <v>93.771000000000001</v>
      </c>
      <c r="M17" s="9">
        <v>77.599999999999994</v>
      </c>
      <c r="N17" s="6">
        <v>5.4000000000000003E-3</v>
      </c>
      <c r="O17" s="8">
        <v>0.32</v>
      </c>
      <c r="P17" s="5">
        <v>34.200000000000003</v>
      </c>
      <c r="Q17" s="5">
        <v>4</v>
      </c>
      <c r="R17" s="5">
        <v>1250</v>
      </c>
      <c r="S17" s="7">
        <v>1.208</v>
      </c>
      <c r="T17" s="5">
        <v>42</v>
      </c>
      <c r="U17" s="6">
        <v>3.3599999999999998E-2</v>
      </c>
      <c r="V17" s="5" t="s">
        <v>41</v>
      </c>
      <c r="W17" s="5" t="s">
        <v>29</v>
      </c>
      <c r="X17" s="5" t="s">
        <v>28</v>
      </c>
      <c r="Y17" s="5" t="s">
        <v>27</v>
      </c>
      <c r="Z17" s="5" t="s">
        <v>27</v>
      </c>
      <c r="AA17" s="5" t="s">
        <v>38</v>
      </c>
      <c r="AB17" s="5" t="s">
        <v>408</v>
      </c>
    </row>
    <row r="18" spans="1:28" s="12" customFormat="1" ht="25.05" customHeight="1" x14ac:dyDescent="0.3">
      <c r="A18" s="5">
        <v>16</v>
      </c>
      <c r="B18" s="10" t="s">
        <v>404</v>
      </c>
      <c r="C18" s="5" t="s">
        <v>81</v>
      </c>
      <c r="D18" s="5" t="s">
        <v>403</v>
      </c>
      <c r="E18" s="5" t="s">
        <v>27</v>
      </c>
      <c r="F18" s="5">
        <v>262817</v>
      </c>
      <c r="G18" s="5" t="s">
        <v>402</v>
      </c>
      <c r="H18" s="5">
        <v>1000</v>
      </c>
      <c r="I18" s="7">
        <v>0.30299999999999999</v>
      </c>
      <c r="J18" s="7">
        <v>0.94499999999999995</v>
      </c>
      <c r="K18" s="5" t="s">
        <v>407</v>
      </c>
      <c r="L18" s="7">
        <v>286.33499999999998</v>
      </c>
      <c r="M18" s="9">
        <v>236.3</v>
      </c>
      <c r="N18" s="6">
        <v>1.6400000000000001E-2</v>
      </c>
      <c r="O18" s="8">
        <v>0.98</v>
      </c>
      <c r="P18" s="5">
        <v>104.5</v>
      </c>
      <c r="Q18" s="5">
        <v>4</v>
      </c>
      <c r="R18" s="5">
        <v>1250</v>
      </c>
      <c r="S18" s="7">
        <v>1.212</v>
      </c>
      <c r="T18" s="5">
        <v>38</v>
      </c>
      <c r="U18" s="6">
        <v>3.04E-2</v>
      </c>
      <c r="V18" s="5" t="s">
        <v>41</v>
      </c>
      <c r="W18" s="5" t="s">
        <v>29</v>
      </c>
      <c r="X18" s="5" t="s">
        <v>28</v>
      </c>
      <c r="Y18" s="5" t="s">
        <v>27</v>
      </c>
      <c r="Z18" s="5" t="s">
        <v>27</v>
      </c>
      <c r="AA18" s="5" t="s">
        <v>38</v>
      </c>
      <c r="AB18" s="5" t="s">
        <v>406</v>
      </c>
    </row>
    <row r="19" spans="1:28" s="12" customFormat="1" ht="25.05" customHeight="1" x14ac:dyDescent="0.3">
      <c r="A19" s="5">
        <v>17</v>
      </c>
      <c r="B19" s="10" t="s">
        <v>404</v>
      </c>
      <c r="C19" s="5" t="s">
        <v>81</v>
      </c>
      <c r="D19" s="5" t="s">
        <v>403</v>
      </c>
      <c r="E19" s="5" t="s">
        <v>27</v>
      </c>
      <c r="F19" s="5">
        <v>262821</v>
      </c>
      <c r="G19" s="5" t="s">
        <v>402</v>
      </c>
      <c r="H19" s="5">
        <v>1000</v>
      </c>
      <c r="I19" s="7">
        <v>0.54400000000000004</v>
      </c>
      <c r="J19" s="7">
        <v>0.875</v>
      </c>
      <c r="K19" s="5" t="s">
        <v>33</v>
      </c>
      <c r="L19" s="7">
        <v>476</v>
      </c>
      <c r="M19" s="9">
        <v>437.5</v>
      </c>
      <c r="N19" s="6">
        <v>6.08E-2</v>
      </c>
      <c r="O19" s="8">
        <v>3.65</v>
      </c>
      <c r="P19" s="5">
        <v>173.7</v>
      </c>
      <c r="Q19" s="5">
        <v>2</v>
      </c>
      <c r="R19" s="5">
        <v>1150</v>
      </c>
      <c r="S19" s="7">
        <v>1.0880000000000001</v>
      </c>
      <c r="T19" s="5">
        <v>62</v>
      </c>
      <c r="U19" s="6">
        <v>5.3900000000000003E-2</v>
      </c>
      <c r="V19" s="5" t="s">
        <v>41</v>
      </c>
      <c r="W19" s="5" t="s">
        <v>29</v>
      </c>
      <c r="X19" s="5" t="s">
        <v>28</v>
      </c>
      <c r="Y19" s="5" t="s">
        <v>27</v>
      </c>
      <c r="Z19" s="5" t="s">
        <v>27</v>
      </c>
      <c r="AA19" s="5" t="s">
        <v>38</v>
      </c>
      <c r="AB19" s="5" t="s">
        <v>405</v>
      </c>
    </row>
    <row r="20" spans="1:28" s="12" customFormat="1" ht="25.05" customHeight="1" x14ac:dyDescent="0.3">
      <c r="A20" s="5">
        <v>18</v>
      </c>
      <c r="B20" s="10" t="s">
        <v>404</v>
      </c>
      <c r="C20" s="5" t="s">
        <v>81</v>
      </c>
      <c r="D20" s="5" t="s">
        <v>403</v>
      </c>
      <c r="E20" s="5" t="s">
        <v>27</v>
      </c>
      <c r="F20" s="5">
        <v>262822</v>
      </c>
      <c r="G20" s="5" t="s">
        <v>402</v>
      </c>
      <c r="H20" s="5">
        <v>500</v>
      </c>
      <c r="I20" s="7">
        <v>0.54400000000000004</v>
      </c>
      <c r="J20" s="7">
        <v>0.72499999999999998</v>
      </c>
      <c r="K20" s="5" t="s">
        <v>33</v>
      </c>
      <c r="L20" s="7">
        <v>197.2</v>
      </c>
      <c r="M20" s="9">
        <v>181.3</v>
      </c>
      <c r="N20" s="6">
        <v>2.52E-2</v>
      </c>
      <c r="O20" s="8">
        <v>1.51</v>
      </c>
      <c r="P20" s="5">
        <v>72</v>
      </c>
      <c r="Q20" s="5">
        <v>2</v>
      </c>
      <c r="R20" s="5">
        <v>1150</v>
      </c>
      <c r="S20" s="7">
        <v>1.0880000000000001</v>
      </c>
      <c r="T20" s="5">
        <v>62</v>
      </c>
      <c r="U20" s="6">
        <v>5.3900000000000003E-2</v>
      </c>
      <c r="V20" s="5" t="s">
        <v>41</v>
      </c>
      <c r="W20" s="5" t="s">
        <v>29</v>
      </c>
      <c r="X20" s="5" t="s">
        <v>28</v>
      </c>
      <c r="Y20" s="5" t="s">
        <v>27</v>
      </c>
      <c r="Z20" s="5" t="s">
        <v>27</v>
      </c>
      <c r="AA20" s="5" t="s">
        <v>38</v>
      </c>
      <c r="AB20" s="5" t="s">
        <v>401</v>
      </c>
    </row>
    <row r="21" spans="1:28" s="12" customFormat="1" ht="25.05" customHeight="1" x14ac:dyDescent="0.3">
      <c r="A21" s="11" t="s">
        <v>27</v>
      </c>
      <c r="B21" s="11" t="s">
        <v>27</v>
      </c>
      <c r="C21" s="11" t="s">
        <v>27</v>
      </c>
      <c r="D21" s="11" t="s">
        <v>27</v>
      </c>
      <c r="E21" s="11" t="s">
        <v>27</v>
      </c>
      <c r="F21" s="11" t="s">
        <v>27</v>
      </c>
      <c r="G21" s="11" t="s">
        <v>27</v>
      </c>
      <c r="H21" s="11">
        <v>13100</v>
      </c>
      <c r="I21" s="11" t="s">
        <v>27</v>
      </c>
      <c r="J21" s="11" t="s">
        <v>27</v>
      </c>
      <c r="K21" s="11" t="s">
        <v>27</v>
      </c>
      <c r="L21" s="11" t="s">
        <v>27</v>
      </c>
      <c r="M21" s="11" t="s">
        <v>27</v>
      </c>
      <c r="N21" s="11" t="s">
        <v>27</v>
      </c>
      <c r="O21" s="11" t="s">
        <v>27</v>
      </c>
      <c r="P21" s="11">
        <v>2090.3000000000002</v>
      </c>
      <c r="Q21" s="11" t="s">
        <v>27</v>
      </c>
      <c r="R21" s="11" t="s">
        <v>27</v>
      </c>
      <c r="S21" s="11" t="s">
        <v>27</v>
      </c>
      <c r="T21" s="11" t="s">
        <v>27</v>
      </c>
      <c r="U21" s="11" t="s">
        <v>27</v>
      </c>
      <c r="V21" s="11" t="s">
        <v>27</v>
      </c>
      <c r="W21" s="11" t="s">
        <v>27</v>
      </c>
      <c r="X21" s="11" t="s">
        <v>27</v>
      </c>
      <c r="Y21" s="11" t="s">
        <v>27</v>
      </c>
      <c r="Z21" s="11" t="s">
        <v>27</v>
      </c>
      <c r="AA21" s="11" t="s">
        <v>27</v>
      </c>
      <c r="AB21" s="11" t="s">
        <v>27</v>
      </c>
    </row>
    <row r="22" spans="1:28" s="12" customFormat="1" ht="25.05" customHeight="1" x14ac:dyDescent="0.3"/>
  </sheetData>
  <mergeCells count="1">
    <mergeCell ref="A1:AB1"/>
  </mergeCells>
  <pageMargins left="0.511811024" right="0.511811024" top="1.06" bottom="0.78740157499999996" header="0.31496062000000002" footer="0.31496062000000002"/>
  <pageSetup scale="80" orientation="landscape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60EC-40AA-4456-8D33-C51008EBC785}">
  <sheetPr>
    <pageSetUpPr fitToPage="1"/>
  </sheetPr>
  <dimension ref="A1:AB22"/>
  <sheetViews>
    <sheetView zoomScale="120" zoomScaleNormal="120" workbookViewId="0">
      <selection activeCell="A15" sqref="A15:XFD15"/>
    </sheetView>
  </sheetViews>
  <sheetFormatPr defaultRowHeight="14.4" x14ac:dyDescent="0.3"/>
  <cols>
    <col min="1" max="1" width="4.5546875" style="33" customWidth="1"/>
    <col min="2" max="2" width="31.109375" style="33" customWidth="1"/>
    <col min="3" max="3" width="7.77734375" style="33" customWidth="1"/>
    <col min="4" max="4" width="11.77734375" style="33" hidden="1" customWidth="1"/>
    <col min="5" max="5" width="9.44140625" style="33" customWidth="1"/>
    <col min="6" max="6" width="8.77734375" style="33" customWidth="1"/>
    <col min="7" max="7" width="11.44140625" style="33" customWidth="1"/>
    <col min="8" max="8" width="7.5546875" style="33" customWidth="1"/>
    <col min="9" max="9" width="9.77734375" style="33" customWidth="1"/>
    <col min="10" max="10" width="8" style="33" customWidth="1"/>
    <col min="11" max="11" width="8.886718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8.77734375" style="33" customWidth="1"/>
    <col min="17" max="17" width="4.33203125" style="33" customWidth="1"/>
    <col min="18" max="18" width="7.88671875" style="33" customWidth="1"/>
    <col min="19" max="19" width="7.77734375" style="33" customWidth="1"/>
    <col min="20" max="20" width="11.77734375" style="33" hidden="1" customWidth="1"/>
    <col min="21" max="21" width="8.77734375" style="33" hidden="1" customWidth="1"/>
    <col min="22" max="22" width="8.44140625" style="33" customWidth="1"/>
    <col min="23" max="23" width="8.109375" style="33" customWidth="1"/>
    <col min="24" max="24" width="7.6640625" style="33" customWidth="1"/>
    <col min="25" max="25" width="9.109375" style="33" customWidth="1"/>
    <col min="26" max="26" width="9.77734375" style="33" customWidth="1"/>
    <col min="27" max="27" width="4.5546875" style="33" customWidth="1"/>
    <col min="28" max="28" width="12.21875" style="33" customWidth="1"/>
    <col min="29" max="16384" width="8.88671875" style="33"/>
  </cols>
  <sheetData>
    <row r="1" spans="1:28" ht="18" customHeight="1" x14ac:dyDescent="0.3">
      <c r="A1" s="272" t="s">
        <v>477</v>
      </c>
      <c r="B1" s="272" t="s">
        <v>27</v>
      </c>
      <c r="C1" s="272" t="s">
        <v>27</v>
      </c>
      <c r="D1" s="272" t="s">
        <v>27</v>
      </c>
      <c r="E1" s="272" t="s">
        <v>27</v>
      </c>
      <c r="F1" s="272" t="s">
        <v>27</v>
      </c>
      <c r="G1" s="272" t="s">
        <v>27</v>
      </c>
      <c r="H1" s="272" t="s">
        <v>27</v>
      </c>
      <c r="I1" s="272" t="s">
        <v>27</v>
      </c>
      <c r="J1" s="272" t="s">
        <v>27</v>
      </c>
      <c r="K1" s="272" t="s">
        <v>27</v>
      </c>
      <c r="L1" s="272" t="s">
        <v>27</v>
      </c>
      <c r="M1" s="272" t="s">
        <v>27</v>
      </c>
      <c r="N1" s="272" t="s">
        <v>27</v>
      </c>
      <c r="O1" s="272" t="s">
        <v>27</v>
      </c>
      <c r="P1" s="272" t="s">
        <v>27</v>
      </c>
      <c r="Q1" s="272" t="s">
        <v>27</v>
      </c>
      <c r="R1" s="272" t="s">
        <v>27</v>
      </c>
      <c r="S1" s="272" t="s">
        <v>27</v>
      </c>
      <c r="T1" s="272" t="s">
        <v>27</v>
      </c>
      <c r="U1" s="272" t="s">
        <v>27</v>
      </c>
      <c r="V1" s="272" t="s">
        <v>27</v>
      </c>
      <c r="W1" s="272" t="s">
        <v>27</v>
      </c>
      <c r="X1" s="272" t="s">
        <v>27</v>
      </c>
      <c r="Y1" s="272" t="s">
        <v>27</v>
      </c>
      <c r="Z1" s="272" t="s">
        <v>27</v>
      </c>
      <c r="AA1" s="272" t="s">
        <v>27</v>
      </c>
      <c r="AB1" s="272" t="s">
        <v>27</v>
      </c>
    </row>
    <row r="2" spans="1:28" ht="42.6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106" customFormat="1" ht="25.05" customHeight="1" x14ac:dyDescent="0.3">
      <c r="A3" s="100">
        <v>1</v>
      </c>
      <c r="B3" s="101" t="s">
        <v>107</v>
      </c>
      <c r="C3" s="100" t="s">
        <v>49</v>
      </c>
      <c r="D3" s="100" t="s">
        <v>222</v>
      </c>
      <c r="E3" s="100" t="s">
        <v>27</v>
      </c>
      <c r="F3" s="100">
        <v>262792</v>
      </c>
      <c r="G3" s="100" t="s">
        <v>271</v>
      </c>
      <c r="H3" s="100">
        <v>3052</v>
      </c>
      <c r="I3" s="102">
        <v>0.39</v>
      </c>
      <c r="J3" s="102">
        <v>0.71</v>
      </c>
      <c r="K3" s="100" t="s">
        <v>33</v>
      </c>
      <c r="L3" s="102">
        <v>845.09900000000005</v>
      </c>
      <c r="M3" s="103">
        <v>541.70000000000005</v>
      </c>
      <c r="N3" s="104">
        <v>3.7600000000000001E-2</v>
      </c>
      <c r="O3" s="105">
        <v>2.2599999999999998</v>
      </c>
      <c r="P3" s="100">
        <v>300</v>
      </c>
      <c r="Q3" s="100">
        <v>4</v>
      </c>
      <c r="R3" s="100">
        <v>1600</v>
      </c>
      <c r="S3" s="102">
        <v>1.56</v>
      </c>
      <c r="T3" s="100">
        <v>40</v>
      </c>
      <c r="U3" s="104">
        <v>2.5000000000000001E-2</v>
      </c>
      <c r="V3" s="100" t="s">
        <v>29</v>
      </c>
      <c r="W3" s="100" t="s">
        <v>28</v>
      </c>
      <c r="X3" s="100" t="s">
        <v>29</v>
      </c>
      <c r="Y3" s="100" t="s">
        <v>27</v>
      </c>
      <c r="Z3" s="100" t="s">
        <v>27</v>
      </c>
      <c r="AA3" s="100" t="s">
        <v>38</v>
      </c>
      <c r="AB3" s="100" t="s">
        <v>108</v>
      </c>
    </row>
    <row r="4" spans="1:28" s="106" customFormat="1" ht="25.05" customHeight="1" x14ac:dyDescent="0.3">
      <c r="A4" s="100">
        <v>2</v>
      </c>
      <c r="B4" s="101" t="s">
        <v>471</v>
      </c>
      <c r="C4" s="100" t="s">
        <v>35</v>
      </c>
      <c r="D4" s="100" t="s">
        <v>465</v>
      </c>
      <c r="E4" s="100" t="s">
        <v>27</v>
      </c>
      <c r="F4" s="100">
        <v>262800</v>
      </c>
      <c r="G4" s="100" t="s">
        <v>470</v>
      </c>
      <c r="H4" s="100">
        <v>1000</v>
      </c>
      <c r="I4" s="102">
        <v>0.495</v>
      </c>
      <c r="J4" s="102">
        <v>0.97</v>
      </c>
      <c r="K4" s="100" t="s">
        <v>33</v>
      </c>
      <c r="L4" s="102">
        <v>288.08999999999997</v>
      </c>
      <c r="M4" s="103">
        <v>194</v>
      </c>
      <c r="N4" s="104">
        <v>1.7999999999999999E-2</v>
      </c>
      <c r="O4" s="105">
        <v>1.08</v>
      </c>
      <c r="P4" s="100">
        <v>90.7</v>
      </c>
      <c r="Q4" s="100">
        <v>3</v>
      </c>
      <c r="R4" s="100">
        <v>1550</v>
      </c>
      <c r="S4" s="102">
        <v>1.4850000000000001</v>
      </c>
      <c r="T4" s="100">
        <v>65</v>
      </c>
      <c r="U4" s="104">
        <v>4.19E-2</v>
      </c>
      <c r="V4" s="100" t="s">
        <v>28</v>
      </c>
      <c r="W4" s="100" t="s">
        <v>28</v>
      </c>
      <c r="X4" s="100" t="s">
        <v>28</v>
      </c>
      <c r="Y4" s="100" t="s">
        <v>27</v>
      </c>
      <c r="Z4" s="100" t="s">
        <v>27</v>
      </c>
      <c r="AA4" s="100" t="s">
        <v>38</v>
      </c>
      <c r="AB4" s="100" t="s">
        <v>476</v>
      </c>
    </row>
    <row r="5" spans="1:28" s="106" customFormat="1" ht="25.05" customHeight="1" x14ac:dyDescent="0.3">
      <c r="A5" s="100">
        <v>3</v>
      </c>
      <c r="B5" s="101" t="s">
        <v>107</v>
      </c>
      <c r="C5" s="100" t="s">
        <v>55</v>
      </c>
      <c r="D5" s="100" t="s">
        <v>222</v>
      </c>
      <c r="E5" s="100" t="s">
        <v>27</v>
      </c>
      <c r="F5" s="100">
        <v>262790</v>
      </c>
      <c r="G5" s="100" t="s">
        <v>271</v>
      </c>
      <c r="H5" s="100">
        <v>2740</v>
      </c>
      <c r="I5" s="102">
        <v>0.48</v>
      </c>
      <c r="J5" s="102">
        <v>1.25</v>
      </c>
      <c r="K5" s="100" t="s">
        <v>33</v>
      </c>
      <c r="L5" s="102">
        <v>1644</v>
      </c>
      <c r="M5" s="103">
        <v>1141.7</v>
      </c>
      <c r="N5" s="104">
        <v>0.1057</v>
      </c>
      <c r="O5" s="105">
        <v>6.34</v>
      </c>
      <c r="P5" s="100">
        <v>600.1</v>
      </c>
      <c r="Q5" s="100">
        <v>3</v>
      </c>
      <c r="R5" s="100">
        <v>1500</v>
      </c>
      <c r="S5" s="102">
        <v>1.44</v>
      </c>
      <c r="T5" s="100">
        <v>60</v>
      </c>
      <c r="U5" s="104">
        <v>0.04</v>
      </c>
      <c r="V5" s="100" t="s">
        <v>37</v>
      </c>
      <c r="W5" s="100" t="s">
        <v>29</v>
      </c>
      <c r="X5" s="100" t="s">
        <v>34</v>
      </c>
      <c r="Y5" s="100" t="s">
        <v>27</v>
      </c>
      <c r="Z5" s="100" t="s">
        <v>27</v>
      </c>
      <c r="AA5" s="100" t="s">
        <v>31</v>
      </c>
      <c r="AB5" s="100" t="s">
        <v>239</v>
      </c>
    </row>
    <row r="6" spans="1:28" s="106" customFormat="1" ht="25.05" customHeight="1" x14ac:dyDescent="0.3">
      <c r="A6" s="100">
        <v>4</v>
      </c>
      <c r="B6" s="101" t="s">
        <v>471</v>
      </c>
      <c r="C6" s="100" t="s">
        <v>35</v>
      </c>
      <c r="D6" s="107">
        <v>46297</v>
      </c>
      <c r="E6" s="100"/>
      <c r="F6" s="100">
        <v>262827</v>
      </c>
      <c r="G6" s="100" t="s">
        <v>492</v>
      </c>
      <c r="H6" s="100">
        <v>1000</v>
      </c>
      <c r="I6" s="102">
        <v>0.73</v>
      </c>
      <c r="J6" s="102">
        <v>0.47</v>
      </c>
      <c r="K6" s="100" t="s">
        <v>33</v>
      </c>
      <c r="L6" s="102">
        <v>343.1</v>
      </c>
      <c r="M6" s="103">
        <v>235</v>
      </c>
      <c r="N6" s="104">
        <v>3.2599999999999997E-2</v>
      </c>
      <c r="O6" s="105">
        <v>1.96</v>
      </c>
      <c r="P6" s="100">
        <v>108.1</v>
      </c>
      <c r="Q6" s="100">
        <v>2</v>
      </c>
      <c r="R6" s="100">
        <v>1500</v>
      </c>
      <c r="S6" s="102">
        <v>1.46</v>
      </c>
      <c r="T6" s="100">
        <v>40</v>
      </c>
      <c r="U6" s="104">
        <v>2.6700000000000002E-2</v>
      </c>
      <c r="V6" s="100" t="s">
        <v>28</v>
      </c>
      <c r="W6" s="100" t="s">
        <v>28</v>
      </c>
      <c r="X6" s="100" t="s">
        <v>28</v>
      </c>
      <c r="Y6" s="100"/>
      <c r="Z6" s="100"/>
      <c r="AA6" s="100">
        <v>1</v>
      </c>
      <c r="AB6" s="100" t="s">
        <v>493</v>
      </c>
    </row>
    <row r="7" spans="1:28" s="106" customFormat="1" ht="25.05" customHeight="1" x14ac:dyDescent="0.3">
      <c r="A7" s="100">
        <v>5</v>
      </c>
      <c r="B7" s="101" t="s">
        <v>466</v>
      </c>
      <c r="C7" s="100" t="s">
        <v>35</v>
      </c>
      <c r="D7" s="100" t="s">
        <v>465</v>
      </c>
      <c r="E7" s="100" t="s">
        <v>27</v>
      </c>
      <c r="F7" s="100">
        <v>262802</v>
      </c>
      <c r="G7" s="100" t="s">
        <v>464</v>
      </c>
      <c r="H7" s="100">
        <v>2000</v>
      </c>
      <c r="I7" s="102">
        <v>0.35</v>
      </c>
      <c r="J7" s="102">
        <v>0.7</v>
      </c>
      <c r="K7" s="100" t="s">
        <v>33</v>
      </c>
      <c r="L7" s="102">
        <v>490</v>
      </c>
      <c r="M7" s="103">
        <v>350</v>
      </c>
      <c r="N7" s="104">
        <v>2.4299999999999999E-2</v>
      </c>
      <c r="O7" s="105">
        <v>1.46</v>
      </c>
      <c r="P7" s="100">
        <v>154.30000000000001</v>
      </c>
      <c r="Q7" s="100">
        <v>4</v>
      </c>
      <c r="R7" s="100">
        <v>1450</v>
      </c>
      <c r="S7" s="102">
        <v>1.4</v>
      </c>
      <c r="T7" s="100">
        <v>50</v>
      </c>
      <c r="U7" s="104">
        <v>3.4500000000000003E-2</v>
      </c>
      <c r="V7" s="100" t="s">
        <v>28</v>
      </c>
      <c r="W7" s="100" t="s">
        <v>28</v>
      </c>
      <c r="X7" s="100" t="s">
        <v>28</v>
      </c>
      <c r="Y7" s="100" t="s">
        <v>27</v>
      </c>
      <c r="Z7" s="100" t="s">
        <v>27</v>
      </c>
      <c r="AA7" s="100" t="s">
        <v>38</v>
      </c>
      <c r="AB7" s="100" t="s">
        <v>475</v>
      </c>
    </row>
    <row r="8" spans="1:28" s="148" customFormat="1" ht="25.05" customHeight="1" x14ac:dyDescent="0.3">
      <c r="A8" s="142">
        <v>6</v>
      </c>
      <c r="B8" s="143" t="s">
        <v>462</v>
      </c>
      <c r="C8" s="142" t="s">
        <v>35</v>
      </c>
      <c r="D8" s="142" t="s">
        <v>403</v>
      </c>
      <c r="E8" s="142" t="s">
        <v>27</v>
      </c>
      <c r="F8" s="142">
        <v>262794</v>
      </c>
      <c r="G8" s="142" t="s">
        <v>461</v>
      </c>
      <c r="H8" s="142">
        <v>5000</v>
      </c>
      <c r="I8" s="144">
        <v>0.46</v>
      </c>
      <c r="J8" s="144">
        <v>0.92</v>
      </c>
      <c r="K8" s="142" t="s">
        <v>33</v>
      </c>
      <c r="L8" s="144">
        <v>2116</v>
      </c>
      <c r="M8" s="145">
        <v>1533.3</v>
      </c>
      <c r="N8" s="146">
        <v>0.14199999999999999</v>
      </c>
      <c r="O8" s="147">
        <v>8.52</v>
      </c>
      <c r="P8" s="142">
        <v>666.5</v>
      </c>
      <c r="Q8" s="142">
        <v>3</v>
      </c>
      <c r="R8" s="142">
        <v>1400</v>
      </c>
      <c r="S8" s="144">
        <v>1.38</v>
      </c>
      <c r="T8" s="142">
        <v>20</v>
      </c>
      <c r="U8" s="146">
        <v>1.43E-2</v>
      </c>
      <c r="V8" s="142" t="s">
        <v>28</v>
      </c>
      <c r="W8" s="142" t="s">
        <v>28</v>
      </c>
      <c r="X8" s="142" t="s">
        <v>28</v>
      </c>
      <c r="Y8" s="142" t="s">
        <v>27</v>
      </c>
      <c r="Z8" s="142" t="s">
        <v>27</v>
      </c>
      <c r="AA8" s="142" t="s">
        <v>31</v>
      </c>
      <c r="AB8" s="142" t="s">
        <v>474</v>
      </c>
    </row>
    <row r="9" spans="1:28" s="106" customFormat="1" ht="25.05" customHeight="1" x14ac:dyDescent="0.3">
      <c r="A9" s="100">
        <v>7</v>
      </c>
      <c r="B9" s="101" t="s">
        <v>466</v>
      </c>
      <c r="C9" s="100" t="s">
        <v>35</v>
      </c>
      <c r="D9" s="100" t="s">
        <v>465</v>
      </c>
      <c r="E9" s="100" t="s">
        <v>27</v>
      </c>
      <c r="F9" s="100">
        <v>262804</v>
      </c>
      <c r="G9" s="100" t="s">
        <v>464</v>
      </c>
      <c r="H9" s="100">
        <v>2000</v>
      </c>
      <c r="I9" s="102">
        <v>0.46</v>
      </c>
      <c r="J9" s="102">
        <v>0.9</v>
      </c>
      <c r="K9" s="100" t="s">
        <v>33</v>
      </c>
      <c r="L9" s="102">
        <v>828</v>
      </c>
      <c r="M9" s="103">
        <v>600</v>
      </c>
      <c r="N9" s="104">
        <v>5.5599999999999997E-2</v>
      </c>
      <c r="O9" s="105">
        <v>3.33</v>
      </c>
      <c r="P9" s="100">
        <v>260.8</v>
      </c>
      <c r="Q9" s="100">
        <v>3</v>
      </c>
      <c r="R9" s="100">
        <v>1400</v>
      </c>
      <c r="S9" s="102">
        <v>1.38</v>
      </c>
      <c r="T9" s="100">
        <v>20</v>
      </c>
      <c r="U9" s="104">
        <v>1.43E-2</v>
      </c>
      <c r="V9" s="100" t="s">
        <v>28</v>
      </c>
      <c r="W9" s="100" t="s">
        <v>28</v>
      </c>
      <c r="X9" s="100" t="s">
        <v>28</v>
      </c>
      <c r="Y9" s="100" t="s">
        <v>27</v>
      </c>
      <c r="Z9" s="100" t="s">
        <v>27</v>
      </c>
      <c r="AA9" s="100" t="s">
        <v>32</v>
      </c>
      <c r="AB9" s="100" t="s">
        <v>79</v>
      </c>
    </row>
    <row r="10" spans="1:28" s="106" customFormat="1" ht="25.05" customHeight="1" x14ac:dyDescent="0.3">
      <c r="A10" s="100">
        <v>8</v>
      </c>
      <c r="B10" s="101" t="s">
        <v>471</v>
      </c>
      <c r="C10" s="100" t="s">
        <v>35</v>
      </c>
      <c r="D10" s="100" t="s">
        <v>465</v>
      </c>
      <c r="E10" s="100" t="s">
        <v>27</v>
      </c>
      <c r="F10" s="100">
        <v>262799</v>
      </c>
      <c r="G10" s="100" t="s">
        <v>470</v>
      </c>
      <c r="H10" s="100">
        <v>1000</v>
      </c>
      <c r="I10" s="102">
        <v>0.44500000000000001</v>
      </c>
      <c r="J10" s="102">
        <v>0.87</v>
      </c>
      <c r="K10" s="100" t="s">
        <v>33</v>
      </c>
      <c r="L10" s="102">
        <v>232.29</v>
      </c>
      <c r="M10" s="103">
        <v>174</v>
      </c>
      <c r="N10" s="104">
        <v>1.61E-2</v>
      </c>
      <c r="O10" s="105">
        <v>0.97</v>
      </c>
      <c r="P10" s="100">
        <v>73.2</v>
      </c>
      <c r="Q10" s="100">
        <v>3</v>
      </c>
      <c r="R10" s="100">
        <v>1400</v>
      </c>
      <c r="S10" s="102">
        <v>1.335</v>
      </c>
      <c r="T10" s="100">
        <v>65</v>
      </c>
      <c r="U10" s="104">
        <v>4.6399999999999997E-2</v>
      </c>
      <c r="V10" s="100" t="s">
        <v>28</v>
      </c>
      <c r="W10" s="100" t="s">
        <v>28</v>
      </c>
      <c r="X10" s="100" t="s">
        <v>28</v>
      </c>
      <c r="Y10" s="100" t="s">
        <v>27</v>
      </c>
      <c r="Z10" s="100" t="s">
        <v>27</v>
      </c>
      <c r="AA10" s="100" t="s">
        <v>38</v>
      </c>
      <c r="AB10" s="100" t="s">
        <v>473</v>
      </c>
    </row>
    <row r="11" spans="1:28" s="148" customFormat="1" ht="25.05" customHeight="1" x14ac:dyDescent="0.3">
      <c r="A11" s="142">
        <v>9</v>
      </c>
      <c r="B11" s="143" t="s">
        <v>462</v>
      </c>
      <c r="C11" s="142" t="s">
        <v>35</v>
      </c>
      <c r="D11" s="142" t="s">
        <v>403</v>
      </c>
      <c r="E11" s="142" t="s">
        <v>27</v>
      </c>
      <c r="F11" s="142">
        <v>262795</v>
      </c>
      <c r="G11" s="142" t="s">
        <v>461</v>
      </c>
      <c r="H11" s="142">
        <v>1000</v>
      </c>
      <c r="I11" s="144">
        <v>0.66</v>
      </c>
      <c r="J11" s="144">
        <v>0.82</v>
      </c>
      <c r="K11" s="142" t="s">
        <v>33</v>
      </c>
      <c r="L11" s="144">
        <v>541.20000000000005</v>
      </c>
      <c r="M11" s="145">
        <v>410</v>
      </c>
      <c r="N11" s="146">
        <v>5.6899999999999999E-2</v>
      </c>
      <c r="O11" s="147">
        <v>3.42</v>
      </c>
      <c r="P11" s="142">
        <v>170.5</v>
      </c>
      <c r="Q11" s="142">
        <v>2</v>
      </c>
      <c r="R11" s="142">
        <v>1350</v>
      </c>
      <c r="S11" s="144">
        <v>1.32</v>
      </c>
      <c r="T11" s="142">
        <v>30</v>
      </c>
      <c r="U11" s="146">
        <v>2.2200000000000001E-2</v>
      </c>
      <c r="V11" s="142" t="s">
        <v>28</v>
      </c>
      <c r="W11" s="142" t="s">
        <v>28</v>
      </c>
      <c r="X11" s="142" t="s">
        <v>28</v>
      </c>
      <c r="Y11" s="142" t="s">
        <v>27</v>
      </c>
      <c r="Z11" s="142" t="s">
        <v>27</v>
      </c>
      <c r="AA11" s="142" t="s">
        <v>38</v>
      </c>
      <c r="AB11" s="142" t="s">
        <v>472</v>
      </c>
    </row>
    <row r="12" spans="1:28" s="106" customFormat="1" ht="25.05" customHeight="1" x14ac:dyDescent="0.3">
      <c r="A12" s="100">
        <v>10</v>
      </c>
      <c r="B12" s="101" t="s">
        <v>107</v>
      </c>
      <c r="C12" s="100" t="s">
        <v>55</v>
      </c>
      <c r="D12" s="100" t="s">
        <v>222</v>
      </c>
      <c r="E12" s="100" t="s">
        <v>27</v>
      </c>
      <c r="F12" s="100">
        <v>262789</v>
      </c>
      <c r="G12" s="100" t="s">
        <v>271</v>
      </c>
      <c r="H12" s="100">
        <v>1662</v>
      </c>
      <c r="I12" s="102">
        <v>0.43</v>
      </c>
      <c r="J12" s="102">
        <v>1.1499999999999999</v>
      </c>
      <c r="K12" s="100" t="s">
        <v>33</v>
      </c>
      <c r="L12" s="102">
        <v>821.85900000000004</v>
      </c>
      <c r="M12" s="103">
        <v>637.1</v>
      </c>
      <c r="N12" s="104">
        <v>5.8999999999999997E-2</v>
      </c>
      <c r="O12" s="105">
        <v>3.54</v>
      </c>
      <c r="P12" s="100">
        <v>300</v>
      </c>
      <c r="Q12" s="100">
        <v>3</v>
      </c>
      <c r="R12" s="100">
        <v>1350</v>
      </c>
      <c r="S12" s="102">
        <v>1.29</v>
      </c>
      <c r="T12" s="100">
        <v>60</v>
      </c>
      <c r="U12" s="104">
        <v>4.4400000000000002E-2</v>
      </c>
      <c r="V12" s="100" t="s">
        <v>37</v>
      </c>
      <c r="W12" s="100" t="s">
        <v>29</v>
      </c>
      <c r="X12" s="100" t="s">
        <v>34</v>
      </c>
      <c r="Y12" s="100" t="s">
        <v>27</v>
      </c>
      <c r="Z12" s="100" t="s">
        <v>27</v>
      </c>
      <c r="AA12" s="100" t="s">
        <v>32</v>
      </c>
      <c r="AB12" s="100" t="s">
        <v>238</v>
      </c>
    </row>
    <row r="13" spans="1:28" s="106" customFormat="1" ht="25.05" customHeight="1" x14ac:dyDescent="0.3">
      <c r="A13" s="100">
        <v>11</v>
      </c>
      <c r="B13" s="101" t="s">
        <v>471</v>
      </c>
      <c r="C13" s="100" t="s">
        <v>35</v>
      </c>
      <c r="D13" s="100" t="s">
        <v>465</v>
      </c>
      <c r="E13" s="100" t="s">
        <v>27</v>
      </c>
      <c r="F13" s="100">
        <v>262798</v>
      </c>
      <c r="G13" s="100" t="s">
        <v>470</v>
      </c>
      <c r="H13" s="100">
        <v>300</v>
      </c>
      <c r="I13" s="102">
        <v>0.42</v>
      </c>
      <c r="J13" s="102">
        <v>0.82</v>
      </c>
      <c r="K13" s="100" t="s">
        <v>33</v>
      </c>
      <c r="L13" s="102">
        <v>103.32</v>
      </c>
      <c r="M13" s="103">
        <v>82</v>
      </c>
      <c r="N13" s="104">
        <v>7.6E-3</v>
      </c>
      <c r="O13" s="105">
        <v>0.46</v>
      </c>
      <c r="P13" s="100">
        <v>32.5</v>
      </c>
      <c r="Q13" s="100">
        <v>3</v>
      </c>
      <c r="R13" s="100">
        <v>1300</v>
      </c>
      <c r="S13" s="102">
        <v>1.26</v>
      </c>
      <c r="T13" s="100">
        <v>40</v>
      </c>
      <c r="U13" s="104">
        <v>3.0800000000000001E-2</v>
      </c>
      <c r="V13" s="100" t="s">
        <v>28</v>
      </c>
      <c r="W13" s="100" t="s">
        <v>28</v>
      </c>
      <c r="X13" s="100" t="s">
        <v>28</v>
      </c>
      <c r="Y13" s="100" t="s">
        <v>27</v>
      </c>
      <c r="Z13" s="100" t="s">
        <v>27</v>
      </c>
      <c r="AA13" s="100" t="s">
        <v>38</v>
      </c>
      <c r="AB13" s="100" t="s">
        <v>469</v>
      </c>
    </row>
    <row r="14" spans="1:28" s="106" customFormat="1" ht="25.05" customHeight="1" x14ac:dyDescent="0.3">
      <c r="A14" s="100">
        <v>12</v>
      </c>
      <c r="B14" s="101" t="s">
        <v>466</v>
      </c>
      <c r="C14" s="100" t="s">
        <v>35</v>
      </c>
      <c r="D14" s="100" t="s">
        <v>465</v>
      </c>
      <c r="E14" s="100" t="s">
        <v>27</v>
      </c>
      <c r="F14" s="100">
        <v>262803</v>
      </c>
      <c r="G14" s="100" t="s">
        <v>464</v>
      </c>
      <c r="H14" s="100">
        <v>2000</v>
      </c>
      <c r="I14" s="102">
        <v>0.4</v>
      </c>
      <c r="J14" s="102">
        <v>0.8</v>
      </c>
      <c r="K14" s="100" t="s">
        <v>33</v>
      </c>
      <c r="L14" s="102">
        <v>640</v>
      </c>
      <c r="M14" s="103">
        <v>533.29999999999995</v>
      </c>
      <c r="N14" s="104">
        <v>4.9399999999999999E-2</v>
      </c>
      <c r="O14" s="105">
        <v>2.96</v>
      </c>
      <c r="P14" s="100">
        <v>201.6</v>
      </c>
      <c r="Q14" s="100">
        <v>3</v>
      </c>
      <c r="R14" s="100">
        <v>1250</v>
      </c>
      <c r="S14" s="102">
        <v>1.2</v>
      </c>
      <c r="T14" s="100">
        <v>50</v>
      </c>
      <c r="U14" s="104">
        <v>0.04</v>
      </c>
      <c r="V14" s="100" t="s">
        <v>28</v>
      </c>
      <c r="W14" s="100" t="s">
        <v>28</v>
      </c>
      <c r="X14" s="100" t="s">
        <v>28</v>
      </c>
      <c r="Y14" s="100" t="s">
        <v>27</v>
      </c>
      <c r="Z14" s="100" t="s">
        <v>27</v>
      </c>
      <c r="AA14" s="100" t="s">
        <v>32</v>
      </c>
      <c r="AB14" s="100" t="s">
        <v>468</v>
      </c>
    </row>
    <row r="15" spans="1:28" s="148" customFormat="1" ht="25.05" customHeight="1" x14ac:dyDescent="0.3">
      <c r="A15" s="142">
        <v>13</v>
      </c>
      <c r="B15" s="143" t="s">
        <v>462</v>
      </c>
      <c r="C15" s="142" t="s">
        <v>35</v>
      </c>
      <c r="D15" s="142" t="s">
        <v>403</v>
      </c>
      <c r="E15" s="142" t="s">
        <v>27</v>
      </c>
      <c r="F15" s="142">
        <v>262797</v>
      </c>
      <c r="G15" s="142" t="s">
        <v>461</v>
      </c>
      <c r="H15" s="142">
        <v>500</v>
      </c>
      <c r="I15" s="144">
        <v>0.59</v>
      </c>
      <c r="J15" s="144">
        <v>0.88</v>
      </c>
      <c r="K15" s="142" t="s">
        <v>33</v>
      </c>
      <c r="L15" s="144">
        <v>259.60000000000002</v>
      </c>
      <c r="M15" s="145">
        <v>220</v>
      </c>
      <c r="N15" s="146">
        <v>3.0599999999999999E-2</v>
      </c>
      <c r="O15" s="147">
        <v>1.83</v>
      </c>
      <c r="P15" s="142">
        <v>81.8</v>
      </c>
      <c r="Q15" s="142">
        <v>2</v>
      </c>
      <c r="R15" s="142">
        <v>1200</v>
      </c>
      <c r="S15" s="144">
        <v>1.18</v>
      </c>
      <c r="T15" s="142">
        <v>20</v>
      </c>
      <c r="U15" s="146">
        <v>1.67E-2</v>
      </c>
      <c r="V15" s="142" t="s">
        <v>28</v>
      </c>
      <c r="W15" s="142" t="s">
        <v>28</v>
      </c>
      <c r="X15" s="142" t="s">
        <v>28</v>
      </c>
      <c r="Y15" s="142" t="s">
        <v>27</v>
      </c>
      <c r="Z15" s="142" t="s">
        <v>27</v>
      </c>
      <c r="AA15" s="142" t="s">
        <v>38</v>
      </c>
      <c r="AB15" s="142" t="s">
        <v>467</v>
      </c>
    </row>
    <row r="16" spans="1:28" s="106" customFormat="1" ht="25.05" customHeight="1" x14ac:dyDescent="0.3">
      <c r="A16" s="100">
        <v>14</v>
      </c>
      <c r="B16" s="101" t="s">
        <v>466</v>
      </c>
      <c r="C16" s="100" t="s">
        <v>35</v>
      </c>
      <c r="D16" s="100" t="s">
        <v>465</v>
      </c>
      <c r="E16" s="100" t="s">
        <v>27</v>
      </c>
      <c r="F16" s="100">
        <v>262801</v>
      </c>
      <c r="G16" s="100" t="s">
        <v>464</v>
      </c>
      <c r="H16" s="100">
        <v>1000</v>
      </c>
      <c r="I16" s="102">
        <v>0.59</v>
      </c>
      <c r="J16" s="102">
        <v>1.5</v>
      </c>
      <c r="K16" s="100" t="s">
        <v>33</v>
      </c>
      <c r="L16" s="102">
        <v>885</v>
      </c>
      <c r="M16" s="103">
        <v>750</v>
      </c>
      <c r="N16" s="104">
        <v>0.1042</v>
      </c>
      <c r="O16" s="105">
        <v>6.25</v>
      </c>
      <c r="P16" s="100">
        <v>278.8</v>
      </c>
      <c r="Q16" s="100">
        <v>2</v>
      </c>
      <c r="R16" s="100">
        <v>1200</v>
      </c>
      <c r="S16" s="102">
        <v>1.18</v>
      </c>
      <c r="T16" s="100">
        <v>20</v>
      </c>
      <c r="U16" s="104">
        <v>1.67E-2</v>
      </c>
      <c r="V16" s="100" t="s">
        <v>28</v>
      </c>
      <c r="W16" s="100" t="s">
        <v>28</v>
      </c>
      <c r="X16" s="100" t="s">
        <v>28</v>
      </c>
      <c r="Y16" s="100" t="s">
        <v>27</v>
      </c>
      <c r="Z16" s="100" t="s">
        <v>27</v>
      </c>
      <c r="AA16" s="100" t="s">
        <v>32</v>
      </c>
      <c r="AB16" s="100" t="s">
        <v>463</v>
      </c>
    </row>
    <row r="17" spans="1:28" s="148" customFormat="1" ht="25.05" customHeight="1" x14ac:dyDescent="0.3">
      <c r="A17" s="142">
        <v>15</v>
      </c>
      <c r="B17" s="143" t="s">
        <v>462</v>
      </c>
      <c r="C17" s="142" t="s">
        <v>35</v>
      </c>
      <c r="D17" s="142" t="s">
        <v>403</v>
      </c>
      <c r="E17" s="142" t="s">
        <v>27</v>
      </c>
      <c r="F17" s="142">
        <v>262796</v>
      </c>
      <c r="G17" s="142" t="s">
        <v>461</v>
      </c>
      <c r="H17" s="142">
        <v>1000</v>
      </c>
      <c r="I17" s="144">
        <v>0.56000000000000005</v>
      </c>
      <c r="J17" s="144">
        <v>0.62</v>
      </c>
      <c r="K17" s="142" t="s">
        <v>33</v>
      </c>
      <c r="L17" s="144">
        <v>347.2</v>
      </c>
      <c r="M17" s="145">
        <v>310</v>
      </c>
      <c r="N17" s="146">
        <v>4.3099999999999999E-2</v>
      </c>
      <c r="O17" s="147">
        <v>2.58</v>
      </c>
      <c r="P17" s="142">
        <v>109.4</v>
      </c>
      <c r="Q17" s="142">
        <v>2</v>
      </c>
      <c r="R17" s="142">
        <v>1150</v>
      </c>
      <c r="S17" s="144">
        <v>1.1200000000000001</v>
      </c>
      <c r="T17" s="142">
        <v>30</v>
      </c>
      <c r="U17" s="146">
        <v>2.6100000000000002E-2</v>
      </c>
      <c r="V17" s="142" t="s">
        <v>28</v>
      </c>
      <c r="W17" s="142" t="s">
        <v>28</v>
      </c>
      <c r="X17" s="142" t="s">
        <v>28</v>
      </c>
      <c r="Y17" s="142" t="s">
        <v>27</v>
      </c>
      <c r="Z17" s="142" t="s">
        <v>27</v>
      </c>
      <c r="AA17" s="142" t="s">
        <v>38</v>
      </c>
      <c r="AB17" s="142" t="s">
        <v>460</v>
      </c>
    </row>
    <row r="18" spans="1:28" s="106" customFormat="1" ht="25.05" customHeight="1" x14ac:dyDescent="0.3">
      <c r="A18" s="100">
        <v>16</v>
      </c>
      <c r="B18" s="101" t="s">
        <v>107</v>
      </c>
      <c r="C18" s="100" t="s">
        <v>49</v>
      </c>
      <c r="D18" s="100" t="s">
        <v>222</v>
      </c>
      <c r="E18" s="100" t="s">
        <v>27</v>
      </c>
      <c r="F18" s="100">
        <v>262793</v>
      </c>
      <c r="G18" s="100" t="s">
        <v>271</v>
      </c>
      <c r="H18" s="100">
        <v>3317</v>
      </c>
      <c r="I18" s="102">
        <v>0.56000000000000005</v>
      </c>
      <c r="J18" s="102">
        <v>0.91</v>
      </c>
      <c r="K18" s="100" t="s">
        <v>33</v>
      </c>
      <c r="L18" s="102">
        <v>1690.3430000000001</v>
      </c>
      <c r="M18" s="103">
        <v>1509.2</v>
      </c>
      <c r="N18" s="104">
        <v>0.20960000000000001</v>
      </c>
      <c r="O18" s="105">
        <v>12.58</v>
      </c>
      <c r="P18" s="100">
        <v>600.1</v>
      </c>
      <c r="Q18" s="100">
        <v>2</v>
      </c>
      <c r="R18" s="100">
        <v>1150</v>
      </c>
      <c r="S18" s="102">
        <v>1.1200000000000001</v>
      </c>
      <c r="T18" s="100">
        <v>30</v>
      </c>
      <c r="U18" s="104">
        <v>2.6100000000000002E-2</v>
      </c>
      <c r="V18" s="100" t="s">
        <v>29</v>
      </c>
      <c r="W18" s="100" t="s">
        <v>28</v>
      </c>
      <c r="X18" s="100" t="s">
        <v>29</v>
      </c>
      <c r="Y18" s="100" t="s">
        <v>27</v>
      </c>
      <c r="Z18" s="100" t="s">
        <v>27</v>
      </c>
      <c r="AA18" s="100" t="s">
        <v>30</v>
      </c>
      <c r="AB18" s="100" t="s">
        <v>106</v>
      </c>
    </row>
    <row r="19" spans="1:28" s="106" customFormat="1" ht="25.05" customHeight="1" x14ac:dyDescent="0.3">
      <c r="A19" s="100">
        <v>17</v>
      </c>
      <c r="B19" s="101" t="s">
        <v>107</v>
      </c>
      <c r="C19" s="100" t="s">
        <v>55</v>
      </c>
      <c r="D19" s="100" t="s">
        <v>222</v>
      </c>
      <c r="E19" s="100" t="s">
        <v>27</v>
      </c>
      <c r="F19" s="100">
        <v>262791</v>
      </c>
      <c r="G19" s="100" t="s">
        <v>271</v>
      </c>
      <c r="H19" s="100">
        <v>1140</v>
      </c>
      <c r="I19" s="102">
        <v>0.53</v>
      </c>
      <c r="J19" s="102">
        <v>1.36</v>
      </c>
      <c r="K19" s="100" t="s">
        <v>33</v>
      </c>
      <c r="L19" s="102">
        <v>821.71199999999999</v>
      </c>
      <c r="M19" s="103">
        <v>775.2</v>
      </c>
      <c r="N19" s="104">
        <v>0.1077</v>
      </c>
      <c r="O19" s="105">
        <v>6.46</v>
      </c>
      <c r="P19" s="100">
        <v>299.89999999999998</v>
      </c>
      <c r="Q19" s="100">
        <v>2</v>
      </c>
      <c r="R19" s="100">
        <v>1100</v>
      </c>
      <c r="S19" s="102">
        <v>1.06</v>
      </c>
      <c r="T19" s="100">
        <v>40</v>
      </c>
      <c r="U19" s="104">
        <v>3.6400000000000002E-2</v>
      </c>
      <c r="V19" s="100" t="s">
        <v>37</v>
      </c>
      <c r="W19" s="100" t="s">
        <v>29</v>
      </c>
      <c r="X19" s="100" t="s">
        <v>34</v>
      </c>
      <c r="Y19" s="100" t="s">
        <v>27</v>
      </c>
      <c r="Z19" s="100" t="s">
        <v>27</v>
      </c>
      <c r="AA19" s="100" t="s">
        <v>32</v>
      </c>
      <c r="AB19" s="100" t="s">
        <v>237</v>
      </c>
    </row>
    <row r="20" spans="1:28" s="106" customFormat="1" ht="25.05" customHeight="1" x14ac:dyDescent="0.3">
      <c r="A20" s="100">
        <v>18</v>
      </c>
      <c r="B20" s="101" t="s">
        <v>471</v>
      </c>
      <c r="C20" s="100" t="s">
        <v>35</v>
      </c>
      <c r="D20" s="107">
        <v>46296</v>
      </c>
      <c r="E20" s="100"/>
      <c r="F20" s="100">
        <v>262826</v>
      </c>
      <c r="G20" s="100" t="s">
        <v>490</v>
      </c>
      <c r="H20" s="100">
        <v>1000</v>
      </c>
      <c r="I20" s="102">
        <v>0.8</v>
      </c>
      <c r="J20" s="102">
        <v>0.5</v>
      </c>
      <c r="K20" s="100" t="s">
        <v>33</v>
      </c>
      <c r="L20" s="102">
        <v>400</v>
      </c>
      <c r="M20" s="103">
        <v>500</v>
      </c>
      <c r="N20" s="104">
        <v>0.1389</v>
      </c>
      <c r="O20" s="105">
        <v>8.33</v>
      </c>
      <c r="P20" s="100">
        <v>126</v>
      </c>
      <c r="Q20" s="100">
        <v>1</v>
      </c>
      <c r="R20" s="100">
        <v>850</v>
      </c>
      <c r="S20" s="102">
        <v>0.8</v>
      </c>
      <c r="T20" s="100">
        <v>50</v>
      </c>
      <c r="U20" s="104">
        <v>5.8799999999999998E-2</v>
      </c>
      <c r="V20" s="100" t="s">
        <v>28</v>
      </c>
      <c r="W20" s="100" t="s">
        <v>28</v>
      </c>
      <c r="X20" s="100" t="s">
        <v>28</v>
      </c>
      <c r="Y20" s="100"/>
      <c r="Z20" s="100"/>
      <c r="AA20" s="100">
        <v>1</v>
      </c>
      <c r="AB20" s="100" t="s">
        <v>491</v>
      </c>
    </row>
    <row r="21" spans="1:28" x14ac:dyDescent="0.3">
      <c r="A21" s="52" t="s">
        <v>27</v>
      </c>
      <c r="B21" s="52" t="s">
        <v>27</v>
      </c>
      <c r="C21" s="52" t="s">
        <v>27</v>
      </c>
      <c r="D21" s="52" t="s">
        <v>27</v>
      </c>
      <c r="E21" s="52" t="s">
        <v>27</v>
      </c>
      <c r="F21" s="52" t="s">
        <v>27</v>
      </c>
      <c r="G21" s="52" t="s">
        <v>27</v>
      </c>
      <c r="H21" s="52">
        <f>SUM(H3:H20)</f>
        <v>30711</v>
      </c>
      <c r="I21" s="52" t="s">
        <v>27</v>
      </c>
      <c r="J21" s="52" t="s">
        <v>27</v>
      </c>
      <c r="K21" s="52" t="s">
        <v>27</v>
      </c>
      <c r="L21" s="52" t="s">
        <v>27</v>
      </c>
      <c r="M21" s="52" t="s">
        <v>27</v>
      </c>
      <c r="N21" s="52" t="s">
        <v>27</v>
      </c>
      <c r="O21" s="52" t="s">
        <v>27</v>
      </c>
      <c r="P21" s="52">
        <f>SUM(P3:P20)</f>
        <v>4454.3</v>
      </c>
      <c r="Q21" s="52" t="s">
        <v>27</v>
      </c>
      <c r="R21" s="52" t="s">
        <v>27</v>
      </c>
      <c r="S21" s="52" t="s">
        <v>27</v>
      </c>
      <c r="T21" s="52" t="s">
        <v>27</v>
      </c>
      <c r="U21" s="52" t="s">
        <v>27</v>
      </c>
      <c r="V21" s="52" t="s">
        <v>27</v>
      </c>
      <c r="W21" s="52" t="s">
        <v>27</v>
      </c>
      <c r="X21" s="52" t="s">
        <v>27</v>
      </c>
      <c r="Y21" s="52" t="s">
        <v>27</v>
      </c>
      <c r="Z21" s="52" t="s">
        <v>27</v>
      </c>
      <c r="AA21" s="52" t="s">
        <v>27</v>
      </c>
      <c r="AB21" s="52" t="s">
        <v>27</v>
      </c>
    </row>
    <row r="22" spans="1:28" x14ac:dyDescent="0.3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</sheetData>
  <mergeCells count="1">
    <mergeCell ref="A1:AB1"/>
  </mergeCells>
  <pageMargins left="0.511811024" right="0.511811024" top="1.44" bottom="0.78740157499999996" header="0.31496062000000002" footer="0.31496062000000002"/>
  <pageSetup scale="65" orientation="landscape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D9CA-CD86-4E4D-8079-E7302B17DD18}">
  <sheetPr>
    <pageSetUpPr fitToPage="1"/>
  </sheetPr>
  <dimension ref="A1:AB11"/>
  <sheetViews>
    <sheetView zoomScale="170" zoomScaleNormal="170" workbookViewId="0">
      <selection activeCell="AB5" sqref="AB5"/>
    </sheetView>
  </sheetViews>
  <sheetFormatPr defaultRowHeight="14.4" x14ac:dyDescent="0.3"/>
  <cols>
    <col min="1" max="1" width="4.44140625" style="33" customWidth="1"/>
    <col min="2" max="2" width="20.77734375" style="33" hidden="1" customWidth="1"/>
    <col min="3" max="3" width="7.77734375" style="33" customWidth="1"/>
    <col min="4" max="4" width="11.77734375" style="33" hidden="1" customWidth="1"/>
    <col min="5" max="5" width="8.109375" style="33" customWidth="1"/>
    <col min="6" max="6" width="7.88671875" style="33" customWidth="1"/>
    <col min="7" max="7" width="5.77734375" style="33" customWidth="1"/>
    <col min="8" max="9" width="6.33203125" style="33" customWidth="1"/>
    <col min="10" max="10" width="6.88671875" style="33" customWidth="1"/>
    <col min="11" max="11" width="13.1093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5546875" style="33" customWidth="1"/>
    <col min="17" max="17" width="4" style="33" customWidth="1"/>
    <col min="18" max="18" width="6" style="33" customWidth="1"/>
    <col min="19" max="19" width="7.44140625" style="33" customWidth="1"/>
    <col min="20" max="20" width="11.77734375" style="33" hidden="1" customWidth="1"/>
    <col min="21" max="21" width="8.77734375" style="33" hidden="1" customWidth="1"/>
    <col min="22" max="22" width="8.77734375" style="33" customWidth="1"/>
    <col min="23" max="23" width="7.44140625" style="33" customWidth="1"/>
    <col min="24" max="24" width="8.21875" style="33" customWidth="1"/>
    <col min="25" max="25" width="8.33203125" style="33" customWidth="1"/>
    <col min="26" max="26" width="8.5546875" style="33" customWidth="1"/>
    <col min="27" max="27" width="7.109375" style="33" customWidth="1"/>
    <col min="28" max="28" width="12.5546875" style="33" customWidth="1"/>
    <col min="29" max="16384" width="8.88671875" style="33"/>
  </cols>
  <sheetData>
    <row r="1" spans="1:28" ht="18" customHeight="1" x14ac:dyDescent="0.35">
      <c r="A1" s="269" t="s">
        <v>458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41.4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59" customFormat="1" x14ac:dyDescent="0.3">
      <c r="A3" s="53">
        <v>1</v>
      </c>
      <c r="B3" s="54" t="s">
        <v>126</v>
      </c>
      <c r="C3" s="53" t="s">
        <v>144</v>
      </c>
      <c r="D3" s="53" t="s">
        <v>403</v>
      </c>
      <c r="E3" s="53" t="s">
        <v>27</v>
      </c>
      <c r="F3" s="53">
        <v>262787</v>
      </c>
      <c r="G3" s="53" t="s">
        <v>455</v>
      </c>
      <c r="H3" s="53">
        <v>650</v>
      </c>
      <c r="I3" s="55">
        <v>0.51200000000000001</v>
      </c>
      <c r="J3" s="55">
        <v>1.5620000000000001</v>
      </c>
      <c r="K3" s="53" t="s">
        <v>457</v>
      </c>
      <c r="L3" s="55">
        <v>519.83399999999995</v>
      </c>
      <c r="M3" s="56">
        <v>338.4</v>
      </c>
      <c r="N3" s="57">
        <v>3.1300000000000001E-2</v>
      </c>
      <c r="O3" s="58">
        <v>1.88</v>
      </c>
      <c r="P3" s="53">
        <v>201.7</v>
      </c>
      <c r="Q3" s="53">
        <v>3</v>
      </c>
      <c r="R3" s="53">
        <v>1600</v>
      </c>
      <c r="S3" s="55">
        <v>1.536</v>
      </c>
      <c r="T3" s="53">
        <v>64</v>
      </c>
      <c r="U3" s="57">
        <v>0.04</v>
      </c>
      <c r="V3" s="53" t="s">
        <v>39</v>
      </c>
      <c r="W3" s="53" t="s">
        <v>29</v>
      </c>
      <c r="X3" s="53" t="s">
        <v>29</v>
      </c>
      <c r="Y3" s="53" t="s">
        <v>27</v>
      </c>
      <c r="Z3" s="53" t="s">
        <v>27</v>
      </c>
      <c r="AA3" s="53" t="s">
        <v>38</v>
      </c>
      <c r="AB3" s="53" t="s">
        <v>456</v>
      </c>
    </row>
    <row r="4" spans="1:28" s="59" customFormat="1" x14ac:dyDescent="0.3">
      <c r="A4" s="53">
        <v>2</v>
      </c>
      <c r="B4" s="54" t="s">
        <v>126</v>
      </c>
      <c r="C4" s="53" t="s">
        <v>35</v>
      </c>
      <c r="D4" s="53" t="s">
        <v>403</v>
      </c>
      <c r="E4" s="53" t="s">
        <v>27</v>
      </c>
      <c r="F4" s="53">
        <v>262785</v>
      </c>
      <c r="G4" s="53" t="s">
        <v>451</v>
      </c>
      <c r="H4" s="53">
        <v>1000</v>
      </c>
      <c r="I4" s="55">
        <v>0.36</v>
      </c>
      <c r="J4" s="55">
        <v>1</v>
      </c>
      <c r="K4" s="53" t="s">
        <v>33</v>
      </c>
      <c r="L4" s="55">
        <v>360</v>
      </c>
      <c r="M4" s="56">
        <v>250</v>
      </c>
      <c r="N4" s="57">
        <v>1.7399999999999999E-2</v>
      </c>
      <c r="O4" s="58">
        <v>1.04</v>
      </c>
      <c r="P4" s="53">
        <v>113.4</v>
      </c>
      <c r="Q4" s="53">
        <v>4</v>
      </c>
      <c r="R4" s="53">
        <v>1500</v>
      </c>
      <c r="S4" s="55">
        <v>1.44</v>
      </c>
      <c r="T4" s="53">
        <v>60</v>
      </c>
      <c r="U4" s="57">
        <v>0.04</v>
      </c>
      <c r="V4" s="53" t="s">
        <v>28</v>
      </c>
      <c r="W4" s="53" t="s">
        <v>28</v>
      </c>
      <c r="X4" s="53" t="s">
        <v>28</v>
      </c>
      <c r="Y4" s="53" t="s">
        <v>27</v>
      </c>
      <c r="Z4" s="53" t="s">
        <v>27</v>
      </c>
      <c r="AA4" s="53" t="s">
        <v>38</v>
      </c>
      <c r="AB4" s="53" t="s">
        <v>182</v>
      </c>
    </row>
    <row r="5" spans="1:28" s="59" customFormat="1" x14ac:dyDescent="0.3">
      <c r="A5" s="53">
        <v>3</v>
      </c>
      <c r="B5" s="54" t="s">
        <v>126</v>
      </c>
      <c r="C5" s="53" t="s">
        <v>35</v>
      </c>
      <c r="D5" s="53" t="s">
        <v>403</v>
      </c>
      <c r="E5" s="53" t="s">
        <v>27</v>
      </c>
      <c r="F5" s="53">
        <v>262784</v>
      </c>
      <c r="G5" s="53" t="s">
        <v>451</v>
      </c>
      <c r="H5" s="53">
        <v>1000</v>
      </c>
      <c r="I5" s="55">
        <v>0.69</v>
      </c>
      <c r="J5" s="55">
        <v>1</v>
      </c>
      <c r="K5" s="53" t="s">
        <v>33</v>
      </c>
      <c r="L5" s="55">
        <v>690</v>
      </c>
      <c r="M5" s="56">
        <v>500</v>
      </c>
      <c r="N5" s="57">
        <v>6.9400000000000003E-2</v>
      </c>
      <c r="O5" s="58">
        <v>4.17</v>
      </c>
      <c r="P5" s="53">
        <v>217.3</v>
      </c>
      <c r="Q5" s="53">
        <v>2</v>
      </c>
      <c r="R5" s="53">
        <v>1400</v>
      </c>
      <c r="S5" s="55">
        <v>1.38</v>
      </c>
      <c r="T5" s="53">
        <v>20</v>
      </c>
      <c r="U5" s="57">
        <v>1.43E-2</v>
      </c>
      <c r="V5" s="53" t="s">
        <v>28</v>
      </c>
      <c r="W5" s="53" t="s">
        <v>28</v>
      </c>
      <c r="X5" s="53" t="s">
        <v>28</v>
      </c>
      <c r="Y5" s="53" t="s">
        <v>27</v>
      </c>
      <c r="Z5" s="53" t="s">
        <v>27</v>
      </c>
      <c r="AA5" s="53" t="s">
        <v>38</v>
      </c>
      <c r="AB5" s="53" t="s">
        <v>183</v>
      </c>
    </row>
    <row r="6" spans="1:28" s="59" customFormat="1" x14ac:dyDescent="0.3">
      <c r="A6" s="53">
        <v>4</v>
      </c>
      <c r="B6" s="54" t="s">
        <v>126</v>
      </c>
      <c r="C6" s="53" t="s">
        <v>144</v>
      </c>
      <c r="D6" s="53" t="s">
        <v>403</v>
      </c>
      <c r="E6" s="53" t="s">
        <v>27</v>
      </c>
      <c r="F6" s="53">
        <v>262786</v>
      </c>
      <c r="G6" s="53" t="s">
        <v>455</v>
      </c>
      <c r="H6" s="53">
        <v>1000</v>
      </c>
      <c r="I6" s="55">
        <v>0.41899999999999998</v>
      </c>
      <c r="J6" s="55">
        <v>1.3879999999999999</v>
      </c>
      <c r="K6" s="53" t="s">
        <v>454</v>
      </c>
      <c r="L6" s="55">
        <v>581.572</v>
      </c>
      <c r="M6" s="56">
        <v>462.7</v>
      </c>
      <c r="N6" s="57">
        <v>4.2799999999999998E-2</v>
      </c>
      <c r="O6" s="58">
        <v>2.57</v>
      </c>
      <c r="P6" s="53">
        <v>225.6</v>
      </c>
      <c r="Q6" s="53">
        <v>3</v>
      </c>
      <c r="R6" s="53">
        <v>1300</v>
      </c>
      <c r="S6" s="55">
        <v>1.2569999999999999</v>
      </c>
      <c r="T6" s="53">
        <v>43</v>
      </c>
      <c r="U6" s="57">
        <v>3.3099999999999997E-2</v>
      </c>
      <c r="V6" s="53" t="s">
        <v>39</v>
      </c>
      <c r="W6" s="53" t="s">
        <v>29</v>
      </c>
      <c r="X6" s="53" t="s">
        <v>29</v>
      </c>
      <c r="Y6" s="53" t="s">
        <v>27</v>
      </c>
      <c r="Z6" s="53" t="s">
        <v>27</v>
      </c>
      <c r="AA6" s="53" t="s">
        <v>32</v>
      </c>
      <c r="AB6" s="53" t="s">
        <v>453</v>
      </c>
    </row>
    <row r="7" spans="1:28" s="59" customFormat="1" x14ac:dyDescent="0.3">
      <c r="A7" s="53">
        <v>5</v>
      </c>
      <c r="B7" s="54" t="s">
        <v>126</v>
      </c>
      <c r="C7" s="53" t="s">
        <v>35</v>
      </c>
      <c r="D7" s="53" t="s">
        <v>403</v>
      </c>
      <c r="E7" s="53" t="s">
        <v>27</v>
      </c>
      <c r="F7" s="53">
        <v>262783</v>
      </c>
      <c r="G7" s="53" t="s">
        <v>451</v>
      </c>
      <c r="H7" s="53">
        <v>1000</v>
      </c>
      <c r="I7" s="55">
        <v>0.57999999999999996</v>
      </c>
      <c r="J7" s="55">
        <v>1</v>
      </c>
      <c r="K7" s="53" t="s">
        <v>33</v>
      </c>
      <c r="L7" s="55">
        <v>580</v>
      </c>
      <c r="M7" s="56">
        <v>500</v>
      </c>
      <c r="N7" s="57">
        <v>6.9400000000000003E-2</v>
      </c>
      <c r="O7" s="58">
        <v>4.17</v>
      </c>
      <c r="P7" s="53">
        <v>182.7</v>
      </c>
      <c r="Q7" s="53">
        <v>2</v>
      </c>
      <c r="R7" s="53">
        <v>1200</v>
      </c>
      <c r="S7" s="55">
        <v>1.1599999999999999</v>
      </c>
      <c r="T7" s="53">
        <v>40</v>
      </c>
      <c r="U7" s="57">
        <v>3.3300000000000003E-2</v>
      </c>
      <c r="V7" s="53" t="s">
        <v>28</v>
      </c>
      <c r="W7" s="53" t="s">
        <v>28</v>
      </c>
      <c r="X7" s="53" t="s">
        <v>28</v>
      </c>
      <c r="Y7" s="53" t="s">
        <v>27</v>
      </c>
      <c r="Z7" s="53" t="s">
        <v>27</v>
      </c>
      <c r="AA7" s="53" t="s">
        <v>38</v>
      </c>
      <c r="AB7" s="53" t="s">
        <v>452</v>
      </c>
    </row>
    <row r="8" spans="1:28" s="59" customFormat="1" x14ac:dyDescent="0.3">
      <c r="A8" s="53">
        <v>6</v>
      </c>
      <c r="B8" s="54" t="s">
        <v>459</v>
      </c>
      <c r="C8" s="53" t="s">
        <v>35</v>
      </c>
      <c r="D8" s="69">
        <v>46289</v>
      </c>
      <c r="E8" s="53"/>
      <c r="F8" s="53">
        <v>262788</v>
      </c>
      <c r="G8" s="53">
        <v>75</v>
      </c>
      <c r="H8" s="53">
        <v>4000</v>
      </c>
      <c r="I8" s="55">
        <v>0.27900000000000003</v>
      </c>
      <c r="J8" s="55">
        <v>1.002</v>
      </c>
      <c r="K8" s="53" t="s">
        <v>188</v>
      </c>
      <c r="L8" s="55">
        <v>1118.232</v>
      </c>
      <c r="M8" s="56">
        <v>1002</v>
      </c>
      <c r="N8" s="57">
        <v>6.9599999999999995E-2</v>
      </c>
      <c r="O8" s="58">
        <v>4.17</v>
      </c>
      <c r="P8" s="53">
        <v>352.2</v>
      </c>
      <c r="Q8" s="53">
        <v>4</v>
      </c>
      <c r="R8" s="53">
        <v>1150</v>
      </c>
      <c r="S8" s="55">
        <v>1.1160000000000001</v>
      </c>
      <c r="T8" s="53">
        <v>34</v>
      </c>
      <c r="U8" s="57">
        <v>2.9600000000000001E-2</v>
      </c>
      <c r="V8" s="53" t="s">
        <v>28</v>
      </c>
      <c r="W8" s="53" t="s">
        <v>28</v>
      </c>
      <c r="X8" s="53" t="s">
        <v>28</v>
      </c>
      <c r="Y8" s="53"/>
      <c r="Z8" s="53"/>
      <c r="AA8" s="53">
        <v>2</v>
      </c>
      <c r="AB8" s="53" t="s">
        <v>189</v>
      </c>
    </row>
    <row r="9" spans="1:28" s="59" customFormat="1" x14ac:dyDescent="0.3">
      <c r="A9" s="53">
        <v>7</v>
      </c>
      <c r="B9" s="54" t="s">
        <v>126</v>
      </c>
      <c r="C9" s="53" t="s">
        <v>35</v>
      </c>
      <c r="D9" s="53" t="s">
        <v>403</v>
      </c>
      <c r="E9" s="53" t="s">
        <v>27</v>
      </c>
      <c r="F9" s="53">
        <v>262782</v>
      </c>
      <c r="G9" s="53" t="s">
        <v>451</v>
      </c>
      <c r="H9" s="53">
        <v>1000</v>
      </c>
      <c r="I9" s="55">
        <v>0.54</v>
      </c>
      <c r="J9" s="55">
        <v>1</v>
      </c>
      <c r="K9" s="53" t="s">
        <v>33</v>
      </c>
      <c r="L9" s="55">
        <v>540</v>
      </c>
      <c r="M9" s="56">
        <v>500</v>
      </c>
      <c r="N9" s="57">
        <v>6.9400000000000003E-2</v>
      </c>
      <c r="O9" s="58">
        <v>4.17</v>
      </c>
      <c r="P9" s="53">
        <v>170.1</v>
      </c>
      <c r="Q9" s="53">
        <v>2</v>
      </c>
      <c r="R9" s="53">
        <v>1100</v>
      </c>
      <c r="S9" s="55">
        <v>1.08</v>
      </c>
      <c r="T9" s="53">
        <v>20</v>
      </c>
      <c r="U9" s="57">
        <v>1.8200000000000001E-2</v>
      </c>
      <c r="V9" s="53" t="s">
        <v>28</v>
      </c>
      <c r="W9" s="53" t="s">
        <v>28</v>
      </c>
      <c r="X9" s="53" t="s">
        <v>28</v>
      </c>
      <c r="Y9" s="53" t="s">
        <v>27</v>
      </c>
      <c r="Z9" s="53" t="s">
        <v>27</v>
      </c>
      <c r="AA9" s="53" t="s">
        <v>38</v>
      </c>
      <c r="AB9" s="53" t="s">
        <v>182</v>
      </c>
    </row>
    <row r="10" spans="1:28" s="59" customFormat="1" x14ac:dyDescent="0.3">
      <c r="A10" s="60" t="s">
        <v>27</v>
      </c>
      <c r="B10" s="60" t="s">
        <v>27</v>
      </c>
      <c r="C10" s="60" t="s">
        <v>27</v>
      </c>
      <c r="D10" s="60" t="s">
        <v>27</v>
      </c>
      <c r="E10" s="60" t="s">
        <v>27</v>
      </c>
      <c r="F10" s="60" t="s">
        <v>27</v>
      </c>
      <c r="G10" s="60" t="s">
        <v>27</v>
      </c>
      <c r="H10" s="60">
        <v>5650</v>
      </c>
      <c r="I10" s="60" t="s">
        <v>27</v>
      </c>
      <c r="J10" s="60" t="s">
        <v>27</v>
      </c>
      <c r="K10" s="60" t="s">
        <v>27</v>
      </c>
      <c r="L10" s="60" t="s">
        <v>27</v>
      </c>
      <c r="M10" s="60" t="s">
        <v>27</v>
      </c>
      <c r="N10" s="60" t="s">
        <v>27</v>
      </c>
      <c r="O10" s="60" t="s">
        <v>27</v>
      </c>
      <c r="P10" s="60">
        <v>1110.9000000000001</v>
      </c>
      <c r="Q10" s="60" t="s">
        <v>27</v>
      </c>
      <c r="R10" s="60" t="s">
        <v>27</v>
      </c>
      <c r="S10" s="60" t="s">
        <v>27</v>
      </c>
      <c r="T10" s="60" t="s">
        <v>27</v>
      </c>
      <c r="U10" s="60" t="s">
        <v>27</v>
      </c>
      <c r="V10" s="60" t="s">
        <v>27</v>
      </c>
      <c r="W10" s="60" t="s">
        <v>27</v>
      </c>
      <c r="X10" s="60" t="s">
        <v>27</v>
      </c>
      <c r="Y10" s="60" t="s">
        <v>27</v>
      </c>
      <c r="Z10" s="60" t="s">
        <v>27</v>
      </c>
      <c r="AA10" s="60" t="s">
        <v>27</v>
      </c>
      <c r="AB10" s="60" t="s">
        <v>27</v>
      </c>
    </row>
    <row r="11" spans="1:28" s="59" customFormat="1" x14ac:dyDescent="0.3"/>
  </sheetData>
  <mergeCells count="1">
    <mergeCell ref="A1:AB1"/>
  </mergeCells>
  <pageMargins left="0.511811024" right="0.511811024" top="1.41" bottom="0.78740157499999996" header="0.31496062000000002" footer="0.31496062000000002"/>
  <pageSetup scale="83" orientation="landscape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1B48-E833-4DBA-8A4F-DEEF6290C316}">
  <sheetPr>
    <pageSetUpPr fitToPage="1"/>
  </sheetPr>
  <dimension ref="A1:AB19"/>
  <sheetViews>
    <sheetView topLeftCell="A4" zoomScale="160" zoomScaleNormal="160" workbookViewId="0">
      <selection activeCell="AD14" sqref="AD14"/>
    </sheetView>
  </sheetViews>
  <sheetFormatPr defaultRowHeight="14.4" x14ac:dyDescent="0.3"/>
  <cols>
    <col min="1" max="1" width="3.77734375" style="33" customWidth="1"/>
    <col min="2" max="2" width="20.77734375" style="33" hidden="1" customWidth="1"/>
    <col min="3" max="3" width="5.6640625" style="33" customWidth="1"/>
    <col min="4" max="4" width="11.77734375" style="33" hidden="1" customWidth="1"/>
    <col min="5" max="5" width="8.5546875" style="33" customWidth="1"/>
    <col min="6" max="6" width="7.21875" style="33" customWidth="1"/>
    <col min="7" max="7" width="5.44140625" style="33" customWidth="1"/>
    <col min="8" max="8" width="5.6640625" style="33" customWidth="1"/>
    <col min="9" max="9" width="6.44140625" style="33" customWidth="1"/>
    <col min="10" max="10" width="6.5546875" style="33" customWidth="1"/>
    <col min="11" max="11" width="14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21875" style="33" customWidth="1"/>
    <col min="17" max="17" width="3.88671875" style="33" customWidth="1"/>
    <col min="18" max="18" width="5.5546875" style="33" customWidth="1"/>
    <col min="19" max="19" width="6.33203125" style="33" customWidth="1"/>
    <col min="20" max="20" width="11.77734375" style="33" hidden="1" customWidth="1"/>
    <col min="21" max="21" width="8.77734375" style="33" hidden="1" customWidth="1"/>
    <col min="22" max="22" width="7.77734375" style="33" customWidth="1"/>
    <col min="23" max="23" width="7.88671875" style="33" customWidth="1"/>
    <col min="24" max="24" width="7.33203125" style="33" customWidth="1"/>
    <col min="25" max="25" width="6.88671875" style="33" customWidth="1"/>
    <col min="26" max="26" width="7.33203125" style="33" customWidth="1"/>
    <col min="27" max="27" width="2.88671875" style="33" customWidth="1"/>
    <col min="28" max="28" width="10" style="33" customWidth="1"/>
    <col min="29" max="16384" width="8.88671875" style="33"/>
  </cols>
  <sheetData>
    <row r="1" spans="1:28" ht="18" customHeight="1" x14ac:dyDescent="0.35">
      <c r="A1" s="269" t="s">
        <v>395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53.4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51" customFormat="1" ht="25.05" customHeight="1" x14ac:dyDescent="0.3">
      <c r="A3" s="45">
        <v>1</v>
      </c>
      <c r="B3" s="46" t="s">
        <v>90</v>
      </c>
      <c r="C3" s="45" t="s">
        <v>26</v>
      </c>
      <c r="D3" s="45" t="s">
        <v>379</v>
      </c>
      <c r="E3" s="45" t="s">
        <v>27</v>
      </c>
      <c r="F3" s="45">
        <v>262736</v>
      </c>
      <c r="G3" s="45" t="s">
        <v>388</v>
      </c>
      <c r="H3" s="45">
        <v>150</v>
      </c>
      <c r="I3" s="47">
        <v>1.498</v>
      </c>
      <c r="J3" s="47">
        <v>1.6830000000000001</v>
      </c>
      <c r="K3" s="45" t="s">
        <v>394</v>
      </c>
      <c r="L3" s="47">
        <v>378.17</v>
      </c>
      <c r="M3" s="48">
        <v>252.5</v>
      </c>
      <c r="N3" s="49">
        <v>7.0099999999999996E-2</v>
      </c>
      <c r="O3" s="50">
        <v>4.21</v>
      </c>
      <c r="P3" s="45">
        <v>203.5</v>
      </c>
      <c r="Q3" s="45">
        <v>1</v>
      </c>
      <c r="R3" s="45">
        <v>1550</v>
      </c>
      <c r="S3" s="47">
        <v>1.498</v>
      </c>
      <c r="T3" s="45">
        <v>52</v>
      </c>
      <c r="U3" s="49">
        <v>3.3500000000000002E-2</v>
      </c>
      <c r="V3" s="45" t="s">
        <v>28</v>
      </c>
      <c r="W3" s="45" t="s">
        <v>29</v>
      </c>
      <c r="X3" s="45" t="s">
        <v>28</v>
      </c>
      <c r="Y3" s="45" t="s">
        <v>28</v>
      </c>
      <c r="Z3" s="45" t="s">
        <v>28</v>
      </c>
      <c r="AA3" s="45" t="s">
        <v>38</v>
      </c>
      <c r="AB3" s="45" t="s">
        <v>393</v>
      </c>
    </row>
    <row r="4" spans="1:28" s="51" customFormat="1" ht="25.05" customHeight="1" x14ac:dyDescent="0.3">
      <c r="A4" s="45">
        <v>2</v>
      </c>
      <c r="B4" s="46" t="s">
        <v>90</v>
      </c>
      <c r="C4" s="45" t="s">
        <v>26</v>
      </c>
      <c r="D4" s="45" t="s">
        <v>379</v>
      </c>
      <c r="E4" s="45" t="s">
        <v>27</v>
      </c>
      <c r="F4" s="45">
        <v>262735</v>
      </c>
      <c r="G4" s="45" t="s">
        <v>388</v>
      </c>
      <c r="H4" s="45">
        <v>150</v>
      </c>
      <c r="I4" s="47">
        <v>1.488</v>
      </c>
      <c r="J4" s="47">
        <v>2.0830000000000002</v>
      </c>
      <c r="K4" s="45" t="s">
        <v>392</v>
      </c>
      <c r="L4" s="47">
        <v>464.92599999999999</v>
      </c>
      <c r="M4" s="48">
        <v>312.5</v>
      </c>
      <c r="N4" s="49">
        <v>8.6800000000000002E-2</v>
      </c>
      <c r="O4" s="50">
        <v>5.21</v>
      </c>
      <c r="P4" s="45">
        <v>250.1</v>
      </c>
      <c r="Q4" s="45">
        <v>1</v>
      </c>
      <c r="R4" s="45">
        <v>1550</v>
      </c>
      <c r="S4" s="47">
        <v>1.488</v>
      </c>
      <c r="T4" s="45">
        <v>62</v>
      </c>
      <c r="U4" s="49">
        <v>0.04</v>
      </c>
      <c r="V4" s="45" t="s">
        <v>28</v>
      </c>
      <c r="W4" s="45" t="s">
        <v>29</v>
      </c>
      <c r="X4" s="45" t="s">
        <v>28</v>
      </c>
      <c r="Y4" s="45" t="s">
        <v>28</v>
      </c>
      <c r="Z4" s="45" t="s">
        <v>28</v>
      </c>
      <c r="AA4" s="45" t="s">
        <v>38</v>
      </c>
      <c r="AB4" s="45" t="s">
        <v>391</v>
      </c>
    </row>
    <row r="5" spans="1:28" s="98" customFormat="1" ht="25.05" customHeight="1" x14ac:dyDescent="0.3">
      <c r="A5" s="45">
        <v>3</v>
      </c>
      <c r="B5" s="135" t="s">
        <v>90</v>
      </c>
      <c r="C5" s="130" t="s">
        <v>44</v>
      </c>
      <c r="D5" s="130" t="s">
        <v>482</v>
      </c>
      <c r="E5" s="130" t="s">
        <v>27</v>
      </c>
      <c r="F5" s="130">
        <v>262837</v>
      </c>
      <c r="G5" s="130" t="s">
        <v>511</v>
      </c>
      <c r="H5" s="130">
        <v>140</v>
      </c>
      <c r="I5" s="132">
        <v>1.494</v>
      </c>
      <c r="J5" s="132">
        <v>2.2309999999999999</v>
      </c>
      <c r="K5" s="130" t="s">
        <v>510</v>
      </c>
      <c r="L5" s="132">
        <v>466.63600000000002</v>
      </c>
      <c r="M5" s="134">
        <v>312.3</v>
      </c>
      <c r="N5" s="131">
        <v>8.6800000000000002E-2</v>
      </c>
      <c r="O5" s="133">
        <v>5.21</v>
      </c>
      <c r="P5" s="130">
        <v>265</v>
      </c>
      <c r="Q5" s="130">
        <v>1</v>
      </c>
      <c r="R5" s="130">
        <v>1550</v>
      </c>
      <c r="S5" s="132">
        <v>1.494</v>
      </c>
      <c r="T5" s="130">
        <v>56</v>
      </c>
      <c r="U5" s="131">
        <v>3.61E-2</v>
      </c>
      <c r="V5" s="130" t="s">
        <v>34</v>
      </c>
      <c r="W5" s="130" t="s">
        <v>39</v>
      </c>
      <c r="X5" s="130" t="s">
        <v>34</v>
      </c>
      <c r="Y5" s="130" t="s">
        <v>34</v>
      </c>
      <c r="Z5" s="130" t="s">
        <v>34</v>
      </c>
      <c r="AA5" s="130" t="s">
        <v>38</v>
      </c>
      <c r="AB5" s="130" t="s">
        <v>509</v>
      </c>
    </row>
    <row r="6" spans="1:28" s="51" customFormat="1" ht="25.05" customHeight="1" x14ac:dyDescent="0.3">
      <c r="A6" s="45">
        <v>4</v>
      </c>
      <c r="B6" s="46" t="s">
        <v>90</v>
      </c>
      <c r="C6" s="45" t="s">
        <v>26</v>
      </c>
      <c r="D6" s="45" t="s">
        <v>379</v>
      </c>
      <c r="E6" s="45" t="s">
        <v>27</v>
      </c>
      <c r="F6" s="45">
        <v>262733</v>
      </c>
      <c r="G6" s="45" t="s">
        <v>388</v>
      </c>
      <c r="H6" s="45">
        <v>150</v>
      </c>
      <c r="I6" s="47">
        <v>1.478</v>
      </c>
      <c r="J6" s="47">
        <v>2.0030000000000001</v>
      </c>
      <c r="K6" s="45" t="s">
        <v>390</v>
      </c>
      <c r="L6" s="47">
        <v>444.065</v>
      </c>
      <c r="M6" s="48">
        <v>300.5</v>
      </c>
      <c r="N6" s="49">
        <v>8.3500000000000005E-2</v>
      </c>
      <c r="O6" s="50">
        <v>5.01</v>
      </c>
      <c r="P6" s="45">
        <v>238.9</v>
      </c>
      <c r="Q6" s="45">
        <v>1</v>
      </c>
      <c r="R6" s="45">
        <v>1500</v>
      </c>
      <c r="S6" s="47">
        <v>1.478</v>
      </c>
      <c r="T6" s="45">
        <v>22</v>
      </c>
      <c r="U6" s="49">
        <v>1.47E-2</v>
      </c>
      <c r="V6" s="45" t="s">
        <v>28</v>
      </c>
      <c r="W6" s="45" t="s">
        <v>29</v>
      </c>
      <c r="X6" s="45" t="s">
        <v>28</v>
      </c>
      <c r="Y6" s="45" t="s">
        <v>28</v>
      </c>
      <c r="Z6" s="45" t="s">
        <v>28</v>
      </c>
      <c r="AA6" s="45" t="s">
        <v>38</v>
      </c>
      <c r="AB6" s="45" t="s">
        <v>389</v>
      </c>
    </row>
    <row r="7" spans="1:28" s="51" customFormat="1" ht="25.05" customHeight="1" x14ac:dyDescent="0.3">
      <c r="A7" s="45">
        <v>5</v>
      </c>
      <c r="B7" s="46" t="s">
        <v>90</v>
      </c>
      <c r="C7" s="45" t="s">
        <v>26</v>
      </c>
      <c r="D7" s="45" t="s">
        <v>379</v>
      </c>
      <c r="E7" s="45" t="s">
        <v>27</v>
      </c>
      <c r="F7" s="45">
        <v>262734</v>
      </c>
      <c r="G7" s="45" t="s">
        <v>388</v>
      </c>
      <c r="H7" s="45">
        <v>150</v>
      </c>
      <c r="I7" s="47">
        <v>1.3380000000000001</v>
      </c>
      <c r="J7" s="47">
        <v>2.0830000000000002</v>
      </c>
      <c r="K7" s="45" t="s">
        <v>387</v>
      </c>
      <c r="L7" s="47">
        <v>418.05799999999999</v>
      </c>
      <c r="M7" s="48">
        <v>312.5</v>
      </c>
      <c r="N7" s="49">
        <v>8.6800000000000002E-2</v>
      </c>
      <c r="O7" s="50">
        <v>5.21</v>
      </c>
      <c r="P7" s="45">
        <v>224.9</v>
      </c>
      <c r="Q7" s="45">
        <v>1</v>
      </c>
      <c r="R7" s="45">
        <v>1400</v>
      </c>
      <c r="S7" s="47">
        <v>1.3380000000000001</v>
      </c>
      <c r="T7" s="45">
        <v>62</v>
      </c>
      <c r="U7" s="49">
        <v>4.4299999999999999E-2</v>
      </c>
      <c r="V7" s="45" t="s">
        <v>28</v>
      </c>
      <c r="W7" s="45" t="s">
        <v>29</v>
      </c>
      <c r="X7" s="45" t="s">
        <v>28</v>
      </c>
      <c r="Y7" s="45" t="s">
        <v>28</v>
      </c>
      <c r="Z7" s="45" t="s">
        <v>28</v>
      </c>
      <c r="AA7" s="45" t="s">
        <v>38</v>
      </c>
      <c r="AB7" s="45" t="s">
        <v>386</v>
      </c>
    </row>
    <row r="8" spans="1:28" s="51" customFormat="1" ht="25.05" customHeight="1" x14ac:dyDescent="0.3">
      <c r="A8" s="45">
        <v>6</v>
      </c>
      <c r="B8" s="46" t="s">
        <v>90</v>
      </c>
      <c r="C8" s="45" t="s">
        <v>45</v>
      </c>
      <c r="D8" s="45" t="s">
        <v>379</v>
      </c>
      <c r="E8" s="45" t="s">
        <v>27</v>
      </c>
      <c r="F8" s="45">
        <v>262731</v>
      </c>
      <c r="G8" s="45" t="s">
        <v>385</v>
      </c>
      <c r="H8" s="45">
        <v>1250</v>
      </c>
      <c r="I8" s="47">
        <v>0.75</v>
      </c>
      <c r="J8" s="47">
        <v>0.75</v>
      </c>
      <c r="K8" s="45" t="s">
        <v>33</v>
      </c>
      <c r="L8" s="47">
        <v>703.125</v>
      </c>
      <c r="M8" s="48">
        <v>468.8</v>
      </c>
      <c r="N8" s="49">
        <v>6.5100000000000005E-2</v>
      </c>
      <c r="O8" s="50">
        <v>3.91</v>
      </c>
      <c r="P8" s="45">
        <v>309.39999999999998</v>
      </c>
      <c r="Q8" s="45">
        <v>2</v>
      </c>
      <c r="R8" s="45">
        <v>1550</v>
      </c>
      <c r="S8" s="47">
        <v>1.5</v>
      </c>
      <c r="T8" s="45">
        <v>50</v>
      </c>
      <c r="U8" s="49">
        <v>3.2300000000000002E-2</v>
      </c>
      <c r="V8" s="45" t="s">
        <v>41</v>
      </c>
      <c r="W8" s="45" t="s">
        <v>41</v>
      </c>
      <c r="X8" s="45" t="s">
        <v>41</v>
      </c>
      <c r="Y8" s="45" t="s">
        <v>27</v>
      </c>
      <c r="Z8" s="45" t="s">
        <v>27</v>
      </c>
      <c r="AA8" s="45" t="s">
        <v>32</v>
      </c>
      <c r="AB8" s="45" t="s">
        <v>384</v>
      </c>
    </row>
    <row r="9" spans="1:28" s="51" customFormat="1" ht="25.05" customHeight="1" x14ac:dyDescent="0.3">
      <c r="A9" s="45">
        <v>7</v>
      </c>
      <c r="B9" s="46" t="s">
        <v>90</v>
      </c>
      <c r="C9" s="45" t="s">
        <v>45</v>
      </c>
      <c r="D9" s="45" t="s">
        <v>379</v>
      </c>
      <c r="E9" s="45" t="s">
        <v>27</v>
      </c>
      <c r="F9" s="45">
        <v>262732</v>
      </c>
      <c r="G9" s="45" t="s">
        <v>385</v>
      </c>
      <c r="H9" s="45">
        <v>1500</v>
      </c>
      <c r="I9" s="47">
        <v>0.75</v>
      </c>
      <c r="J9" s="47">
        <v>0.75</v>
      </c>
      <c r="K9" s="45" t="s">
        <v>33</v>
      </c>
      <c r="L9" s="47">
        <v>843.75</v>
      </c>
      <c r="M9" s="48">
        <v>562.5</v>
      </c>
      <c r="N9" s="49">
        <v>7.8100000000000003E-2</v>
      </c>
      <c r="O9" s="50">
        <v>4.6900000000000004</v>
      </c>
      <c r="P9" s="45">
        <v>371.3</v>
      </c>
      <c r="Q9" s="45">
        <v>2</v>
      </c>
      <c r="R9" s="45">
        <v>1550</v>
      </c>
      <c r="S9" s="47">
        <v>1.5</v>
      </c>
      <c r="T9" s="45">
        <v>50</v>
      </c>
      <c r="U9" s="49">
        <v>3.2300000000000002E-2</v>
      </c>
      <c r="V9" s="45" t="s">
        <v>41</v>
      </c>
      <c r="W9" s="45" t="s">
        <v>41</v>
      </c>
      <c r="X9" s="45" t="s">
        <v>41</v>
      </c>
      <c r="Y9" s="45" t="s">
        <v>27</v>
      </c>
      <c r="Z9" s="45" t="s">
        <v>27</v>
      </c>
      <c r="AA9" s="45" t="s">
        <v>30</v>
      </c>
      <c r="AB9" s="45" t="s">
        <v>384</v>
      </c>
    </row>
    <row r="10" spans="1:28" s="51" customFormat="1" ht="25.05" customHeight="1" x14ac:dyDescent="0.3">
      <c r="A10" s="45">
        <v>8</v>
      </c>
      <c r="B10" s="46" t="s">
        <v>92</v>
      </c>
      <c r="C10" s="45" t="s">
        <v>35</v>
      </c>
      <c r="D10" s="61">
        <v>46297</v>
      </c>
      <c r="E10" s="45"/>
      <c r="F10" s="45">
        <v>262864</v>
      </c>
      <c r="G10" s="45">
        <v>1798</v>
      </c>
      <c r="H10" s="45">
        <v>2000</v>
      </c>
      <c r="I10" s="47">
        <v>1.3</v>
      </c>
      <c r="J10" s="47">
        <v>1.6</v>
      </c>
      <c r="K10" s="45" t="s">
        <v>33</v>
      </c>
      <c r="L10" s="47">
        <v>4160</v>
      </c>
      <c r="M10" s="48">
        <v>1066.7</v>
      </c>
      <c r="N10" s="49">
        <v>9.8799999999999999E-2</v>
      </c>
      <c r="O10" s="50">
        <v>5.93</v>
      </c>
      <c r="P10" s="45">
        <v>1310.4000000000001</v>
      </c>
      <c r="Q10" s="45">
        <v>3</v>
      </c>
      <c r="R10" s="45">
        <v>1550</v>
      </c>
      <c r="S10" s="47">
        <v>3.9</v>
      </c>
      <c r="T10" s="45">
        <v>-2350</v>
      </c>
      <c r="U10" s="49">
        <v>-1.5161</v>
      </c>
      <c r="V10" s="45" t="s">
        <v>28</v>
      </c>
      <c r="W10" s="45" t="s">
        <v>28</v>
      </c>
      <c r="X10" s="45" t="s">
        <v>28</v>
      </c>
      <c r="Y10" s="45"/>
      <c r="Z10" s="45"/>
      <c r="AA10" s="45">
        <v>2</v>
      </c>
      <c r="AB10" s="45" t="s">
        <v>571</v>
      </c>
    </row>
    <row r="11" spans="1:28" s="98" customFormat="1" ht="25.05" customHeight="1" x14ac:dyDescent="0.3">
      <c r="A11" s="45">
        <v>9</v>
      </c>
      <c r="B11" s="135" t="s">
        <v>90</v>
      </c>
      <c r="C11" s="130" t="s">
        <v>35</v>
      </c>
      <c r="D11" s="130" t="s">
        <v>482</v>
      </c>
      <c r="E11" s="130" t="s">
        <v>27</v>
      </c>
      <c r="F11" s="130">
        <v>262839</v>
      </c>
      <c r="G11" s="130" t="s">
        <v>514</v>
      </c>
      <c r="H11" s="130">
        <v>150</v>
      </c>
      <c r="I11" s="132">
        <v>1.3160000000000001</v>
      </c>
      <c r="J11" s="132">
        <v>1.244</v>
      </c>
      <c r="K11" s="130" t="s">
        <v>513</v>
      </c>
      <c r="L11" s="132">
        <v>245.566</v>
      </c>
      <c r="M11" s="134">
        <v>186.6</v>
      </c>
      <c r="N11" s="131">
        <v>5.1799999999999999E-2</v>
      </c>
      <c r="O11" s="133">
        <v>3.11</v>
      </c>
      <c r="P11" s="130">
        <v>77.400000000000006</v>
      </c>
      <c r="Q11" s="130">
        <v>1</v>
      </c>
      <c r="R11" s="130">
        <v>1350</v>
      </c>
      <c r="S11" s="132">
        <v>1.3160000000000001</v>
      </c>
      <c r="T11" s="130">
        <v>34</v>
      </c>
      <c r="U11" s="131">
        <v>2.52E-2</v>
      </c>
      <c r="V11" s="130" t="s">
        <v>28</v>
      </c>
      <c r="W11" s="130" t="s">
        <v>28</v>
      </c>
      <c r="X11" s="130" t="s">
        <v>28</v>
      </c>
      <c r="Y11" s="130" t="s">
        <v>27</v>
      </c>
      <c r="Z11" s="130" t="s">
        <v>27</v>
      </c>
      <c r="AA11" s="130" t="s">
        <v>38</v>
      </c>
      <c r="AB11" s="130" t="s">
        <v>512</v>
      </c>
    </row>
    <row r="12" spans="1:28" s="98" customFormat="1" ht="25.05" customHeight="1" x14ac:dyDescent="0.3">
      <c r="A12" s="45">
        <v>10</v>
      </c>
      <c r="B12" s="135" t="s">
        <v>90</v>
      </c>
      <c r="C12" s="130" t="s">
        <v>35</v>
      </c>
      <c r="D12" s="130" t="s">
        <v>482</v>
      </c>
      <c r="E12" s="130" t="s">
        <v>27</v>
      </c>
      <c r="F12" s="130">
        <v>262835</v>
      </c>
      <c r="G12" s="130" t="s">
        <v>517</v>
      </c>
      <c r="H12" s="130">
        <v>500</v>
      </c>
      <c r="I12" s="132">
        <v>0.6</v>
      </c>
      <c r="J12" s="132">
        <v>2.367</v>
      </c>
      <c r="K12" s="130" t="s">
        <v>516</v>
      </c>
      <c r="L12" s="132">
        <v>710.1</v>
      </c>
      <c r="M12" s="134">
        <v>591.79999999999995</v>
      </c>
      <c r="N12" s="131">
        <v>8.2199999999999995E-2</v>
      </c>
      <c r="O12" s="133">
        <v>4.93</v>
      </c>
      <c r="P12" s="130">
        <v>223.7</v>
      </c>
      <c r="Q12" s="130">
        <v>2</v>
      </c>
      <c r="R12" s="130">
        <v>1250</v>
      </c>
      <c r="S12" s="132">
        <v>1.2</v>
      </c>
      <c r="T12" s="130">
        <v>50</v>
      </c>
      <c r="U12" s="131">
        <v>0.04</v>
      </c>
      <c r="V12" s="130" t="s">
        <v>28</v>
      </c>
      <c r="W12" s="130" t="s">
        <v>28</v>
      </c>
      <c r="X12" s="130" t="s">
        <v>28</v>
      </c>
      <c r="Y12" s="130" t="s">
        <v>27</v>
      </c>
      <c r="Z12" s="130" t="s">
        <v>27</v>
      </c>
      <c r="AA12" s="130" t="s">
        <v>32</v>
      </c>
      <c r="AB12" s="130" t="s">
        <v>515</v>
      </c>
    </row>
    <row r="13" spans="1:28" s="98" customFormat="1" ht="25.05" customHeight="1" x14ac:dyDescent="0.3">
      <c r="A13" s="45">
        <v>11</v>
      </c>
      <c r="B13" s="135" t="s">
        <v>90</v>
      </c>
      <c r="C13" s="130" t="s">
        <v>35</v>
      </c>
      <c r="D13" s="130" t="s">
        <v>482</v>
      </c>
      <c r="E13" s="130" t="s">
        <v>27</v>
      </c>
      <c r="F13" s="130">
        <v>262834</v>
      </c>
      <c r="G13" s="130" t="s">
        <v>520</v>
      </c>
      <c r="H13" s="130">
        <v>200</v>
      </c>
      <c r="I13" s="132">
        <v>1.1100000000000001</v>
      </c>
      <c r="J13" s="132">
        <v>2.3029999999999999</v>
      </c>
      <c r="K13" s="130" t="s">
        <v>519</v>
      </c>
      <c r="L13" s="132">
        <v>511.26600000000002</v>
      </c>
      <c r="M13" s="134">
        <v>460.6</v>
      </c>
      <c r="N13" s="131">
        <v>0.12790000000000001</v>
      </c>
      <c r="O13" s="133">
        <v>7.68</v>
      </c>
      <c r="P13" s="130">
        <v>161</v>
      </c>
      <c r="Q13" s="130">
        <v>1</v>
      </c>
      <c r="R13" s="130">
        <v>1150</v>
      </c>
      <c r="S13" s="132">
        <v>1.1100000000000001</v>
      </c>
      <c r="T13" s="130">
        <v>40</v>
      </c>
      <c r="U13" s="131">
        <v>3.4799999999999998E-2</v>
      </c>
      <c r="V13" s="130" t="s">
        <v>28</v>
      </c>
      <c r="W13" s="130" t="s">
        <v>28</v>
      </c>
      <c r="X13" s="130" t="s">
        <v>28</v>
      </c>
      <c r="Y13" s="130" t="s">
        <v>27</v>
      </c>
      <c r="Z13" s="130" t="s">
        <v>27</v>
      </c>
      <c r="AA13" s="130" t="s">
        <v>38</v>
      </c>
      <c r="AB13" s="130" t="s">
        <v>518</v>
      </c>
    </row>
    <row r="14" spans="1:28" s="98" customFormat="1" ht="25.05" customHeight="1" x14ac:dyDescent="0.3">
      <c r="A14" s="45">
        <v>12</v>
      </c>
      <c r="B14" s="135" t="s">
        <v>90</v>
      </c>
      <c r="C14" s="130" t="s">
        <v>35</v>
      </c>
      <c r="D14" s="130" t="s">
        <v>482</v>
      </c>
      <c r="E14" s="130" t="s">
        <v>27</v>
      </c>
      <c r="F14" s="130">
        <v>262838</v>
      </c>
      <c r="G14" s="130" t="s">
        <v>523</v>
      </c>
      <c r="H14" s="130">
        <v>1200</v>
      </c>
      <c r="I14" s="132">
        <v>0.99299999999999999</v>
      </c>
      <c r="J14" s="132">
        <v>0.627</v>
      </c>
      <c r="K14" s="130" t="s">
        <v>522</v>
      </c>
      <c r="L14" s="132">
        <v>747.13300000000004</v>
      </c>
      <c r="M14" s="134">
        <v>752.4</v>
      </c>
      <c r="N14" s="131">
        <v>0.20899999999999999</v>
      </c>
      <c r="O14" s="133">
        <v>12.54</v>
      </c>
      <c r="P14" s="130">
        <v>235.3</v>
      </c>
      <c r="Q14" s="130">
        <v>1</v>
      </c>
      <c r="R14" s="130">
        <v>1050</v>
      </c>
      <c r="S14" s="132">
        <v>0.99299999999999999</v>
      </c>
      <c r="T14" s="130">
        <v>57</v>
      </c>
      <c r="U14" s="131">
        <v>5.4300000000000001E-2</v>
      </c>
      <c r="V14" s="130" t="s">
        <v>28</v>
      </c>
      <c r="W14" s="130" t="s">
        <v>28</v>
      </c>
      <c r="X14" s="130" t="s">
        <v>28</v>
      </c>
      <c r="Y14" s="130" t="s">
        <v>27</v>
      </c>
      <c r="Z14" s="130" t="s">
        <v>27</v>
      </c>
      <c r="AA14" s="130" t="s">
        <v>38</v>
      </c>
      <c r="AB14" s="130" t="s">
        <v>521</v>
      </c>
    </row>
    <row r="15" spans="1:28" s="98" customFormat="1" ht="25.05" customHeight="1" x14ac:dyDescent="0.3">
      <c r="A15" s="45">
        <v>13</v>
      </c>
      <c r="B15" s="135" t="s">
        <v>90</v>
      </c>
      <c r="C15" s="130" t="s">
        <v>35</v>
      </c>
      <c r="D15" s="130" t="s">
        <v>482</v>
      </c>
      <c r="E15" s="130" t="s">
        <v>27</v>
      </c>
      <c r="F15" s="130">
        <v>262836</v>
      </c>
      <c r="G15" s="130" t="s">
        <v>525</v>
      </c>
      <c r="H15" s="130">
        <v>800</v>
      </c>
      <c r="I15" s="132">
        <v>1</v>
      </c>
      <c r="J15" s="132">
        <v>3.4</v>
      </c>
      <c r="K15" s="130" t="s">
        <v>33</v>
      </c>
      <c r="L15" s="132">
        <v>2720</v>
      </c>
      <c r="M15" s="134">
        <v>2720</v>
      </c>
      <c r="N15" s="131">
        <v>0.75560000000000005</v>
      </c>
      <c r="O15" s="133">
        <v>45.33</v>
      </c>
      <c r="P15" s="130">
        <v>856.8</v>
      </c>
      <c r="Q15" s="130">
        <v>1</v>
      </c>
      <c r="R15" s="130">
        <v>1050</v>
      </c>
      <c r="S15" s="132">
        <v>1</v>
      </c>
      <c r="T15" s="130">
        <v>50</v>
      </c>
      <c r="U15" s="131">
        <v>4.7600000000000003E-2</v>
      </c>
      <c r="V15" s="130" t="s">
        <v>28</v>
      </c>
      <c r="W15" s="130" t="s">
        <v>28</v>
      </c>
      <c r="X15" s="130" t="s">
        <v>28</v>
      </c>
      <c r="Y15" s="130" t="s">
        <v>27</v>
      </c>
      <c r="Z15" s="130" t="s">
        <v>27</v>
      </c>
      <c r="AA15" s="130" t="s">
        <v>32</v>
      </c>
      <c r="AB15" s="130" t="s">
        <v>524</v>
      </c>
    </row>
    <row r="16" spans="1:28" s="51" customFormat="1" ht="25.05" customHeight="1" x14ac:dyDescent="0.3">
      <c r="A16" s="45">
        <v>14</v>
      </c>
      <c r="B16" s="46" t="s">
        <v>90</v>
      </c>
      <c r="C16" s="45" t="s">
        <v>35</v>
      </c>
      <c r="D16" s="45" t="s">
        <v>379</v>
      </c>
      <c r="E16" s="45" t="s">
        <v>27</v>
      </c>
      <c r="F16" s="45">
        <v>262737</v>
      </c>
      <c r="G16" s="45" t="s">
        <v>378</v>
      </c>
      <c r="H16" s="45">
        <v>600</v>
      </c>
      <c r="I16" s="47">
        <v>0.47</v>
      </c>
      <c r="J16" s="47">
        <v>1.7869999999999999</v>
      </c>
      <c r="K16" s="45" t="s">
        <v>383</v>
      </c>
      <c r="L16" s="47">
        <v>503.93400000000003</v>
      </c>
      <c r="M16" s="48">
        <v>536.1</v>
      </c>
      <c r="N16" s="49">
        <v>7.4499999999999997E-2</v>
      </c>
      <c r="O16" s="50">
        <v>4.47</v>
      </c>
      <c r="P16" s="45">
        <v>158.69999999999999</v>
      </c>
      <c r="Q16" s="45">
        <v>2</v>
      </c>
      <c r="R16" s="45">
        <v>1000</v>
      </c>
      <c r="S16" s="47">
        <v>0.94</v>
      </c>
      <c r="T16" s="45">
        <v>60</v>
      </c>
      <c r="U16" s="49">
        <v>0.06</v>
      </c>
      <c r="V16" s="45" t="s">
        <v>28</v>
      </c>
      <c r="W16" s="45" t="s">
        <v>28</v>
      </c>
      <c r="X16" s="45" t="s">
        <v>28</v>
      </c>
      <c r="Y16" s="45" t="s">
        <v>27</v>
      </c>
      <c r="Z16" s="45" t="s">
        <v>27</v>
      </c>
      <c r="AA16" s="45" t="s">
        <v>38</v>
      </c>
      <c r="AB16" s="45" t="s">
        <v>382</v>
      </c>
    </row>
    <row r="17" spans="1:28" s="51" customFormat="1" ht="25.05" customHeight="1" x14ac:dyDescent="0.3">
      <c r="A17" s="45">
        <v>15</v>
      </c>
      <c r="B17" s="46" t="s">
        <v>90</v>
      </c>
      <c r="C17" s="45" t="s">
        <v>35</v>
      </c>
      <c r="D17" s="45" t="s">
        <v>379</v>
      </c>
      <c r="E17" s="45" t="s">
        <v>27</v>
      </c>
      <c r="F17" s="45">
        <v>262739</v>
      </c>
      <c r="G17" s="45" t="s">
        <v>378</v>
      </c>
      <c r="H17" s="45">
        <v>300</v>
      </c>
      <c r="I17" s="47">
        <v>0.86</v>
      </c>
      <c r="J17" s="47">
        <v>1.8029999999999999</v>
      </c>
      <c r="K17" s="45" t="s">
        <v>381</v>
      </c>
      <c r="L17" s="47">
        <v>465.17399999999998</v>
      </c>
      <c r="M17" s="48">
        <v>540.9</v>
      </c>
      <c r="N17" s="49">
        <v>0.1502</v>
      </c>
      <c r="O17" s="50">
        <v>9.01</v>
      </c>
      <c r="P17" s="45">
        <v>146.5</v>
      </c>
      <c r="Q17" s="45">
        <v>1</v>
      </c>
      <c r="R17" s="45">
        <v>900</v>
      </c>
      <c r="S17" s="47">
        <v>0.86</v>
      </c>
      <c r="T17" s="45">
        <v>40</v>
      </c>
      <c r="U17" s="49">
        <v>4.4400000000000002E-2</v>
      </c>
      <c r="V17" s="45" t="s">
        <v>28</v>
      </c>
      <c r="W17" s="45" t="s">
        <v>28</v>
      </c>
      <c r="X17" s="45" t="s">
        <v>28</v>
      </c>
      <c r="Y17" s="45" t="s">
        <v>27</v>
      </c>
      <c r="Z17" s="45" t="s">
        <v>27</v>
      </c>
      <c r="AA17" s="45" t="s">
        <v>38</v>
      </c>
      <c r="AB17" s="45" t="s">
        <v>380</v>
      </c>
    </row>
    <row r="18" spans="1:28" s="51" customFormat="1" ht="25.05" customHeight="1" x14ac:dyDescent="0.3">
      <c r="A18" s="45">
        <v>16</v>
      </c>
      <c r="B18" s="46" t="s">
        <v>90</v>
      </c>
      <c r="C18" s="45" t="s">
        <v>35</v>
      </c>
      <c r="D18" s="45" t="s">
        <v>379</v>
      </c>
      <c r="E18" s="45" t="s">
        <v>27</v>
      </c>
      <c r="F18" s="45">
        <v>262738</v>
      </c>
      <c r="G18" s="45" t="s">
        <v>378</v>
      </c>
      <c r="H18" s="45">
        <v>600</v>
      </c>
      <c r="I18" s="47">
        <v>0.39</v>
      </c>
      <c r="J18" s="47">
        <v>1.7829999999999999</v>
      </c>
      <c r="K18" s="45" t="s">
        <v>377</v>
      </c>
      <c r="L18" s="47">
        <v>417.22199999999998</v>
      </c>
      <c r="M18" s="48">
        <v>534.9</v>
      </c>
      <c r="N18" s="49">
        <v>7.4300000000000005E-2</v>
      </c>
      <c r="O18" s="50">
        <v>4.46</v>
      </c>
      <c r="P18" s="45">
        <v>131.4</v>
      </c>
      <c r="Q18" s="45">
        <v>2</v>
      </c>
      <c r="R18" s="45">
        <v>800</v>
      </c>
      <c r="S18" s="47">
        <v>0.78</v>
      </c>
      <c r="T18" s="45">
        <v>20</v>
      </c>
      <c r="U18" s="49">
        <v>2.5000000000000001E-2</v>
      </c>
      <c r="V18" s="45" t="s">
        <v>28</v>
      </c>
      <c r="W18" s="45" t="s">
        <v>28</v>
      </c>
      <c r="X18" s="45" t="s">
        <v>28</v>
      </c>
      <c r="Y18" s="45" t="s">
        <v>27</v>
      </c>
      <c r="Z18" s="45" t="s">
        <v>27</v>
      </c>
      <c r="AA18" s="45" t="s">
        <v>38</v>
      </c>
      <c r="AB18" s="45" t="s">
        <v>376</v>
      </c>
    </row>
    <row r="19" spans="1:28" s="51" customFormat="1" ht="25.05" customHeight="1" x14ac:dyDescent="0.3">
      <c r="A19" s="52" t="s">
        <v>27</v>
      </c>
      <c r="B19" s="52" t="s">
        <v>27</v>
      </c>
      <c r="C19" s="52" t="s">
        <v>27</v>
      </c>
      <c r="D19" s="52" t="s">
        <v>27</v>
      </c>
      <c r="E19" s="52" t="s">
        <v>27</v>
      </c>
      <c r="F19" s="52" t="s">
        <v>27</v>
      </c>
      <c r="G19" s="52" t="s">
        <v>27</v>
      </c>
      <c r="H19" s="52">
        <f>SUM(H3:H18)</f>
        <v>9840</v>
      </c>
      <c r="I19" s="52" t="s">
        <v>27</v>
      </c>
      <c r="J19" s="52" t="s">
        <v>27</v>
      </c>
      <c r="K19" s="52" t="s">
        <v>27</v>
      </c>
      <c r="L19" s="52" t="s">
        <v>27</v>
      </c>
      <c r="M19" s="52" t="s">
        <v>27</v>
      </c>
      <c r="N19" s="52" t="s">
        <v>27</v>
      </c>
      <c r="O19" s="52" t="s">
        <v>27</v>
      </c>
      <c r="P19" s="52">
        <f>SUM(P3:P18)</f>
        <v>5164.2999999999993</v>
      </c>
      <c r="Q19" s="52" t="s">
        <v>27</v>
      </c>
      <c r="R19" s="52" t="s">
        <v>27</v>
      </c>
      <c r="S19" s="52" t="s">
        <v>27</v>
      </c>
      <c r="T19" s="52" t="s">
        <v>27</v>
      </c>
      <c r="U19" s="52" t="s">
        <v>27</v>
      </c>
      <c r="V19" s="52" t="s">
        <v>27</v>
      </c>
      <c r="W19" s="52" t="s">
        <v>27</v>
      </c>
      <c r="X19" s="52" t="s">
        <v>27</v>
      </c>
      <c r="Y19" s="52" t="s">
        <v>27</v>
      </c>
      <c r="Z19" s="52" t="s">
        <v>27</v>
      </c>
      <c r="AA19" s="52" t="s">
        <v>27</v>
      </c>
      <c r="AB19" s="52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93" orientation="landscape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6639-3644-4FEE-999B-12345FDCC749}">
  <sheetPr>
    <pageSetUpPr fitToPage="1"/>
  </sheetPr>
  <dimension ref="A1:AB10"/>
  <sheetViews>
    <sheetView zoomScale="190" zoomScaleNormal="190" workbookViewId="0">
      <selection activeCell="P15" sqref="P15"/>
    </sheetView>
  </sheetViews>
  <sheetFormatPr defaultRowHeight="14.4" x14ac:dyDescent="0.3"/>
  <cols>
    <col min="1" max="1" width="3.88671875" style="33" customWidth="1"/>
    <col min="2" max="2" width="20.77734375" style="33" hidden="1" customWidth="1"/>
    <col min="3" max="3" width="6" style="33" customWidth="1"/>
    <col min="4" max="4" width="11.77734375" style="33" hidden="1" customWidth="1"/>
    <col min="5" max="5" width="8.44140625" style="33" customWidth="1"/>
    <col min="6" max="6" width="7.109375" style="33" customWidth="1"/>
    <col min="7" max="7" width="3" style="33" customWidth="1"/>
    <col min="8" max="8" width="6.21875" style="33" customWidth="1"/>
    <col min="9" max="9" width="6.33203125" style="33" customWidth="1"/>
    <col min="10" max="10" width="6.5546875" style="33" customWidth="1"/>
    <col min="11" max="11" width="10.55468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88671875" style="33" customWidth="1"/>
    <col min="17" max="17" width="4.21875" style="33" customWidth="1"/>
    <col min="18" max="18" width="6.21875" style="33" customWidth="1"/>
    <col min="19" max="19" width="6.44140625" style="33" customWidth="1"/>
    <col min="20" max="20" width="11.77734375" style="33" hidden="1" customWidth="1"/>
    <col min="21" max="21" width="8.77734375" style="33" hidden="1" customWidth="1"/>
    <col min="22" max="22" width="7.88671875" style="33" customWidth="1"/>
    <col min="23" max="23" width="7.6640625" style="33" customWidth="1"/>
    <col min="24" max="24" width="7.5546875" style="33" customWidth="1"/>
    <col min="25" max="26" width="7.77734375" style="33" customWidth="1"/>
    <col min="27" max="27" width="3.77734375" style="33" customWidth="1"/>
    <col min="28" max="28" width="10.44140625" style="33" customWidth="1"/>
    <col min="29" max="16384" width="8.88671875" style="33"/>
  </cols>
  <sheetData>
    <row r="1" spans="1:28" ht="18" customHeight="1" x14ac:dyDescent="0.35">
      <c r="A1" s="269" t="s">
        <v>593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43.2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51" customFormat="1" ht="25.05" customHeight="1" x14ac:dyDescent="0.3">
      <c r="A3" s="45">
        <v>1</v>
      </c>
      <c r="B3" s="46" t="s">
        <v>366</v>
      </c>
      <c r="C3" s="45" t="s">
        <v>35</v>
      </c>
      <c r="D3" s="45" t="s">
        <v>272</v>
      </c>
      <c r="E3" s="45" t="s">
        <v>27</v>
      </c>
      <c r="F3" s="45">
        <v>262724</v>
      </c>
      <c r="G3" s="45" t="s">
        <v>54</v>
      </c>
      <c r="H3" s="45">
        <v>610</v>
      </c>
      <c r="I3" s="47">
        <v>1.278</v>
      </c>
      <c r="J3" s="47">
        <v>1.79</v>
      </c>
      <c r="K3" s="45" t="s">
        <v>33</v>
      </c>
      <c r="L3" s="47">
        <v>1395.4480000000001</v>
      </c>
      <c r="M3" s="48">
        <v>1091.9000000000001</v>
      </c>
      <c r="N3" s="49">
        <v>0.30330000000000001</v>
      </c>
      <c r="O3" s="50">
        <v>18.2</v>
      </c>
      <c r="P3" s="45">
        <v>439.6</v>
      </c>
      <c r="Q3" s="45">
        <v>1</v>
      </c>
      <c r="R3" s="45">
        <v>1300</v>
      </c>
      <c r="S3" s="47">
        <v>1.278</v>
      </c>
      <c r="T3" s="45">
        <v>22</v>
      </c>
      <c r="U3" s="49">
        <v>1.6899999999999998E-2</v>
      </c>
      <c r="V3" s="45" t="s">
        <v>28</v>
      </c>
      <c r="W3" s="45" t="s">
        <v>28</v>
      </c>
      <c r="X3" s="45" t="s">
        <v>28</v>
      </c>
      <c r="Y3" s="45" t="s">
        <v>27</v>
      </c>
      <c r="Z3" s="45" t="s">
        <v>27</v>
      </c>
      <c r="AA3" s="45" t="s">
        <v>32</v>
      </c>
      <c r="AB3" s="45" t="s">
        <v>375</v>
      </c>
    </row>
    <row r="4" spans="1:28" s="51" customFormat="1" ht="25.05" customHeight="1" x14ac:dyDescent="0.3">
      <c r="A4" s="45">
        <v>2</v>
      </c>
      <c r="B4" s="46" t="s">
        <v>366</v>
      </c>
      <c r="C4" s="45" t="s">
        <v>35</v>
      </c>
      <c r="D4" s="45" t="s">
        <v>272</v>
      </c>
      <c r="E4" s="45" t="s">
        <v>27</v>
      </c>
      <c r="F4" s="45">
        <v>262727</v>
      </c>
      <c r="G4" s="45" t="s">
        <v>54</v>
      </c>
      <c r="H4" s="45">
        <v>5000</v>
      </c>
      <c r="I4" s="47">
        <v>0.61</v>
      </c>
      <c r="J4" s="47">
        <v>1.1599999999999999</v>
      </c>
      <c r="K4" s="45" t="s">
        <v>373</v>
      </c>
      <c r="L4" s="47">
        <v>3538</v>
      </c>
      <c r="M4" s="48">
        <v>2900</v>
      </c>
      <c r="N4" s="49">
        <v>0.40279999999999999</v>
      </c>
      <c r="O4" s="50">
        <v>24.17</v>
      </c>
      <c r="P4" s="45">
        <v>1114.5</v>
      </c>
      <c r="Q4" s="45">
        <v>2</v>
      </c>
      <c r="R4" s="45">
        <v>1250</v>
      </c>
      <c r="S4" s="47">
        <v>1.22</v>
      </c>
      <c r="T4" s="45">
        <v>30</v>
      </c>
      <c r="U4" s="49">
        <v>2.4E-2</v>
      </c>
      <c r="V4" s="45" t="s">
        <v>28</v>
      </c>
      <c r="W4" s="45" t="s">
        <v>28</v>
      </c>
      <c r="X4" s="45" t="s">
        <v>28</v>
      </c>
      <c r="Y4" s="45" t="s">
        <v>27</v>
      </c>
      <c r="Z4" s="45" t="s">
        <v>27</v>
      </c>
      <c r="AA4" s="45" t="s">
        <v>48</v>
      </c>
      <c r="AB4" s="45" t="s">
        <v>374</v>
      </c>
    </row>
    <row r="5" spans="1:28" s="51" customFormat="1" ht="25.05" customHeight="1" x14ac:dyDescent="0.3">
      <c r="A5" s="45">
        <v>3</v>
      </c>
      <c r="B5" s="46" t="s">
        <v>366</v>
      </c>
      <c r="C5" s="45" t="s">
        <v>35</v>
      </c>
      <c r="D5" s="45" t="s">
        <v>272</v>
      </c>
      <c r="E5" s="45" t="s">
        <v>27</v>
      </c>
      <c r="F5" s="45">
        <v>262730</v>
      </c>
      <c r="G5" s="45" t="s">
        <v>54</v>
      </c>
      <c r="H5" s="45">
        <v>500</v>
      </c>
      <c r="I5" s="47">
        <v>0.61</v>
      </c>
      <c r="J5" s="47">
        <v>0.96</v>
      </c>
      <c r="K5" s="45" t="s">
        <v>373</v>
      </c>
      <c r="L5" s="47">
        <v>292.8</v>
      </c>
      <c r="M5" s="48">
        <v>240</v>
      </c>
      <c r="N5" s="49">
        <v>3.3300000000000003E-2</v>
      </c>
      <c r="O5" s="50">
        <v>2</v>
      </c>
      <c r="P5" s="45">
        <v>92.2</v>
      </c>
      <c r="Q5" s="45">
        <v>2</v>
      </c>
      <c r="R5" s="45">
        <v>1250</v>
      </c>
      <c r="S5" s="47">
        <v>1.22</v>
      </c>
      <c r="T5" s="45">
        <v>30</v>
      </c>
      <c r="U5" s="49">
        <v>2.4E-2</v>
      </c>
      <c r="V5" s="45" t="s">
        <v>28</v>
      </c>
      <c r="W5" s="45" t="s">
        <v>28</v>
      </c>
      <c r="X5" s="45" t="s">
        <v>28</v>
      </c>
      <c r="Y5" s="45" t="s">
        <v>27</v>
      </c>
      <c r="Z5" s="45" t="s">
        <v>27</v>
      </c>
      <c r="AA5" s="45" t="s">
        <v>38</v>
      </c>
      <c r="AB5" s="45" t="s">
        <v>372</v>
      </c>
    </row>
    <row r="6" spans="1:28" s="51" customFormat="1" ht="25.05" customHeight="1" x14ac:dyDescent="0.3">
      <c r="A6" s="45">
        <v>4</v>
      </c>
      <c r="B6" s="46" t="s">
        <v>366</v>
      </c>
      <c r="C6" s="45" t="s">
        <v>35</v>
      </c>
      <c r="D6" s="45" t="s">
        <v>272</v>
      </c>
      <c r="E6" s="45" t="s">
        <v>27</v>
      </c>
      <c r="F6" s="45">
        <v>262729</v>
      </c>
      <c r="G6" s="45" t="s">
        <v>54</v>
      </c>
      <c r="H6" s="45">
        <v>400</v>
      </c>
      <c r="I6" s="47">
        <v>0.91</v>
      </c>
      <c r="J6" s="47">
        <v>1.1599999999999999</v>
      </c>
      <c r="K6" s="45" t="s">
        <v>371</v>
      </c>
      <c r="L6" s="47">
        <v>422.24</v>
      </c>
      <c r="M6" s="48">
        <v>464</v>
      </c>
      <c r="N6" s="49">
        <v>0.12889999999999999</v>
      </c>
      <c r="O6" s="50">
        <v>7.73</v>
      </c>
      <c r="P6" s="45">
        <v>133</v>
      </c>
      <c r="Q6" s="45">
        <v>1</v>
      </c>
      <c r="R6" s="45">
        <v>950</v>
      </c>
      <c r="S6" s="47">
        <v>0.91</v>
      </c>
      <c r="T6" s="45">
        <v>40</v>
      </c>
      <c r="U6" s="49">
        <v>4.2099999999999999E-2</v>
      </c>
      <c r="V6" s="45" t="s">
        <v>28</v>
      </c>
      <c r="W6" s="45" t="s">
        <v>28</v>
      </c>
      <c r="X6" s="45" t="s">
        <v>28</v>
      </c>
      <c r="Y6" s="45" t="s">
        <v>27</v>
      </c>
      <c r="Z6" s="45" t="s">
        <v>27</v>
      </c>
      <c r="AA6" s="45" t="s">
        <v>38</v>
      </c>
      <c r="AB6" s="45" t="s">
        <v>370</v>
      </c>
    </row>
    <row r="7" spans="1:28" s="51" customFormat="1" ht="25.05" customHeight="1" x14ac:dyDescent="0.3">
      <c r="A7" s="45">
        <v>5</v>
      </c>
      <c r="B7" s="46" t="s">
        <v>366</v>
      </c>
      <c r="C7" s="45" t="s">
        <v>81</v>
      </c>
      <c r="D7" s="45" t="s">
        <v>272</v>
      </c>
      <c r="E7" s="45" t="s">
        <v>27</v>
      </c>
      <c r="F7" s="45">
        <v>262725</v>
      </c>
      <c r="G7" s="45" t="s">
        <v>54</v>
      </c>
      <c r="H7" s="45">
        <v>550</v>
      </c>
      <c r="I7" s="47">
        <v>0.93</v>
      </c>
      <c r="J7" s="47">
        <v>1.21</v>
      </c>
      <c r="K7" s="45" t="s">
        <v>33</v>
      </c>
      <c r="L7" s="47">
        <v>618.91499999999996</v>
      </c>
      <c r="M7" s="48">
        <v>665.5</v>
      </c>
      <c r="N7" s="49">
        <v>0.18490000000000001</v>
      </c>
      <c r="O7" s="50">
        <v>11.09</v>
      </c>
      <c r="P7" s="45">
        <v>225.9</v>
      </c>
      <c r="Q7" s="45">
        <v>1</v>
      </c>
      <c r="R7" s="45">
        <v>950</v>
      </c>
      <c r="S7" s="47">
        <v>0.93</v>
      </c>
      <c r="T7" s="45">
        <v>20</v>
      </c>
      <c r="U7" s="49">
        <v>2.1100000000000001E-2</v>
      </c>
      <c r="V7" s="45" t="s">
        <v>41</v>
      </c>
      <c r="W7" s="45" t="s">
        <v>29</v>
      </c>
      <c r="X7" s="45" t="s">
        <v>28</v>
      </c>
      <c r="Y7" s="45" t="s">
        <v>27</v>
      </c>
      <c r="Z7" s="45" t="s">
        <v>27</v>
      </c>
      <c r="AA7" s="45" t="s">
        <v>32</v>
      </c>
      <c r="AB7" s="45" t="s">
        <v>369</v>
      </c>
    </row>
    <row r="8" spans="1:28" s="51" customFormat="1" ht="25.05" customHeight="1" x14ac:dyDescent="0.3">
      <c r="A8" s="45">
        <v>6</v>
      </c>
      <c r="B8" s="46" t="s">
        <v>366</v>
      </c>
      <c r="C8" s="45" t="s">
        <v>35</v>
      </c>
      <c r="D8" s="45" t="s">
        <v>272</v>
      </c>
      <c r="E8" s="45" t="s">
        <v>27</v>
      </c>
      <c r="F8" s="45">
        <v>262726</v>
      </c>
      <c r="G8" s="45" t="s">
        <v>54</v>
      </c>
      <c r="H8" s="45">
        <v>350</v>
      </c>
      <c r="I8" s="47">
        <v>0.27400000000000002</v>
      </c>
      <c r="J8" s="47">
        <v>0.71</v>
      </c>
      <c r="K8" s="45" t="s">
        <v>368</v>
      </c>
      <c r="L8" s="47">
        <v>68.088999999999999</v>
      </c>
      <c r="M8" s="48">
        <v>82.8</v>
      </c>
      <c r="N8" s="49">
        <v>7.7000000000000002E-3</v>
      </c>
      <c r="O8" s="50">
        <v>0.46</v>
      </c>
      <c r="P8" s="45">
        <v>21.4</v>
      </c>
      <c r="Q8" s="45">
        <v>3</v>
      </c>
      <c r="R8" s="45">
        <v>850</v>
      </c>
      <c r="S8" s="47">
        <v>0.82199999999999995</v>
      </c>
      <c r="T8" s="45">
        <v>28</v>
      </c>
      <c r="U8" s="49">
        <v>3.2899999999999999E-2</v>
      </c>
      <c r="V8" s="45" t="s">
        <v>28</v>
      </c>
      <c r="W8" s="45" t="s">
        <v>28</v>
      </c>
      <c r="X8" s="45" t="s">
        <v>28</v>
      </c>
      <c r="Y8" s="45" t="s">
        <v>27</v>
      </c>
      <c r="Z8" s="45" t="s">
        <v>27</v>
      </c>
      <c r="AA8" s="45" t="s">
        <v>38</v>
      </c>
      <c r="AB8" s="45" t="s">
        <v>367</v>
      </c>
    </row>
    <row r="9" spans="1:28" s="51" customFormat="1" ht="25.05" customHeight="1" x14ac:dyDescent="0.3">
      <c r="A9" s="45">
        <v>7</v>
      </c>
      <c r="B9" s="46" t="s">
        <v>366</v>
      </c>
      <c r="C9" s="45" t="s">
        <v>35</v>
      </c>
      <c r="D9" s="45" t="s">
        <v>272</v>
      </c>
      <c r="E9" s="45" t="s">
        <v>27</v>
      </c>
      <c r="F9" s="45">
        <v>262728</v>
      </c>
      <c r="G9" s="45" t="s">
        <v>54</v>
      </c>
      <c r="H9" s="45">
        <v>1000</v>
      </c>
      <c r="I9" s="47">
        <v>0.82</v>
      </c>
      <c r="J9" s="47">
        <v>1.52</v>
      </c>
      <c r="K9" s="45" t="s">
        <v>33</v>
      </c>
      <c r="L9" s="47">
        <v>1246.4000000000001</v>
      </c>
      <c r="M9" s="48">
        <v>1520</v>
      </c>
      <c r="N9" s="49">
        <v>0.42220000000000002</v>
      </c>
      <c r="O9" s="50">
        <v>25.33</v>
      </c>
      <c r="P9" s="45">
        <v>392.6</v>
      </c>
      <c r="Q9" s="45">
        <v>1</v>
      </c>
      <c r="R9" s="45">
        <v>850</v>
      </c>
      <c r="S9" s="47">
        <v>0.82</v>
      </c>
      <c r="T9" s="45">
        <v>30</v>
      </c>
      <c r="U9" s="49">
        <v>3.5299999999999998E-2</v>
      </c>
      <c r="V9" s="45" t="s">
        <v>28</v>
      </c>
      <c r="W9" s="45" t="s">
        <v>28</v>
      </c>
      <c r="X9" s="45" t="s">
        <v>28</v>
      </c>
      <c r="Y9" s="45" t="s">
        <v>27</v>
      </c>
      <c r="Z9" s="45" t="s">
        <v>27</v>
      </c>
      <c r="AA9" s="45" t="s">
        <v>30</v>
      </c>
      <c r="AB9" s="45" t="s">
        <v>365</v>
      </c>
    </row>
    <row r="10" spans="1:28" s="51" customFormat="1" ht="25.05" customHeight="1" x14ac:dyDescent="0.3">
      <c r="A10" s="52" t="s">
        <v>27</v>
      </c>
      <c r="B10" s="52" t="s">
        <v>27</v>
      </c>
      <c r="C10" s="52" t="s">
        <v>27</v>
      </c>
      <c r="D10" s="52" t="s">
        <v>27</v>
      </c>
      <c r="E10" s="52" t="s">
        <v>27</v>
      </c>
      <c r="F10" s="52" t="s">
        <v>27</v>
      </c>
      <c r="G10" s="52" t="s">
        <v>27</v>
      </c>
      <c r="H10" s="52">
        <v>8410</v>
      </c>
      <c r="I10" s="52" t="s">
        <v>27</v>
      </c>
      <c r="J10" s="52" t="s">
        <v>27</v>
      </c>
      <c r="K10" s="52" t="s">
        <v>27</v>
      </c>
      <c r="L10" s="52" t="s">
        <v>27</v>
      </c>
      <c r="M10" s="52" t="s">
        <v>27</v>
      </c>
      <c r="N10" s="52" t="s">
        <v>27</v>
      </c>
      <c r="O10" s="52" t="s">
        <v>27</v>
      </c>
      <c r="P10" s="52">
        <v>2419.1999999999998</v>
      </c>
      <c r="Q10" s="52" t="s">
        <v>27</v>
      </c>
      <c r="R10" s="52" t="s">
        <v>27</v>
      </c>
      <c r="S10" s="52" t="s">
        <v>27</v>
      </c>
      <c r="T10" s="52" t="s">
        <v>27</v>
      </c>
      <c r="U10" s="52" t="s">
        <v>27</v>
      </c>
      <c r="V10" s="52" t="s">
        <v>27</v>
      </c>
      <c r="W10" s="52" t="s">
        <v>27</v>
      </c>
      <c r="X10" s="52" t="s">
        <v>27</v>
      </c>
      <c r="Y10" s="52" t="s">
        <v>27</v>
      </c>
      <c r="Z10" s="52" t="s">
        <v>27</v>
      </c>
      <c r="AA10" s="52" t="s">
        <v>27</v>
      </c>
      <c r="AB10" s="52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A384-FB07-407A-A271-F489A21E653B}">
  <sheetPr>
    <pageSetUpPr fitToPage="1"/>
  </sheetPr>
  <dimension ref="A1:AB20"/>
  <sheetViews>
    <sheetView zoomScale="130" zoomScaleNormal="130" workbookViewId="0">
      <selection activeCell="AG2" sqref="AG2"/>
    </sheetView>
  </sheetViews>
  <sheetFormatPr defaultRowHeight="14.4" x14ac:dyDescent="0.3"/>
  <cols>
    <col min="1" max="1" width="4.77734375" style="33" customWidth="1"/>
    <col min="2" max="2" width="20.77734375" style="33" hidden="1" customWidth="1"/>
    <col min="3" max="3" width="6.21875" style="33" customWidth="1"/>
    <col min="4" max="4" width="11.77734375" style="33" hidden="1" customWidth="1"/>
    <col min="5" max="5" width="7.88671875" style="33" customWidth="1"/>
    <col min="6" max="6" width="7.21875" style="33" customWidth="1"/>
    <col min="7" max="7" width="8.109375" style="33" customWidth="1"/>
    <col min="8" max="8" width="5.5546875" style="33" customWidth="1"/>
    <col min="9" max="9" width="7.109375" style="33" customWidth="1"/>
    <col min="10" max="10" width="7.5546875" style="33" customWidth="1"/>
    <col min="11" max="11" width="13.218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8.77734375" style="33" customWidth="1"/>
    <col min="17" max="17" width="4.33203125" style="33" customWidth="1"/>
    <col min="18" max="18" width="5.77734375" style="33" customWidth="1"/>
    <col min="19" max="19" width="6.33203125" style="33" customWidth="1"/>
    <col min="20" max="20" width="11.77734375" style="33" hidden="1" customWidth="1"/>
    <col min="21" max="21" width="8.77734375" style="33" hidden="1" customWidth="1"/>
    <col min="22" max="22" width="8.21875" style="33" customWidth="1"/>
    <col min="23" max="23" width="7.77734375" style="33" customWidth="1"/>
    <col min="24" max="24" width="8" style="33" customWidth="1"/>
    <col min="25" max="25" width="7.109375" style="33" customWidth="1"/>
    <col min="26" max="26" width="8" style="33" customWidth="1"/>
    <col min="27" max="27" width="5.21875" style="33" customWidth="1"/>
    <col min="28" max="28" width="9.5546875" style="33" customWidth="1"/>
    <col min="29" max="16384" width="8.88671875" style="33"/>
  </cols>
  <sheetData>
    <row r="1" spans="1:28" ht="18" customHeight="1" x14ac:dyDescent="0.3">
      <c r="A1" s="272" t="s">
        <v>364</v>
      </c>
      <c r="B1" s="272" t="s">
        <v>27</v>
      </c>
      <c r="C1" s="272" t="s">
        <v>27</v>
      </c>
      <c r="D1" s="272" t="s">
        <v>27</v>
      </c>
      <c r="E1" s="272" t="s">
        <v>27</v>
      </c>
      <c r="F1" s="272" t="s">
        <v>27</v>
      </c>
      <c r="G1" s="272" t="s">
        <v>27</v>
      </c>
      <c r="H1" s="272" t="s">
        <v>27</v>
      </c>
      <c r="I1" s="272" t="s">
        <v>27</v>
      </c>
      <c r="J1" s="272" t="s">
        <v>27</v>
      </c>
      <c r="K1" s="272" t="s">
        <v>27</v>
      </c>
      <c r="L1" s="272" t="s">
        <v>27</v>
      </c>
      <c r="M1" s="272" t="s">
        <v>27</v>
      </c>
      <c r="N1" s="272" t="s">
        <v>27</v>
      </c>
      <c r="O1" s="272" t="s">
        <v>27</v>
      </c>
      <c r="P1" s="272" t="s">
        <v>27</v>
      </c>
      <c r="Q1" s="272" t="s">
        <v>27</v>
      </c>
      <c r="R1" s="272" t="s">
        <v>27</v>
      </c>
      <c r="S1" s="272" t="s">
        <v>27</v>
      </c>
      <c r="T1" s="272" t="s">
        <v>27</v>
      </c>
      <c r="U1" s="272" t="s">
        <v>27</v>
      </c>
      <c r="V1" s="272" t="s">
        <v>27</v>
      </c>
      <c r="W1" s="272" t="s">
        <v>27</v>
      </c>
      <c r="X1" s="272" t="s">
        <v>27</v>
      </c>
      <c r="Y1" s="272" t="s">
        <v>27</v>
      </c>
      <c r="Z1" s="272" t="s">
        <v>27</v>
      </c>
      <c r="AA1" s="272" t="s">
        <v>27</v>
      </c>
      <c r="AB1" s="272" t="s">
        <v>27</v>
      </c>
    </row>
    <row r="2" spans="1:28" ht="39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ht="25.05" customHeight="1" x14ac:dyDescent="0.3">
      <c r="A3" s="45">
        <v>1</v>
      </c>
      <c r="B3" s="46" t="s">
        <v>60</v>
      </c>
      <c r="C3" s="45" t="s">
        <v>26</v>
      </c>
      <c r="D3" s="45" t="s">
        <v>333</v>
      </c>
      <c r="E3" s="45" t="s">
        <v>27</v>
      </c>
      <c r="F3" s="45">
        <v>262714</v>
      </c>
      <c r="G3" s="45" t="s">
        <v>332</v>
      </c>
      <c r="H3" s="45">
        <v>200</v>
      </c>
      <c r="I3" s="47">
        <v>0.77400000000000002</v>
      </c>
      <c r="J3" s="47">
        <v>1.5489999999999999</v>
      </c>
      <c r="K3" s="45" t="s">
        <v>363</v>
      </c>
      <c r="L3" s="47">
        <v>239.785</v>
      </c>
      <c r="M3" s="48">
        <v>154.9</v>
      </c>
      <c r="N3" s="49">
        <v>2.1499999999999998E-2</v>
      </c>
      <c r="O3" s="50">
        <v>1.29</v>
      </c>
      <c r="P3" s="45">
        <v>129</v>
      </c>
      <c r="Q3" s="45">
        <v>2</v>
      </c>
      <c r="R3" s="45">
        <v>1600</v>
      </c>
      <c r="S3" s="47">
        <v>1.548</v>
      </c>
      <c r="T3" s="45">
        <v>52</v>
      </c>
      <c r="U3" s="49">
        <v>3.2500000000000001E-2</v>
      </c>
      <c r="V3" s="45" t="s">
        <v>28</v>
      </c>
      <c r="W3" s="45" t="s">
        <v>29</v>
      </c>
      <c r="X3" s="45" t="s">
        <v>28</v>
      </c>
      <c r="Y3" s="45" t="s">
        <v>28</v>
      </c>
      <c r="Z3" s="45" t="s">
        <v>28</v>
      </c>
      <c r="AA3" s="45" t="s">
        <v>32</v>
      </c>
      <c r="AB3" s="45" t="s">
        <v>362</v>
      </c>
    </row>
    <row r="4" spans="1:28" ht="25.05" customHeight="1" x14ac:dyDescent="0.3">
      <c r="A4" s="45">
        <v>2</v>
      </c>
      <c r="B4" s="46" t="s">
        <v>60</v>
      </c>
      <c r="C4" s="45" t="s">
        <v>44</v>
      </c>
      <c r="D4" s="45" t="s">
        <v>333</v>
      </c>
      <c r="E4" s="45" t="s">
        <v>27</v>
      </c>
      <c r="F4" s="45">
        <v>262708</v>
      </c>
      <c r="G4" s="45" t="s">
        <v>332</v>
      </c>
      <c r="H4" s="45">
        <v>330</v>
      </c>
      <c r="I4" s="47">
        <v>0.749</v>
      </c>
      <c r="J4" s="47">
        <v>1.7390000000000001</v>
      </c>
      <c r="K4" s="45" t="s">
        <v>361</v>
      </c>
      <c r="L4" s="47">
        <v>429.82900000000001</v>
      </c>
      <c r="M4" s="48">
        <v>286.89999999999998</v>
      </c>
      <c r="N4" s="49">
        <v>3.9899999999999998E-2</v>
      </c>
      <c r="O4" s="50">
        <v>2.39</v>
      </c>
      <c r="P4" s="45">
        <v>244.1</v>
      </c>
      <c r="Q4" s="45">
        <v>2</v>
      </c>
      <c r="R4" s="45">
        <v>1550</v>
      </c>
      <c r="S4" s="47">
        <v>1.498</v>
      </c>
      <c r="T4" s="45">
        <v>52</v>
      </c>
      <c r="U4" s="49">
        <v>3.3500000000000002E-2</v>
      </c>
      <c r="V4" s="45" t="s">
        <v>34</v>
      </c>
      <c r="W4" s="45" t="s">
        <v>39</v>
      </c>
      <c r="X4" s="45" t="s">
        <v>34</v>
      </c>
      <c r="Y4" s="45" t="s">
        <v>34</v>
      </c>
      <c r="Z4" s="45" t="s">
        <v>34</v>
      </c>
      <c r="AA4" s="45" t="s">
        <v>32</v>
      </c>
      <c r="AB4" s="45" t="s">
        <v>360</v>
      </c>
    </row>
    <row r="5" spans="1:28" ht="25.05" customHeight="1" x14ac:dyDescent="0.3">
      <c r="A5" s="45">
        <v>3</v>
      </c>
      <c r="B5" s="46" t="s">
        <v>60</v>
      </c>
      <c r="C5" s="45" t="s">
        <v>26</v>
      </c>
      <c r="D5" s="45" t="s">
        <v>333</v>
      </c>
      <c r="E5" s="45" t="s">
        <v>27</v>
      </c>
      <c r="F5" s="45">
        <v>262718</v>
      </c>
      <c r="G5" s="45" t="s">
        <v>332</v>
      </c>
      <c r="H5" s="45">
        <v>200</v>
      </c>
      <c r="I5" s="47">
        <v>0.76400000000000001</v>
      </c>
      <c r="J5" s="47">
        <v>1.319</v>
      </c>
      <c r="K5" s="45" t="s">
        <v>359</v>
      </c>
      <c r="L5" s="47">
        <v>201.54300000000001</v>
      </c>
      <c r="M5" s="48">
        <v>131.9</v>
      </c>
      <c r="N5" s="49">
        <v>1.83E-2</v>
      </c>
      <c r="O5" s="50">
        <v>1.1000000000000001</v>
      </c>
      <c r="P5" s="45">
        <v>108.4</v>
      </c>
      <c r="Q5" s="45">
        <v>2</v>
      </c>
      <c r="R5" s="45">
        <v>1550</v>
      </c>
      <c r="S5" s="47">
        <v>1.528</v>
      </c>
      <c r="T5" s="45">
        <v>22</v>
      </c>
      <c r="U5" s="49">
        <v>1.4200000000000001E-2</v>
      </c>
      <c r="V5" s="45" t="s">
        <v>28</v>
      </c>
      <c r="W5" s="45" t="s">
        <v>29</v>
      </c>
      <c r="X5" s="45" t="s">
        <v>28</v>
      </c>
      <c r="Y5" s="45" t="s">
        <v>28</v>
      </c>
      <c r="Z5" s="45" t="s">
        <v>28</v>
      </c>
      <c r="AA5" s="45" t="s">
        <v>32</v>
      </c>
      <c r="AB5" s="45" t="s">
        <v>358</v>
      </c>
    </row>
    <row r="6" spans="1:28" ht="25.05" customHeight="1" x14ac:dyDescent="0.3">
      <c r="A6" s="45">
        <v>4</v>
      </c>
      <c r="B6" s="46" t="s">
        <v>60</v>
      </c>
      <c r="C6" s="45" t="s">
        <v>26</v>
      </c>
      <c r="D6" s="45" t="s">
        <v>333</v>
      </c>
      <c r="E6" s="45" t="s">
        <v>27</v>
      </c>
      <c r="F6" s="45">
        <v>262715</v>
      </c>
      <c r="G6" s="45" t="s">
        <v>332</v>
      </c>
      <c r="H6" s="45">
        <v>300</v>
      </c>
      <c r="I6" s="47">
        <v>0.49</v>
      </c>
      <c r="J6" s="47">
        <v>1.419</v>
      </c>
      <c r="K6" s="45" t="s">
        <v>357</v>
      </c>
      <c r="L6" s="47">
        <v>208.59299999999999</v>
      </c>
      <c r="M6" s="48">
        <v>141.9</v>
      </c>
      <c r="N6" s="49">
        <v>1.3100000000000001E-2</v>
      </c>
      <c r="O6" s="50">
        <v>0.79</v>
      </c>
      <c r="P6" s="45">
        <v>112.2</v>
      </c>
      <c r="Q6" s="45">
        <v>3</v>
      </c>
      <c r="R6" s="45">
        <v>1500</v>
      </c>
      <c r="S6" s="47">
        <v>1.47</v>
      </c>
      <c r="T6" s="45">
        <v>30</v>
      </c>
      <c r="U6" s="49">
        <v>0.02</v>
      </c>
      <c r="V6" s="45" t="s">
        <v>28</v>
      </c>
      <c r="W6" s="45" t="s">
        <v>29</v>
      </c>
      <c r="X6" s="45" t="s">
        <v>28</v>
      </c>
      <c r="Y6" s="45" t="s">
        <v>28</v>
      </c>
      <c r="Z6" s="45" t="s">
        <v>28</v>
      </c>
      <c r="AA6" s="45" t="s">
        <v>38</v>
      </c>
      <c r="AB6" s="45" t="s">
        <v>356</v>
      </c>
    </row>
    <row r="7" spans="1:28" ht="25.05" customHeight="1" x14ac:dyDescent="0.3">
      <c r="A7" s="45">
        <v>5</v>
      </c>
      <c r="B7" s="46" t="s">
        <v>60</v>
      </c>
      <c r="C7" s="45" t="s">
        <v>26</v>
      </c>
      <c r="D7" s="45" t="s">
        <v>333</v>
      </c>
      <c r="E7" s="45" t="s">
        <v>27</v>
      </c>
      <c r="F7" s="45">
        <v>262712</v>
      </c>
      <c r="G7" s="45" t="s">
        <v>332</v>
      </c>
      <c r="H7" s="45">
        <v>150</v>
      </c>
      <c r="I7" s="47">
        <v>0.7</v>
      </c>
      <c r="J7" s="47">
        <v>1.9590000000000001</v>
      </c>
      <c r="K7" s="45" t="s">
        <v>355</v>
      </c>
      <c r="L7" s="47">
        <v>205.69499999999999</v>
      </c>
      <c r="M7" s="48">
        <v>146.9</v>
      </c>
      <c r="N7" s="49">
        <v>2.0400000000000001E-2</v>
      </c>
      <c r="O7" s="50">
        <v>1.22</v>
      </c>
      <c r="P7" s="45">
        <v>110.7</v>
      </c>
      <c r="Q7" s="45">
        <v>2</v>
      </c>
      <c r="R7" s="45">
        <v>1450</v>
      </c>
      <c r="S7" s="47">
        <v>1.4</v>
      </c>
      <c r="T7" s="45">
        <v>50</v>
      </c>
      <c r="U7" s="49">
        <v>3.4500000000000003E-2</v>
      </c>
      <c r="V7" s="45" t="s">
        <v>28</v>
      </c>
      <c r="W7" s="45" t="s">
        <v>29</v>
      </c>
      <c r="X7" s="45" t="s">
        <v>28</v>
      </c>
      <c r="Y7" s="45" t="s">
        <v>28</v>
      </c>
      <c r="Z7" s="45" t="s">
        <v>28</v>
      </c>
      <c r="AA7" s="45" t="s">
        <v>38</v>
      </c>
      <c r="AB7" s="45" t="s">
        <v>354</v>
      </c>
    </row>
    <row r="8" spans="1:28" ht="25.05" customHeight="1" x14ac:dyDescent="0.3">
      <c r="A8" s="45">
        <v>6</v>
      </c>
      <c r="B8" s="46" t="s">
        <v>60</v>
      </c>
      <c r="C8" s="45" t="s">
        <v>44</v>
      </c>
      <c r="D8" s="45" t="s">
        <v>333</v>
      </c>
      <c r="E8" s="45" t="s">
        <v>27</v>
      </c>
      <c r="F8" s="45">
        <v>262707</v>
      </c>
      <c r="G8" s="45" t="s">
        <v>332</v>
      </c>
      <c r="H8" s="45">
        <v>330</v>
      </c>
      <c r="I8" s="47">
        <v>0.67900000000000005</v>
      </c>
      <c r="J8" s="47">
        <v>1.5289999999999999</v>
      </c>
      <c r="K8" s="45" t="s">
        <v>353</v>
      </c>
      <c r="L8" s="47">
        <v>342.60300000000001</v>
      </c>
      <c r="M8" s="48">
        <v>252.3</v>
      </c>
      <c r="N8" s="49">
        <v>3.5000000000000003E-2</v>
      </c>
      <c r="O8" s="50">
        <v>2.1</v>
      </c>
      <c r="P8" s="45">
        <v>194.6</v>
      </c>
      <c r="Q8" s="45">
        <v>2</v>
      </c>
      <c r="R8" s="45">
        <v>1400</v>
      </c>
      <c r="S8" s="47">
        <v>1.3580000000000001</v>
      </c>
      <c r="T8" s="45">
        <v>42</v>
      </c>
      <c r="U8" s="49">
        <v>0.03</v>
      </c>
      <c r="V8" s="45" t="s">
        <v>34</v>
      </c>
      <c r="W8" s="45" t="s">
        <v>39</v>
      </c>
      <c r="X8" s="45" t="s">
        <v>34</v>
      </c>
      <c r="Y8" s="45" t="s">
        <v>34</v>
      </c>
      <c r="Z8" s="45" t="s">
        <v>34</v>
      </c>
      <c r="AA8" s="45" t="s">
        <v>32</v>
      </c>
      <c r="AB8" s="45" t="s">
        <v>352</v>
      </c>
    </row>
    <row r="9" spans="1:28" ht="25.05" customHeight="1" x14ac:dyDescent="0.3">
      <c r="A9" s="45">
        <v>7</v>
      </c>
      <c r="B9" s="46" t="s">
        <v>60</v>
      </c>
      <c r="C9" s="45" t="s">
        <v>26</v>
      </c>
      <c r="D9" s="45" t="s">
        <v>333</v>
      </c>
      <c r="E9" s="45" t="s">
        <v>27</v>
      </c>
      <c r="F9" s="45">
        <v>262711</v>
      </c>
      <c r="G9" s="45" t="s">
        <v>332</v>
      </c>
      <c r="H9" s="45">
        <v>250</v>
      </c>
      <c r="I9" s="47">
        <v>0.45900000000000002</v>
      </c>
      <c r="J9" s="47">
        <v>1.5089999999999999</v>
      </c>
      <c r="K9" s="45" t="s">
        <v>351</v>
      </c>
      <c r="L9" s="47">
        <v>173.15799999999999</v>
      </c>
      <c r="M9" s="48">
        <v>125.8</v>
      </c>
      <c r="N9" s="49">
        <v>1.1599999999999999E-2</v>
      </c>
      <c r="O9" s="50">
        <v>0.7</v>
      </c>
      <c r="P9" s="45">
        <v>93.2</v>
      </c>
      <c r="Q9" s="45">
        <v>3</v>
      </c>
      <c r="R9" s="45">
        <v>1400</v>
      </c>
      <c r="S9" s="47">
        <v>1.377</v>
      </c>
      <c r="T9" s="45">
        <v>23</v>
      </c>
      <c r="U9" s="49">
        <v>1.6400000000000001E-2</v>
      </c>
      <c r="V9" s="45" t="s">
        <v>28</v>
      </c>
      <c r="W9" s="45" t="s">
        <v>29</v>
      </c>
      <c r="X9" s="45" t="s">
        <v>28</v>
      </c>
      <c r="Y9" s="45" t="s">
        <v>28</v>
      </c>
      <c r="Z9" s="45" t="s">
        <v>28</v>
      </c>
      <c r="AA9" s="45" t="s">
        <v>38</v>
      </c>
      <c r="AB9" s="45" t="s">
        <v>350</v>
      </c>
    </row>
    <row r="10" spans="1:28" ht="25.05" customHeight="1" x14ac:dyDescent="0.3">
      <c r="A10" s="45">
        <v>8</v>
      </c>
      <c r="B10" s="46" t="s">
        <v>60</v>
      </c>
      <c r="C10" s="45" t="s">
        <v>26</v>
      </c>
      <c r="D10" s="45" t="s">
        <v>333</v>
      </c>
      <c r="E10" s="45" t="s">
        <v>27</v>
      </c>
      <c r="F10" s="45">
        <v>262719</v>
      </c>
      <c r="G10" s="45" t="s">
        <v>332</v>
      </c>
      <c r="H10" s="45">
        <v>700</v>
      </c>
      <c r="I10" s="47">
        <v>0.54900000000000004</v>
      </c>
      <c r="J10" s="47">
        <v>0.47899999999999998</v>
      </c>
      <c r="K10" s="45" t="s">
        <v>349</v>
      </c>
      <c r="L10" s="47">
        <v>184.08</v>
      </c>
      <c r="M10" s="48">
        <v>167.7</v>
      </c>
      <c r="N10" s="49">
        <v>2.3300000000000001E-2</v>
      </c>
      <c r="O10" s="50">
        <v>1.4</v>
      </c>
      <c r="P10" s="45">
        <v>99</v>
      </c>
      <c r="Q10" s="45">
        <v>2</v>
      </c>
      <c r="R10" s="45">
        <v>1150</v>
      </c>
      <c r="S10" s="47">
        <v>1.0980000000000001</v>
      </c>
      <c r="T10" s="45">
        <v>52</v>
      </c>
      <c r="U10" s="49">
        <v>4.5199999999999997E-2</v>
      </c>
      <c r="V10" s="45" t="s">
        <v>28</v>
      </c>
      <c r="W10" s="45" t="s">
        <v>29</v>
      </c>
      <c r="X10" s="45" t="s">
        <v>28</v>
      </c>
      <c r="Y10" s="45" t="s">
        <v>28</v>
      </c>
      <c r="Z10" s="45" t="s">
        <v>28</v>
      </c>
      <c r="AA10" s="45" t="s">
        <v>38</v>
      </c>
      <c r="AB10" s="45" t="s">
        <v>348</v>
      </c>
    </row>
    <row r="11" spans="1:28" ht="25.05" customHeight="1" x14ac:dyDescent="0.3">
      <c r="A11" s="45">
        <v>9</v>
      </c>
      <c r="B11" s="46" t="s">
        <v>60</v>
      </c>
      <c r="C11" s="45" t="s">
        <v>26</v>
      </c>
      <c r="D11" s="45" t="s">
        <v>333</v>
      </c>
      <c r="E11" s="45" t="s">
        <v>27</v>
      </c>
      <c r="F11" s="45">
        <v>262716</v>
      </c>
      <c r="G11" s="45" t="s">
        <v>332</v>
      </c>
      <c r="H11" s="45">
        <v>700</v>
      </c>
      <c r="I11" s="47">
        <v>0.52900000000000003</v>
      </c>
      <c r="J11" s="47">
        <v>0.45900000000000002</v>
      </c>
      <c r="K11" s="45" t="s">
        <v>347</v>
      </c>
      <c r="L11" s="47">
        <v>169.96799999999999</v>
      </c>
      <c r="M11" s="48">
        <v>160.69999999999999</v>
      </c>
      <c r="N11" s="49">
        <v>2.23E-2</v>
      </c>
      <c r="O11" s="50">
        <v>1.34</v>
      </c>
      <c r="P11" s="45">
        <v>91.4</v>
      </c>
      <c r="Q11" s="45">
        <v>2</v>
      </c>
      <c r="R11" s="45">
        <v>1100</v>
      </c>
      <c r="S11" s="47">
        <v>1.0580000000000001</v>
      </c>
      <c r="T11" s="45">
        <v>42</v>
      </c>
      <c r="U11" s="49">
        <v>3.8199999999999998E-2</v>
      </c>
      <c r="V11" s="45" t="s">
        <v>28</v>
      </c>
      <c r="W11" s="45" t="s">
        <v>29</v>
      </c>
      <c r="X11" s="45" t="s">
        <v>28</v>
      </c>
      <c r="Y11" s="45" t="s">
        <v>28</v>
      </c>
      <c r="Z11" s="45" t="s">
        <v>28</v>
      </c>
      <c r="AA11" s="45" t="s">
        <v>38</v>
      </c>
      <c r="AB11" s="45" t="s">
        <v>346</v>
      </c>
    </row>
    <row r="12" spans="1:28" ht="25.05" customHeight="1" x14ac:dyDescent="0.3">
      <c r="A12" s="45">
        <v>10</v>
      </c>
      <c r="B12" s="46" t="s">
        <v>60</v>
      </c>
      <c r="C12" s="45" t="s">
        <v>26</v>
      </c>
      <c r="D12" s="45" t="s">
        <v>333</v>
      </c>
      <c r="E12" s="45" t="s">
        <v>27</v>
      </c>
      <c r="F12" s="45">
        <v>262717</v>
      </c>
      <c r="G12" s="45" t="s">
        <v>332</v>
      </c>
      <c r="H12" s="45">
        <v>100</v>
      </c>
      <c r="I12" s="47">
        <v>0.99399999999999999</v>
      </c>
      <c r="J12" s="47">
        <v>1.839</v>
      </c>
      <c r="K12" s="45" t="s">
        <v>345</v>
      </c>
      <c r="L12" s="47">
        <v>182.797</v>
      </c>
      <c r="M12" s="48">
        <v>183.9</v>
      </c>
      <c r="N12" s="49">
        <v>5.11E-2</v>
      </c>
      <c r="O12" s="50">
        <v>3.06</v>
      </c>
      <c r="P12" s="45">
        <v>98.3</v>
      </c>
      <c r="Q12" s="45">
        <v>1</v>
      </c>
      <c r="R12" s="45">
        <v>1050</v>
      </c>
      <c r="S12" s="47">
        <v>0.99399999999999999</v>
      </c>
      <c r="T12" s="45">
        <v>56</v>
      </c>
      <c r="U12" s="49">
        <v>5.33E-2</v>
      </c>
      <c r="V12" s="45" t="s">
        <v>28</v>
      </c>
      <c r="W12" s="45" t="s">
        <v>29</v>
      </c>
      <c r="X12" s="45" t="s">
        <v>28</v>
      </c>
      <c r="Y12" s="45" t="s">
        <v>28</v>
      </c>
      <c r="Z12" s="45" t="s">
        <v>28</v>
      </c>
      <c r="AA12" s="45" t="s">
        <v>38</v>
      </c>
      <c r="AB12" s="45" t="s">
        <v>344</v>
      </c>
    </row>
    <row r="13" spans="1:28" ht="25.05" customHeight="1" x14ac:dyDescent="0.3">
      <c r="A13" s="45">
        <v>11</v>
      </c>
      <c r="B13" s="46" t="s">
        <v>60</v>
      </c>
      <c r="C13" s="45" t="s">
        <v>26</v>
      </c>
      <c r="D13" s="45" t="s">
        <v>333</v>
      </c>
      <c r="E13" s="45" t="s">
        <v>27</v>
      </c>
      <c r="F13" s="45">
        <v>262713</v>
      </c>
      <c r="G13" s="45" t="s">
        <v>332</v>
      </c>
      <c r="H13" s="45">
        <v>500</v>
      </c>
      <c r="I13" s="47">
        <v>0.32400000000000001</v>
      </c>
      <c r="J13" s="47">
        <v>0.95899999999999996</v>
      </c>
      <c r="K13" s="45" t="s">
        <v>343</v>
      </c>
      <c r="L13" s="47">
        <v>155.358</v>
      </c>
      <c r="M13" s="48">
        <v>239.8</v>
      </c>
      <c r="N13" s="49">
        <v>3.3300000000000003E-2</v>
      </c>
      <c r="O13" s="50">
        <v>2</v>
      </c>
      <c r="P13" s="45">
        <v>83.6</v>
      </c>
      <c r="Q13" s="45">
        <v>2</v>
      </c>
      <c r="R13" s="45">
        <v>700</v>
      </c>
      <c r="S13" s="47">
        <v>0.64800000000000002</v>
      </c>
      <c r="T13" s="45">
        <v>52</v>
      </c>
      <c r="U13" s="49">
        <v>7.4300000000000005E-2</v>
      </c>
      <c r="V13" s="45" t="s">
        <v>28</v>
      </c>
      <c r="W13" s="45" t="s">
        <v>29</v>
      </c>
      <c r="X13" s="45" t="s">
        <v>28</v>
      </c>
      <c r="Y13" s="45" t="s">
        <v>28</v>
      </c>
      <c r="Z13" s="45" t="s">
        <v>28</v>
      </c>
      <c r="AA13" s="45" t="s">
        <v>38</v>
      </c>
      <c r="AB13" s="45" t="s">
        <v>342</v>
      </c>
    </row>
    <row r="14" spans="1:28" ht="25.05" customHeight="1" x14ac:dyDescent="0.3">
      <c r="A14" s="45">
        <v>12</v>
      </c>
      <c r="B14" s="46" t="s">
        <v>60</v>
      </c>
      <c r="C14" s="45" t="s">
        <v>35</v>
      </c>
      <c r="D14" s="45" t="s">
        <v>333</v>
      </c>
      <c r="E14" s="45" t="s">
        <v>27</v>
      </c>
      <c r="F14" s="45">
        <v>262710</v>
      </c>
      <c r="G14" s="45" t="s">
        <v>332</v>
      </c>
      <c r="H14" s="45">
        <v>500</v>
      </c>
      <c r="I14" s="47">
        <v>0.51</v>
      </c>
      <c r="J14" s="47">
        <v>1.077</v>
      </c>
      <c r="K14" s="45" t="s">
        <v>341</v>
      </c>
      <c r="L14" s="47">
        <v>274.63499999999999</v>
      </c>
      <c r="M14" s="48">
        <v>179.5</v>
      </c>
      <c r="N14" s="49">
        <v>1.66E-2</v>
      </c>
      <c r="O14" s="50">
        <v>1</v>
      </c>
      <c r="P14" s="45">
        <v>86.5</v>
      </c>
      <c r="Q14" s="45">
        <v>3</v>
      </c>
      <c r="R14" s="45">
        <v>1550</v>
      </c>
      <c r="S14" s="47">
        <v>1.53</v>
      </c>
      <c r="T14" s="45">
        <v>20</v>
      </c>
      <c r="U14" s="49">
        <v>1.29E-2</v>
      </c>
      <c r="V14" s="45" t="s">
        <v>28</v>
      </c>
      <c r="W14" s="45" t="s">
        <v>28</v>
      </c>
      <c r="X14" s="45" t="s">
        <v>28</v>
      </c>
      <c r="Y14" s="45" t="s">
        <v>27</v>
      </c>
      <c r="Z14" s="45" t="s">
        <v>27</v>
      </c>
      <c r="AA14" s="45" t="s">
        <v>38</v>
      </c>
      <c r="AB14" s="45" t="s">
        <v>340</v>
      </c>
    </row>
    <row r="15" spans="1:28" ht="25.05" customHeight="1" x14ac:dyDescent="0.3">
      <c r="A15" s="45">
        <v>13</v>
      </c>
      <c r="B15" s="46" t="s">
        <v>60</v>
      </c>
      <c r="C15" s="45" t="s">
        <v>35</v>
      </c>
      <c r="D15" s="45" t="s">
        <v>333</v>
      </c>
      <c r="E15" s="45" t="s">
        <v>27</v>
      </c>
      <c r="F15" s="45">
        <v>262720</v>
      </c>
      <c r="G15" s="45" t="s">
        <v>332</v>
      </c>
      <c r="H15" s="45">
        <v>1000</v>
      </c>
      <c r="I15" s="47">
        <v>0.4</v>
      </c>
      <c r="J15" s="47">
        <v>0.81</v>
      </c>
      <c r="K15" s="45" t="s">
        <v>33</v>
      </c>
      <c r="L15" s="47">
        <v>324</v>
      </c>
      <c r="M15" s="48">
        <v>270</v>
      </c>
      <c r="N15" s="49">
        <v>2.5000000000000001E-2</v>
      </c>
      <c r="O15" s="50">
        <v>1.5</v>
      </c>
      <c r="P15" s="45">
        <v>102.1</v>
      </c>
      <c r="Q15" s="45">
        <v>3</v>
      </c>
      <c r="R15" s="45">
        <v>1250</v>
      </c>
      <c r="S15" s="47">
        <v>1.2</v>
      </c>
      <c r="T15" s="45">
        <v>50</v>
      </c>
      <c r="U15" s="49">
        <v>0.04</v>
      </c>
      <c r="V15" s="45" t="s">
        <v>28</v>
      </c>
      <c r="W15" s="45" t="s">
        <v>28</v>
      </c>
      <c r="X15" s="45" t="s">
        <v>28</v>
      </c>
      <c r="Y15" s="45" t="s">
        <v>27</v>
      </c>
      <c r="Z15" s="45" t="s">
        <v>27</v>
      </c>
      <c r="AA15" s="45" t="s">
        <v>38</v>
      </c>
      <c r="AB15" s="45" t="s">
        <v>339</v>
      </c>
    </row>
    <row r="16" spans="1:28" ht="25.05" customHeight="1" x14ac:dyDescent="0.3">
      <c r="A16" s="45">
        <v>14</v>
      </c>
      <c r="B16" s="46" t="s">
        <v>60</v>
      </c>
      <c r="C16" s="45" t="s">
        <v>35</v>
      </c>
      <c r="D16" s="45" t="s">
        <v>333</v>
      </c>
      <c r="E16" s="45" t="s">
        <v>27</v>
      </c>
      <c r="F16" s="45">
        <v>262721</v>
      </c>
      <c r="G16" s="45" t="s">
        <v>332</v>
      </c>
      <c r="H16" s="45">
        <v>275</v>
      </c>
      <c r="I16" s="47">
        <v>1.0760000000000001</v>
      </c>
      <c r="J16" s="47">
        <v>0.86899999999999999</v>
      </c>
      <c r="K16" s="45" t="s">
        <v>33</v>
      </c>
      <c r="L16" s="47">
        <v>257.137</v>
      </c>
      <c r="M16" s="48">
        <v>239</v>
      </c>
      <c r="N16" s="49">
        <v>6.6400000000000001E-2</v>
      </c>
      <c r="O16" s="50">
        <v>3.98</v>
      </c>
      <c r="P16" s="45">
        <v>81</v>
      </c>
      <c r="Q16" s="45">
        <v>1</v>
      </c>
      <c r="R16" s="45">
        <v>1100</v>
      </c>
      <c r="S16" s="47">
        <v>1.0760000000000001</v>
      </c>
      <c r="T16" s="45">
        <v>24</v>
      </c>
      <c r="U16" s="49">
        <v>2.18E-2</v>
      </c>
      <c r="V16" s="45" t="s">
        <v>28</v>
      </c>
      <c r="W16" s="45" t="s">
        <v>28</v>
      </c>
      <c r="X16" s="45" t="s">
        <v>28</v>
      </c>
      <c r="Y16" s="45" t="s">
        <v>27</v>
      </c>
      <c r="Z16" s="45" t="s">
        <v>27</v>
      </c>
      <c r="AA16" s="45" t="s">
        <v>38</v>
      </c>
      <c r="AB16" s="45" t="s">
        <v>338</v>
      </c>
    </row>
    <row r="17" spans="1:28" ht="25.05" customHeight="1" x14ac:dyDescent="0.3">
      <c r="A17" s="45">
        <v>15</v>
      </c>
      <c r="B17" s="46" t="s">
        <v>60</v>
      </c>
      <c r="C17" s="45" t="s">
        <v>35</v>
      </c>
      <c r="D17" s="45" t="s">
        <v>333</v>
      </c>
      <c r="E17" s="45" t="s">
        <v>27</v>
      </c>
      <c r="F17" s="45">
        <v>262709</v>
      </c>
      <c r="G17" s="45" t="s">
        <v>332</v>
      </c>
      <c r="H17" s="45">
        <v>1100</v>
      </c>
      <c r="I17" s="47">
        <v>0.31</v>
      </c>
      <c r="J17" s="47">
        <v>0.81899999999999995</v>
      </c>
      <c r="K17" s="45" t="s">
        <v>337</v>
      </c>
      <c r="L17" s="47">
        <v>279.279</v>
      </c>
      <c r="M17" s="48">
        <v>300.3</v>
      </c>
      <c r="N17" s="49">
        <v>2.7799999999999998E-2</v>
      </c>
      <c r="O17" s="50">
        <v>1.67</v>
      </c>
      <c r="P17" s="45">
        <v>88</v>
      </c>
      <c r="Q17" s="45">
        <v>3</v>
      </c>
      <c r="R17" s="45">
        <v>950</v>
      </c>
      <c r="S17" s="47">
        <v>0.93</v>
      </c>
      <c r="T17" s="45">
        <v>20</v>
      </c>
      <c r="U17" s="49">
        <v>2.1100000000000001E-2</v>
      </c>
      <c r="V17" s="45" t="s">
        <v>28</v>
      </c>
      <c r="W17" s="45" t="s">
        <v>28</v>
      </c>
      <c r="X17" s="45" t="s">
        <v>28</v>
      </c>
      <c r="Y17" s="45" t="s">
        <v>27</v>
      </c>
      <c r="Z17" s="45" t="s">
        <v>27</v>
      </c>
      <c r="AA17" s="45" t="s">
        <v>38</v>
      </c>
      <c r="AB17" s="45" t="s">
        <v>336</v>
      </c>
    </row>
    <row r="18" spans="1:28" ht="25.05" customHeight="1" x14ac:dyDescent="0.3">
      <c r="A18" s="45">
        <v>16</v>
      </c>
      <c r="B18" s="46" t="s">
        <v>60</v>
      </c>
      <c r="C18" s="45" t="s">
        <v>35</v>
      </c>
      <c r="D18" s="45" t="s">
        <v>333</v>
      </c>
      <c r="E18" s="45" t="s">
        <v>27</v>
      </c>
      <c r="F18" s="45">
        <v>262722</v>
      </c>
      <c r="G18" s="45" t="s">
        <v>332</v>
      </c>
      <c r="H18" s="45">
        <v>1000</v>
      </c>
      <c r="I18" s="47">
        <v>0.30399999999999999</v>
      </c>
      <c r="J18" s="47">
        <v>0.90900000000000003</v>
      </c>
      <c r="K18" s="45" t="s">
        <v>335</v>
      </c>
      <c r="L18" s="47">
        <v>276.33600000000001</v>
      </c>
      <c r="M18" s="48">
        <v>303</v>
      </c>
      <c r="N18" s="49">
        <v>2.81E-2</v>
      </c>
      <c r="O18" s="50">
        <v>1.68</v>
      </c>
      <c r="P18" s="45">
        <v>87</v>
      </c>
      <c r="Q18" s="45">
        <v>3</v>
      </c>
      <c r="R18" s="45">
        <v>950</v>
      </c>
      <c r="S18" s="47">
        <v>0.91200000000000003</v>
      </c>
      <c r="T18" s="45">
        <v>38</v>
      </c>
      <c r="U18" s="49">
        <v>0.04</v>
      </c>
      <c r="V18" s="45" t="s">
        <v>28</v>
      </c>
      <c r="W18" s="45" t="s">
        <v>28</v>
      </c>
      <c r="X18" s="45" t="s">
        <v>28</v>
      </c>
      <c r="Y18" s="45" t="s">
        <v>27</v>
      </c>
      <c r="Z18" s="45" t="s">
        <v>27</v>
      </c>
      <c r="AA18" s="45" t="s">
        <v>38</v>
      </c>
      <c r="AB18" s="45" t="s">
        <v>334</v>
      </c>
    </row>
    <row r="19" spans="1:28" ht="25.05" customHeight="1" x14ac:dyDescent="0.3">
      <c r="A19" s="45">
        <v>17</v>
      </c>
      <c r="B19" s="46" t="s">
        <v>60</v>
      </c>
      <c r="C19" s="45" t="s">
        <v>35</v>
      </c>
      <c r="D19" s="45" t="s">
        <v>333</v>
      </c>
      <c r="E19" s="45" t="s">
        <v>27</v>
      </c>
      <c r="F19" s="45">
        <v>262723</v>
      </c>
      <c r="G19" s="45" t="s">
        <v>332</v>
      </c>
      <c r="H19" s="45">
        <v>1000</v>
      </c>
      <c r="I19" s="47">
        <v>0.32500000000000001</v>
      </c>
      <c r="J19" s="47">
        <v>0.97299999999999998</v>
      </c>
      <c r="K19" s="45" t="s">
        <v>331</v>
      </c>
      <c r="L19" s="47">
        <v>316.22500000000002</v>
      </c>
      <c r="M19" s="48">
        <v>486.5</v>
      </c>
      <c r="N19" s="49">
        <v>6.7599999999999993E-2</v>
      </c>
      <c r="O19" s="50">
        <v>4.05</v>
      </c>
      <c r="P19" s="45">
        <v>99.6</v>
      </c>
      <c r="Q19" s="45">
        <v>2</v>
      </c>
      <c r="R19" s="45">
        <v>700</v>
      </c>
      <c r="S19" s="47">
        <v>0.65</v>
      </c>
      <c r="T19" s="45">
        <v>50</v>
      </c>
      <c r="U19" s="49">
        <v>7.1400000000000005E-2</v>
      </c>
      <c r="V19" s="45" t="s">
        <v>28</v>
      </c>
      <c r="W19" s="45" t="s">
        <v>28</v>
      </c>
      <c r="X19" s="45" t="s">
        <v>28</v>
      </c>
      <c r="Y19" s="45" t="s">
        <v>27</v>
      </c>
      <c r="Z19" s="89" t="s">
        <v>27</v>
      </c>
      <c r="AA19" s="45" t="s">
        <v>38</v>
      </c>
      <c r="AB19" s="45" t="s">
        <v>330</v>
      </c>
    </row>
    <row r="20" spans="1:28" ht="25.05" customHeight="1" x14ac:dyDescent="0.3">
      <c r="A20" s="52" t="s">
        <v>27</v>
      </c>
      <c r="B20" s="52" t="s">
        <v>27</v>
      </c>
      <c r="C20" s="52" t="s">
        <v>27</v>
      </c>
      <c r="D20" s="52" t="s">
        <v>27</v>
      </c>
      <c r="E20" s="52" t="s">
        <v>27</v>
      </c>
      <c r="F20" s="52" t="s">
        <v>27</v>
      </c>
      <c r="G20" s="52" t="s">
        <v>27</v>
      </c>
      <c r="H20" s="52">
        <v>8635</v>
      </c>
      <c r="I20" s="52" t="s">
        <v>27</v>
      </c>
      <c r="J20" s="52" t="s">
        <v>27</v>
      </c>
      <c r="K20" s="52" t="s">
        <v>27</v>
      </c>
      <c r="L20" s="52" t="s">
        <v>27</v>
      </c>
      <c r="M20" s="52" t="s">
        <v>27</v>
      </c>
      <c r="N20" s="52" t="s">
        <v>27</v>
      </c>
      <c r="O20" s="52" t="s">
        <v>27</v>
      </c>
      <c r="P20" s="52">
        <v>1908.8</v>
      </c>
      <c r="Q20" s="52" t="s">
        <v>27</v>
      </c>
      <c r="R20" s="52" t="s">
        <v>27</v>
      </c>
      <c r="S20" s="52" t="s">
        <v>27</v>
      </c>
      <c r="T20" s="52" t="s">
        <v>27</v>
      </c>
      <c r="U20" s="52" t="s">
        <v>27</v>
      </c>
      <c r="V20" s="52" t="s">
        <v>27</v>
      </c>
      <c r="W20" s="52" t="s">
        <v>27</v>
      </c>
      <c r="X20" s="52" t="s">
        <v>27</v>
      </c>
      <c r="Y20" s="52" t="s">
        <v>27</v>
      </c>
      <c r="Z20" s="52" t="s">
        <v>27</v>
      </c>
      <c r="AA20" s="52" t="s">
        <v>27</v>
      </c>
      <c r="AB20" s="52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3" orientation="landscape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EEFF-BB40-454C-844D-5753B7370662}">
  <sheetPr>
    <pageSetUpPr fitToPage="1"/>
  </sheetPr>
  <dimension ref="A1:AB20"/>
  <sheetViews>
    <sheetView zoomScale="108" zoomScaleNormal="108" workbookViewId="0">
      <selection activeCell="AG24" sqref="AG24"/>
    </sheetView>
  </sheetViews>
  <sheetFormatPr defaultRowHeight="14.4" x14ac:dyDescent="0.3"/>
  <cols>
    <col min="1" max="1" width="3.77734375" style="33" customWidth="1"/>
    <col min="2" max="2" width="20.77734375" style="33" hidden="1" customWidth="1"/>
    <col min="3" max="3" width="5.77734375" style="33" customWidth="1"/>
    <col min="4" max="4" width="11.77734375" style="33" hidden="1" customWidth="1"/>
    <col min="5" max="5" width="7.88671875" style="33" customWidth="1"/>
    <col min="6" max="6" width="8.77734375" style="33" customWidth="1"/>
    <col min="7" max="7" width="3.88671875" style="33" customWidth="1"/>
    <col min="8" max="8" width="6.88671875" style="33" customWidth="1"/>
    <col min="9" max="9" width="6.33203125" style="33" customWidth="1"/>
    <col min="10" max="10" width="6.5546875" style="33" customWidth="1"/>
    <col min="11" max="11" width="14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8.77734375" style="33" customWidth="1"/>
    <col min="17" max="17" width="3.77734375" style="33" customWidth="1"/>
    <col min="18" max="18" width="6.6640625" style="33" customWidth="1"/>
    <col min="19" max="19" width="7.44140625" style="33" customWidth="1"/>
    <col min="20" max="20" width="11.77734375" style="33" hidden="1" customWidth="1"/>
    <col min="21" max="21" width="8.77734375" style="33" hidden="1" customWidth="1"/>
    <col min="22" max="23" width="8.109375" style="33" customWidth="1"/>
    <col min="24" max="24" width="7.77734375" style="33" customWidth="1"/>
    <col min="25" max="25" width="8.5546875" style="33" customWidth="1"/>
    <col min="26" max="26" width="7.88671875" style="33" customWidth="1"/>
    <col min="27" max="27" width="4.109375" style="33" customWidth="1"/>
    <col min="28" max="28" width="11.109375" style="33" customWidth="1"/>
    <col min="29" max="16384" width="8.88671875" style="33"/>
  </cols>
  <sheetData>
    <row r="1" spans="1:28" ht="18" customHeight="1" x14ac:dyDescent="0.35">
      <c r="A1" s="269" t="s">
        <v>321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45.6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170" customFormat="1" ht="25.05" customHeight="1" x14ac:dyDescent="0.3">
      <c r="A3" s="162">
        <v>1</v>
      </c>
      <c r="B3" s="163" t="s">
        <v>306</v>
      </c>
      <c r="C3" s="162" t="s">
        <v>26</v>
      </c>
      <c r="D3" s="162" t="s">
        <v>305</v>
      </c>
      <c r="E3" s="162" t="s">
        <v>27</v>
      </c>
      <c r="F3" s="162">
        <v>262688</v>
      </c>
      <c r="G3" s="162" t="s">
        <v>40</v>
      </c>
      <c r="H3" s="162">
        <v>400</v>
      </c>
      <c r="I3" s="164">
        <v>0.78100000000000003</v>
      </c>
      <c r="J3" s="164">
        <v>1.83</v>
      </c>
      <c r="K3" s="162" t="s">
        <v>320</v>
      </c>
      <c r="L3" s="164">
        <v>571.69200000000001</v>
      </c>
      <c r="M3" s="165">
        <v>366</v>
      </c>
      <c r="N3" s="166">
        <v>5.0799999999999998E-2</v>
      </c>
      <c r="O3" s="167">
        <v>3.05</v>
      </c>
      <c r="P3" s="162">
        <v>307.60000000000002</v>
      </c>
      <c r="Q3" s="162">
        <v>2</v>
      </c>
      <c r="R3" s="162">
        <v>1600</v>
      </c>
      <c r="S3" s="164">
        <v>1.5620000000000001</v>
      </c>
      <c r="T3" s="162">
        <v>38</v>
      </c>
      <c r="U3" s="166">
        <v>2.3800000000000002E-2</v>
      </c>
      <c r="V3" s="162" t="s">
        <v>28</v>
      </c>
      <c r="W3" s="162" t="s">
        <v>29</v>
      </c>
      <c r="X3" s="162" t="s">
        <v>28</v>
      </c>
      <c r="Y3" s="162" t="s">
        <v>28</v>
      </c>
      <c r="Z3" s="162" t="s">
        <v>28</v>
      </c>
      <c r="AA3" s="162" t="s">
        <v>30</v>
      </c>
      <c r="AB3" s="162" t="s">
        <v>319</v>
      </c>
    </row>
    <row r="4" spans="1:28" s="170" customFormat="1" ht="25.05" customHeight="1" x14ac:dyDescent="0.3">
      <c r="A4" s="162">
        <v>2</v>
      </c>
      <c r="B4" s="163" t="s">
        <v>306</v>
      </c>
      <c r="C4" s="162" t="s">
        <v>26</v>
      </c>
      <c r="D4" s="162" t="s">
        <v>305</v>
      </c>
      <c r="E4" s="162" t="s">
        <v>27</v>
      </c>
      <c r="F4" s="162">
        <v>262698</v>
      </c>
      <c r="G4" s="162" t="s">
        <v>40</v>
      </c>
      <c r="H4" s="162">
        <v>510</v>
      </c>
      <c r="I4" s="164">
        <v>0.76600000000000001</v>
      </c>
      <c r="J4" s="164">
        <v>1.43</v>
      </c>
      <c r="K4" s="162" t="s">
        <v>33</v>
      </c>
      <c r="L4" s="164">
        <v>558.64400000000001</v>
      </c>
      <c r="M4" s="165">
        <v>364.6</v>
      </c>
      <c r="N4" s="166">
        <v>5.0599999999999999E-2</v>
      </c>
      <c r="O4" s="167">
        <v>3.04</v>
      </c>
      <c r="P4" s="162">
        <v>300.60000000000002</v>
      </c>
      <c r="Q4" s="162">
        <v>2</v>
      </c>
      <c r="R4" s="162">
        <v>1600</v>
      </c>
      <c r="S4" s="164">
        <v>1.532</v>
      </c>
      <c r="T4" s="162">
        <v>68</v>
      </c>
      <c r="U4" s="166">
        <v>4.2500000000000003E-2</v>
      </c>
      <c r="V4" s="162" t="s">
        <v>28</v>
      </c>
      <c r="W4" s="162" t="s">
        <v>29</v>
      </c>
      <c r="X4" s="162" t="s">
        <v>28</v>
      </c>
      <c r="Y4" s="162" t="s">
        <v>28</v>
      </c>
      <c r="Z4" s="162" t="s">
        <v>28</v>
      </c>
      <c r="AA4" s="162" t="s">
        <v>30</v>
      </c>
      <c r="AB4" s="162" t="s">
        <v>69</v>
      </c>
    </row>
    <row r="5" spans="1:28" s="170" customFormat="1" ht="25.05" customHeight="1" x14ac:dyDescent="0.3">
      <c r="A5" s="162">
        <v>3</v>
      </c>
      <c r="B5" s="163" t="s">
        <v>306</v>
      </c>
      <c r="C5" s="162" t="s">
        <v>26</v>
      </c>
      <c r="D5" s="162" t="s">
        <v>305</v>
      </c>
      <c r="E5" s="162" t="s">
        <v>27</v>
      </c>
      <c r="F5" s="162">
        <v>262696</v>
      </c>
      <c r="G5" s="162" t="s">
        <v>40</v>
      </c>
      <c r="H5" s="162">
        <v>350</v>
      </c>
      <c r="I5" s="164">
        <v>1.3320000000000001</v>
      </c>
      <c r="J5" s="164">
        <v>1.23</v>
      </c>
      <c r="K5" s="162" t="s">
        <v>33</v>
      </c>
      <c r="L5" s="164">
        <v>573.42600000000004</v>
      </c>
      <c r="M5" s="165">
        <v>430.5</v>
      </c>
      <c r="N5" s="166">
        <v>0.1196</v>
      </c>
      <c r="O5" s="167">
        <v>7.17</v>
      </c>
      <c r="P5" s="162">
        <v>308.5</v>
      </c>
      <c r="Q5" s="162">
        <v>1</v>
      </c>
      <c r="R5" s="162">
        <v>1400</v>
      </c>
      <c r="S5" s="164">
        <v>1.3320000000000001</v>
      </c>
      <c r="T5" s="162">
        <v>68</v>
      </c>
      <c r="U5" s="166">
        <v>4.8599999999999997E-2</v>
      </c>
      <c r="V5" s="162" t="s">
        <v>28</v>
      </c>
      <c r="W5" s="162" t="s">
        <v>29</v>
      </c>
      <c r="X5" s="162" t="s">
        <v>28</v>
      </c>
      <c r="Y5" s="162" t="s">
        <v>28</v>
      </c>
      <c r="Z5" s="162" t="s">
        <v>28</v>
      </c>
      <c r="AA5" s="162" t="s">
        <v>32</v>
      </c>
      <c r="AB5" s="162" t="s">
        <v>318</v>
      </c>
    </row>
    <row r="6" spans="1:28" s="170" customFormat="1" ht="25.05" customHeight="1" x14ac:dyDescent="0.3">
      <c r="A6" s="162">
        <v>4</v>
      </c>
      <c r="B6" s="163" t="s">
        <v>306</v>
      </c>
      <c r="C6" s="162" t="s">
        <v>26</v>
      </c>
      <c r="D6" s="162" t="s">
        <v>305</v>
      </c>
      <c r="E6" s="162" t="s">
        <v>27</v>
      </c>
      <c r="F6" s="162">
        <v>262690</v>
      </c>
      <c r="G6" s="162" t="s">
        <v>40</v>
      </c>
      <c r="H6" s="162">
        <v>800</v>
      </c>
      <c r="I6" s="164">
        <v>0.56399999999999995</v>
      </c>
      <c r="J6" s="164">
        <v>1.3660000000000001</v>
      </c>
      <c r="K6" s="162" t="s">
        <v>33</v>
      </c>
      <c r="L6" s="164">
        <v>616.33900000000006</v>
      </c>
      <c r="M6" s="165">
        <v>546.4</v>
      </c>
      <c r="N6" s="166">
        <v>7.5899999999999995E-2</v>
      </c>
      <c r="O6" s="167">
        <v>4.55</v>
      </c>
      <c r="P6" s="162">
        <v>331.6</v>
      </c>
      <c r="Q6" s="162">
        <v>2</v>
      </c>
      <c r="R6" s="162">
        <v>1150</v>
      </c>
      <c r="S6" s="164">
        <v>1.1279999999999999</v>
      </c>
      <c r="T6" s="162">
        <v>22</v>
      </c>
      <c r="U6" s="166">
        <v>1.9099999999999999E-2</v>
      </c>
      <c r="V6" s="162" t="s">
        <v>28</v>
      </c>
      <c r="W6" s="162" t="s">
        <v>29</v>
      </c>
      <c r="X6" s="162" t="s">
        <v>28</v>
      </c>
      <c r="Y6" s="162" t="s">
        <v>28</v>
      </c>
      <c r="Z6" s="162" t="s">
        <v>28</v>
      </c>
      <c r="AA6" s="162" t="s">
        <v>30</v>
      </c>
      <c r="AB6" s="162" t="s">
        <v>317</v>
      </c>
    </row>
    <row r="7" spans="1:28" s="170" customFormat="1" ht="25.05" customHeight="1" x14ac:dyDescent="0.3">
      <c r="A7" s="162">
        <v>5</v>
      </c>
      <c r="B7" s="163" t="s">
        <v>306</v>
      </c>
      <c r="C7" s="162" t="s">
        <v>26</v>
      </c>
      <c r="D7" s="162" t="s">
        <v>305</v>
      </c>
      <c r="E7" s="162" t="s">
        <v>27</v>
      </c>
      <c r="F7" s="162">
        <v>262692</v>
      </c>
      <c r="G7" s="162" t="s">
        <v>40</v>
      </c>
      <c r="H7" s="162">
        <v>415</v>
      </c>
      <c r="I7" s="164">
        <v>1.016</v>
      </c>
      <c r="J7" s="164">
        <v>1.33</v>
      </c>
      <c r="K7" s="162" t="s">
        <v>33</v>
      </c>
      <c r="L7" s="164">
        <v>560.78099999999995</v>
      </c>
      <c r="M7" s="165">
        <v>552</v>
      </c>
      <c r="N7" s="166">
        <v>0.15329999999999999</v>
      </c>
      <c r="O7" s="167">
        <v>9.1999999999999993</v>
      </c>
      <c r="P7" s="162">
        <v>301.7</v>
      </c>
      <c r="Q7" s="162">
        <v>1</v>
      </c>
      <c r="R7" s="162">
        <v>1050</v>
      </c>
      <c r="S7" s="164">
        <v>1.016</v>
      </c>
      <c r="T7" s="162">
        <v>34</v>
      </c>
      <c r="U7" s="166">
        <v>3.2399999999999998E-2</v>
      </c>
      <c r="V7" s="162" t="s">
        <v>28</v>
      </c>
      <c r="W7" s="162" t="s">
        <v>29</v>
      </c>
      <c r="X7" s="162" t="s">
        <v>28</v>
      </c>
      <c r="Y7" s="162" t="s">
        <v>28</v>
      </c>
      <c r="Z7" s="162" t="s">
        <v>28</v>
      </c>
      <c r="AA7" s="162" t="s">
        <v>30</v>
      </c>
      <c r="AB7" s="162" t="s">
        <v>316</v>
      </c>
    </row>
    <row r="8" spans="1:28" s="170" customFormat="1" ht="25.05" customHeight="1" x14ac:dyDescent="0.3">
      <c r="A8" s="162">
        <v>6</v>
      </c>
      <c r="B8" s="163" t="s">
        <v>306</v>
      </c>
      <c r="C8" s="162" t="s">
        <v>26</v>
      </c>
      <c r="D8" s="162" t="s">
        <v>305</v>
      </c>
      <c r="E8" s="162" t="s">
        <v>27</v>
      </c>
      <c r="F8" s="162">
        <v>262693</v>
      </c>
      <c r="G8" s="162" t="s">
        <v>40</v>
      </c>
      <c r="H8" s="162">
        <v>380</v>
      </c>
      <c r="I8" s="164">
        <v>0.996</v>
      </c>
      <c r="J8" s="164">
        <v>1.49</v>
      </c>
      <c r="K8" s="162" t="s">
        <v>33</v>
      </c>
      <c r="L8" s="164">
        <v>563.93499999999995</v>
      </c>
      <c r="M8" s="165">
        <v>566.20000000000005</v>
      </c>
      <c r="N8" s="166">
        <v>0.1573</v>
      </c>
      <c r="O8" s="167">
        <v>9.44</v>
      </c>
      <c r="P8" s="162">
        <v>303.39999999999998</v>
      </c>
      <c r="Q8" s="162">
        <v>1</v>
      </c>
      <c r="R8" s="162">
        <v>1050</v>
      </c>
      <c r="S8" s="164">
        <v>0.996</v>
      </c>
      <c r="T8" s="162">
        <v>54</v>
      </c>
      <c r="U8" s="166">
        <v>5.1400000000000001E-2</v>
      </c>
      <c r="V8" s="162" t="s">
        <v>28</v>
      </c>
      <c r="W8" s="162" t="s">
        <v>29</v>
      </c>
      <c r="X8" s="162" t="s">
        <v>28</v>
      </c>
      <c r="Y8" s="162" t="s">
        <v>28</v>
      </c>
      <c r="Z8" s="162" t="s">
        <v>28</v>
      </c>
      <c r="AA8" s="162" t="s">
        <v>32</v>
      </c>
      <c r="AB8" s="162" t="s">
        <v>315</v>
      </c>
    </row>
    <row r="9" spans="1:28" s="170" customFormat="1" ht="25.05" customHeight="1" x14ac:dyDescent="0.3">
      <c r="A9" s="162">
        <v>7</v>
      </c>
      <c r="B9" s="163" t="s">
        <v>306</v>
      </c>
      <c r="C9" s="162" t="s">
        <v>26</v>
      </c>
      <c r="D9" s="162" t="s">
        <v>305</v>
      </c>
      <c r="E9" s="162" t="s">
        <v>27</v>
      </c>
      <c r="F9" s="162">
        <v>262691</v>
      </c>
      <c r="G9" s="162" t="s">
        <v>40</v>
      </c>
      <c r="H9" s="162">
        <v>1000</v>
      </c>
      <c r="I9" s="164">
        <v>0.95599999999999996</v>
      </c>
      <c r="J9" s="164">
        <v>1.23</v>
      </c>
      <c r="K9" s="162" t="s">
        <v>33</v>
      </c>
      <c r="L9" s="164">
        <v>1175.8800000000001</v>
      </c>
      <c r="M9" s="165">
        <v>1230</v>
      </c>
      <c r="N9" s="166">
        <v>0.3417</v>
      </c>
      <c r="O9" s="167">
        <v>20.5</v>
      </c>
      <c r="P9" s="162">
        <v>632.6</v>
      </c>
      <c r="Q9" s="162">
        <v>1</v>
      </c>
      <c r="R9" s="162">
        <v>1000</v>
      </c>
      <c r="S9" s="164">
        <v>0.95599999999999996</v>
      </c>
      <c r="T9" s="162">
        <v>44</v>
      </c>
      <c r="U9" s="166">
        <v>4.3999999999999997E-2</v>
      </c>
      <c r="V9" s="162" t="s">
        <v>28</v>
      </c>
      <c r="W9" s="162" t="s">
        <v>29</v>
      </c>
      <c r="X9" s="162" t="s">
        <v>28</v>
      </c>
      <c r="Y9" s="162" t="s">
        <v>28</v>
      </c>
      <c r="Z9" s="162" t="s">
        <v>28</v>
      </c>
      <c r="AA9" s="162" t="s">
        <v>40</v>
      </c>
      <c r="AB9" s="162" t="s">
        <v>118</v>
      </c>
    </row>
    <row r="10" spans="1:28" s="170" customFormat="1" ht="25.05" customHeight="1" x14ac:dyDescent="0.3">
      <c r="A10" s="162">
        <v>8</v>
      </c>
      <c r="B10" s="163" t="s">
        <v>306</v>
      </c>
      <c r="C10" s="162" t="s">
        <v>26</v>
      </c>
      <c r="D10" s="162" t="s">
        <v>305</v>
      </c>
      <c r="E10" s="162" t="s">
        <v>27</v>
      </c>
      <c r="F10" s="162">
        <v>262694</v>
      </c>
      <c r="G10" s="162" t="s">
        <v>40</v>
      </c>
      <c r="H10" s="162">
        <v>500</v>
      </c>
      <c r="I10" s="164">
        <v>0.97099999999999997</v>
      </c>
      <c r="J10" s="164">
        <v>1.26</v>
      </c>
      <c r="K10" s="162" t="s">
        <v>33</v>
      </c>
      <c r="L10" s="164">
        <v>611.73</v>
      </c>
      <c r="M10" s="165">
        <v>630</v>
      </c>
      <c r="N10" s="166">
        <v>0.17499999999999999</v>
      </c>
      <c r="O10" s="167">
        <v>10.5</v>
      </c>
      <c r="P10" s="162">
        <v>329.1</v>
      </c>
      <c r="Q10" s="162">
        <v>1</v>
      </c>
      <c r="R10" s="162">
        <v>1000</v>
      </c>
      <c r="S10" s="164">
        <v>0.97099999999999997</v>
      </c>
      <c r="T10" s="162">
        <v>29</v>
      </c>
      <c r="U10" s="166">
        <v>2.9000000000000001E-2</v>
      </c>
      <c r="V10" s="162" t="s">
        <v>28</v>
      </c>
      <c r="W10" s="162" t="s">
        <v>29</v>
      </c>
      <c r="X10" s="162" t="s">
        <v>28</v>
      </c>
      <c r="Y10" s="162" t="s">
        <v>28</v>
      </c>
      <c r="Z10" s="162" t="s">
        <v>28</v>
      </c>
      <c r="AA10" s="162" t="s">
        <v>30</v>
      </c>
      <c r="AB10" s="162" t="s">
        <v>117</v>
      </c>
    </row>
    <row r="11" spans="1:28" s="170" customFormat="1" ht="25.05" customHeight="1" x14ac:dyDescent="0.3">
      <c r="A11" s="162">
        <v>9</v>
      </c>
      <c r="B11" s="163" t="s">
        <v>306</v>
      </c>
      <c r="C11" s="162" t="s">
        <v>44</v>
      </c>
      <c r="D11" s="162" t="s">
        <v>305</v>
      </c>
      <c r="E11" s="162" t="s">
        <v>27</v>
      </c>
      <c r="F11" s="162">
        <v>262699</v>
      </c>
      <c r="G11" s="162" t="s">
        <v>40</v>
      </c>
      <c r="H11" s="162">
        <v>380</v>
      </c>
      <c r="I11" s="164">
        <v>0.94599999999999995</v>
      </c>
      <c r="J11" s="164">
        <v>1.48</v>
      </c>
      <c r="K11" s="162" t="s">
        <v>33</v>
      </c>
      <c r="L11" s="164">
        <v>532.03</v>
      </c>
      <c r="M11" s="165">
        <v>562.4</v>
      </c>
      <c r="N11" s="166">
        <v>0.15620000000000001</v>
      </c>
      <c r="O11" s="167">
        <v>9.3699999999999992</v>
      </c>
      <c r="P11" s="162">
        <v>302.2</v>
      </c>
      <c r="Q11" s="162">
        <v>1</v>
      </c>
      <c r="R11" s="162">
        <v>1000</v>
      </c>
      <c r="S11" s="164">
        <v>0.94599999999999995</v>
      </c>
      <c r="T11" s="162">
        <v>54</v>
      </c>
      <c r="U11" s="166">
        <v>5.3999999999999999E-2</v>
      </c>
      <c r="V11" s="162" t="s">
        <v>34</v>
      </c>
      <c r="W11" s="162" t="s">
        <v>39</v>
      </c>
      <c r="X11" s="162" t="s">
        <v>34</v>
      </c>
      <c r="Y11" s="162" t="s">
        <v>34</v>
      </c>
      <c r="Z11" s="162" t="s">
        <v>34</v>
      </c>
      <c r="AA11" s="162" t="s">
        <v>32</v>
      </c>
      <c r="AB11" s="162" t="s">
        <v>314</v>
      </c>
    </row>
    <row r="12" spans="1:28" s="170" customFormat="1" ht="25.05" customHeight="1" x14ac:dyDescent="0.3">
      <c r="A12" s="162">
        <v>10</v>
      </c>
      <c r="B12" s="163" t="s">
        <v>306</v>
      </c>
      <c r="C12" s="162" t="s">
        <v>35</v>
      </c>
      <c r="D12" s="162" t="s">
        <v>305</v>
      </c>
      <c r="E12" s="162" t="s">
        <v>27</v>
      </c>
      <c r="F12" s="162">
        <v>262685</v>
      </c>
      <c r="G12" s="162" t="s">
        <v>40</v>
      </c>
      <c r="H12" s="162">
        <v>350</v>
      </c>
      <c r="I12" s="164">
        <v>1.49</v>
      </c>
      <c r="J12" s="164">
        <v>1.89</v>
      </c>
      <c r="K12" s="162" t="s">
        <v>33</v>
      </c>
      <c r="L12" s="164">
        <v>985.63499999999999</v>
      </c>
      <c r="M12" s="165">
        <v>661.5</v>
      </c>
      <c r="N12" s="166">
        <v>0.1837</v>
      </c>
      <c r="O12" s="167">
        <v>11.03</v>
      </c>
      <c r="P12" s="162">
        <v>310.5</v>
      </c>
      <c r="Q12" s="162">
        <v>1</v>
      </c>
      <c r="R12" s="162">
        <v>1550</v>
      </c>
      <c r="S12" s="164">
        <v>1.49</v>
      </c>
      <c r="T12" s="162">
        <v>60</v>
      </c>
      <c r="U12" s="166">
        <v>3.8699999999999998E-2</v>
      </c>
      <c r="V12" s="162" t="s">
        <v>28</v>
      </c>
      <c r="W12" s="162" t="s">
        <v>28</v>
      </c>
      <c r="X12" s="162" t="s">
        <v>28</v>
      </c>
      <c r="Y12" s="162" t="s">
        <v>27</v>
      </c>
      <c r="Z12" s="162" t="s">
        <v>27</v>
      </c>
      <c r="AA12" s="162" t="s">
        <v>38</v>
      </c>
      <c r="AB12" s="162" t="s">
        <v>313</v>
      </c>
    </row>
    <row r="13" spans="1:28" s="170" customFormat="1" ht="25.05" customHeight="1" x14ac:dyDescent="0.3">
      <c r="A13" s="162">
        <v>11</v>
      </c>
      <c r="B13" s="163" t="s">
        <v>306</v>
      </c>
      <c r="C13" s="162" t="s">
        <v>81</v>
      </c>
      <c r="D13" s="162" t="s">
        <v>305</v>
      </c>
      <c r="E13" s="162" t="s">
        <v>27</v>
      </c>
      <c r="F13" s="162">
        <v>262695</v>
      </c>
      <c r="G13" s="162" t="s">
        <v>40</v>
      </c>
      <c r="H13" s="162">
        <v>375</v>
      </c>
      <c r="I13" s="164">
        <v>1.44</v>
      </c>
      <c r="J13" s="164">
        <v>1.538</v>
      </c>
      <c r="K13" s="162" t="s">
        <v>33</v>
      </c>
      <c r="L13" s="164">
        <v>830.52</v>
      </c>
      <c r="M13" s="165">
        <v>576.79999999999995</v>
      </c>
      <c r="N13" s="166">
        <v>0.16020000000000001</v>
      </c>
      <c r="O13" s="167">
        <v>9.61</v>
      </c>
      <c r="P13" s="162">
        <v>303.10000000000002</v>
      </c>
      <c r="Q13" s="162">
        <v>1</v>
      </c>
      <c r="R13" s="162">
        <v>1500</v>
      </c>
      <c r="S13" s="164">
        <v>1.44</v>
      </c>
      <c r="T13" s="162">
        <v>60</v>
      </c>
      <c r="U13" s="166">
        <v>0.04</v>
      </c>
      <c r="V13" s="162" t="s">
        <v>41</v>
      </c>
      <c r="W13" s="162" t="s">
        <v>29</v>
      </c>
      <c r="X13" s="162" t="s">
        <v>28</v>
      </c>
      <c r="Y13" s="162" t="s">
        <v>27</v>
      </c>
      <c r="Z13" s="162" t="s">
        <v>27</v>
      </c>
      <c r="AA13" s="162" t="s">
        <v>38</v>
      </c>
      <c r="AB13" s="162" t="s">
        <v>116</v>
      </c>
    </row>
    <row r="14" spans="1:28" s="170" customFormat="1" ht="25.05" customHeight="1" x14ac:dyDescent="0.3">
      <c r="A14" s="162">
        <v>12</v>
      </c>
      <c r="B14" s="163" t="s">
        <v>306</v>
      </c>
      <c r="C14" s="162" t="s">
        <v>35</v>
      </c>
      <c r="D14" s="162" t="s">
        <v>305</v>
      </c>
      <c r="E14" s="162" t="s">
        <v>27</v>
      </c>
      <c r="F14" s="162">
        <v>262697</v>
      </c>
      <c r="G14" s="162" t="s">
        <v>40</v>
      </c>
      <c r="H14" s="162">
        <v>1170</v>
      </c>
      <c r="I14" s="164">
        <v>0.68600000000000005</v>
      </c>
      <c r="J14" s="164">
        <v>1.23</v>
      </c>
      <c r="K14" s="162" t="s">
        <v>33</v>
      </c>
      <c r="L14" s="164">
        <v>987.22299999999996</v>
      </c>
      <c r="M14" s="165">
        <v>719.5</v>
      </c>
      <c r="N14" s="166">
        <v>9.9900000000000003E-2</v>
      </c>
      <c r="O14" s="167">
        <v>6</v>
      </c>
      <c r="P14" s="162">
        <v>311</v>
      </c>
      <c r="Q14" s="162">
        <v>2</v>
      </c>
      <c r="R14" s="162">
        <v>1400</v>
      </c>
      <c r="S14" s="164">
        <v>1.3720000000000001</v>
      </c>
      <c r="T14" s="162">
        <v>28</v>
      </c>
      <c r="U14" s="166">
        <v>0.02</v>
      </c>
      <c r="V14" s="162" t="s">
        <v>28</v>
      </c>
      <c r="W14" s="162" t="s">
        <v>28</v>
      </c>
      <c r="X14" s="162" t="s">
        <v>28</v>
      </c>
      <c r="Y14" s="162" t="s">
        <v>27</v>
      </c>
      <c r="Z14" s="162" t="s">
        <v>27</v>
      </c>
      <c r="AA14" s="162" t="s">
        <v>30</v>
      </c>
      <c r="AB14" s="162" t="s">
        <v>312</v>
      </c>
    </row>
    <row r="15" spans="1:28" s="170" customFormat="1" ht="25.05" customHeight="1" x14ac:dyDescent="0.3">
      <c r="A15" s="162">
        <v>13</v>
      </c>
      <c r="B15" s="163" t="s">
        <v>306</v>
      </c>
      <c r="C15" s="162" t="s">
        <v>35</v>
      </c>
      <c r="D15" s="162" t="s">
        <v>305</v>
      </c>
      <c r="E15" s="162" t="s">
        <v>27</v>
      </c>
      <c r="F15" s="162">
        <v>262684</v>
      </c>
      <c r="G15" s="162" t="s">
        <v>40</v>
      </c>
      <c r="H15" s="162">
        <v>550</v>
      </c>
      <c r="I15" s="164">
        <v>1.3080000000000001</v>
      </c>
      <c r="J15" s="164">
        <v>1.335</v>
      </c>
      <c r="K15" s="162" t="s">
        <v>33</v>
      </c>
      <c r="L15" s="164">
        <v>960.399</v>
      </c>
      <c r="M15" s="165">
        <v>734.3</v>
      </c>
      <c r="N15" s="166">
        <v>0.20399999999999999</v>
      </c>
      <c r="O15" s="167">
        <v>12.24</v>
      </c>
      <c r="P15" s="162">
        <v>302.5</v>
      </c>
      <c r="Q15" s="162">
        <v>1</v>
      </c>
      <c r="R15" s="162">
        <v>1350</v>
      </c>
      <c r="S15" s="164">
        <v>1.3080000000000001</v>
      </c>
      <c r="T15" s="162">
        <v>42</v>
      </c>
      <c r="U15" s="166">
        <v>3.1099999999999999E-2</v>
      </c>
      <c r="V15" s="162" t="s">
        <v>28</v>
      </c>
      <c r="W15" s="162" t="s">
        <v>28</v>
      </c>
      <c r="X15" s="162" t="s">
        <v>28</v>
      </c>
      <c r="Y15" s="162" t="s">
        <v>27</v>
      </c>
      <c r="Z15" s="162" t="s">
        <v>27</v>
      </c>
      <c r="AA15" s="162" t="s">
        <v>32</v>
      </c>
      <c r="AB15" s="162" t="s">
        <v>311</v>
      </c>
    </row>
    <row r="16" spans="1:28" s="170" customFormat="1" ht="25.05" customHeight="1" x14ac:dyDescent="0.3">
      <c r="A16" s="162">
        <v>14</v>
      </c>
      <c r="B16" s="163" t="s">
        <v>306</v>
      </c>
      <c r="C16" s="162" t="s">
        <v>35</v>
      </c>
      <c r="D16" s="162" t="s">
        <v>305</v>
      </c>
      <c r="E16" s="162" t="s">
        <v>27</v>
      </c>
      <c r="F16" s="162">
        <v>262687</v>
      </c>
      <c r="G16" s="162" t="s">
        <v>40</v>
      </c>
      <c r="H16" s="162">
        <v>1000</v>
      </c>
      <c r="I16" s="164">
        <v>0.63400000000000001</v>
      </c>
      <c r="J16" s="164">
        <v>1.6</v>
      </c>
      <c r="K16" s="162" t="s">
        <v>310</v>
      </c>
      <c r="L16" s="164">
        <v>1014.4</v>
      </c>
      <c r="M16" s="165">
        <v>800</v>
      </c>
      <c r="N16" s="166">
        <v>0.1111</v>
      </c>
      <c r="O16" s="167">
        <v>6.67</v>
      </c>
      <c r="P16" s="162">
        <v>319.5</v>
      </c>
      <c r="Q16" s="162">
        <v>2</v>
      </c>
      <c r="R16" s="162">
        <v>1300</v>
      </c>
      <c r="S16" s="164">
        <v>1.268</v>
      </c>
      <c r="T16" s="162">
        <v>32</v>
      </c>
      <c r="U16" s="166">
        <v>2.46E-2</v>
      </c>
      <c r="V16" s="162" t="s">
        <v>28</v>
      </c>
      <c r="W16" s="162" t="s">
        <v>28</v>
      </c>
      <c r="X16" s="162" t="s">
        <v>28</v>
      </c>
      <c r="Y16" s="162" t="s">
        <v>27</v>
      </c>
      <c r="Z16" s="162" t="s">
        <v>27</v>
      </c>
      <c r="AA16" s="162" t="s">
        <v>30</v>
      </c>
      <c r="AB16" s="162" t="s">
        <v>309</v>
      </c>
    </row>
    <row r="17" spans="1:28" s="170" customFormat="1" ht="25.05" customHeight="1" x14ac:dyDescent="0.3">
      <c r="A17" s="162">
        <v>15</v>
      </c>
      <c r="B17" s="163" t="s">
        <v>306</v>
      </c>
      <c r="C17" s="162" t="s">
        <v>81</v>
      </c>
      <c r="D17" s="162" t="s">
        <v>305</v>
      </c>
      <c r="E17" s="162" t="s">
        <v>27</v>
      </c>
      <c r="F17" s="162">
        <v>262689</v>
      </c>
      <c r="G17" s="162" t="s">
        <v>40</v>
      </c>
      <c r="H17" s="162">
        <v>500</v>
      </c>
      <c r="I17" s="164">
        <v>1.198</v>
      </c>
      <c r="J17" s="164">
        <v>1.56</v>
      </c>
      <c r="K17" s="162" t="s">
        <v>33</v>
      </c>
      <c r="L17" s="164">
        <v>934.44</v>
      </c>
      <c r="M17" s="165">
        <v>780</v>
      </c>
      <c r="N17" s="166">
        <v>0.2167</v>
      </c>
      <c r="O17" s="167">
        <v>13</v>
      </c>
      <c r="P17" s="162">
        <v>341.1</v>
      </c>
      <c r="Q17" s="162">
        <v>1</v>
      </c>
      <c r="R17" s="162">
        <v>1250</v>
      </c>
      <c r="S17" s="164">
        <v>1.198</v>
      </c>
      <c r="T17" s="162">
        <v>52</v>
      </c>
      <c r="U17" s="166">
        <v>4.1599999999999998E-2</v>
      </c>
      <c r="V17" s="162" t="s">
        <v>41</v>
      </c>
      <c r="W17" s="162" t="s">
        <v>29</v>
      </c>
      <c r="X17" s="162" t="s">
        <v>28</v>
      </c>
      <c r="Y17" s="162" t="s">
        <v>27</v>
      </c>
      <c r="Z17" s="162" t="s">
        <v>27</v>
      </c>
      <c r="AA17" s="162" t="s">
        <v>32</v>
      </c>
      <c r="AB17" s="162" t="s">
        <v>308</v>
      </c>
    </row>
    <row r="18" spans="1:28" s="170" customFormat="1" ht="25.05" customHeight="1" x14ac:dyDescent="0.3">
      <c r="A18" s="162">
        <v>16</v>
      </c>
      <c r="B18" s="163" t="s">
        <v>306</v>
      </c>
      <c r="C18" s="162" t="s">
        <v>35</v>
      </c>
      <c r="D18" s="162" t="s">
        <v>305</v>
      </c>
      <c r="E18" s="162" t="s">
        <v>27</v>
      </c>
      <c r="F18" s="162">
        <v>262683</v>
      </c>
      <c r="G18" s="162" t="s">
        <v>40</v>
      </c>
      <c r="H18" s="162">
        <v>610</v>
      </c>
      <c r="I18" s="164">
        <v>1.0980000000000001</v>
      </c>
      <c r="J18" s="164">
        <v>1.44</v>
      </c>
      <c r="K18" s="162" t="s">
        <v>33</v>
      </c>
      <c r="L18" s="164">
        <v>964.48299999999995</v>
      </c>
      <c r="M18" s="165">
        <v>878.4</v>
      </c>
      <c r="N18" s="166">
        <v>0.24399999999999999</v>
      </c>
      <c r="O18" s="167">
        <v>14.64</v>
      </c>
      <c r="P18" s="162">
        <v>303.8</v>
      </c>
      <c r="Q18" s="162">
        <v>1</v>
      </c>
      <c r="R18" s="162">
        <v>1150</v>
      </c>
      <c r="S18" s="164">
        <v>1.0980000000000001</v>
      </c>
      <c r="T18" s="162">
        <v>52</v>
      </c>
      <c r="U18" s="166">
        <v>4.5199999999999997E-2</v>
      </c>
      <c r="V18" s="162" t="s">
        <v>28</v>
      </c>
      <c r="W18" s="162" t="s">
        <v>28</v>
      </c>
      <c r="X18" s="162" t="s">
        <v>28</v>
      </c>
      <c r="Y18" s="162" t="s">
        <v>27</v>
      </c>
      <c r="Z18" s="162" t="s">
        <v>27</v>
      </c>
      <c r="AA18" s="162" t="s">
        <v>32</v>
      </c>
      <c r="AB18" s="162" t="s">
        <v>307</v>
      </c>
    </row>
    <row r="19" spans="1:28" s="170" customFormat="1" ht="25.05" customHeight="1" x14ac:dyDescent="0.3">
      <c r="A19" s="162">
        <v>17</v>
      </c>
      <c r="B19" s="163" t="s">
        <v>306</v>
      </c>
      <c r="C19" s="162" t="s">
        <v>35</v>
      </c>
      <c r="D19" s="162" t="s">
        <v>305</v>
      </c>
      <c r="E19" s="162" t="s">
        <v>27</v>
      </c>
      <c r="F19" s="162">
        <v>262686</v>
      </c>
      <c r="G19" s="162" t="s">
        <v>40</v>
      </c>
      <c r="H19" s="162">
        <v>5000</v>
      </c>
      <c r="I19" s="164">
        <v>0.30499999999999999</v>
      </c>
      <c r="J19" s="164">
        <v>0.67</v>
      </c>
      <c r="K19" s="162" t="s">
        <v>304</v>
      </c>
      <c r="L19" s="164">
        <v>1021.75</v>
      </c>
      <c r="M19" s="165">
        <v>1675</v>
      </c>
      <c r="N19" s="166">
        <v>0.2326</v>
      </c>
      <c r="O19" s="167">
        <v>13.96</v>
      </c>
      <c r="P19" s="162">
        <v>321.89999999999998</v>
      </c>
      <c r="Q19" s="162">
        <v>2</v>
      </c>
      <c r="R19" s="162">
        <v>650</v>
      </c>
      <c r="S19" s="164">
        <v>0.61</v>
      </c>
      <c r="T19" s="162">
        <v>40</v>
      </c>
      <c r="U19" s="166">
        <v>6.1499999999999999E-2</v>
      </c>
      <c r="V19" s="162" t="s">
        <v>28</v>
      </c>
      <c r="W19" s="162" t="s">
        <v>28</v>
      </c>
      <c r="X19" s="162" t="s">
        <v>28</v>
      </c>
      <c r="Y19" s="162" t="s">
        <v>27</v>
      </c>
      <c r="Z19" s="162" t="s">
        <v>27</v>
      </c>
      <c r="AA19" s="162" t="s">
        <v>32</v>
      </c>
      <c r="AB19" s="162" t="s">
        <v>303</v>
      </c>
    </row>
    <row r="20" spans="1:28" s="51" customFormat="1" ht="25.05" customHeight="1" x14ac:dyDescent="0.3">
      <c r="A20" s="52" t="s">
        <v>27</v>
      </c>
      <c r="B20" s="52" t="s">
        <v>27</v>
      </c>
      <c r="C20" s="52" t="s">
        <v>27</v>
      </c>
      <c r="D20" s="52" t="s">
        <v>27</v>
      </c>
      <c r="E20" s="52" t="s">
        <v>27</v>
      </c>
      <c r="F20" s="52" t="s">
        <v>27</v>
      </c>
      <c r="G20" s="52" t="s">
        <v>27</v>
      </c>
      <c r="H20" s="52">
        <v>14290</v>
      </c>
      <c r="I20" s="52" t="s">
        <v>27</v>
      </c>
      <c r="J20" s="52" t="s">
        <v>27</v>
      </c>
      <c r="K20" s="52" t="s">
        <v>27</v>
      </c>
      <c r="L20" s="52" t="s">
        <v>27</v>
      </c>
      <c r="M20" s="52" t="s">
        <v>27</v>
      </c>
      <c r="N20" s="52" t="s">
        <v>27</v>
      </c>
      <c r="O20" s="52" t="s">
        <v>27</v>
      </c>
      <c r="P20" s="52">
        <v>5630.6</v>
      </c>
      <c r="Q20" s="52" t="s">
        <v>27</v>
      </c>
      <c r="R20" s="52" t="s">
        <v>27</v>
      </c>
      <c r="S20" s="52" t="s">
        <v>27</v>
      </c>
      <c r="T20" s="52" t="s">
        <v>27</v>
      </c>
      <c r="U20" s="52" t="s">
        <v>27</v>
      </c>
      <c r="V20" s="52" t="s">
        <v>27</v>
      </c>
      <c r="W20" s="52" t="s">
        <v>27</v>
      </c>
      <c r="X20" s="52" t="s">
        <v>27</v>
      </c>
      <c r="Y20" s="52" t="s">
        <v>27</v>
      </c>
      <c r="Z20" s="52" t="s">
        <v>27</v>
      </c>
      <c r="AA20" s="52" t="s">
        <v>27</v>
      </c>
      <c r="AB20" s="52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3" orientation="landscape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AA56-47E9-44C0-8D6D-1F61C5308578}">
  <sheetPr>
    <pageSetUpPr fitToPage="1"/>
  </sheetPr>
  <dimension ref="A1:AB11"/>
  <sheetViews>
    <sheetView zoomScale="175" zoomScaleNormal="175" workbookViewId="0">
      <selection activeCell="AQ37" sqref="AQ37"/>
    </sheetView>
  </sheetViews>
  <sheetFormatPr defaultRowHeight="14.4" x14ac:dyDescent="0.3"/>
  <cols>
    <col min="1" max="1" width="4.109375" style="33" customWidth="1"/>
    <col min="2" max="2" width="20.77734375" style="33" hidden="1" customWidth="1"/>
    <col min="3" max="3" width="7.77734375" style="33" customWidth="1"/>
    <col min="4" max="4" width="11.77734375" style="33" hidden="1" customWidth="1"/>
    <col min="5" max="5" width="8.77734375" style="33" customWidth="1"/>
    <col min="6" max="6" width="7.77734375" style="33" customWidth="1"/>
    <col min="7" max="7" width="5.77734375" style="33" customWidth="1"/>
    <col min="8" max="8" width="6.77734375" style="33" customWidth="1"/>
    <col min="9" max="9" width="6.5546875" style="33" customWidth="1"/>
    <col min="10" max="10" width="6.88671875" style="33" customWidth="1"/>
    <col min="11" max="11" width="8.1093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109375" style="33" customWidth="1"/>
    <col min="17" max="17" width="4.5546875" style="33" customWidth="1"/>
    <col min="18" max="18" width="7.109375" style="33" customWidth="1"/>
    <col min="19" max="19" width="7.21875" style="33" customWidth="1"/>
    <col min="20" max="20" width="11.77734375" style="33" hidden="1" customWidth="1"/>
    <col min="21" max="21" width="8.77734375" style="33" hidden="1" customWidth="1"/>
    <col min="22" max="22" width="9.109375" style="33" customWidth="1"/>
    <col min="23" max="23" width="7.77734375" style="33" customWidth="1"/>
    <col min="24" max="24" width="8.21875" style="33" customWidth="1"/>
    <col min="25" max="25" width="8" style="33" customWidth="1"/>
    <col min="26" max="26" width="7.88671875" style="33" customWidth="1"/>
    <col min="27" max="27" width="4.44140625" style="33" customWidth="1"/>
    <col min="28" max="28" width="11.44140625" style="33" customWidth="1"/>
    <col min="29" max="16384" width="8.88671875" style="33"/>
  </cols>
  <sheetData>
    <row r="1" spans="1:28" ht="18" customHeight="1" x14ac:dyDescent="0.35">
      <c r="A1" s="269" t="s">
        <v>296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40.799999999999997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85" customFormat="1" ht="25.05" customHeight="1" x14ac:dyDescent="0.3">
      <c r="A3" s="85">
        <v>1</v>
      </c>
      <c r="B3" s="85" t="s">
        <v>90</v>
      </c>
      <c r="C3" s="85" t="s">
        <v>44</v>
      </c>
      <c r="D3" s="86">
        <v>46288</v>
      </c>
      <c r="F3" s="85">
        <v>262703</v>
      </c>
      <c r="G3" s="85">
        <v>1767</v>
      </c>
      <c r="H3" s="85">
        <v>200</v>
      </c>
      <c r="I3" s="85">
        <v>1.151</v>
      </c>
      <c r="J3" s="85">
        <v>1.819</v>
      </c>
      <c r="K3" s="85" t="s">
        <v>33</v>
      </c>
      <c r="L3" s="85">
        <v>418.73399999999998</v>
      </c>
      <c r="M3" s="85">
        <v>363.8</v>
      </c>
      <c r="N3" s="85">
        <v>0.1011</v>
      </c>
      <c r="O3" s="85">
        <v>6.06</v>
      </c>
      <c r="P3" s="85">
        <v>237.8</v>
      </c>
      <c r="Q3" s="85">
        <v>1</v>
      </c>
      <c r="R3" s="85">
        <v>1200</v>
      </c>
      <c r="S3" s="85">
        <v>1.151</v>
      </c>
      <c r="T3" s="85">
        <v>49</v>
      </c>
      <c r="U3" s="85">
        <v>4.0800000000000003E-2</v>
      </c>
      <c r="V3" s="85" t="s">
        <v>34</v>
      </c>
      <c r="W3" s="85" t="s">
        <v>39</v>
      </c>
      <c r="X3" s="85" t="s">
        <v>34</v>
      </c>
      <c r="Y3" s="85" t="s">
        <v>34</v>
      </c>
      <c r="Z3" s="85" t="s">
        <v>34</v>
      </c>
      <c r="AA3" s="85">
        <v>2</v>
      </c>
      <c r="AB3" s="85" t="s">
        <v>327</v>
      </c>
    </row>
    <row r="4" spans="1:28" s="51" customFormat="1" ht="25.05" customHeight="1" x14ac:dyDescent="0.3">
      <c r="A4" s="85">
        <v>2</v>
      </c>
      <c r="B4" s="46" t="s">
        <v>90</v>
      </c>
      <c r="C4" s="45" t="s">
        <v>26</v>
      </c>
      <c r="D4" s="45" t="s">
        <v>272</v>
      </c>
      <c r="E4" s="45" t="s">
        <v>27</v>
      </c>
      <c r="F4" s="45">
        <v>262676</v>
      </c>
      <c r="G4" s="45" t="s">
        <v>295</v>
      </c>
      <c r="H4" s="45">
        <v>200</v>
      </c>
      <c r="I4" s="47">
        <v>1.026</v>
      </c>
      <c r="J4" s="47">
        <v>2.0630000000000002</v>
      </c>
      <c r="K4" s="45" t="s">
        <v>33</v>
      </c>
      <c r="L4" s="47">
        <v>423.32799999999997</v>
      </c>
      <c r="M4" s="48">
        <v>412.6</v>
      </c>
      <c r="N4" s="49">
        <v>0.11459999999999999</v>
      </c>
      <c r="O4" s="50">
        <v>6.88</v>
      </c>
      <c r="P4" s="45">
        <v>227.8</v>
      </c>
      <c r="Q4" s="45">
        <v>1</v>
      </c>
      <c r="R4" s="45">
        <v>1050</v>
      </c>
      <c r="S4" s="47">
        <v>1.026</v>
      </c>
      <c r="T4" s="45">
        <v>24</v>
      </c>
      <c r="U4" s="49">
        <v>2.29E-2</v>
      </c>
      <c r="V4" s="45" t="s">
        <v>28</v>
      </c>
      <c r="W4" s="45" t="s">
        <v>29</v>
      </c>
      <c r="X4" s="45" t="s">
        <v>28</v>
      </c>
      <c r="Y4" s="45" t="s">
        <v>28</v>
      </c>
      <c r="Z4" s="45" t="s">
        <v>28</v>
      </c>
      <c r="AA4" s="45" t="s">
        <v>32</v>
      </c>
      <c r="AB4" s="45" t="s">
        <v>294</v>
      </c>
    </row>
    <row r="5" spans="1:28" s="51" customFormat="1" ht="25.05" customHeight="1" x14ac:dyDescent="0.3">
      <c r="A5" s="85">
        <v>3</v>
      </c>
      <c r="B5" s="46" t="s">
        <v>90</v>
      </c>
      <c r="C5" s="45" t="s">
        <v>35</v>
      </c>
      <c r="D5" s="45" t="s">
        <v>272</v>
      </c>
      <c r="E5" s="45" t="s">
        <v>27</v>
      </c>
      <c r="F5" s="45">
        <v>262678</v>
      </c>
      <c r="G5" s="45" t="s">
        <v>292</v>
      </c>
      <c r="H5" s="45">
        <v>250</v>
      </c>
      <c r="I5" s="47">
        <v>1.4890000000000001</v>
      </c>
      <c r="J5" s="47">
        <v>1.9890000000000001</v>
      </c>
      <c r="K5" s="45" t="s">
        <v>33</v>
      </c>
      <c r="L5" s="47">
        <v>740.40499999999997</v>
      </c>
      <c r="M5" s="48">
        <v>497.3</v>
      </c>
      <c r="N5" s="49">
        <v>0.1381</v>
      </c>
      <c r="O5" s="50">
        <v>8.2899999999999991</v>
      </c>
      <c r="P5" s="45">
        <v>233.2</v>
      </c>
      <c r="Q5" s="45">
        <v>1</v>
      </c>
      <c r="R5" s="45">
        <v>1550</v>
      </c>
      <c r="S5" s="47">
        <v>1.4890000000000001</v>
      </c>
      <c r="T5" s="45">
        <v>61</v>
      </c>
      <c r="U5" s="49">
        <v>3.9399999999999998E-2</v>
      </c>
      <c r="V5" s="45" t="s">
        <v>28</v>
      </c>
      <c r="W5" s="45" t="s">
        <v>28</v>
      </c>
      <c r="X5" s="45" t="s">
        <v>28</v>
      </c>
      <c r="Y5" s="45" t="s">
        <v>27</v>
      </c>
      <c r="Z5" s="45" t="s">
        <v>27</v>
      </c>
      <c r="AA5" s="45" t="s">
        <v>38</v>
      </c>
      <c r="AB5" s="45" t="s">
        <v>293</v>
      </c>
    </row>
    <row r="6" spans="1:28" s="51" customFormat="1" ht="25.05" customHeight="1" x14ac:dyDescent="0.3">
      <c r="A6" s="85">
        <v>4</v>
      </c>
      <c r="B6" s="46" t="s">
        <v>90</v>
      </c>
      <c r="C6" s="45" t="s">
        <v>35</v>
      </c>
      <c r="D6" s="61">
        <v>46287</v>
      </c>
      <c r="E6" s="45"/>
      <c r="F6" s="45">
        <v>262702</v>
      </c>
      <c r="G6" s="45">
        <v>1765</v>
      </c>
      <c r="H6" s="45">
        <v>1000</v>
      </c>
      <c r="I6" s="47">
        <v>0.437</v>
      </c>
      <c r="J6" s="47">
        <v>1.383</v>
      </c>
      <c r="K6" s="45" t="s">
        <v>33</v>
      </c>
      <c r="L6" s="47">
        <v>604.37099999999998</v>
      </c>
      <c r="M6" s="48">
        <v>461</v>
      </c>
      <c r="N6" s="49">
        <v>4.2700000000000002E-2</v>
      </c>
      <c r="O6" s="50">
        <v>2.56</v>
      </c>
      <c r="P6" s="45">
        <v>190.4</v>
      </c>
      <c r="Q6" s="45">
        <v>3</v>
      </c>
      <c r="R6" s="45">
        <v>1350</v>
      </c>
      <c r="S6" s="47">
        <v>1.3109999999999999</v>
      </c>
      <c r="T6" s="45">
        <v>39</v>
      </c>
      <c r="U6" s="49">
        <v>2.8899999999999999E-2</v>
      </c>
      <c r="V6" s="45" t="s">
        <v>28</v>
      </c>
      <c r="W6" s="45" t="s">
        <v>28</v>
      </c>
      <c r="X6" s="45" t="s">
        <v>28</v>
      </c>
      <c r="Y6" s="45"/>
      <c r="Z6" s="45"/>
      <c r="AA6" s="45">
        <v>2</v>
      </c>
      <c r="AB6" s="45" t="s">
        <v>326</v>
      </c>
    </row>
    <row r="7" spans="1:28" s="51" customFormat="1" ht="25.05" customHeight="1" x14ac:dyDescent="0.3">
      <c r="A7" s="85">
        <v>5</v>
      </c>
      <c r="B7" s="46" t="s">
        <v>90</v>
      </c>
      <c r="C7" s="45" t="s">
        <v>35</v>
      </c>
      <c r="D7" s="45" t="s">
        <v>272</v>
      </c>
      <c r="E7" s="45" t="s">
        <v>27</v>
      </c>
      <c r="F7" s="45">
        <v>262679</v>
      </c>
      <c r="G7" s="45" t="s">
        <v>292</v>
      </c>
      <c r="H7" s="45">
        <v>150</v>
      </c>
      <c r="I7" s="47">
        <v>1.19</v>
      </c>
      <c r="J7" s="47">
        <v>1.417</v>
      </c>
      <c r="K7" s="45" t="s">
        <v>33</v>
      </c>
      <c r="L7" s="47">
        <v>252.934</v>
      </c>
      <c r="M7" s="48">
        <v>212.6</v>
      </c>
      <c r="N7" s="49">
        <v>5.8999999999999997E-2</v>
      </c>
      <c r="O7" s="50">
        <v>3.54</v>
      </c>
      <c r="P7" s="45">
        <v>79.7</v>
      </c>
      <c r="Q7" s="45">
        <v>1</v>
      </c>
      <c r="R7" s="45">
        <v>1250</v>
      </c>
      <c r="S7" s="47">
        <v>1.19</v>
      </c>
      <c r="T7" s="45">
        <v>60</v>
      </c>
      <c r="U7" s="49">
        <v>4.8000000000000001E-2</v>
      </c>
      <c r="V7" s="45" t="s">
        <v>28</v>
      </c>
      <c r="W7" s="45" t="s">
        <v>28</v>
      </c>
      <c r="X7" s="45" t="s">
        <v>28</v>
      </c>
      <c r="Y7" s="45" t="s">
        <v>27</v>
      </c>
      <c r="Z7" s="45" t="s">
        <v>27</v>
      </c>
      <c r="AA7" s="45" t="s">
        <v>38</v>
      </c>
      <c r="AB7" s="45" t="s">
        <v>291</v>
      </c>
    </row>
    <row r="8" spans="1:28" s="51" customFormat="1" ht="25.05" customHeight="1" x14ac:dyDescent="0.3">
      <c r="A8" s="85">
        <v>6</v>
      </c>
      <c r="B8" s="46" t="s">
        <v>90</v>
      </c>
      <c r="C8" s="45" t="s">
        <v>35</v>
      </c>
      <c r="D8" s="61">
        <v>46289</v>
      </c>
      <c r="E8" s="45"/>
      <c r="F8" s="45">
        <v>262706</v>
      </c>
      <c r="G8" s="45">
        <v>1770</v>
      </c>
      <c r="H8" s="45">
        <v>220</v>
      </c>
      <c r="I8" s="47">
        <v>0.85</v>
      </c>
      <c r="J8" s="47">
        <v>1.407</v>
      </c>
      <c r="K8" s="45" t="s">
        <v>33</v>
      </c>
      <c r="L8" s="47">
        <v>263.10899999999998</v>
      </c>
      <c r="M8" s="48">
        <v>309.5</v>
      </c>
      <c r="N8" s="49">
        <v>8.5999999999999993E-2</v>
      </c>
      <c r="O8" s="50">
        <v>5.16</v>
      </c>
      <c r="P8" s="45">
        <v>82.9</v>
      </c>
      <c r="Q8" s="45">
        <v>1</v>
      </c>
      <c r="R8" s="45">
        <v>900</v>
      </c>
      <c r="S8" s="47">
        <v>0.85</v>
      </c>
      <c r="T8" s="45">
        <v>50</v>
      </c>
      <c r="U8" s="49">
        <v>5.5599999999999997E-2</v>
      </c>
      <c r="V8" s="45" t="s">
        <v>28</v>
      </c>
      <c r="W8" s="45" t="s">
        <v>28</v>
      </c>
      <c r="X8" s="45" t="s">
        <v>28</v>
      </c>
      <c r="Y8" s="45"/>
      <c r="Z8" s="45"/>
      <c r="AA8" s="45">
        <v>1</v>
      </c>
      <c r="AB8" s="45" t="s">
        <v>329</v>
      </c>
    </row>
    <row r="9" spans="1:28" s="51" customFormat="1" ht="25.05" customHeight="1" x14ac:dyDescent="0.3">
      <c r="A9" s="99">
        <v>7</v>
      </c>
      <c r="B9" s="72" t="s">
        <v>90</v>
      </c>
      <c r="C9" s="71" t="s">
        <v>42</v>
      </c>
      <c r="D9" s="71" t="s">
        <v>272</v>
      </c>
      <c r="E9" s="71" t="s">
        <v>27</v>
      </c>
      <c r="F9" s="71">
        <v>262677</v>
      </c>
      <c r="G9" s="71" t="s">
        <v>290</v>
      </c>
      <c r="H9" s="71">
        <v>1000</v>
      </c>
      <c r="I9" s="73">
        <v>0.8</v>
      </c>
      <c r="J9" s="73">
        <v>1.171</v>
      </c>
      <c r="K9" s="71" t="s">
        <v>33</v>
      </c>
      <c r="L9" s="73">
        <v>936.8</v>
      </c>
      <c r="M9" s="74">
        <v>1171</v>
      </c>
      <c r="N9" s="75">
        <v>0.32529999999999998</v>
      </c>
      <c r="O9" s="76">
        <v>19.52</v>
      </c>
      <c r="P9" s="71">
        <v>323.2</v>
      </c>
      <c r="Q9" s="71">
        <v>1</v>
      </c>
      <c r="R9" s="71">
        <v>850</v>
      </c>
      <c r="S9" s="73">
        <v>0.8</v>
      </c>
      <c r="T9" s="71">
        <v>50</v>
      </c>
      <c r="U9" s="75">
        <v>5.8799999999999998E-2</v>
      </c>
      <c r="V9" s="71" t="s">
        <v>29</v>
      </c>
      <c r="W9" s="71" t="s">
        <v>29</v>
      </c>
      <c r="X9" s="71" t="s">
        <v>28</v>
      </c>
      <c r="Y9" s="71" t="s">
        <v>27</v>
      </c>
      <c r="Z9" s="71" t="s">
        <v>27</v>
      </c>
      <c r="AA9" s="71" t="s">
        <v>32</v>
      </c>
      <c r="AB9" s="71" t="s">
        <v>289</v>
      </c>
    </row>
    <row r="10" spans="1:28" s="51" customFormat="1" ht="25.05" customHeight="1" x14ac:dyDescent="0.3">
      <c r="A10" s="85">
        <v>8</v>
      </c>
      <c r="B10" s="46" t="s">
        <v>90</v>
      </c>
      <c r="C10" s="45" t="s">
        <v>35</v>
      </c>
      <c r="D10" s="61">
        <v>46288</v>
      </c>
      <c r="E10" s="45"/>
      <c r="F10" s="45">
        <v>262705</v>
      </c>
      <c r="G10" s="45">
        <v>1768</v>
      </c>
      <c r="H10" s="45">
        <v>200</v>
      </c>
      <c r="I10" s="47">
        <v>0.79700000000000004</v>
      </c>
      <c r="J10" s="47">
        <v>1.4870000000000001</v>
      </c>
      <c r="K10" s="45" t="s">
        <v>33</v>
      </c>
      <c r="L10" s="47">
        <v>237.02799999999999</v>
      </c>
      <c r="M10" s="48">
        <v>297.39999999999998</v>
      </c>
      <c r="N10" s="49">
        <v>8.2600000000000007E-2</v>
      </c>
      <c r="O10" s="50">
        <v>4.96</v>
      </c>
      <c r="P10" s="45">
        <v>74.7</v>
      </c>
      <c r="Q10" s="45">
        <v>1</v>
      </c>
      <c r="R10" s="45">
        <v>850</v>
      </c>
      <c r="S10" s="47">
        <v>0.79700000000000004</v>
      </c>
      <c r="T10" s="45">
        <v>53</v>
      </c>
      <c r="U10" s="49">
        <v>6.2399999999999997E-2</v>
      </c>
      <c r="V10" s="45" t="s">
        <v>28</v>
      </c>
      <c r="W10" s="45" t="s">
        <v>28</v>
      </c>
      <c r="X10" s="45" t="s">
        <v>28</v>
      </c>
      <c r="Y10" s="45"/>
      <c r="Z10" s="45"/>
      <c r="AA10" s="45">
        <v>1</v>
      </c>
      <c r="AB10" s="45" t="s">
        <v>328</v>
      </c>
    </row>
    <row r="11" spans="1:28" s="51" customFormat="1" ht="25.05" customHeight="1" x14ac:dyDescent="0.3">
      <c r="A11" s="52" t="s">
        <v>27</v>
      </c>
      <c r="B11" s="52" t="s">
        <v>27</v>
      </c>
      <c r="C11" s="52" t="s">
        <v>27</v>
      </c>
      <c r="D11" s="52" t="s">
        <v>27</v>
      </c>
      <c r="E11" s="52" t="s">
        <v>27</v>
      </c>
      <c r="F11" s="52" t="s">
        <v>27</v>
      </c>
      <c r="G11" s="52" t="s">
        <v>27</v>
      </c>
      <c r="H11" s="52">
        <f>SUM(H3:H10)</f>
        <v>3220</v>
      </c>
      <c r="I11" s="52" t="s">
        <v>27</v>
      </c>
      <c r="J11" s="52" t="s">
        <v>27</v>
      </c>
      <c r="K11" s="52" t="s">
        <v>27</v>
      </c>
      <c r="L11" s="52" t="s">
        <v>27</v>
      </c>
      <c r="M11" s="52" t="s">
        <v>27</v>
      </c>
      <c r="N11" s="52" t="s">
        <v>27</v>
      </c>
      <c r="O11" s="52" t="s">
        <v>27</v>
      </c>
      <c r="P11" s="52">
        <f>SUM(P3:P10)</f>
        <v>1449.7</v>
      </c>
      <c r="Q11" s="52" t="s">
        <v>27</v>
      </c>
      <c r="R11" s="52" t="s">
        <v>27</v>
      </c>
      <c r="S11" s="52" t="s">
        <v>27</v>
      </c>
      <c r="T11" s="52" t="s">
        <v>27</v>
      </c>
      <c r="U11" s="52" t="s">
        <v>27</v>
      </c>
      <c r="V11" s="52" t="s">
        <v>27</v>
      </c>
      <c r="W11" s="52" t="s">
        <v>27</v>
      </c>
      <c r="X11" s="52" t="s">
        <v>27</v>
      </c>
      <c r="Y11" s="52" t="s">
        <v>27</v>
      </c>
      <c r="Z11" s="52" t="s">
        <v>27</v>
      </c>
      <c r="AA11" s="52" t="s">
        <v>27</v>
      </c>
      <c r="AB11" s="52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4" orientation="landscape" horizontalDpi="360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B328-92D9-4132-AB19-3AEA902CFC6F}">
  <sheetPr>
    <pageSetUpPr fitToPage="1"/>
  </sheetPr>
  <dimension ref="A1:AB8"/>
  <sheetViews>
    <sheetView zoomScale="160" zoomScaleNormal="160" workbookViewId="0">
      <selection activeCell="P10" sqref="P10"/>
    </sheetView>
  </sheetViews>
  <sheetFormatPr defaultRowHeight="14.4" x14ac:dyDescent="0.3"/>
  <cols>
    <col min="1" max="1" width="4.6640625" style="33" customWidth="1"/>
    <col min="2" max="2" width="20.77734375" style="33" hidden="1" customWidth="1"/>
    <col min="3" max="3" width="6.21875" style="33" customWidth="1"/>
    <col min="4" max="4" width="11.77734375" style="33" hidden="1" customWidth="1"/>
    <col min="5" max="5" width="9" style="33" customWidth="1"/>
    <col min="6" max="6" width="7.33203125" style="33" customWidth="1"/>
    <col min="7" max="7" width="7.5546875" style="33" customWidth="1"/>
    <col min="8" max="8" width="5.88671875" style="33" customWidth="1"/>
    <col min="9" max="10" width="6.6640625" style="33" customWidth="1"/>
    <col min="11" max="11" width="12.777343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88671875" style="33" customWidth="1"/>
    <col min="17" max="17" width="3.33203125" style="33" customWidth="1"/>
    <col min="18" max="18" width="4.77734375" style="33" customWidth="1"/>
    <col min="19" max="19" width="6.33203125" style="33" customWidth="1"/>
    <col min="20" max="20" width="11.77734375" style="33" hidden="1" customWidth="1"/>
    <col min="21" max="21" width="8.77734375" style="33" hidden="1" customWidth="1"/>
    <col min="22" max="22" width="8.109375" style="33" customWidth="1"/>
    <col min="23" max="24" width="7.5546875" style="33" customWidth="1"/>
    <col min="25" max="26" width="7.109375" style="33" customWidth="1"/>
    <col min="27" max="27" width="4.21875" style="33" customWidth="1"/>
    <col min="28" max="28" width="10.109375" style="33" customWidth="1"/>
    <col min="29" max="16384" width="8.88671875" style="33"/>
  </cols>
  <sheetData>
    <row r="1" spans="1:28" ht="18" customHeight="1" x14ac:dyDescent="0.35">
      <c r="A1" s="269" t="s">
        <v>278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57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ht="25.05" customHeight="1" x14ac:dyDescent="0.3">
      <c r="A3" s="41">
        <v>1</v>
      </c>
      <c r="B3" s="43" t="s">
        <v>273</v>
      </c>
      <c r="C3" s="41" t="s">
        <v>44</v>
      </c>
      <c r="D3" s="41" t="s">
        <v>272</v>
      </c>
      <c r="E3" s="41" t="s">
        <v>27</v>
      </c>
      <c r="F3" s="41">
        <v>262670</v>
      </c>
      <c r="G3" s="41" t="s">
        <v>271</v>
      </c>
      <c r="H3" s="41">
        <v>1050</v>
      </c>
      <c r="I3" s="42">
        <v>0.56899999999999995</v>
      </c>
      <c r="J3" s="42">
        <v>1.33</v>
      </c>
      <c r="K3" s="41" t="s">
        <v>277</v>
      </c>
      <c r="L3" s="38">
        <v>794.60799999999995</v>
      </c>
      <c r="M3" s="40">
        <v>698.3</v>
      </c>
      <c r="N3" s="37">
        <v>9.7000000000000003E-2</v>
      </c>
      <c r="O3" s="39">
        <v>5.82</v>
      </c>
      <c r="P3" s="36">
        <v>451.3</v>
      </c>
      <c r="Q3" s="36">
        <v>2</v>
      </c>
      <c r="R3" s="36">
        <v>1200</v>
      </c>
      <c r="S3" s="38">
        <v>1.1379999999999999</v>
      </c>
      <c r="T3" s="36">
        <v>62</v>
      </c>
      <c r="U3" s="37">
        <v>5.1700000000000003E-2</v>
      </c>
      <c r="V3" s="36" t="s">
        <v>34</v>
      </c>
      <c r="W3" s="36" t="s">
        <v>39</v>
      </c>
      <c r="X3" s="36" t="s">
        <v>34</v>
      </c>
      <c r="Y3" s="36" t="s">
        <v>34</v>
      </c>
      <c r="Z3" s="36" t="s">
        <v>34</v>
      </c>
      <c r="AA3" s="36" t="s">
        <v>30</v>
      </c>
      <c r="AB3" s="36" t="s">
        <v>276</v>
      </c>
    </row>
    <row r="4" spans="1:28" ht="25.05" customHeight="1" x14ac:dyDescent="0.3">
      <c r="A4" s="41">
        <v>2</v>
      </c>
      <c r="B4" s="43" t="s">
        <v>273</v>
      </c>
      <c r="C4" s="41" t="s">
        <v>44</v>
      </c>
      <c r="D4" s="41" t="s">
        <v>272</v>
      </c>
      <c r="E4" s="41" t="s">
        <v>27</v>
      </c>
      <c r="F4" s="41">
        <v>262669</v>
      </c>
      <c r="G4" s="41" t="s">
        <v>271</v>
      </c>
      <c r="H4" s="41">
        <v>3100</v>
      </c>
      <c r="I4" s="42">
        <v>1.119</v>
      </c>
      <c r="J4" s="42">
        <v>1.67</v>
      </c>
      <c r="K4" s="41" t="s">
        <v>275</v>
      </c>
      <c r="L4" s="38">
        <v>5793.0630000000001</v>
      </c>
      <c r="M4" s="40">
        <v>5177</v>
      </c>
      <c r="N4" s="37">
        <v>1.4380999999999999</v>
      </c>
      <c r="O4" s="39">
        <v>86.28</v>
      </c>
      <c r="P4" s="36">
        <v>3290.5</v>
      </c>
      <c r="Q4" s="36">
        <v>1</v>
      </c>
      <c r="R4" s="36">
        <v>1150</v>
      </c>
      <c r="S4" s="38">
        <v>1.119</v>
      </c>
      <c r="T4" s="36">
        <v>31</v>
      </c>
      <c r="U4" s="37">
        <v>2.7E-2</v>
      </c>
      <c r="V4" s="36" t="s">
        <v>34</v>
      </c>
      <c r="W4" s="36" t="s">
        <v>39</v>
      </c>
      <c r="X4" s="36" t="s">
        <v>34</v>
      </c>
      <c r="Y4" s="36" t="s">
        <v>34</v>
      </c>
      <c r="Z4" s="36" t="s">
        <v>34</v>
      </c>
      <c r="AA4" s="36" t="s">
        <v>64</v>
      </c>
      <c r="AB4" s="36" t="s">
        <v>274</v>
      </c>
    </row>
    <row r="5" spans="1:28" ht="25.05" customHeight="1" x14ac:dyDescent="0.3">
      <c r="A5" s="41">
        <v>3</v>
      </c>
      <c r="B5" s="43" t="s">
        <v>273</v>
      </c>
      <c r="C5" s="41" t="s">
        <v>44</v>
      </c>
      <c r="D5" s="41" t="s">
        <v>272</v>
      </c>
      <c r="E5" s="41" t="s">
        <v>27</v>
      </c>
      <c r="F5" s="41">
        <v>262668</v>
      </c>
      <c r="G5" s="41" t="s">
        <v>271</v>
      </c>
      <c r="H5" s="41">
        <v>4200</v>
      </c>
      <c r="I5" s="42">
        <v>0.879</v>
      </c>
      <c r="J5" s="42">
        <v>1.48</v>
      </c>
      <c r="K5" s="41" t="s">
        <v>270</v>
      </c>
      <c r="L5" s="38">
        <v>5463.8639999999996</v>
      </c>
      <c r="M5" s="40">
        <v>6216</v>
      </c>
      <c r="N5" s="37">
        <v>1.7266999999999999</v>
      </c>
      <c r="O5" s="39">
        <v>103.6</v>
      </c>
      <c r="P5" s="36">
        <v>3103.5</v>
      </c>
      <c r="Q5" s="36">
        <v>1</v>
      </c>
      <c r="R5" s="36">
        <v>900</v>
      </c>
      <c r="S5" s="38">
        <v>0.879</v>
      </c>
      <c r="T5" s="36">
        <v>21</v>
      </c>
      <c r="U5" s="37">
        <v>2.3300000000000001E-2</v>
      </c>
      <c r="V5" s="36" t="s">
        <v>34</v>
      </c>
      <c r="W5" s="36" t="s">
        <v>39</v>
      </c>
      <c r="X5" s="36" t="s">
        <v>34</v>
      </c>
      <c r="Y5" s="36" t="s">
        <v>34</v>
      </c>
      <c r="Z5" s="36" t="s">
        <v>34</v>
      </c>
      <c r="AA5" s="36" t="s">
        <v>269</v>
      </c>
      <c r="AB5" s="36" t="s">
        <v>268</v>
      </c>
    </row>
    <row r="6" spans="1:28" ht="25.05" customHeight="1" x14ac:dyDescent="0.3">
      <c r="A6" s="41">
        <v>4</v>
      </c>
      <c r="B6" s="43" t="s">
        <v>297</v>
      </c>
      <c r="C6" s="41" t="s">
        <v>26</v>
      </c>
      <c r="D6" s="84">
        <v>46286</v>
      </c>
      <c r="E6" s="41"/>
      <c r="F6" s="41">
        <v>262680</v>
      </c>
      <c r="G6" s="41">
        <v>1755</v>
      </c>
      <c r="H6" s="41">
        <v>400</v>
      </c>
      <c r="I6" s="42">
        <v>0.73</v>
      </c>
      <c r="J6" s="42">
        <v>1.98</v>
      </c>
      <c r="K6" s="41" t="s">
        <v>33</v>
      </c>
      <c r="L6" s="38">
        <v>578.16</v>
      </c>
      <c r="M6" s="40">
        <v>396</v>
      </c>
      <c r="N6" s="37">
        <v>5.5E-2</v>
      </c>
      <c r="O6" s="39">
        <v>3.3</v>
      </c>
      <c r="P6" s="36">
        <v>311.10000000000002</v>
      </c>
      <c r="Q6" s="36">
        <v>2</v>
      </c>
      <c r="R6" s="36">
        <v>1500</v>
      </c>
      <c r="S6" s="38">
        <v>1.46</v>
      </c>
      <c r="T6" s="36">
        <v>40</v>
      </c>
      <c r="U6" s="37">
        <v>2.6700000000000002E-2</v>
      </c>
      <c r="V6" s="36" t="s">
        <v>28</v>
      </c>
      <c r="W6" s="36" t="s">
        <v>29</v>
      </c>
      <c r="X6" s="36" t="s">
        <v>28</v>
      </c>
      <c r="Y6" s="36" t="s">
        <v>28</v>
      </c>
      <c r="Z6" s="36" t="s">
        <v>28</v>
      </c>
      <c r="AA6" s="36">
        <v>3</v>
      </c>
      <c r="AB6" s="36" t="s">
        <v>298</v>
      </c>
    </row>
    <row r="7" spans="1:28" ht="25.05" customHeight="1" x14ac:dyDescent="0.3">
      <c r="A7" s="35" t="s">
        <v>27</v>
      </c>
      <c r="B7" s="35" t="s">
        <v>27</v>
      </c>
      <c r="C7" s="35" t="s">
        <v>27</v>
      </c>
      <c r="D7" s="35" t="s">
        <v>27</v>
      </c>
      <c r="E7" s="35" t="s">
        <v>27</v>
      </c>
      <c r="F7" s="35" t="s">
        <v>27</v>
      </c>
      <c r="G7" s="35" t="s">
        <v>27</v>
      </c>
      <c r="H7" s="35">
        <v>8350</v>
      </c>
      <c r="I7" s="35" t="s">
        <v>27</v>
      </c>
      <c r="J7" s="35" t="s">
        <v>27</v>
      </c>
      <c r="K7" s="35" t="s">
        <v>27</v>
      </c>
      <c r="L7" s="34" t="s">
        <v>27</v>
      </c>
      <c r="M7" s="34" t="s">
        <v>27</v>
      </c>
      <c r="N7" s="34" t="s">
        <v>27</v>
      </c>
      <c r="O7" s="34" t="s">
        <v>27</v>
      </c>
      <c r="P7" s="34">
        <v>6845.3</v>
      </c>
      <c r="Q7" s="34" t="s">
        <v>27</v>
      </c>
      <c r="R7" s="34" t="s">
        <v>27</v>
      </c>
      <c r="S7" s="34" t="s">
        <v>27</v>
      </c>
      <c r="T7" s="34" t="s">
        <v>27</v>
      </c>
      <c r="U7" s="34" t="s">
        <v>27</v>
      </c>
      <c r="V7" s="34" t="s">
        <v>27</v>
      </c>
      <c r="W7" s="34" t="s">
        <v>27</v>
      </c>
      <c r="X7" s="34" t="s">
        <v>27</v>
      </c>
      <c r="Y7" s="34" t="s">
        <v>27</v>
      </c>
      <c r="Z7" s="34" t="s">
        <v>27</v>
      </c>
      <c r="AA7" s="34" t="s">
        <v>27</v>
      </c>
      <c r="AB7" s="34" t="s">
        <v>27</v>
      </c>
    </row>
    <row r="8" spans="1:28" ht="25.05" customHeight="1" x14ac:dyDescent="0.3"/>
  </sheetData>
  <mergeCells count="1">
    <mergeCell ref="A1:AB1"/>
  </mergeCells>
  <pageMargins left="0.511811024" right="0.511811024" top="1.17" bottom="0.78740157499999996" header="0.31496062000000002" footer="0.31496062000000002"/>
  <pageSetup paperSize="9" scale="97" orientation="landscape" horizontalDpi="360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031E-2A12-45DB-84D8-2B63EF3B2F74}">
  <dimension ref="A1:AB14"/>
  <sheetViews>
    <sheetView workbookViewId="0">
      <selection activeCell="I14" sqref="I14"/>
    </sheetView>
  </sheetViews>
  <sheetFormatPr defaultRowHeight="14.4" x14ac:dyDescent="0.3"/>
  <cols>
    <col min="1" max="1" width="3.5546875" style="33" customWidth="1"/>
    <col min="2" max="2" width="20.77734375" style="33" hidden="1" customWidth="1"/>
    <col min="3" max="3" width="6" style="33" customWidth="1"/>
    <col min="4" max="4" width="11.77734375" style="33" hidden="1" customWidth="1"/>
    <col min="5" max="5" width="8.77734375" style="33" customWidth="1"/>
    <col min="6" max="6" width="7" style="33" customWidth="1"/>
    <col min="7" max="7" width="8.6640625" style="33" customWidth="1"/>
    <col min="8" max="8" width="7.6640625" style="33" customWidth="1"/>
    <col min="9" max="9" width="6.5546875" style="33" customWidth="1"/>
    <col min="10" max="10" width="6.77734375" style="33" customWidth="1"/>
    <col min="11" max="11" width="13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21875" style="33" customWidth="1"/>
    <col min="17" max="17" width="3.77734375" style="33" customWidth="1"/>
    <col min="18" max="18" width="5.109375" style="33" customWidth="1"/>
    <col min="19" max="19" width="6.33203125" style="33" customWidth="1"/>
    <col min="20" max="20" width="11.77734375" style="33" hidden="1" customWidth="1"/>
    <col min="21" max="21" width="8.77734375" style="33" hidden="1" customWidth="1"/>
    <col min="22" max="23" width="7.5546875" style="33" customWidth="1"/>
    <col min="24" max="24" width="7.44140625" style="33" customWidth="1"/>
    <col min="25" max="25" width="8.109375" style="33" customWidth="1"/>
    <col min="26" max="26" width="7.77734375" style="33" customWidth="1"/>
    <col min="27" max="27" width="4.109375" style="33" customWidth="1"/>
    <col min="28" max="28" width="11.21875" style="33" customWidth="1"/>
    <col min="29" max="16384" width="8.88671875" style="33"/>
  </cols>
  <sheetData>
    <row r="1" spans="1:28" ht="18" customHeight="1" x14ac:dyDescent="0.35">
      <c r="A1" s="269" t="s">
        <v>264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59.4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51" customFormat="1" ht="25.05" customHeight="1" x14ac:dyDescent="0.3">
      <c r="A3" s="45">
        <v>1</v>
      </c>
      <c r="B3" s="46" t="s">
        <v>60</v>
      </c>
      <c r="C3" s="45" t="s">
        <v>26</v>
      </c>
      <c r="D3" s="45" t="s">
        <v>251</v>
      </c>
      <c r="E3" s="45" t="s">
        <v>27</v>
      </c>
      <c r="F3" s="45">
        <v>262658</v>
      </c>
      <c r="G3" s="45" t="s">
        <v>250</v>
      </c>
      <c r="H3" s="45">
        <v>300</v>
      </c>
      <c r="I3" s="47">
        <v>1.1539999999999999</v>
      </c>
      <c r="J3" s="47">
        <v>1.9710000000000001</v>
      </c>
      <c r="K3" s="45" t="s">
        <v>86</v>
      </c>
      <c r="L3" s="47">
        <v>682.36</v>
      </c>
      <c r="M3" s="48">
        <v>591.29999999999995</v>
      </c>
      <c r="N3" s="49">
        <v>0.1643</v>
      </c>
      <c r="O3" s="50">
        <v>9.86</v>
      </c>
      <c r="P3" s="45">
        <v>367.1</v>
      </c>
      <c r="Q3" s="45">
        <v>1</v>
      </c>
      <c r="R3" s="45">
        <v>1200</v>
      </c>
      <c r="S3" s="47">
        <v>1.1539999999999999</v>
      </c>
      <c r="T3" s="45">
        <v>46</v>
      </c>
      <c r="U3" s="49">
        <v>3.8300000000000001E-2</v>
      </c>
      <c r="V3" s="45" t="s">
        <v>28</v>
      </c>
      <c r="W3" s="45" t="s">
        <v>29</v>
      </c>
      <c r="X3" s="45" t="s">
        <v>28</v>
      </c>
      <c r="Y3" s="45" t="s">
        <v>28</v>
      </c>
      <c r="Z3" s="45" t="s">
        <v>28</v>
      </c>
      <c r="AA3" s="45" t="s">
        <v>32</v>
      </c>
      <c r="AB3" s="45" t="s">
        <v>85</v>
      </c>
    </row>
    <row r="4" spans="1:28" s="51" customFormat="1" ht="25.05" customHeight="1" x14ac:dyDescent="0.3">
      <c r="A4" s="45">
        <v>2</v>
      </c>
      <c r="B4" s="46" t="s">
        <v>60</v>
      </c>
      <c r="C4" s="45" t="s">
        <v>35</v>
      </c>
      <c r="D4" s="45" t="s">
        <v>251</v>
      </c>
      <c r="E4" s="45" t="s">
        <v>27</v>
      </c>
      <c r="F4" s="45">
        <v>262656</v>
      </c>
      <c r="G4" s="45" t="s">
        <v>250</v>
      </c>
      <c r="H4" s="45">
        <v>1000</v>
      </c>
      <c r="I4" s="47">
        <v>0.76200000000000001</v>
      </c>
      <c r="J4" s="47">
        <v>0.69299999999999995</v>
      </c>
      <c r="K4" s="45" t="s">
        <v>263</v>
      </c>
      <c r="L4" s="47">
        <v>528.06600000000003</v>
      </c>
      <c r="M4" s="48">
        <v>346.5</v>
      </c>
      <c r="N4" s="49">
        <v>4.8099999999999997E-2</v>
      </c>
      <c r="O4" s="50">
        <v>2.89</v>
      </c>
      <c r="P4" s="45">
        <v>166.3</v>
      </c>
      <c r="Q4" s="45">
        <v>2</v>
      </c>
      <c r="R4" s="45">
        <v>1550</v>
      </c>
      <c r="S4" s="47">
        <v>1.524</v>
      </c>
      <c r="T4" s="45">
        <v>26</v>
      </c>
      <c r="U4" s="49">
        <v>1.6799999999999999E-2</v>
      </c>
      <c r="V4" s="45" t="s">
        <v>28</v>
      </c>
      <c r="W4" s="45" t="s">
        <v>28</v>
      </c>
      <c r="X4" s="45" t="s">
        <v>28</v>
      </c>
      <c r="Y4" s="45" t="s">
        <v>27</v>
      </c>
      <c r="Z4" s="45" t="s">
        <v>27</v>
      </c>
      <c r="AA4" s="45" t="s">
        <v>38</v>
      </c>
      <c r="AB4" s="45" t="s">
        <v>262</v>
      </c>
    </row>
    <row r="5" spans="1:28" s="51" customFormat="1" ht="25.05" customHeight="1" x14ac:dyDescent="0.3">
      <c r="A5" s="45">
        <v>3</v>
      </c>
      <c r="B5" s="46" t="s">
        <v>60</v>
      </c>
      <c r="C5" s="45" t="s">
        <v>35</v>
      </c>
      <c r="D5" s="45" t="s">
        <v>251</v>
      </c>
      <c r="E5" s="45" t="s">
        <v>27</v>
      </c>
      <c r="F5" s="45">
        <v>262651</v>
      </c>
      <c r="G5" s="45" t="s">
        <v>250</v>
      </c>
      <c r="H5" s="45">
        <v>400</v>
      </c>
      <c r="I5" s="47">
        <v>0.48799999999999999</v>
      </c>
      <c r="J5" s="47">
        <v>1.2689999999999999</v>
      </c>
      <c r="K5" s="45" t="s">
        <v>33</v>
      </c>
      <c r="L5" s="47">
        <v>247.709</v>
      </c>
      <c r="M5" s="48">
        <v>169.2</v>
      </c>
      <c r="N5" s="49">
        <v>1.5699999999999999E-2</v>
      </c>
      <c r="O5" s="50">
        <v>0.94</v>
      </c>
      <c r="P5" s="45">
        <v>78</v>
      </c>
      <c r="Q5" s="45">
        <v>3</v>
      </c>
      <c r="R5" s="45">
        <v>1500</v>
      </c>
      <c r="S5" s="47">
        <v>1.464</v>
      </c>
      <c r="T5" s="45">
        <v>36</v>
      </c>
      <c r="U5" s="49">
        <v>2.4E-2</v>
      </c>
      <c r="V5" s="45" t="s">
        <v>28</v>
      </c>
      <c r="W5" s="45" t="s">
        <v>28</v>
      </c>
      <c r="X5" s="45" t="s">
        <v>28</v>
      </c>
      <c r="Y5" s="45" t="s">
        <v>27</v>
      </c>
      <c r="Z5" s="45" t="s">
        <v>27</v>
      </c>
      <c r="AA5" s="45" t="s">
        <v>38</v>
      </c>
      <c r="AB5" s="45" t="s">
        <v>261</v>
      </c>
    </row>
    <row r="6" spans="1:28" s="51" customFormat="1" ht="25.05" customHeight="1" x14ac:dyDescent="0.3">
      <c r="A6" s="45">
        <v>4</v>
      </c>
      <c r="B6" s="46" t="s">
        <v>60</v>
      </c>
      <c r="C6" s="45" t="s">
        <v>35</v>
      </c>
      <c r="D6" s="45" t="s">
        <v>251</v>
      </c>
      <c r="E6" s="45" t="s">
        <v>27</v>
      </c>
      <c r="F6" s="45">
        <v>262653</v>
      </c>
      <c r="G6" s="45" t="s">
        <v>250</v>
      </c>
      <c r="H6" s="45">
        <v>400</v>
      </c>
      <c r="I6" s="47">
        <v>0.46800000000000003</v>
      </c>
      <c r="J6" s="47">
        <v>1.1890000000000001</v>
      </c>
      <c r="K6" s="45" t="s">
        <v>33</v>
      </c>
      <c r="L6" s="47">
        <v>222.58099999999999</v>
      </c>
      <c r="M6" s="48">
        <v>158.5</v>
      </c>
      <c r="N6" s="49">
        <v>1.47E-2</v>
      </c>
      <c r="O6" s="50">
        <v>0.88</v>
      </c>
      <c r="P6" s="45">
        <v>70.099999999999994</v>
      </c>
      <c r="Q6" s="45">
        <v>3</v>
      </c>
      <c r="R6" s="45">
        <v>1450</v>
      </c>
      <c r="S6" s="47">
        <v>1.4039999999999999</v>
      </c>
      <c r="T6" s="45">
        <v>46</v>
      </c>
      <c r="U6" s="49">
        <v>3.1699999999999999E-2</v>
      </c>
      <c r="V6" s="45" t="s">
        <v>28</v>
      </c>
      <c r="W6" s="45" t="s">
        <v>28</v>
      </c>
      <c r="X6" s="45" t="s">
        <v>28</v>
      </c>
      <c r="Y6" s="45" t="s">
        <v>27</v>
      </c>
      <c r="Z6" s="45" t="s">
        <v>27</v>
      </c>
      <c r="AA6" s="45" t="s">
        <v>38</v>
      </c>
      <c r="AB6" s="45" t="s">
        <v>260</v>
      </c>
    </row>
    <row r="7" spans="1:28" s="51" customFormat="1" ht="25.05" customHeight="1" x14ac:dyDescent="0.3">
      <c r="A7" s="45">
        <v>5</v>
      </c>
      <c r="B7" s="46" t="s">
        <v>60</v>
      </c>
      <c r="C7" s="45" t="s">
        <v>35</v>
      </c>
      <c r="D7" s="45" t="s">
        <v>251</v>
      </c>
      <c r="E7" s="45" t="s">
        <v>27</v>
      </c>
      <c r="F7" s="45">
        <v>262654</v>
      </c>
      <c r="G7" s="45" t="s">
        <v>250</v>
      </c>
      <c r="H7" s="45">
        <v>600</v>
      </c>
      <c r="I7" s="47">
        <v>0.66400000000000003</v>
      </c>
      <c r="J7" s="47">
        <v>1.2490000000000001</v>
      </c>
      <c r="K7" s="45" t="s">
        <v>259</v>
      </c>
      <c r="L7" s="47">
        <v>497.60199999999998</v>
      </c>
      <c r="M7" s="48">
        <v>374.7</v>
      </c>
      <c r="N7" s="49">
        <v>5.1999999999999998E-2</v>
      </c>
      <c r="O7" s="50">
        <v>3.12</v>
      </c>
      <c r="P7" s="45">
        <v>156.69999999999999</v>
      </c>
      <c r="Q7" s="45">
        <v>2</v>
      </c>
      <c r="R7" s="45">
        <v>1350</v>
      </c>
      <c r="S7" s="47">
        <v>1.3280000000000001</v>
      </c>
      <c r="T7" s="45">
        <v>22</v>
      </c>
      <c r="U7" s="49">
        <v>1.6299999999999999E-2</v>
      </c>
      <c r="V7" s="45" t="s">
        <v>28</v>
      </c>
      <c r="W7" s="45" t="s">
        <v>28</v>
      </c>
      <c r="X7" s="45" t="s">
        <v>28</v>
      </c>
      <c r="Y7" s="45" t="s">
        <v>27</v>
      </c>
      <c r="Z7" s="45" t="s">
        <v>27</v>
      </c>
      <c r="AA7" s="45" t="s">
        <v>32</v>
      </c>
      <c r="AB7" s="45" t="s">
        <v>258</v>
      </c>
    </row>
    <row r="8" spans="1:28" s="51" customFormat="1" ht="25.05" customHeight="1" x14ac:dyDescent="0.3">
      <c r="A8" s="45">
        <v>6</v>
      </c>
      <c r="B8" s="46" t="s">
        <v>60</v>
      </c>
      <c r="C8" s="45" t="s">
        <v>35</v>
      </c>
      <c r="D8" s="45" t="s">
        <v>251</v>
      </c>
      <c r="E8" s="45" t="s">
        <v>27</v>
      </c>
      <c r="F8" s="45">
        <v>262657</v>
      </c>
      <c r="G8" s="45" t="s">
        <v>250</v>
      </c>
      <c r="H8" s="45">
        <v>600</v>
      </c>
      <c r="I8" s="47">
        <v>1.1519999999999999</v>
      </c>
      <c r="J8" s="47">
        <v>0.69299999999999995</v>
      </c>
      <c r="K8" s="45" t="s">
        <v>257</v>
      </c>
      <c r="L8" s="47">
        <v>479.00200000000001</v>
      </c>
      <c r="M8" s="48">
        <v>415.8</v>
      </c>
      <c r="N8" s="49">
        <v>0.11550000000000001</v>
      </c>
      <c r="O8" s="50">
        <v>6.93</v>
      </c>
      <c r="P8" s="45">
        <v>150.9</v>
      </c>
      <c r="Q8" s="45">
        <v>1</v>
      </c>
      <c r="R8" s="45">
        <v>1200</v>
      </c>
      <c r="S8" s="47">
        <v>1.1519999999999999</v>
      </c>
      <c r="T8" s="45">
        <v>48</v>
      </c>
      <c r="U8" s="49">
        <v>0.04</v>
      </c>
      <c r="V8" s="45" t="s">
        <v>28</v>
      </c>
      <c r="W8" s="45" t="s">
        <v>28</v>
      </c>
      <c r="X8" s="45" t="s">
        <v>28</v>
      </c>
      <c r="Y8" s="45" t="s">
        <v>27</v>
      </c>
      <c r="Z8" s="45" t="s">
        <v>27</v>
      </c>
      <c r="AA8" s="45" t="s">
        <v>38</v>
      </c>
      <c r="AB8" s="45" t="s">
        <v>256</v>
      </c>
    </row>
    <row r="9" spans="1:28" s="51" customFormat="1" ht="25.05" customHeight="1" x14ac:dyDescent="0.3">
      <c r="A9" s="45">
        <v>7</v>
      </c>
      <c r="B9" s="46" t="s">
        <v>60</v>
      </c>
      <c r="C9" s="45" t="s">
        <v>35</v>
      </c>
      <c r="D9" s="45" t="s">
        <v>251</v>
      </c>
      <c r="E9" s="45" t="s">
        <v>27</v>
      </c>
      <c r="F9" s="45">
        <v>262655</v>
      </c>
      <c r="G9" s="45" t="s">
        <v>250</v>
      </c>
      <c r="H9" s="45">
        <v>2500</v>
      </c>
      <c r="I9" s="47">
        <v>0.38400000000000001</v>
      </c>
      <c r="J9" s="47">
        <v>0.58299999999999996</v>
      </c>
      <c r="K9" s="45" t="s">
        <v>33</v>
      </c>
      <c r="L9" s="47">
        <v>559.67999999999995</v>
      </c>
      <c r="M9" s="48">
        <v>485.8</v>
      </c>
      <c r="N9" s="49">
        <v>4.4999999999999998E-2</v>
      </c>
      <c r="O9" s="50">
        <v>2.7</v>
      </c>
      <c r="P9" s="45">
        <v>176.3</v>
      </c>
      <c r="Q9" s="45">
        <v>3</v>
      </c>
      <c r="R9" s="45">
        <v>1200</v>
      </c>
      <c r="S9" s="47">
        <v>1.1519999999999999</v>
      </c>
      <c r="T9" s="45">
        <v>48</v>
      </c>
      <c r="U9" s="49">
        <v>0.04</v>
      </c>
      <c r="V9" s="45" t="s">
        <v>28</v>
      </c>
      <c r="W9" s="45" t="s">
        <v>28</v>
      </c>
      <c r="X9" s="45" t="s">
        <v>28</v>
      </c>
      <c r="Y9" s="45" t="s">
        <v>27</v>
      </c>
      <c r="Z9" s="45" t="s">
        <v>27</v>
      </c>
      <c r="AA9" s="45" t="s">
        <v>38</v>
      </c>
      <c r="AB9" s="45" t="s">
        <v>255</v>
      </c>
    </row>
    <row r="10" spans="1:28" s="51" customFormat="1" ht="25.05" customHeight="1" x14ac:dyDescent="0.3">
      <c r="A10" s="45">
        <v>8</v>
      </c>
      <c r="B10" s="46" t="s">
        <v>60</v>
      </c>
      <c r="C10" s="45" t="s">
        <v>35</v>
      </c>
      <c r="D10" s="45" t="s">
        <v>251</v>
      </c>
      <c r="E10" s="45" t="s">
        <v>27</v>
      </c>
      <c r="F10" s="45">
        <v>262652</v>
      </c>
      <c r="G10" s="45" t="s">
        <v>250</v>
      </c>
      <c r="H10" s="45">
        <v>400</v>
      </c>
      <c r="I10" s="47">
        <v>0.52800000000000002</v>
      </c>
      <c r="J10" s="47">
        <v>1.149</v>
      </c>
      <c r="K10" s="45" t="s">
        <v>33</v>
      </c>
      <c r="L10" s="47">
        <v>242.66900000000001</v>
      </c>
      <c r="M10" s="48">
        <v>229.8</v>
      </c>
      <c r="N10" s="49">
        <v>3.1899999999999998E-2</v>
      </c>
      <c r="O10" s="50">
        <v>1.92</v>
      </c>
      <c r="P10" s="45">
        <v>76.400000000000006</v>
      </c>
      <c r="Q10" s="45">
        <v>2</v>
      </c>
      <c r="R10" s="45">
        <v>1100</v>
      </c>
      <c r="S10" s="47">
        <v>1.056</v>
      </c>
      <c r="T10" s="45">
        <v>44</v>
      </c>
      <c r="U10" s="49">
        <v>0.04</v>
      </c>
      <c r="V10" s="45" t="s">
        <v>28</v>
      </c>
      <c r="W10" s="45" t="s">
        <v>28</v>
      </c>
      <c r="X10" s="45" t="s">
        <v>28</v>
      </c>
      <c r="Y10" s="45" t="s">
        <v>27</v>
      </c>
      <c r="Z10" s="45" t="s">
        <v>27</v>
      </c>
      <c r="AA10" s="45" t="s">
        <v>38</v>
      </c>
      <c r="AB10" s="45" t="s">
        <v>254</v>
      </c>
    </row>
    <row r="11" spans="1:28" s="51" customFormat="1" ht="25.05" customHeight="1" x14ac:dyDescent="0.3">
      <c r="A11" s="45">
        <v>9</v>
      </c>
      <c r="B11" s="46" t="s">
        <v>60</v>
      </c>
      <c r="C11" s="45" t="s">
        <v>35</v>
      </c>
      <c r="D11" s="45" t="s">
        <v>251</v>
      </c>
      <c r="E11" s="45" t="s">
        <v>27</v>
      </c>
      <c r="F11" s="45">
        <v>262660</v>
      </c>
      <c r="G11" s="45" t="s">
        <v>250</v>
      </c>
      <c r="H11" s="45">
        <v>1500</v>
      </c>
      <c r="I11" s="47">
        <v>0.42399999999999999</v>
      </c>
      <c r="J11" s="47">
        <v>0.78900000000000003</v>
      </c>
      <c r="K11" s="45" t="s">
        <v>253</v>
      </c>
      <c r="L11" s="47">
        <v>501.80399999999997</v>
      </c>
      <c r="M11" s="48">
        <v>591.79999999999995</v>
      </c>
      <c r="N11" s="49">
        <v>8.2199999999999995E-2</v>
      </c>
      <c r="O11" s="50">
        <v>4.93</v>
      </c>
      <c r="P11" s="45">
        <v>158.1</v>
      </c>
      <c r="Q11" s="45">
        <v>2</v>
      </c>
      <c r="R11" s="45">
        <v>900</v>
      </c>
      <c r="S11" s="47">
        <v>0.84799999999999998</v>
      </c>
      <c r="T11" s="45">
        <v>52</v>
      </c>
      <c r="U11" s="49">
        <v>5.7799999999999997E-2</v>
      </c>
      <c r="V11" s="45" t="s">
        <v>28</v>
      </c>
      <c r="W11" s="45" t="s">
        <v>28</v>
      </c>
      <c r="X11" s="45" t="s">
        <v>28</v>
      </c>
      <c r="Y11" s="45" t="s">
        <v>27</v>
      </c>
      <c r="Z11" s="45" t="s">
        <v>27</v>
      </c>
      <c r="AA11" s="45" t="s">
        <v>38</v>
      </c>
      <c r="AB11" s="45" t="s">
        <v>252</v>
      </c>
    </row>
    <row r="12" spans="1:28" s="51" customFormat="1" ht="25.05" customHeight="1" x14ac:dyDescent="0.3">
      <c r="A12" s="45">
        <v>10</v>
      </c>
      <c r="B12" s="46" t="s">
        <v>60</v>
      </c>
      <c r="C12" s="45" t="s">
        <v>35</v>
      </c>
      <c r="D12" s="45" t="s">
        <v>251</v>
      </c>
      <c r="E12" s="45" t="s">
        <v>27</v>
      </c>
      <c r="F12" s="45">
        <v>262659</v>
      </c>
      <c r="G12" s="45" t="s">
        <v>250</v>
      </c>
      <c r="H12" s="45">
        <v>3000</v>
      </c>
      <c r="I12" s="47">
        <v>0.36799999999999999</v>
      </c>
      <c r="J12" s="47">
        <v>0.72899999999999998</v>
      </c>
      <c r="K12" s="45" t="s">
        <v>249</v>
      </c>
      <c r="L12" s="47">
        <v>804.81600000000003</v>
      </c>
      <c r="M12" s="48">
        <v>1093.5</v>
      </c>
      <c r="N12" s="49">
        <v>0.15190000000000001</v>
      </c>
      <c r="O12" s="50">
        <v>9.11</v>
      </c>
      <c r="P12" s="45">
        <v>253.5</v>
      </c>
      <c r="Q12" s="45">
        <v>2</v>
      </c>
      <c r="R12" s="45">
        <v>800</v>
      </c>
      <c r="S12" s="47">
        <v>0.73599999999999999</v>
      </c>
      <c r="T12" s="45">
        <v>64</v>
      </c>
      <c r="U12" s="49">
        <v>0.08</v>
      </c>
      <c r="V12" s="45" t="s">
        <v>28</v>
      </c>
      <c r="W12" s="45" t="s">
        <v>28</v>
      </c>
      <c r="X12" s="45" t="s">
        <v>28</v>
      </c>
      <c r="Y12" s="45" t="s">
        <v>27</v>
      </c>
      <c r="Z12" s="45" t="s">
        <v>27</v>
      </c>
      <c r="AA12" s="45" t="s">
        <v>32</v>
      </c>
      <c r="AB12" s="45" t="s">
        <v>248</v>
      </c>
    </row>
    <row r="13" spans="1:28" s="51" customFormat="1" ht="25.05" customHeight="1" x14ac:dyDescent="0.3">
      <c r="A13" s="52" t="s">
        <v>27</v>
      </c>
      <c r="B13" s="52" t="s">
        <v>27</v>
      </c>
      <c r="C13" s="52" t="s">
        <v>27</v>
      </c>
      <c r="D13" s="52" t="s">
        <v>27</v>
      </c>
      <c r="E13" s="52" t="s">
        <v>27</v>
      </c>
      <c r="F13" s="52" t="s">
        <v>27</v>
      </c>
      <c r="G13" s="52" t="s">
        <v>27</v>
      </c>
      <c r="H13" s="52">
        <v>10700</v>
      </c>
      <c r="I13" s="52" t="s">
        <v>27</v>
      </c>
      <c r="J13" s="52" t="s">
        <v>27</v>
      </c>
      <c r="K13" s="52" t="s">
        <v>27</v>
      </c>
      <c r="L13" s="52" t="s">
        <v>27</v>
      </c>
      <c r="M13" s="52" t="s">
        <v>27</v>
      </c>
      <c r="N13" s="52" t="s">
        <v>27</v>
      </c>
      <c r="O13" s="52" t="s">
        <v>27</v>
      </c>
      <c r="P13" s="52">
        <v>1653.5</v>
      </c>
      <c r="Q13" s="52" t="s">
        <v>27</v>
      </c>
      <c r="R13" s="52" t="s">
        <v>27</v>
      </c>
      <c r="S13" s="52" t="s">
        <v>27</v>
      </c>
      <c r="T13" s="52" t="s">
        <v>27</v>
      </c>
      <c r="U13" s="52" t="s">
        <v>27</v>
      </c>
      <c r="V13" s="52" t="s">
        <v>27</v>
      </c>
      <c r="W13" s="52" t="s">
        <v>27</v>
      </c>
      <c r="X13" s="52" t="s">
        <v>27</v>
      </c>
      <c r="Y13" s="52" t="s">
        <v>27</v>
      </c>
      <c r="Z13" s="52" t="s">
        <v>27</v>
      </c>
      <c r="AA13" s="52" t="s">
        <v>27</v>
      </c>
      <c r="AB13" s="52" t="s">
        <v>27</v>
      </c>
    </row>
    <row r="14" spans="1:28" s="51" customFormat="1" x14ac:dyDescent="0.3"/>
  </sheetData>
  <mergeCells count="1">
    <mergeCell ref="A1:AB1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7729-461D-4869-88D8-71569C5BCEE0}">
  <dimension ref="A1:AB5"/>
  <sheetViews>
    <sheetView workbookViewId="0">
      <selection activeCell="Z39" sqref="Z39"/>
    </sheetView>
  </sheetViews>
  <sheetFormatPr defaultRowHeight="14.4" x14ac:dyDescent="0.3"/>
  <cols>
    <col min="1" max="1" width="3.21875" style="33" customWidth="1"/>
    <col min="2" max="2" width="20.77734375" style="33" hidden="1" customWidth="1"/>
    <col min="3" max="3" width="5.6640625" style="33" customWidth="1"/>
    <col min="4" max="4" width="11.77734375" style="33" hidden="1" customWidth="1"/>
    <col min="5" max="5" width="9.109375" style="33" customWidth="1"/>
    <col min="6" max="6" width="7.21875" style="33" customWidth="1"/>
    <col min="7" max="7" width="6.21875" style="33" customWidth="1"/>
    <col min="8" max="8" width="6" style="33" customWidth="1"/>
    <col min="9" max="9" width="6.5546875" style="33" customWidth="1"/>
    <col min="10" max="10" width="6.44140625" style="33" customWidth="1"/>
    <col min="11" max="11" width="12.1093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5.77734375" style="33" customWidth="1"/>
    <col min="17" max="17" width="3.6640625" style="33" customWidth="1"/>
    <col min="18" max="18" width="5.6640625" style="33" customWidth="1"/>
    <col min="19" max="19" width="5.33203125" style="33" customWidth="1"/>
    <col min="20" max="20" width="11.77734375" style="33" hidden="1" customWidth="1"/>
    <col min="21" max="21" width="8.77734375" style="33" hidden="1" customWidth="1"/>
    <col min="22" max="22" width="7.109375" style="33" customWidth="1"/>
    <col min="23" max="23" width="6.88671875" style="33" customWidth="1"/>
    <col min="24" max="24" width="7.21875" style="33" customWidth="1"/>
    <col min="25" max="25" width="7.33203125" style="33" customWidth="1"/>
    <col min="26" max="26" width="7.5546875" style="33" customWidth="1"/>
    <col min="27" max="27" width="3.5546875" style="33" customWidth="1"/>
    <col min="28" max="28" width="9.77734375" style="33" customWidth="1"/>
    <col min="29" max="16384" width="8.88671875" style="33"/>
  </cols>
  <sheetData>
    <row r="1" spans="1:28" ht="18" customHeight="1" x14ac:dyDescent="0.35">
      <c r="A1" s="273" t="s">
        <v>247</v>
      </c>
      <c r="B1" s="273" t="s">
        <v>27</v>
      </c>
      <c r="C1" s="273" t="s">
        <v>27</v>
      </c>
      <c r="D1" s="273" t="s">
        <v>27</v>
      </c>
      <c r="E1" s="273" t="s">
        <v>27</v>
      </c>
      <c r="F1" s="273" t="s">
        <v>27</v>
      </c>
      <c r="G1" s="273" t="s">
        <v>27</v>
      </c>
      <c r="H1" s="273" t="s">
        <v>27</v>
      </c>
      <c r="I1" s="273" t="s">
        <v>27</v>
      </c>
      <c r="J1" s="273" t="s">
        <v>27</v>
      </c>
      <c r="K1" s="273" t="s">
        <v>27</v>
      </c>
      <c r="L1" s="273" t="s">
        <v>27</v>
      </c>
      <c r="M1" s="273" t="s">
        <v>27</v>
      </c>
      <c r="N1" s="273" t="s">
        <v>27</v>
      </c>
      <c r="O1" s="273" t="s">
        <v>27</v>
      </c>
      <c r="P1" s="273" t="s">
        <v>27</v>
      </c>
      <c r="Q1" s="273" t="s">
        <v>27</v>
      </c>
      <c r="R1" s="273" t="s">
        <v>27</v>
      </c>
      <c r="S1" s="273" t="s">
        <v>27</v>
      </c>
      <c r="T1" s="273" t="s">
        <v>27</v>
      </c>
      <c r="U1" s="273" t="s">
        <v>27</v>
      </c>
      <c r="V1" s="273" t="s">
        <v>27</v>
      </c>
      <c r="W1" s="273" t="s">
        <v>27</v>
      </c>
      <c r="X1" s="273" t="s">
        <v>27</v>
      </c>
      <c r="Y1" s="273" t="s">
        <v>27</v>
      </c>
      <c r="Z1" s="273" t="s">
        <v>27</v>
      </c>
      <c r="AA1" s="273" t="s">
        <v>27</v>
      </c>
      <c r="AB1" s="273" t="s">
        <v>27</v>
      </c>
    </row>
    <row r="2" spans="1:28" ht="60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x14ac:dyDescent="0.3">
      <c r="A3" s="41">
        <v>1</v>
      </c>
      <c r="B3" s="43" t="s">
        <v>84</v>
      </c>
      <c r="C3" s="41" t="s">
        <v>81</v>
      </c>
      <c r="D3" s="41" t="s">
        <v>243</v>
      </c>
      <c r="E3" s="41" t="s">
        <v>27</v>
      </c>
      <c r="F3" s="41">
        <v>262649</v>
      </c>
      <c r="G3" s="41" t="s">
        <v>246</v>
      </c>
      <c r="H3" s="41">
        <v>2600</v>
      </c>
      <c r="I3" s="42">
        <v>0.49199999999999999</v>
      </c>
      <c r="J3" s="42">
        <v>1.2629999999999999</v>
      </c>
      <c r="K3" s="41" t="s">
        <v>245</v>
      </c>
      <c r="L3" s="38">
        <v>1615.63</v>
      </c>
      <c r="M3" s="40">
        <v>1641.9</v>
      </c>
      <c r="N3" s="37">
        <v>0.22800000000000001</v>
      </c>
      <c r="O3" s="39">
        <v>13.68</v>
      </c>
      <c r="P3" s="36">
        <v>589.70000000000005</v>
      </c>
      <c r="Q3" s="36">
        <v>2</v>
      </c>
      <c r="R3" s="36">
        <v>1050</v>
      </c>
      <c r="S3" s="38">
        <v>0.98399999999999999</v>
      </c>
      <c r="T3" s="36">
        <v>66</v>
      </c>
      <c r="U3" s="37">
        <v>6.2899999999999998E-2</v>
      </c>
      <c r="V3" s="36" t="s">
        <v>41</v>
      </c>
      <c r="W3" s="36" t="s">
        <v>29</v>
      </c>
      <c r="X3" s="36" t="s">
        <v>28</v>
      </c>
      <c r="Y3" s="36" t="s">
        <v>27</v>
      </c>
      <c r="Z3" s="36" t="s">
        <v>27</v>
      </c>
      <c r="AA3" s="36" t="s">
        <v>31</v>
      </c>
      <c r="AB3" s="36" t="s">
        <v>244</v>
      </c>
    </row>
    <row r="4" spans="1:28" x14ac:dyDescent="0.3">
      <c r="A4" s="41">
        <v>2</v>
      </c>
      <c r="B4" s="43" t="s">
        <v>84</v>
      </c>
      <c r="C4" s="41" t="s">
        <v>81</v>
      </c>
      <c r="D4" s="41" t="s">
        <v>243</v>
      </c>
      <c r="E4" s="41" t="s">
        <v>27</v>
      </c>
      <c r="F4" s="41">
        <v>262650</v>
      </c>
      <c r="G4" s="41" t="s">
        <v>242</v>
      </c>
      <c r="H4" s="41">
        <v>2300</v>
      </c>
      <c r="I4" s="42">
        <v>0.45700000000000002</v>
      </c>
      <c r="J4" s="42">
        <v>1.393</v>
      </c>
      <c r="K4" s="41" t="s">
        <v>241</v>
      </c>
      <c r="L4" s="38">
        <v>1464.182</v>
      </c>
      <c r="M4" s="40">
        <v>1602</v>
      </c>
      <c r="N4" s="37">
        <v>0.2225</v>
      </c>
      <c r="O4" s="39">
        <v>13.35</v>
      </c>
      <c r="P4" s="36">
        <v>534.4</v>
      </c>
      <c r="Q4" s="36">
        <v>2</v>
      </c>
      <c r="R4" s="36">
        <v>950</v>
      </c>
      <c r="S4" s="38">
        <v>0.91400000000000003</v>
      </c>
      <c r="T4" s="36">
        <v>36</v>
      </c>
      <c r="U4" s="37">
        <v>3.7900000000000003E-2</v>
      </c>
      <c r="V4" s="36" t="s">
        <v>41</v>
      </c>
      <c r="W4" s="36" t="s">
        <v>29</v>
      </c>
      <c r="X4" s="36" t="s">
        <v>28</v>
      </c>
      <c r="Y4" s="36" t="s">
        <v>27</v>
      </c>
      <c r="Z4" s="36" t="s">
        <v>27</v>
      </c>
      <c r="AA4" s="36" t="s">
        <v>30</v>
      </c>
      <c r="AB4" s="36" t="s">
        <v>240</v>
      </c>
    </row>
    <row r="5" spans="1:28" x14ac:dyDescent="0.3">
      <c r="A5" s="35" t="s">
        <v>27</v>
      </c>
      <c r="B5" s="35" t="s">
        <v>27</v>
      </c>
      <c r="C5" s="35" t="s">
        <v>27</v>
      </c>
      <c r="D5" s="35" t="s">
        <v>27</v>
      </c>
      <c r="E5" s="35" t="s">
        <v>27</v>
      </c>
      <c r="F5" s="35" t="s">
        <v>27</v>
      </c>
      <c r="G5" s="35" t="s">
        <v>27</v>
      </c>
      <c r="H5" s="35">
        <v>4900</v>
      </c>
      <c r="I5" s="35" t="s">
        <v>27</v>
      </c>
      <c r="J5" s="35" t="s">
        <v>27</v>
      </c>
      <c r="K5" s="35" t="s">
        <v>27</v>
      </c>
      <c r="L5" s="34" t="s">
        <v>27</v>
      </c>
      <c r="M5" s="34" t="s">
        <v>27</v>
      </c>
      <c r="N5" s="34" t="s">
        <v>27</v>
      </c>
      <c r="O5" s="34" t="s">
        <v>27</v>
      </c>
      <c r="P5" s="34">
        <v>1124.0999999999999</v>
      </c>
      <c r="Q5" s="34" t="s">
        <v>27</v>
      </c>
      <c r="R5" s="34" t="s">
        <v>27</v>
      </c>
      <c r="S5" s="34" t="s">
        <v>27</v>
      </c>
      <c r="T5" s="34" t="s">
        <v>27</v>
      </c>
      <c r="U5" s="34" t="s">
        <v>27</v>
      </c>
      <c r="V5" s="34" t="s">
        <v>27</v>
      </c>
      <c r="W5" s="34" t="s">
        <v>27</v>
      </c>
      <c r="X5" s="34" t="s">
        <v>27</v>
      </c>
      <c r="Y5" s="34" t="s">
        <v>27</v>
      </c>
      <c r="Z5" s="34" t="s">
        <v>27</v>
      </c>
      <c r="AA5" s="34" t="s">
        <v>27</v>
      </c>
      <c r="AB5" s="34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EA62-D4C1-4F97-B5A0-F9D378B5F3A6}">
  <sheetPr>
    <pageSetUpPr fitToPage="1"/>
  </sheetPr>
  <dimension ref="A1:AB28"/>
  <sheetViews>
    <sheetView zoomScale="99" zoomScaleNormal="99" workbookViewId="0">
      <selection activeCell="AC2" sqref="AC2"/>
    </sheetView>
  </sheetViews>
  <sheetFormatPr defaultRowHeight="14.4" x14ac:dyDescent="0.3"/>
  <cols>
    <col min="1" max="1" width="4.5546875" style="33" customWidth="1"/>
    <col min="2" max="2" width="20.77734375" style="33" hidden="1" customWidth="1"/>
    <col min="3" max="3" width="5.88671875" style="33" customWidth="1"/>
    <col min="4" max="4" width="11.77734375" style="33" hidden="1" customWidth="1"/>
    <col min="5" max="5" width="8.109375" style="33" customWidth="1"/>
    <col min="6" max="6" width="7.21875" style="33" customWidth="1"/>
    <col min="7" max="7" width="5" style="33" customWidth="1"/>
    <col min="8" max="8" width="6.33203125" style="33" customWidth="1"/>
    <col min="9" max="9" width="6.44140625" style="33" customWidth="1"/>
    <col min="10" max="10" width="6.21875" style="33" customWidth="1"/>
    <col min="11" max="11" width="12.55468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6.33203125" style="33" customWidth="1"/>
    <col min="17" max="17" width="4.77734375" style="33" customWidth="1"/>
    <col min="18" max="18" width="6.21875" style="33" customWidth="1"/>
    <col min="19" max="19" width="6.44140625" style="33" customWidth="1"/>
    <col min="20" max="20" width="11.77734375" style="33" hidden="1" customWidth="1"/>
    <col min="21" max="21" width="8.77734375" style="33" hidden="1" customWidth="1"/>
    <col min="22" max="22" width="7.44140625" style="33" customWidth="1"/>
    <col min="23" max="23" width="8.109375" style="33" customWidth="1"/>
    <col min="24" max="24" width="7.44140625" style="33" customWidth="1"/>
    <col min="25" max="25" width="7.21875" style="33" customWidth="1"/>
    <col min="26" max="26" width="6.88671875" style="33" customWidth="1"/>
    <col min="27" max="27" width="4.88671875" style="33" customWidth="1"/>
    <col min="28" max="28" width="11.109375" style="33" customWidth="1"/>
    <col min="29" max="16384" width="8.88671875" style="33"/>
  </cols>
  <sheetData>
    <row r="1" spans="1:28" ht="18" customHeight="1" x14ac:dyDescent="0.35">
      <c r="A1" s="269" t="s">
        <v>234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52.8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90" customFormat="1" ht="25.05" customHeight="1" x14ac:dyDescent="0.3">
      <c r="A3" s="91">
        <v>1</v>
      </c>
      <c r="B3" s="92" t="s">
        <v>58</v>
      </c>
      <c r="C3" s="91" t="s">
        <v>26</v>
      </c>
      <c r="D3" s="91" t="s">
        <v>443</v>
      </c>
      <c r="E3" s="91" t="s">
        <v>27</v>
      </c>
      <c r="F3" s="91">
        <v>262778</v>
      </c>
      <c r="G3" s="91" t="s">
        <v>442</v>
      </c>
      <c r="H3" s="91">
        <v>430</v>
      </c>
      <c r="I3" s="93">
        <v>0.752</v>
      </c>
      <c r="J3" s="93">
        <v>1.64</v>
      </c>
      <c r="K3" s="91" t="s">
        <v>450</v>
      </c>
      <c r="L3" s="93">
        <v>530.30999999999995</v>
      </c>
      <c r="M3" s="94">
        <v>352.6</v>
      </c>
      <c r="N3" s="95">
        <v>4.9000000000000002E-2</v>
      </c>
      <c r="O3" s="96">
        <v>2.94</v>
      </c>
      <c r="P3" s="91">
        <v>285.3</v>
      </c>
      <c r="Q3" s="91">
        <v>2</v>
      </c>
      <c r="R3" s="91">
        <v>1550</v>
      </c>
      <c r="S3" s="93">
        <v>1.504</v>
      </c>
      <c r="T3" s="91">
        <v>46</v>
      </c>
      <c r="U3" s="95">
        <v>2.9700000000000001E-2</v>
      </c>
      <c r="V3" s="91" t="s">
        <v>28</v>
      </c>
      <c r="W3" s="91" t="s">
        <v>29</v>
      </c>
      <c r="X3" s="91" t="s">
        <v>28</v>
      </c>
      <c r="Y3" s="91" t="s">
        <v>28</v>
      </c>
      <c r="Z3" s="91" t="s">
        <v>28</v>
      </c>
      <c r="AA3" s="91" t="s">
        <v>30</v>
      </c>
      <c r="AB3" s="91" t="s">
        <v>449</v>
      </c>
    </row>
    <row r="4" spans="1:28" s="90" customFormat="1" ht="25.05" customHeight="1" x14ac:dyDescent="0.3">
      <c r="A4" s="91">
        <v>2</v>
      </c>
      <c r="B4" s="92" t="s">
        <v>58</v>
      </c>
      <c r="C4" s="91" t="s">
        <v>26</v>
      </c>
      <c r="D4" s="91" t="s">
        <v>443</v>
      </c>
      <c r="E4" s="91" t="s">
        <v>27</v>
      </c>
      <c r="F4" s="91">
        <v>262777</v>
      </c>
      <c r="G4" s="91" t="s">
        <v>448</v>
      </c>
      <c r="H4" s="91">
        <v>450</v>
      </c>
      <c r="I4" s="93">
        <v>0.73299999999999998</v>
      </c>
      <c r="J4" s="93">
        <v>2.11</v>
      </c>
      <c r="K4" s="91" t="s">
        <v>447</v>
      </c>
      <c r="L4" s="93">
        <v>695.98299999999995</v>
      </c>
      <c r="M4" s="94">
        <v>474.8</v>
      </c>
      <c r="N4" s="95">
        <v>6.59E-2</v>
      </c>
      <c r="O4" s="96">
        <v>3.96</v>
      </c>
      <c r="P4" s="91">
        <v>374.4</v>
      </c>
      <c r="Q4" s="91">
        <v>2</v>
      </c>
      <c r="R4" s="91">
        <v>1500</v>
      </c>
      <c r="S4" s="93">
        <v>1.466</v>
      </c>
      <c r="T4" s="91">
        <v>34</v>
      </c>
      <c r="U4" s="95">
        <v>2.2700000000000001E-2</v>
      </c>
      <c r="V4" s="91" t="s">
        <v>28</v>
      </c>
      <c r="W4" s="91" t="s">
        <v>29</v>
      </c>
      <c r="X4" s="91" t="s">
        <v>28</v>
      </c>
      <c r="Y4" s="91" t="s">
        <v>28</v>
      </c>
      <c r="Z4" s="91" t="s">
        <v>28</v>
      </c>
      <c r="AA4" s="91" t="s">
        <v>30</v>
      </c>
      <c r="AB4" s="91" t="s">
        <v>446</v>
      </c>
    </row>
    <row r="5" spans="1:28" s="90" customFormat="1" ht="25.05" customHeight="1" x14ac:dyDescent="0.3">
      <c r="A5" s="91">
        <v>3</v>
      </c>
      <c r="B5" s="92" t="s">
        <v>58</v>
      </c>
      <c r="C5" s="91" t="s">
        <v>26</v>
      </c>
      <c r="D5" s="91" t="s">
        <v>379</v>
      </c>
      <c r="E5" s="91" t="s">
        <v>27</v>
      </c>
      <c r="F5" s="91">
        <v>262774</v>
      </c>
      <c r="G5" s="91" t="s">
        <v>397</v>
      </c>
      <c r="H5" s="91">
        <v>550</v>
      </c>
      <c r="I5" s="93">
        <v>0.70699999999999996</v>
      </c>
      <c r="J5" s="93">
        <v>1.4990000000000001</v>
      </c>
      <c r="K5" s="91" t="s">
        <v>396</v>
      </c>
      <c r="L5" s="93">
        <v>582.88599999999997</v>
      </c>
      <c r="M5" s="94">
        <v>412.2</v>
      </c>
      <c r="N5" s="95">
        <v>5.7299999999999997E-2</v>
      </c>
      <c r="O5" s="96">
        <v>3.44</v>
      </c>
      <c r="P5" s="91">
        <v>313.60000000000002</v>
      </c>
      <c r="Q5" s="91">
        <v>2</v>
      </c>
      <c r="R5" s="91">
        <v>1450</v>
      </c>
      <c r="S5" s="93">
        <v>1.4139999999999999</v>
      </c>
      <c r="T5" s="91">
        <v>36</v>
      </c>
      <c r="U5" s="95">
        <v>2.4799999999999999E-2</v>
      </c>
      <c r="V5" s="91" t="s">
        <v>28</v>
      </c>
      <c r="W5" s="91" t="s">
        <v>29</v>
      </c>
      <c r="X5" s="91" t="s">
        <v>28</v>
      </c>
      <c r="Y5" s="91" t="s">
        <v>28</v>
      </c>
      <c r="Z5" s="91" t="s">
        <v>28</v>
      </c>
      <c r="AA5" s="91" t="s">
        <v>30</v>
      </c>
      <c r="AB5" s="91" t="s">
        <v>445</v>
      </c>
    </row>
    <row r="6" spans="1:28" s="90" customFormat="1" ht="25.05" customHeight="1" x14ac:dyDescent="0.3">
      <c r="A6" s="91">
        <v>4</v>
      </c>
      <c r="B6" s="92" t="s">
        <v>58</v>
      </c>
      <c r="C6" s="91" t="s">
        <v>26</v>
      </c>
      <c r="D6" s="91" t="s">
        <v>379</v>
      </c>
      <c r="E6" s="91" t="s">
        <v>27</v>
      </c>
      <c r="F6" s="91">
        <v>262775</v>
      </c>
      <c r="G6" s="91" t="s">
        <v>397</v>
      </c>
      <c r="H6" s="91">
        <v>385</v>
      </c>
      <c r="I6" s="93">
        <v>0.71299999999999997</v>
      </c>
      <c r="J6" s="93">
        <v>2.0990000000000002</v>
      </c>
      <c r="K6" s="91" t="s">
        <v>399</v>
      </c>
      <c r="L6" s="93">
        <v>576.18600000000004</v>
      </c>
      <c r="M6" s="94">
        <v>404.1</v>
      </c>
      <c r="N6" s="95">
        <v>5.6099999999999997E-2</v>
      </c>
      <c r="O6" s="96">
        <v>3.37</v>
      </c>
      <c r="P6" s="91">
        <v>310</v>
      </c>
      <c r="Q6" s="91">
        <v>2</v>
      </c>
      <c r="R6" s="91">
        <v>1450</v>
      </c>
      <c r="S6" s="93">
        <v>1.4259999999999999</v>
      </c>
      <c r="T6" s="91">
        <v>24</v>
      </c>
      <c r="U6" s="95">
        <v>1.66E-2</v>
      </c>
      <c r="V6" s="91" t="s">
        <v>28</v>
      </c>
      <c r="W6" s="91" t="s">
        <v>29</v>
      </c>
      <c r="X6" s="91" t="s">
        <v>28</v>
      </c>
      <c r="Y6" s="91" t="s">
        <v>28</v>
      </c>
      <c r="Z6" s="91" t="s">
        <v>28</v>
      </c>
      <c r="AA6" s="91" t="s">
        <v>32</v>
      </c>
      <c r="AB6" s="91" t="s">
        <v>398</v>
      </c>
    </row>
    <row r="7" spans="1:28" s="90" customFormat="1" ht="25.05" customHeight="1" x14ac:dyDescent="0.3">
      <c r="A7" s="91">
        <v>5</v>
      </c>
      <c r="B7" s="92" t="s">
        <v>58</v>
      </c>
      <c r="C7" s="91" t="s">
        <v>26</v>
      </c>
      <c r="D7" s="91" t="s">
        <v>251</v>
      </c>
      <c r="E7" s="91" t="s">
        <v>27</v>
      </c>
      <c r="F7" s="91">
        <v>262767</v>
      </c>
      <c r="G7" s="91" t="s">
        <v>280</v>
      </c>
      <c r="H7" s="91">
        <v>400</v>
      </c>
      <c r="I7" s="93">
        <v>1.3520000000000001</v>
      </c>
      <c r="J7" s="93">
        <v>2.339</v>
      </c>
      <c r="K7" s="91" t="s">
        <v>279</v>
      </c>
      <c r="L7" s="93">
        <v>1264.931</v>
      </c>
      <c r="M7" s="94">
        <v>935.6</v>
      </c>
      <c r="N7" s="95">
        <v>0.25990000000000002</v>
      </c>
      <c r="O7" s="96">
        <v>15.59</v>
      </c>
      <c r="P7" s="91">
        <v>680.5</v>
      </c>
      <c r="Q7" s="91">
        <v>1</v>
      </c>
      <c r="R7" s="91">
        <v>1400</v>
      </c>
      <c r="S7" s="93">
        <v>1.3520000000000001</v>
      </c>
      <c r="T7" s="91">
        <v>48</v>
      </c>
      <c r="U7" s="95">
        <v>3.4299999999999997E-2</v>
      </c>
      <c r="V7" s="91" t="s">
        <v>28</v>
      </c>
      <c r="W7" s="91" t="s">
        <v>29</v>
      </c>
      <c r="X7" s="91" t="s">
        <v>28</v>
      </c>
      <c r="Y7" s="91" t="s">
        <v>28</v>
      </c>
      <c r="Z7" s="91" t="s">
        <v>28</v>
      </c>
      <c r="AA7" s="91" t="s">
        <v>30</v>
      </c>
      <c r="AB7" s="91" t="s">
        <v>444</v>
      </c>
    </row>
    <row r="8" spans="1:28" s="90" customFormat="1" ht="25.05" customHeight="1" x14ac:dyDescent="0.3">
      <c r="A8" s="186">
        <v>6</v>
      </c>
      <c r="B8" s="187" t="s">
        <v>58</v>
      </c>
      <c r="C8" s="186" t="s">
        <v>26</v>
      </c>
      <c r="D8" s="186" t="s">
        <v>251</v>
      </c>
      <c r="E8" s="186" t="s">
        <v>27</v>
      </c>
      <c r="F8" s="186">
        <v>262770</v>
      </c>
      <c r="G8" s="186" t="s">
        <v>280</v>
      </c>
      <c r="H8" s="186">
        <v>400</v>
      </c>
      <c r="I8" s="188">
        <v>1.3720000000000001</v>
      </c>
      <c r="J8" s="188">
        <v>2.38</v>
      </c>
      <c r="K8" s="186" t="s">
        <v>284</v>
      </c>
      <c r="L8" s="188">
        <v>1306.144</v>
      </c>
      <c r="M8" s="189">
        <v>952</v>
      </c>
      <c r="N8" s="190">
        <v>0.26440000000000002</v>
      </c>
      <c r="O8" s="191">
        <v>15.87</v>
      </c>
      <c r="P8" s="186">
        <v>702.7</v>
      </c>
      <c r="Q8" s="186">
        <v>1</v>
      </c>
      <c r="R8" s="186">
        <v>1400</v>
      </c>
      <c r="S8" s="188">
        <v>1.3720000000000001</v>
      </c>
      <c r="T8" s="186">
        <v>28</v>
      </c>
      <c r="U8" s="190">
        <v>0.02</v>
      </c>
      <c r="V8" s="186" t="s">
        <v>28</v>
      </c>
      <c r="W8" s="186" t="s">
        <v>29</v>
      </c>
      <c r="X8" s="186" t="s">
        <v>28</v>
      </c>
      <c r="Y8" s="186" t="s">
        <v>28</v>
      </c>
      <c r="Z8" s="186" t="s">
        <v>28</v>
      </c>
      <c r="AA8" s="186" t="s">
        <v>30</v>
      </c>
      <c r="AB8" s="186" t="s">
        <v>283</v>
      </c>
    </row>
    <row r="9" spans="1:28" s="90" customFormat="1" ht="25.05" customHeight="1" x14ac:dyDescent="0.3">
      <c r="A9" s="91">
        <v>7</v>
      </c>
      <c r="B9" s="92" t="s">
        <v>58</v>
      </c>
      <c r="C9" s="91" t="s">
        <v>26</v>
      </c>
      <c r="D9" s="91" t="s">
        <v>251</v>
      </c>
      <c r="E9" s="91" t="s">
        <v>27</v>
      </c>
      <c r="F9" s="91">
        <v>262768</v>
      </c>
      <c r="G9" s="91" t="s">
        <v>280</v>
      </c>
      <c r="H9" s="91">
        <v>400</v>
      </c>
      <c r="I9" s="93">
        <v>1.1519999999999999</v>
      </c>
      <c r="J9" s="93">
        <v>2.34</v>
      </c>
      <c r="K9" s="91" t="s">
        <v>282</v>
      </c>
      <c r="L9" s="93">
        <v>1078.2719999999999</v>
      </c>
      <c r="M9" s="94">
        <v>936</v>
      </c>
      <c r="N9" s="95">
        <v>0.26</v>
      </c>
      <c r="O9" s="96">
        <v>15.6</v>
      </c>
      <c r="P9" s="91">
        <v>580.1</v>
      </c>
      <c r="Q9" s="91">
        <v>1</v>
      </c>
      <c r="R9" s="91">
        <v>1200</v>
      </c>
      <c r="S9" s="93">
        <v>1.1519999999999999</v>
      </c>
      <c r="T9" s="91">
        <v>48</v>
      </c>
      <c r="U9" s="95">
        <v>0.04</v>
      </c>
      <c r="V9" s="91" t="s">
        <v>28</v>
      </c>
      <c r="W9" s="91" t="s">
        <v>29</v>
      </c>
      <c r="X9" s="91" t="s">
        <v>28</v>
      </c>
      <c r="Y9" s="91" t="s">
        <v>28</v>
      </c>
      <c r="Z9" s="91" t="s">
        <v>28</v>
      </c>
      <c r="AA9" s="91" t="s">
        <v>30</v>
      </c>
      <c r="AB9" s="91" t="s">
        <v>281</v>
      </c>
    </row>
    <row r="10" spans="1:28" s="90" customFormat="1" ht="25.05" customHeight="1" x14ac:dyDescent="0.3">
      <c r="A10" s="91">
        <v>8</v>
      </c>
      <c r="B10" s="92" t="s">
        <v>58</v>
      </c>
      <c r="C10" s="91" t="s">
        <v>26</v>
      </c>
      <c r="D10" s="91" t="s">
        <v>379</v>
      </c>
      <c r="E10" s="91" t="s">
        <v>27</v>
      </c>
      <c r="F10" s="91">
        <v>262776</v>
      </c>
      <c r="G10" s="91" t="s">
        <v>397</v>
      </c>
      <c r="H10" s="91">
        <v>285</v>
      </c>
      <c r="I10" s="93">
        <v>0.96199999999999997</v>
      </c>
      <c r="J10" s="93">
        <v>2.1179999999999999</v>
      </c>
      <c r="K10" s="91" t="s">
        <v>70</v>
      </c>
      <c r="L10" s="93">
        <v>580.69200000000001</v>
      </c>
      <c r="M10" s="94">
        <v>603.6</v>
      </c>
      <c r="N10" s="95">
        <v>0.16769999999999999</v>
      </c>
      <c r="O10" s="96">
        <v>10.06</v>
      </c>
      <c r="P10" s="91">
        <v>312.39999999999998</v>
      </c>
      <c r="Q10" s="91">
        <v>1</v>
      </c>
      <c r="R10" s="91">
        <v>1000</v>
      </c>
      <c r="S10" s="93">
        <v>0.96199999999999997</v>
      </c>
      <c r="T10" s="91">
        <v>38</v>
      </c>
      <c r="U10" s="95">
        <v>3.7999999999999999E-2</v>
      </c>
      <c r="V10" s="91" t="s">
        <v>28</v>
      </c>
      <c r="W10" s="91" t="s">
        <v>29</v>
      </c>
      <c r="X10" s="91" t="s">
        <v>28</v>
      </c>
      <c r="Y10" s="91" t="s">
        <v>28</v>
      </c>
      <c r="Z10" s="91" t="s">
        <v>28</v>
      </c>
      <c r="AA10" s="91" t="s">
        <v>32</v>
      </c>
      <c r="AB10" s="91" t="s">
        <v>400</v>
      </c>
    </row>
    <row r="11" spans="1:28" s="90" customFormat="1" ht="25.05" customHeight="1" x14ac:dyDescent="0.3">
      <c r="A11" s="91">
        <v>9</v>
      </c>
      <c r="B11" s="92" t="s">
        <v>58</v>
      </c>
      <c r="C11" s="91" t="s">
        <v>26</v>
      </c>
      <c r="D11" s="91" t="s">
        <v>443</v>
      </c>
      <c r="E11" s="91" t="s">
        <v>27</v>
      </c>
      <c r="F11" s="91">
        <v>262779</v>
      </c>
      <c r="G11" s="91" t="s">
        <v>442</v>
      </c>
      <c r="H11" s="91">
        <v>450</v>
      </c>
      <c r="I11" s="93">
        <v>0.93400000000000005</v>
      </c>
      <c r="J11" s="93">
        <v>1.3</v>
      </c>
      <c r="K11" s="91" t="s">
        <v>33</v>
      </c>
      <c r="L11" s="93">
        <v>546.39</v>
      </c>
      <c r="M11" s="94">
        <v>585</v>
      </c>
      <c r="N11" s="95">
        <v>0.16250000000000001</v>
      </c>
      <c r="O11" s="96">
        <v>9.75</v>
      </c>
      <c r="P11" s="91">
        <v>294</v>
      </c>
      <c r="Q11" s="91">
        <v>1</v>
      </c>
      <c r="R11" s="91">
        <v>1000</v>
      </c>
      <c r="S11" s="93">
        <v>0.93400000000000005</v>
      </c>
      <c r="T11" s="91">
        <v>66</v>
      </c>
      <c r="U11" s="95">
        <v>6.6000000000000003E-2</v>
      </c>
      <c r="V11" s="91" t="s">
        <v>28</v>
      </c>
      <c r="W11" s="91" t="s">
        <v>29</v>
      </c>
      <c r="X11" s="91" t="s">
        <v>28</v>
      </c>
      <c r="Y11" s="91" t="s">
        <v>28</v>
      </c>
      <c r="Z11" s="91" t="s">
        <v>28</v>
      </c>
      <c r="AA11" s="91" t="s">
        <v>30</v>
      </c>
      <c r="AB11" s="91" t="s">
        <v>441</v>
      </c>
    </row>
    <row r="12" spans="1:28" s="90" customFormat="1" ht="25.05" customHeight="1" x14ac:dyDescent="0.3">
      <c r="A12" s="91">
        <v>10</v>
      </c>
      <c r="B12" s="92" t="s">
        <v>58</v>
      </c>
      <c r="C12" s="91" t="s">
        <v>59</v>
      </c>
      <c r="D12" s="91" t="s">
        <v>440</v>
      </c>
      <c r="E12" s="91" t="s">
        <v>27</v>
      </c>
      <c r="F12" s="91">
        <v>262772</v>
      </c>
      <c r="G12" s="91" t="s">
        <v>439</v>
      </c>
      <c r="H12" s="91">
        <v>9500</v>
      </c>
      <c r="I12" s="93">
        <v>0.32200000000000001</v>
      </c>
      <c r="J12" s="93">
        <v>0.94</v>
      </c>
      <c r="K12" s="91" t="s">
        <v>322</v>
      </c>
      <c r="L12" s="93">
        <v>2875.46</v>
      </c>
      <c r="M12" s="94">
        <v>2232.5</v>
      </c>
      <c r="N12" s="95">
        <v>0.155</v>
      </c>
      <c r="O12" s="96">
        <v>9.3000000000000007</v>
      </c>
      <c r="P12" s="91">
        <v>931.6</v>
      </c>
      <c r="Q12" s="91">
        <v>4</v>
      </c>
      <c r="R12" s="91">
        <v>1350</v>
      </c>
      <c r="S12" s="93">
        <v>1.288</v>
      </c>
      <c r="T12" s="91">
        <v>62</v>
      </c>
      <c r="U12" s="95">
        <v>4.5900000000000003E-2</v>
      </c>
      <c r="V12" s="91" t="s">
        <v>28</v>
      </c>
      <c r="W12" s="91" t="s">
        <v>28</v>
      </c>
      <c r="X12" s="91" t="s">
        <v>28</v>
      </c>
      <c r="Y12" s="91" t="s">
        <v>27</v>
      </c>
      <c r="Z12" s="91" t="s">
        <v>27</v>
      </c>
      <c r="AA12" s="91" t="s">
        <v>48</v>
      </c>
      <c r="AB12" s="91" t="s">
        <v>323</v>
      </c>
    </row>
    <row r="13" spans="1:28" s="90" customFormat="1" ht="25.05" customHeight="1" x14ac:dyDescent="0.3">
      <c r="A13" s="186">
        <v>11</v>
      </c>
      <c r="B13" s="187" t="s">
        <v>58</v>
      </c>
      <c r="C13" s="186" t="s">
        <v>59</v>
      </c>
      <c r="D13" s="186" t="s">
        <v>440</v>
      </c>
      <c r="E13" s="186" t="s">
        <v>27</v>
      </c>
      <c r="F13" s="186">
        <v>262773</v>
      </c>
      <c r="G13" s="186" t="s">
        <v>439</v>
      </c>
      <c r="H13" s="186">
        <v>930</v>
      </c>
      <c r="I13" s="188">
        <v>0.59199999999999997</v>
      </c>
      <c r="J13" s="188">
        <v>1.62</v>
      </c>
      <c r="K13" s="186" t="s">
        <v>324</v>
      </c>
      <c r="L13" s="188">
        <v>891.90700000000004</v>
      </c>
      <c r="M13" s="189">
        <v>753.3</v>
      </c>
      <c r="N13" s="190">
        <v>0.1046</v>
      </c>
      <c r="O13" s="191">
        <v>6.28</v>
      </c>
      <c r="P13" s="186">
        <v>289</v>
      </c>
      <c r="Q13" s="186">
        <v>2</v>
      </c>
      <c r="R13" s="186">
        <v>1250</v>
      </c>
      <c r="S13" s="188">
        <v>1.1839999999999999</v>
      </c>
      <c r="T13" s="186">
        <v>66</v>
      </c>
      <c r="U13" s="190">
        <v>5.28E-2</v>
      </c>
      <c r="V13" s="186" t="s">
        <v>28</v>
      </c>
      <c r="W13" s="186" t="s">
        <v>28</v>
      </c>
      <c r="X13" s="186" t="s">
        <v>28</v>
      </c>
      <c r="Y13" s="186" t="s">
        <v>27</v>
      </c>
      <c r="Z13" s="186" t="s">
        <v>27</v>
      </c>
      <c r="AA13" s="186" t="s">
        <v>30</v>
      </c>
      <c r="AB13" s="186" t="s">
        <v>325</v>
      </c>
    </row>
    <row r="14" spans="1:28" s="90" customFormat="1" ht="25.05" customHeight="1" x14ac:dyDescent="0.3">
      <c r="A14" s="186">
        <v>12</v>
      </c>
      <c r="B14" s="187" t="s">
        <v>58</v>
      </c>
      <c r="C14" s="186" t="s">
        <v>59</v>
      </c>
      <c r="D14" s="186" t="s">
        <v>222</v>
      </c>
      <c r="E14" s="186" t="s">
        <v>27</v>
      </c>
      <c r="F14" s="186">
        <v>262765</v>
      </c>
      <c r="G14" s="186" t="s">
        <v>231</v>
      </c>
      <c r="H14" s="186">
        <v>1150</v>
      </c>
      <c r="I14" s="188">
        <v>0.54700000000000004</v>
      </c>
      <c r="J14" s="188">
        <v>1.44</v>
      </c>
      <c r="K14" s="186" t="s">
        <v>233</v>
      </c>
      <c r="L14" s="188">
        <v>905.83199999999999</v>
      </c>
      <c r="M14" s="189">
        <v>828</v>
      </c>
      <c r="N14" s="190">
        <v>0.115</v>
      </c>
      <c r="O14" s="191">
        <v>6.9</v>
      </c>
      <c r="P14" s="186">
        <v>293.5</v>
      </c>
      <c r="Q14" s="186">
        <v>2</v>
      </c>
      <c r="R14" s="186">
        <v>1150</v>
      </c>
      <c r="S14" s="188">
        <v>1.0940000000000001</v>
      </c>
      <c r="T14" s="186">
        <v>56</v>
      </c>
      <c r="U14" s="190">
        <v>4.87E-2</v>
      </c>
      <c r="V14" s="186" t="s">
        <v>28</v>
      </c>
      <c r="W14" s="186" t="s">
        <v>28</v>
      </c>
      <c r="X14" s="186" t="s">
        <v>28</v>
      </c>
      <c r="Y14" s="186" t="s">
        <v>27</v>
      </c>
      <c r="Z14" s="186" t="s">
        <v>27</v>
      </c>
      <c r="AA14" s="186" t="s">
        <v>32</v>
      </c>
      <c r="AB14" s="186" t="s">
        <v>232</v>
      </c>
    </row>
    <row r="15" spans="1:28" s="90" customFormat="1" ht="25.05" customHeight="1" x14ac:dyDescent="0.3">
      <c r="A15" s="91">
        <v>13</v>
      </c>
      <c r="B15" s="92" t="s">
        <v>58</v>
      </c>
      <c r="C15" s="91" t="s">
        <v>35</v>
      </c>
      <c r="D15" s="91" t="s">
        <v>251</v>
      </c>
      <c r="E15" s="91" t="s">
        <v>27</v>
      </c>
      <c r="F15" s="91">
        <v>262769</v>
      </c>
      <c r="G15" s="91" t="s">
        <v>280</v>
      </c>
      <c r="H15" s="91">
        <v>1000</v>
      </c>
      <c r="I15" s="93">
        <v>0.76</v>
      </c>
      <c r="J15" s="93">
        <v>1.0900000000000001</v>
      </c>
      <c r="K15" s="91" t="s">
        <v>33</v>
      </c>
      <c r="L15" s="93">
        <v>828.4</v>
      </c>
      <c r="M15" s="94">
        <v>545</v>
      </c>
      <c r="N15" s="95">
        <v>7.5700000000000003E-2</v>
      </c>
      <c r="O15" s="96">
        <v>4.54</v>
      </c>
      <c r="P15" s="91">
        <v>260.89999999999998</v>
      </c>
      <c r="Q15" s="91">
        <v>2</v>
      </c>
      <c r="R15" s="91">
        <v>1550</v>
      </c>
      <c r="S15" s="93">
        <v>1.52</v>
      </c>
      <c r="T15" s="91">
        <v>30</v>
      </c>
      <c r="U15" s="95">
        <v>1.9400000000000001E-2</v>
      </c>
      <c r="V15" s="91" t="s">
        <v>28</v>
      </c>
      <c r="W15" s="91" t="s">
        <v>28</v>
      </c>
      <c r="X15" s="91" t="s">
        <v>28</v>
      </c>
      <c r="Y15" s="91" t="s">
        <v>27</v>
      </c>
      <c r="Z15" s="91" t="s">
        <v>27</v>
      </c>
      <c r="AA15" s="91" t="s">
        <v>32</v>
      </c>
      <c r="AB15" s="91" t="s">
        <v>285</v>
      </c>
    </row>
    <row r="16" spans="1:28" s="90" customFormat="1" ht="25.05" customHeight="1" x14ac:dyDescent="0.3">
      <c r="A16" s="186">
        <v>14</v>
      </c>
      <c r="B16" s="187" t="s">
        <v>58</v>
      </c>
      <c r="C16" s="186" t="s">
        <v>35</v>
      </c>
      <c r="D16" s="186" t="s">
        <v>272</v>
      </c>
      <c r="E16" s="186" t="s">
        <v>27</v>
      </c>
      <c r="F16" s="186">
        <v>262771</v>
      </c>
      <c r="G16" s="186" t="s">
        <v>286</v>
      </c>
      <c r="H16" s="186">
        <v>1350</v>
      </c>
      <c r="I16" s="188">
        <v>0.59199999999999997</v>
      </c>
      <c r="J16" s="188">
        <v>1.619</v>
      </c>
      <c r="K16" s="186" t="s">
        <v>287</v>
      </c>
      <c r="L16" s="188">
        <v>1293.905</v>
      </c>
      <c r="M16" s="189">
        <v>1092.8</v>
      </c>
      <c r="N16" s="190">
        <v>0.15179999999999999</v>
      </c>
      <c r="O16" s="191">
        <v>9.11</v>
      </c>
      <c r="P16" s="186">
        <v>407.6</v>
      </c>
      <c r="Q16" s="186">
        <v>2</v>
      </c>
      <c r="R16" s="186">
        <v>1250</v>
      </c>
      <c r="S16" s="188">
        <v>1.1839999999999999</v>
      </c>
      <c r="T16" s="186">
        <v>66</v>
      </c>
      <c r="U16" s="190">
        <v>5.28E-2</v>
      </c>
      <c r="V16" s="186" t="s">
        <v>28</v>
      </c>
      <c r="W16" s="186" t="s">
        <v>28</v>
      </c>
      <c r="X16" s="186" t="s">
        <v>28</v>
      </c>
      <c r="Y16" s="186" t="s">
        <v>27</v>
      </c>
      <c r="Z16" s="186" t="s">
        <v>27</v>
      </c>
      <c r="AA16" s="186" t="s">
        <v>31</v>
      </c>
      <c r="AB16" s="186" t="s">
        <v>288</v>
      </c>
    </row>
    <row r="17" spans="1:28" s="90" customFormat="1" x14ac:dyDescent="0.3">
      <c r="A17" s="91">
        <v>15</v>
      </c>
      <c r="B17" s="92" t="s">
        <v>58</v>
      </c>
      <c r="C17" s="91" t="s">
        <v>35</v>
      </c>
      <c r="D17" s="91" t="s">
        <v>222</v>
      </c>
      <c r="E17" s="91" t="s">
        <v>27</v>
      </c>
      <c r="F17" s="91">
        <v>262766</v>
      </c>
      <c r="G17" s="91" t="s">
        <v>231</v>
      </c>
      <c r="H17" s="91">
        <v>1000</v>
      </c>
      <c r="I17" s="93">
        <v>0.58099999999999996</v>
      </c>
      <c r="J17" s="93">
        <v>1.58</v>
      </c>
      <c r="K17" s="91" t="s">
        <v>230</v>
      </c>
      <c r="L17" s="93">
        <v>917.98</v>
      </c>
      <c r="M17" s="94">
        <v>790</v>
      </c>
      <c r="N17" s="95">
        <v>0.10970000000000001</v>
      </c>
      <c r="O17" s="96">
        <v>6.58</v>
      </c>
      <c r="P17" s="91">
        <v>289.2</v>
      </c>
      <c r="Q17" s="91">
        <v>2</v>
      </c>
      <c r="R17" s="91">
        <v>1200</v>
      </c>
      <c r="S17" s="93">
        <v>1.1619999999999999</v>
      </c>
      <c r="T17" s="91">
        <v>38</v>
      </c>
      <c r="U17" s="95">
        <v>3.1699999999999999E-2</v>
      </c>
      <c r="V17" s="91" t="s">
        <v>28</v>
      </c>
      <c r="W17" s="91" t="s">
        <v>28</v>
      </c>
      <c r="X17" s="91" t="s">
        <v>28</v>
      </c>
      <c r="Y17" s="91" t="s">
        <v>27</v>
      </c>
      <c r="Z17" s="91" t="s">
        <v>27</v>
      </c>
      <c r="AA17" s="91" t="s">
        <v>32</v>
      </c>
      <c r="AB17" s="91" t="s">
        <v>229</v>
      </c>
    </row>
    <row r="18" spans="1:28" s="90" customFormat="1" x14ac:dyDescent="0.3">
      <c r="A18" s="97" t="s">
        <v>27</v>
      </c>
      <c r="B18" s="97" t="s">
        <v>27</v>
      </c>
      <c r="C18" s="97" t="s">
        <v>27</v>
      </c>
      <c r="D18" s="97" t="s">
        <v>27</v>
      </c>
      <c r="E18" s="97" t="s">
        <v>27</v>
      </c>
      <c r="F18" s="97" t="s">
        <v>27</v>
      </c>
      <c r="G18" s="97" t="s">
        <v>27</v>
      </c>
      <c r="H18" s="97">
        <f>SUM(H3:H17)</f>
        <v>18680</v>
      </c>
      <c r="I18" s="97" t="s">
        <v>27</v>
      </c>
      <c r="J18" s="97" t="s">
        <v>27</v>
      </c>
      <c r="K18" s="97" t="s">
        <v>27</v>
      </c>
      <c r="L18" s="97" t="s">
        <v>27</v>
      </c>
      <c r="M18" s="97" t="s">
        <v>27</v>
      </c>
      <c r="N18" s="97" t="s">
        <v>27</v>
      </c>
      <c r="O18" s="97" t="s">
        <v>27</v>
      </c>
      <c r="P18" s="97">
        <f>SUM(P3:P17)</f>
        <v>6324.8</v>
      </c>
      <c r="Q18" s="97" t="s">
        <v>27</v>
      </c>
      <c r="R18" s="97" t="s">
        <v>27</v>
      </c>
      <c r="S18" s="97" t="s">
        <v>27</v>
      </c>
      <c r="T18" s="97" t="s">
        <v>27</v>
      </c>
      <c r="U18" s="97" t="s">
        <v>27</v>
      </c>
      <c r="V18" s="97" t="s">
        <v>27</v>
      </c>
      <c r="W18" s="97" t="s">
        <v>27</v>
      </c>
      <c r="X18" s="97" t="s">
        <v>27</v>
      </c>
      <c r="Y18" s="97" t="s">
        <v>27</v>
      </c>
      <c r="Z18" s="97" t="s">
        <v>27</v>
      </c>
      <c r="AA18" s="97" t="s">
        <v>27</v>
      </c>
      <c r="AB18" s="97" t="s">
        <v>27</v>
      </c>
    </row>
    <row r="19" spans="1:28" s="90" customFormat="1" x14ac:dyDescent="0.3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</row>
    <row r="28" spans="1:28" x14ac:dyDescent="0.3">
      <c r="R28" s="150"/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92" orientation="landscape" horizontalDpi="360" verticalDpi="36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DB3A-C171-49AE-8471-729057A3A740}">
  <sheetPr>
    <pageSetUpPr fitToPage="1"/>
  </sheetPr>
  <dimension ref="A1:AB12"/>
  <sheetViews>
    <sheetView workbookViewId="0">
      <selection activeCell="A8" sqref="A8:XFD8"/>
    </sheetView>
  </sheetViews>
  <sheetFormatPr defaultRowHeight="14.4" x14ac:dyDescent="0.3"/>
  <cols>
    <col min="1" max="1" width="3.33203125" style="33" customWidth="1"/>
    <col min="2" max="2" width="20.77734375" style="33" hidden="1" customWidth="1"/>
    <col min="3" max="3" width="7.77734375" style="33" customWidth="1"/>
    <col min="4" max="4" width="11.77734375" style="33" hidden="1" customWidth="1"/>
    <col min="5" max="5" width="8.6640625" style="33" customWidth="1"/>
    <col min="6" max="6" width="7.109375" style="33" customWidth="1"/>
    <col min="7" max="7" width="5.77734375" style="33" customWidth="1"/>
    <col min="8" max="8" width="6" style="33" customWidth="1"/>
    <col min="9" max="9" width="7.21875" style="33" customWidth="1"/>
    <col min="10" max="10" width="6.5546875" style="33" customWidth="1"/>
    <col min="11" max="11" width="6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44140625" style="33" customWidth="1"/>
    <col min="17" max="17" width="4.21875" style="33" customWidth="1"/>
    <col min="18" max="18" width="6.44140625" style="33" customWidth="1"/>
    <col min="19" max="19" width="5.77734375" style="33" customWidth="1"/>
    <col min="20" max="20" width="11.77734375" style="33" hidden="1" customWidth="1"/>
    <col min="21" max="21" width="8.77734375" style="33" hidden="1" customWidth="1"/>
    <col min="22" max="22" width="7.77734375" style="33" customWidth="1"/>
    <col min="23" max="23" width="7.6640625" style="33" customWidth="1"/>
    <col min="24" max="24" width="7.44140625" style="33" customWidth="1"/>
    <col min="25" max="25" width="7.77734375" style="33" customWidth="1"/>
    <col min="26" max="26" width="7.44140625" style="33" customWidth="1"/>
    <col min="27" max="27" width="4.21875" style="33" customWidth="1"/>
    <col min="28" max="28" width="11.33203125" style="33" customWidth="1"/>
    <col min="29" max="16384" width="8.88671875" style="33"/>
  </cols>
  <sheetData>
    <row r="1" spans="1:28" ht="18" customHeight="1" x14ac:dyDescent="0.35">
      <c r="A1" s="269" t="s">
        <v>228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61.2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85" customFormat="1" ht="25.05" customHeight="1" x14ac:dyDescent="0.3">
      <c r="A3" s="85">
        <v>1</v>
      </c>
      <c r="B3" s="85" t="s">
        <v>90</v>
      </c>
      <c r="C3" s="85" t="s">
        <v>44</v>
      </c>
      <c r="D3" s="86">
        <v>46283</v>
      </c>
      <c r="F3" s="85">
        <v>262665</v>
      </c>
      <c r="G3" s="85">
        <v>1749</v>
      </c>
      <c r="H3" s="85">
        <v>500</v>
      </c>
      <c r="I3" s="85">
        <v>1.494</v>
      </c>
      <c r="J3" s="85">
        <v>2.5630000000000002</v>
      </c>
      <c r="K3" s="85" t="s">
        <v>33</v>
      </c>
      <c r="L3" s="85">
        <v>1914.5609999999999</v>
      </c>
      <c r="M3" s="85">
        <v>1281.5</v>
      </c>
      <c r="N3" s="85">
        <v>0.35599999999999998</v>
      </c>
      <c r="O3" s="85">
        <v>21.36</v>
      </c>
      <c r="P3" s="85">
        <v>1087.5</v>
      </c>
      <c r="Q3" s="85">
        <v>1</v>
      </c>
      <c r="R3" s="85">
        <v>1550</v>
      </c>
      <c r="S3" s="85">
        <v>1.494</v>
      </c>
      <c r="T3" s="85">
        <v>56</v>
      </c>
      <c r="U3" s="85">
        <v>3.61E-2</v>
      </c>
      <c r="V3" s="85" t="s">
        <v>34</v>
      </c>
      <c r="W3" s="85" t="s">
        <v>39</v>
      </c>
      <c r="X3" s="85" t="s">
        <v>34</v>
      </c>
      <c r="Y3" s="85" t="s">
        <v>34</v>
      </c>
      <c r="Z3" s="85" t="s">
        <v>34</v>
      </c>
      <c r="AA3" s="85">
        <v>3</v>
      </c>
      <c r="AB3" s="85" t="s">
        <v>265</v>
      </c>
    </row>
    <row r="4" spans="1:28" s="85" customFormat="1" ht="25.05" customHeight="1" x14ac:dyDescent="0.3">
      <c r="A4" s="85">
        <v>2</v>
      </c>
      <c r="B4" s="85" t="s">
        <v>90</v>
      </c>
      <c r="C4" s="85" t="s">
        <v>44</v>
      </c>
      <c r="D4" s="86">
        <v>46283</v>
      </c>
      <c r="F4" s="85">
        <v>262666</v>
      </c>
      <c r="G4" s="85">
        <v>1749</v>
      </c>
      <c r="H4" s="85">
        <v>500</v>
      </c>
      <c r="I4" s="85">
        <v>1.444</v>
      </c>
      <c r="J4" s="85">
        <v>2.383</v>
      </c>
      <c r="K4" s="85" t="s">
        <v>33</v>
      </c>
      <c r="L4" s="85">
        <v>1720.5260000000001</v>
      </c>
      <c r="M4" s="85">
        <v>1191.5</v>
      </c>
      <c r="N4" s="85">
        <v>0.33100000000000002</v>
      </c>
      <c r="O4" s="85">
        <v>19.86</v>
      </c>
      <c r="P4" s="85">
        <v>977.3</v>
      </c>
      <c r="Q4" s="85">
        <v>1</v>
      </c>
      <c r="R4" s="85">
        <v>1500</v>
      </c>
      <c r="S4" s="85">
        <v>1.444</v>
      </c>
      <c r="T4" s="85">
        <v>56</v>
      </c>
      <c r="U4" s="85">
        <v>3.73E-2</v>
      </c>
      <c r="V4" s="85" t="s">
        <v>34</v>
      </c>
      <c r="W4" s="85" t="s">
        <v>39</v>
      </c>
      <c r="X4" s="85" t="s">
        <v>34</v>
      </c>
      <c r="Y4" s="85" t="s">
        <v>34</v>
      </c>
      <c r="Z4" s="85" t="s">
        <v>34</v>
      </c>
      <c r="AA4" s="85">
        <v>3</v>
      </c>
      <c r="AB4" s="85" t="s">
        <v>266</v>
      </c>
    </row>
    <row r="5" spans="1:28" s="85" customFormat="1" ht="25.05" customHeight="1" x14ac:dyDescent="0.3">
      <c r="A5" s="85">
        <v>3</v>
      </c>
      <c r="B5" s="85" t="s">
        <v>90</v>
      </c>
      <c r="C5" s="85" t="s">
        <v>44</v>
      </c>
      <c r="D5" s="86">
        <v>46283</v>
      </c>
      <c r="F5" s="85">
        <v>262667</v>
      </c>
      <c r="G5" s="85">
        <v>1751</v>
      </c>
      <c r="H5" s="85">
        <v>400</v>
      </c>
      <c r="I5" s="85">
        <v>1.3879999999999999</v>
      </c>
      <c r="J5" s="85">
        <v>1.5029999999999999</v>
      </c>
      <c r="K5" s="85" t="s">
        <v>33</v>
      </c>
      <c r="L5" s="85">
        <v>834.46600000000001</v>
      </c>
      <c r="M5" s="85">
        <v>601.20000000000005</v>
      </c>
      <c r="N5" s="85">
        <v>0.16700000000000001</v>
      </c>
      <c r="O5" s="85">
        <v>10.02</v>
      </c>
      <c r="P5" s="85">
        <v>474</v>
      </c>
      <c r="Q5" s="85">
        <v>1</v>
      </c>
      <c r="R5" s="85">
        <v>1450</v>
      </c>
      <c r="S5" s="85">
        <v>1.3879999999999999</v>
      </c>
      <c r="T5" s="85">
        <v>62</v>
      </c>
      <c r="U5" s="85">
        <v>4.2799999999999998E-2</v>
      </c>
      <c r="V5" s="85" t="s">
        <v>34</v>
      </c>
      <c r="W5" s="85" t="s">
        <v>39</v>
      </c>
      <c r="X5" s="85" t="s">
        <v>34</v>
      </c>
      <c r="Y5" s="85" t="s">
        <v>34</v>
      </c>
      <c r="Z5" s="85" t="s">
        <v>34</v>
      </c>
      <c r="AA5" s="85">
        <v>3</v>
      </c>
      <c r="AB5" s="85" t="s">
        <v>267</v>
      </c>
    </row>
    <row r="6" spans="1:28" s="51" customFormat="1" ht="25.05" customHeight="1" x14ac:dyDescent="0.3">
      <c r="A6" s="85">
        <v>4</v>
      </c>
      <c r="B6" s="46" t="s">
        <v>90</v>
      </c>
      <c r="C6" s="45" t="s">
        <v>44</v>
      </c>
      <c r="D6" s="45" t="s">
        <v>222</v>
      </c>
      <c r="E6" s="45" t="s">
        <v>27</v>
      </c>
      <c r="F6" s="45">
        <v>262639</v>
      </c>
      <c r="G6" s="45" t="s">
        <v>227</v>
      </c>
      <c r="H6" s="45">
        <v>300</v>
      </c>
      <c r="I6" s="47">
        <v>0.67400000000000004</v>
      </c>
      <c r="J6" s="47">
        <v>1.5229999999999999</v>
      </c>
      <c r="K6" s="85" t="s">
        <v>33</v>
      </c>
      <c r="L6" s="47">
        <v>307.95100000000002</v>
      </c>
      <c r="M6" s="48">
        <v>228.4</v>
      </c>
      <c r="N6" s="49">
        <v>3.1699999999999999E-2</v>
      </c>
      <c r="O6" s="50">
        <v>1.9</v>
      </c>
      <c r="P6" s="45">
        <v>174.9</v>
      </c>
      <c r="Q6" s="45">
        <v>2</v>
      </c>
      <c r="R6" s="45">
        <v>1400</v>
      </c>
      <c r="S6" s="47">
        <v>1.3480000000000001</v>
      </c>
      <c r="T6" s="45">
        <v>52</v>
      </c>
      <c r="U6" s="49">
        <v>3.7100000000000001E-2</v>
      </c>
      <c r="V6" s="45" t="s">
        <v>34</v>
      </c>
      <c r="W6" s="45" t="s">
        <v>39</v>
      </c>
      <c r="X6" s="45" t="s">
        <v>34</v>
      </c>
      <c r="Y6" s="45" t="s">
        <v>34</v>
      </c>
      <c r="Z6" s="45" t="s">
        <v>34</v>
      </c>
      <c r="AA6" s="45" t="s">
        <v>32</v>
      </c>
      <c r="AB6" s="45" t="s">
        <v>226</v>
      </c>
    </row>
    <row r="7" spans="1:28" s="51" customFormat="1" ht="25.05" customHeight="1" x14ac:dyDescent="0.3">
      <c r="A7" s="85">
        <v>5</v>
      </c>
      <c r="B7" s="46" t="s">
        <v>90</v>
      </c>
      <c r="C7" s="45" t="s">
        <v>44</v>
      </c>
      <c r="D7" s="45" t="s">
        <v>222</v>
      </c>
      <c r="E7" s="45" t="s">
        <v>27</v>
      </c>
      <c r="F7" s="45">
        <v>262637</v>
      </c>
      <c r="G7" s="45" t="s">
        <v>225</v>
      </c>
      <c r="H7" s="45">
        <v>500</v>
      </c>
      <c r="I7" s="47">
        <v>0.56599999999999995</v>
      </c>
      <c r="J7" s="47">
        <v>1.4630000000000001</v>
      </c>
      <c r="K7" s="85" t="s">
        <v>33</v>
      </c>
      <c r="L7" s="47">
        <v>414.029</v>
      </c>
      <c r="M7" s="48">
        <v>365.8</v>
      </c>
      <c r="N7" s="49">
        <v>5.0799999999999998E-2</v>
      </c>
      <c r="O7" s="50">
        <v>3.05</v>
      </c>
      <c r="P7" s="45">
        <v>235.2</v>
      </c>
      <c r="Q7" s="45">
        <v>2</v>
      </c>
      <c r="R7" s="45">
        <v>1200</v>
      </c>
      <c r="S7" s="47">
        <v>1.1319999999999999</v>
      </c>
      <c r="T7" s="45">
        <v>68</v>
      </c>
      <c r="U7" s="49">
        <v>5.67E-2</v>
      </c>
      <c r="V7" s="45" t="s">
        <v>34</v>
      </c>
      <c r="W7" s="45" t="s">
        <v>39</v>
      </c>
      <c r="X7" s="45" t="s">
        <v>34</v>
      </c>
      <c r="Y7" s="45" t="s">
        <v>34</v>
      </c>
      <c r="Z7" s="45" t="s">
        <v>34</v>
      </c>
      <c r="AA7" s="45" t="s">
        <v>32</v>
      </c>
      <c r="AB7" s="45" t="s">
        <v>224</v>
      </c>
    </row>
    <row r="8" spans="1:28" s="51" customFormat="1" ht="25.05" customHeight="1" x14ac:dyDescent="0.3">
      <c r="A8" s="85">
        <v>6</v>
      </c>
      <c r="B8" s="46" t="s">
        <v>92</v>
      </c>
      <c r="C8" s="45" t="s">
        <v>44</v>
      </c>
      <c r="D8" s="45" t="s">
        <v>222</v>
      </c>
      <c r="E8" s="45" t="s">
        <v>27</v>
      </c>
      <c r="F8" s="45">
        <v>262635</v>
      </c>
      <c r="G8" s="45" t="s">
        <v>223</v>
      </c>
      <c r="H8" s="45">
        <v>5000</v>
      </c>
      <c r="I8" s="47">
        <v>0.55900000000000005</v>
      </c>
      <c r="J8" s="47">
        <v>1.389</v>
      </c>
      <c r="K8" s="85" t="s">
        <v>33</v>
      </c>
      <c r="L8" s="47">
        <v>3882.2550000000001</v>
      </c>
      <c r="M8" s="48">
        <v>3472.5</v>
      </c>
      <c r="N8" s="49">
        <v>0.48230000000000001</v>
      </c>
      <c r="O8" s="50">
        <v>28.94</v>
      </c>
      <c r="P8" s="45">
        <v>2205.1</v>
      </c>
      <c r="Q8" s="45">
        <v>2</v>
      </c>
      <c r="R8" s="45">
        <v>1150</v>
      </c>
      <c r="S8" s="47">
        <v>1.1180000000000001</v>
      </c>
      <c r="T8" s="45">
        <v>32</v>
      </c>
      <c r="U8" s="49">
        <v>2.7799999999999998E-2</v>
      </c>
      <c r="V8" s="45" t="s">
        <v>34</v>
      </c>
      <c r="W8" s="45" t="s">
        <v>39</v>
      </c>
      <c r="X8" s="45" t="s">
        <v>34</v>
      </c>
      <c r="Y8" s="45" t="s">
        <v>34</v>
      </c>
      <c r="Z8" s="45" t="s">
        <v>34</v>
      </c>
      <c r="AA8" s="45" t="s">
        <v>66</v>
      </c>
      <c r="AB8" s="45" t="s">
        <v>91</v>
      </c>
    </row>
    <row r="9" spans="1:28" s="51" customFormat="1" ht="25.05" customHeight="1" x14ac:dyDescent="0.3">
      <c r="A9" s="85">
        <v>7</v>
      </c>
      <c r="B9" s="46" t="s">
        <v>92</v>
      </c>
      <c r="C9" s="45" t="s">
        <v>44</v>
      </c>
      <c r="D9" s="45" t="s">
        <v>222</v>
      </c>
      <c r="E9" s="45" t="s">
        <v>27</v>
      </c>
      <c r="F9" s="45">
        <v>262636</v>
      </c>
      <c r="G9" s="45" t="s">
        <v>223</v>
      </c>
      <c r="H9" s="45">
        <v>5000</v>
      </c>
      <c r="I9" s="47">
        <v>0.55900000000000005</v>
      </c>
      <c r="J9" s="47">
        <v>1.389</v>
      </c>
      <c r="K9" s="85" t="s">
        <v>33</v>
      </c>
      <c r="L9" s="47">
        <v>3882.2550000000001</v>
      </c>
      <c r="M9" s="48">
        <v>3472.5</v>
      </c>
      <c r="N9" s="49">
        <v>0.48230000000000001</v>
      </c>
      <c r="O9" s="50">
        <v>28.94</v>
      </c>
      <c r="P9" s="45">
        <v>2205.1</v>
      </c>
      <c r="Q9" s="45">
        <v>2</v>
      </c>
      <c r="R9" s="45">
        <v>1150</v>
      </c>
      <c r="S9" s="47">
        <v>1.1180000000000001</v>
      </c>
      <c r="T9" s="45">
        <v>32</v>
      </c>
      <c r="U9" s="49">
        <v>2.7799999999999998E-2</v>
      </c>
      <c r="V9" s="45" t="s">
        <v>34</v>
      </c>
      <c r="W9" s="45" t="s">
        <v>39</v>
      </c>
      <c r="X9" s="45" t="s">
        <v>34</v>
      </c>
      <c r="Y9" s="45" t="s">
        <v>34</v>
      </c>
      <c r="Z9" s="45" t="s">
        <v>34</v>
      </c>
      <c r="AA9" s="45" t="s">
        <v>66</v>
      </c>
      <c r="AB9" s="45" t="s">
        <v>91</v>
      </c>
    </row>
    <row r="10" spans="1:28" s="51" customFormat="1" ht="25.05" customHeight="1" x14ac:dyDescent="0.3">
      <c r="A10" s="85">
        <v>8</v>
      </c>
      <c r="B10" s="46" t="s">
        <v>90</v>
      </c>
      <c r="C10" s="45" t="s">
        <v>26</v>
      </c>
      <c r="D10" s="45" t="s">
        <v>222</v>
      </c>
      <c r="E10" s="45" t="s">
        <v>27</v>
      </c>
      <c r="F10" s="45">
        <v>262638</v>
      </c>
      <c r="G10" s="45" t="s">
        <v>221</v>
      </c>
      <c r="H10" s="45">
        <v>200</v>
      </c>
      <c r="I10" s="47">
        <v>0.53800000000000003</v>
      </c>
      <c r="J10" s="47">
        <v>1.423</v>
      </c>
      <c r="K10" s="85" t="s">
        <v>33</v>
      </c>
      <c r="L10" s="47">
        <v>153.11500000000001</v>
      </c>
      <c r="M10" s="48">
        <v>142.30000000000001</v>
      </c>
      <c r="N10" s="49">
        <v>1.9800000000000002E-2</v>
      </c>
      <c r="O10" s="50">
        <v>1.19</v>
      </c>
      <c r="P10" s="45">
        <v>82.4</v>
      </c>
      <c r="Q10" s="45">
        <v>2</v>
      </c>
      <c r="R10" s="45">
        <v>1100</v>
      </c>
      <c r="S10" s="47">
        <v>1.0760000000000001</v>
      </c>
      <c r="T10" s="45">
        <v>24</v>
      </c>
      <c r="U10" s="49">
        <v>2.18E-2</v>
      </c>
      <c r="V10" s="45" t="s">
        <v>28</v>
      </c>
      <c r="W10" s="45" t="s">
        <v>29</v>
      </c>
      <c r="X10" s="45" t="s">
        <v>28</v>
      </c>
      <c r="Y10" s="45" t="s">
        <v>28</v>
      </c>
      <c r="Z10" s="45" t="s">
        <v>28</v>
      </c>
      <c r="AA10" s="45" t="s">
        <v>38</v>
      </c>
      <c r="AB10" s="45" t="s">
        <v>220</v>
      </c>
    </row>
    <row r="11" spans="1:28" s="51" customFormat="1" ht="25.05" customHeight="1" x14ac:dyDescent="0.3">
      <c r="A11" s="85">
        <v>9</v>
      </c>
      <c r="B11" s="46" t="s">
        <v>90</v>
      </c>
      <c r="C11" s="45" t="s">
        <v>35</v>
      </c>
      <c r="D11" s="61">
        <v>46282</v>
      </c>
      <c r="E11" s="45"/>
      <c r="F11" s="45">
        <v>262643</v>
      </c>
      <c r="G11" s="45">
        <v>1748</v>
      </c>
      <c r="H11" s="45">
        <v>600</v>
      </c>
      <c r="I11" s="47">
        <v>0.94899999999999995</v>
      </c>
      <c r="J11" s="47">
        <v>1.536</v>
      </c>
      <c r="K11" s="85" t="s">
        <v>33</v>
      </c>
      <c r="L11" s="47">
        <v>874.59799999999996</v>
      </c>
      <c r="M11" s="48">
        <v>921.6</v>
      </c>
      <c r="N11" s="49">
        <v>0.25600000000000001</v>
      </c>
      <c r="O11" s="50">
        <v>15.36</v>
      </c>
      <c r="P11" s="45">
        <v>275.5</v>
      </c>
      <c r="Q11" s="45">
        <v>1</v>
      </c>
      <c r="R11" s="45">
        <v>1000</v>
      </c>
      <c r="S11" s="47">
        <v>0.94899999999999995</v>
      </c>
      <c r="T11" s="45">
        <v>51</v>
      </c>
      <c r="U11" s="49">
        <v>5.0999999999999997E-2</v>
      </c>
      <c r="V11" s="45" t="s">
        <v>28</v>
      </c>
      <c r="W11" s="45" t="s">
        <v>28</v>
      </c>
      <c r="X11" s="45" t="s">
        <v>28</v>
      </c>
      <c r="Y11" s="45"/>
      <c r="Z11" s="45"/>
      <c r="AA11" s="45">
        <v>2</v>
      </c>
      <c r="AB11" s="45" t="s">
        <v>124</v>
      </c>
    </row>
    <row r="12" spans="1:28" s="51" customFormat="1" ht="25.05" customHeight="1" x14ac:dyDescent="0.3">
      <c r="A12" s="52" t="s">
        <v>27</v>
      </c>
      <c r="B12" s="52" t="s">
        <v>27</v>
      </c>
      <c r="C12" s="52" t="s">
        <v>27</v>
      </c>
      <c r="D12" s="52" t="s">
        <v>27</v>
      </c>
      <c r="E12" s="52" t="s">
        <v>27</v>
      </c>
      <c r="F12" s="52" t="s">
        <v>27</v>
      </c>
      <c r="G12" s="52" t="s">
        <v>27</v>
      </c>
      <c r="H12" s="52">
        <f>SUM(H3:H11)</f>
        <v>13000</v>
      </c>
      <c r="I12" s="52" t="s">
        <v>27</v>
      </c>
      <c r="J12" s="52" t="s">
        <v>27</v>
      </c>
      <c r="K12" s="52" t="s">
        <v>27</v>
      </c>
      <c r="L12" s="52" t="s">
        <v>27</v>
      </c>
      <c r="M12" s="52" t="s">
        <v>27</v>
      </c>
      <c r="N12" s="52" t="s">
        <v>27</v>
      </c>
      <c r="O12" s="52" t="s">
        <v>27</v>
      </c>
      <c r="P12" s="52">
        <f>SUM(P3:P11)</f>
        <v>7717</v>
      </c>
      <c r="Q12" s="52" t="s">
        <v>27</v>
      </c>
      <c r="R12" s="52" t="s">
        <v>27</v>
      </c>
      <c r="S12" s="52" t="s">
        <v>27</v>
      </c>
      <c r="T12" s="52" t="s">
        <v>27</v>
      </c>
      <c r="U12" s="52" t="s">
        <v>27</v>
      </c>
      <c r="V12" s="52" t="s">
        <v>27</v>
      </c>
      <c r="W12" s="52" t="s">
        <v>27</v>
      </c>
      <c r="X12" s="52" t="s">
        <v>27</v>
      </c>
      <c r="Y12" s="52" t="s">
        <v>27</v>
      </c>
      <c r="Z12" s="52" t="s">
        <v>27</v>
      </c>
      <c r="AA12" s="52" t="s">
        <v>27</v>
      </c>
      <c r="AB12" s="52" t="s">
        <v>27</v>
      </c>
    </row>
  </sheetData>
  <mergeCells count="1">
    <mergeCell ref="A1:AB1"/>
  </mergeCells>
  <phoneticPr fontId="21" type="noConversion"/>
  <pageMargins left="0.511811024" right="0.511811024" top="0.78740157499999996" bottom="0.78740157499999996" header="0.31496062000000002" footer="0.31496062000000002"/>
  <pageSetup paperSize="9" orientation="landscape" horizontalDpi="360" verticalDpi="36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B5AC-557E-4203-8DD1-DFBBC7E9A9E0}">
  <sheetPr>
    <pageSetUpPr fitToPage="1"/>
  </sheetPr>
  <dimension ref="A1:AB7"/>
  <sheetViews>
    <sheetView workbookViewId="0">
      <selection activeCell="F9" sqref="F9"/>
    </sheetView>
  </sheetViews>
  <sheetFormatPr defaultRowHeight="14.4" x14ac:dyDescent="0.3"/>
  <cols>
    <col min="1" max="1" width="2.77734375" style="33" customWidth="1"/>
    <col min="2" max="2" width="20.77734375" style="33" hidden="1" customWidth="1"/>
    <col min="3" max="3" width="7.44140625" style="33" customWidth="1"/>
    <col min="4" max="4" width="11.77734375" style="33" hidden="1" customWidth="1"/>
    <col min="5" max="5" width="8.77734375" style="33" customWidth="1"/>
    <col min="6" max="6" width="7.109375" style="33" customWidth="1"/>
    <col min="7" max="8" width="6.21875" style="33" customWidth="1"/>
    <col min="9" max="10" width="6" style="33" customWidth="1"/>
    <col min="11" max="11" width="13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88671875" style="33" customWidth="1"/>
    <col min="17" max="17" width="3.88671875" style="33" customWidth="1"/>
    <col min="18" max="18" width="5.88671875" style="33" customWidth="1"/>
    <col min="19" max="19" width="6.109375" style="33" customWidth="1"/>
    <col min="20" max="20" width="11.77734375" style="33" hidden="1" customWidth="1"/>
    <col min="21" max="21" width="8.77734375" style="33" hidden="1" customWidth="1"/>
    <col min="22" max="22" width="7.21875" style="33" customWidth="1"/>
    <col min="23" max="23" width="7.77734375" style="33" customWidth="1"/>
    <col min="24" max="24" width="7.109375" style="33" customWidth="1"/>
    <col min="25" max="25" width="7.5546875" style="33" customWidth="1"/>
    <col min="26" max="26" width="8" style="33" customWidth="1"/>
    <col min="27" max="27" width="4.109375" style="33" customWidth="1"/>
    <col min="28" max="28" width="9.44140625" style="33" customWidth="1"/>
    <col min="29" max="16384" width="8.88671875" style="33"/>
  </cols>
  <sheetData>
    <row r="1" spans="1:28" ht="18" customHeight="1" x14ac:dyDescent="0.35">
      <c r="A1" s="269" t="s">
        <v>218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56.4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x14ac:dyDescent="0.3">
      <c r="A3" s="41">
        <v>1</v>
      </c>
      <c r="B3" s="43" t="s">
        <v>84</v>
      </c>
      <c r="C3" s="41" t="s">
        <v>45</v>
      </c>
      <c r="D3" s="41" t="s">
        <v>94</v>
      </c>
      <c r="E3" s="41" t="s">
        <v>27</v>
      </c>
      <c r="F3" s="41">
        <v>262633</v>
      </c>
      <c r="G3" s="41" t="s">
        <v>217</v>
      </c>
      <c r="H3" s="41">
        <v>7200</v>
      </c>
      <c r="I3" s="42">
        <v>0.64600000000000002</v>
      </c>
      <c r="J3" s="42">
        <v>1.843</v>
      </c>
      <c r="K3" s="41" t="s">
        <v>216</v>
      </c>
      <c r="L3" s="38">
        <v>8572.1620000000003</v>
      </c>
      <c r="M3" s="40">
        <v>6634.8</v>
      </c>
      <c r="N3" s="37">
        <v>0.92149999999999999</v>
      </c>
      <c r="O3" s="39">
        <v>55.29</v>
      </c>
      <c r="P3" s="36">
        <v>3771.8</v>
      </c>
      <c r="Q3" s="36">
        <v>2</v>
      </c>
      <c r="R3" s="36">
        <v>1350</v>
      </c>
      <c r="S3" s="38">
        <v>1.292</v>
      </c>
      <c r="T3" s="36">
        <v>58</v>
      </c>
      <c r="U3" s="37">
        <v>4.2999999999999997E-2</v>
      </c>
      <c r="V3" s="36" t="s">
        <v>41</v>
      </c>
      <c r="W3" s="36" t="s">
        <v>41</v>
      </c>
      <c r="X3" s="36" t="s">
        <v>41</v>
      </c>
      <c r="Y3" s="36" t="s">
        <v>27</v>
      </c>
      <c r="Z3" s="36" t="s">
        <v>27</v>
      </c>
      <c r="AA3" s="36" t="s">
        <v>215</v>
      </c>
      <c r="AB3" s="36" t="s">
        <v>214</v>
      </c>
    </row>
    <row r="4" spans="1:28" x14ac:dyDescent="0.3">
      <c r="A4" s="41">
        <v>2</v>
      </c>
      <c r="B4" s="43" t="s">
        <v>84</v>
      </c>
      <c r="C4" s="41" t="s">
        <v>45</v>
      </c>
      <c r="D4" s="41" t="s">
        <v>87</v>
      </c>
      <c r="E4" s="41" t="s">
        <v>27</v>
      </c>
      <c r="F4" s="41">
        <v>262630</v>
      </c>
      <c r="G4" s="41" t="s">
        <v>213</v>
      </c>
      <c r="H4" s="41">
        <v>11100</v>
      </c>
      <c r="I4" s="42">
        <v>0.622</v>
      </c>
      <c r="J4" s="42">
        <v>1.8089999999999999</v>
      </c>
      <c r="K4" s="41" t="s">
        <v>56</v>
      </c>
      <c r="L4" s="38">
        <v>12489.698</v>
      </c>
      <c r="M4" s="40">
        <v>10039.9</v>
      </c>
      <c r="N4" s="37">
        <v>1.3944000000000001</v>
      </c>
      <c r="O4" s="39">
        <v>83.67</v>
      </c>
      <c r="P4" s="36">
        <v>5495.5</v>
      </c>
      <c r="Q4" s="36">
        <v>2</v>
      </c>
      <c r="R4" s="36">
        <v>1300</v>
      </c>
      <c r="S4" s="38">
        <v>1.244</v>
      </c>
      <c r="T4" s="36">
        <v>56</v>
      </c>
      <c r="U4" s="37">
        <v>4.3099999999999999E-2</v>
      </c>
      <c r="V4" s="36" t="s">
        <v>41</v>
      </c>
      <c r="W4" s="36" t="s">
        <v>41</v>
      </c>
      <c r="X4" s="36" t="s">
        <v>41</v>
      </c>
      <c r="Y4" s="36" t="s">
        <v>27</v>
      </c>
      <c r="Z4" s="36" t="s">
        <v>27</v>
      </c>
      <c r="AA4" s="36" t="s">
        <v>212</v>
      </c>
      <c r="AB4" s="36" t="s">
        <v>46</v>
      </c>
    </row>
    <row r="5" spans="1:28" x14ac:dyDescent="0.3">
      <c r="A5" s="41">
        <v>3</v>
      </c>
      <c r="B5" s="43" t="s">
        <v>84</v>
      </c>
      <c r="C5" s="41" t="s">
        <v>45</v>
      </c>
      <c r="D5" s="41" t="s">
        <v>94</v>
      </c>
      <c r="E5" s="41" t="s">
        <v>27</v>
      </c>
      <c r="F5" s="41">
        <v>262632</v>
      </c>
      <c r="G5" s="41" t="s">
        <v>211</v>
      </c>
      <c r="H5" s="41">
        <v>3600</v>
      </c>
      <c r="I5" s="42">
        <v>0.33500000000000002</v>
      </c>
      <c r="J5" s="42">
        <v>0.88</v>
      </c>
      <c r="K5" s="41" t="s">
        <v>33</v>
      </c>
      <c r="L5" s="38">
        <v>1061.28</v>
      </c>
      <c r="M5" s="40">
        <v>1056</v>
      </c>
      <c r="N5" s="37">
        <v>9.7799999999999998E-2</v>
      </c>
      <c r="O5" s="39">
        <v>5.87</v>
      </c>
      <c r="P5" s="36">
        <v>467</v>
      </c>
      <c r="Q5" s="36">
        <v>3</v>
      </c>
      <c r="R5" s="36">
        <v>1050</v>
      </c>
      <c r="S5" s="38">
        <v>1.0049999999999999</v>
      </c>
      <c r="T5" s="36">
        <v>45</v>
      </c>
      <c r="U5" s="37">
        <v>4.2900000000000001E-2</v>
      </c>
      <c r="V5" s="36" t="s">
        <v>41</v>
      </c>
      <c r="W5" s="36" t="s">
        <v>41</v>
      </c>
      <c r="X5" s="36" t="s">
        <v>41</v>
      </c>
      <c r="Y5" s="36" t="s">
        <v>27</v>
      </c>
      <c r="Z5" s="36" t="s">
        <v>27</v>
      </c>
      <c r="AA5" s="36" t="s">
        <v>32</v>
      </c>
      <c r="AB5" s="36" t="s">
        <v>210</v>
      </c>
    </row>
    <row r="6" spans="1:28" x14ac:dyDescent="0.3">
      <c r="A6" s="41">
        <v>4</v>
      </c>
      <c r="B6" s="43" t="s">
        <v>84</v>
      </c>
      <c r="C6" s="41" t="s">
        <v>45</v>
      </c>
      <c r="D6" s="41" t="s">
        <v>87</v>
      </c>
      <c r="E6" s="41" t="s">
        <v>27</v>
      </c>
      <c r="F6" s="41">
        <v>262631</v>
      </c>
      <c r="G6" s="41" t="s">
        <v>209</v>
      </c>
      <c r="H6" s="41">
        <v>5550</v>
      </c>
      <c r="I6" s="42">
        <v>0.32</v>
      </c>
      <c r="J6" s="42">
        <v>0.86599999999999999</v>
      </c>
      <c r="K6" s="41" t="s">
        <v>33</v>
      </c>
      <c r="L6" s="38">
        <v>1538.0160000000001</v>
      </c>
      <c r="M6" s="40">
        <v>1602.1</v>
      </c>
      <c r="N6" s="37">
        <v>0.14829999999999999</v>
      </c>
      <c r="O6" s="39">
        <v>8.9</v>
      </c>
      <c r="P6" s="36">
        <v>676.7</v>
      </c>
      <c r="Q6" s="36">
        <v>3</v>
      </c>
      <c r="R6" s="36">
        <v>1000</v>
      </c>
      <c r="S6" s="38">
        <v>0.96</v>
      </c>
      <c r="T6" s="36">
        <v>40</v>
      </c>
      <c r="U6" s="37">
        <v>0.04</v>
      </c>
      <c r="V6" s="36" t="s">
        <v>41</v>
      </c>
      <c r="W6" s="36" t="s">
        <v>41</v>
      </c>
      <c r="X6" s="36" t="s">
        <v>41</v>
      </c>
      <c r="Y6" s="36" t="s">
        <v>27</v>
      </c>
      <c r="Z6" s="36" t="s">
        <v>27</v>
      </c>
      <c r="AA6" s="36" t="s">
        <v>30</v>
      </c>
      <c r="AB6" s="36" t="s">
        <v>47</v>
      </c>
    </row>
    <row r="7" spans="1:28" x14ac:dyDescent="0.3">
      <c r="A7" s="35" t="s">
        <v>27</v>
      </c>
      <c r="B7" s="35" t="s">
        <v>27</v>
      </c>
      <c r="C7" s="35" t="s">
        <v>27</v>
      </c>
      <c r="D7" s="35" t="s">
        <v>27</v>
      </c>
      <c r="E7" s="35" t="s">
        <v>27</v>
      </c>
      <c r="F7" s="35" t="s">
        <v>27</v>
      </c>
      <c r="G7" s="35" t="s">
        <v>27</v>
      </c>
      <c r="H7" s="35">
        <v>27450</v>
      </c>
      <c r="I7" s="35" t="s">
        <v>27</v>
      </c>
      <c r="J7" s="35" t="s">
        <v>27</v>
      </c>
      <c r="K7" s="35" t="s">
        <v>27</v>
      </c>
      <c r="L7" s="34" t="s">
        <v>27</v>
      </c>
      <c r="M7" s="34" t="s">
        <v>27</v>
      </c>
      <c r="N7" s="34" t="s">
        <v>27</v>
      </c>
      <c r="O7" s="34" t="s">
        <v>27</v>
      </c>
      <c r="P7" s="34">
        <v>10410.9</v>
      </c>
      <c r="Q7" s="34" t="s">
        <v>27</v>
      </c>
      <c r="R7" s="34" t="s">
        <v>27</v>
      </c>
      <c r="S7" s="34" t="s">
        <v>27</v>
      </c>
      <c r="T7" s="34" t="s">
        <v>27</v>
      </c>
      <c r="U7" s="34" t="s">
        <v>27</v>
      </c>
      <c r="V7" s="34" t="s">
        <v>27</v>
      </c>
      <c r="W7" s="34" t="s">
        <v>27</v>
      </c>
      <c r="X7" s="34" t="s">
        <v>27</v>
      </c>
      <c r="Y7" s="34" t="s">
        <v>27</v>
      </c>
      <c r="Z7" s="34" t="s">
        <v>27</v>
      </c>
      <c r="AA7" s="34" t="s">
        <v>27</v>
      </c>
      <c r="AB7" s="34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8" orientation="landscape" horizontalDpi="360" verticalDpi="36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FEA0-9E29-45AE-8927-1BAD28B275F4}">
  <sheetPr>
    <pageSetUpPr fitToPage="1"/>
  </sheetPr>
  <dimension ref="A1:AB13"/>
  <sheetViews>
    <sheetView workbookViewId="0">
      <selection activeCell="J3" sqref="J3:J12"/>
    </sheetView>
  </sheetViews>
  <sheetFormatPr defaultRowHeight="14.4" x14ac:dyDescent="0.3"/>
  <cols>
    <col min="1" max="1" width="4.88671875" style="33" customWidth="1"/>
    <col min="2" max="2" width="17.109375" style="33" hidden="1" customWidth="1"/>
    <col min="3" max="3" width="5.88671875" style="33" customWidth="1"/>
    <col min="4" max="4" width="11.77734375" style="33" hidden="1" customWidth="1"/>
    <col min="5" max="5" width="9.21875" style="33" customWidth="1"/>
    <col min="6" max="6" width="7.44140625" style="33" customWidth="1"/>
    <col min="7" max="7" width="3.21875" style="33" customWidth="1"/>
    <col min="8" max="8" width="5.88671875" style="33" customWidth="1"/>
    <col min="9" max="9" width="6.88671875" style="33" customWidth="1"/>
    <col min="10" max="10" width="6.33203125" style="33" customWidth="1"/>
    <col min="11" max="11" width="13.218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" style="33" customWidth="1"/>
    <col min="17" max="17" width="4" style="33" customWidth="1"/>
    <col min="18" max="18" width="6.5546875" style="33" customWidth="1"/>
    <col min="19" max="19" width="6.6640625" style="33" customWidth="1"/>
    <col min="20" max="20" width="11.77734375" style="33" hidden="1" customWidth="1"/>
    <col min="21" max="21" width="8.77734375" style="33" hidden="1" customWidth="1"/>
    <col min="22" max="22" width="8.33203125" style="33" customWidth="1"/>
    <col min="23" max="23" width="8.21875" style="33" customWidth="1"/>
    <col min="24" max="25" width="7.6640625" style="33" customWidth="1"/>
    <col min="26" max="26" width="7.88671875" style="33" customWidth="1"/>
    <col min="27" max="27" width="3.88671875" style="33" customWidth="1"/>
    <col min="28" max="28" width="11" style="33" customWidth="1"/>
    <col min="29" max="16384" width="8.88671875" style="33"/>
  </cols>
  <sheetData>
    <row r="1" spans="1:28" ht="18" customHeight="1" x14ac:dyDescent="0.35">
      <c r="A1" s="269" t="s">
        <v>235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57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ht="25.05" customHeight="1" x14ac:dyDescent="0.3">
      <c r="A3" s="41">
        <v>1</v>
      </c>
      <c r="B3" s="43" t="s">
        <v>236</v>
      </c>
      <c r="C3" s="41" t="s">
        <v>26</v>
      </c>
      <c r="D3" s="41" t="s">
        <v>128</v>
      </c>
      <c r="E3" s="41" t="s">
        <v>27</v>
      </c>
      <c r="F3" s="41">
        <v>262624</v>
      </c>
      <c r="G3" s="41" t="s">
        <v>31</v>
      </c>
      <c r="H3" s="41">
        <v>2000</v>
      </c>
      <c r="I3" s="42">
        <v>0.67900000000000005</v>
      </c>
      <c r="J3" s="42">
        <v>1.35</v>
      </c>
      <c r="K3" s="41" t="s">
        <v>208</v>
      </c>
      <c r="L3" s="38">
        <v>1833.3</v>
      </c>
      <c r="M3" s="40">
        <v>1350</v>
      </c>
      <c r="N3" s="37">
        <v>0.1875</v>
      </c>
      <c r="O3" s="39">
        <v>11.25</v>
      </c>
      <c r="P3" s="36">
        <v>986.3</v>
      </c>
      <c r="Q3" s="36">
        <v>2</v>
      </c>
      <c r="R3" s="36">
        <v>1400</v>
      </c>
      <c r="S3" s="38">
        <v>1.3580000000000001</v>
      </c>
      <c r="T3" s="36">
        <v>42</v>
      </c>
      <c r="U3" s="37">
        <v>0.03</v>
      </c>
      <c r="V3" s="36" t="s">
        <v>28</v>
      </c>
      <c r="W3" s="36" t="s">
        <v>29</v>
      </c>
      <c r="X3" s="36" t="s">
        <v>28</v>
      </c>
      <c r="Y3" s="36" t="s">
        <v>28</v>
      </c>
      <c r="Z3" s="36" t="s">
        <v>28</v>
      </c>
      <c r="AA3" s="36" t="s">
        <v>65</v>
      </c>
      <c r="AB3" s="36" t="s">
        <v>207</v>
      </c>
    </row>
    <row r="4" spans="1:28" ht="25.05" customHeight="1" x14ac:dyDescent="0.3">
      <c r="A4" s="41">
        <v>2</v>
      </c>
      <c r="B4" s="43" t="s">
        <v>236</v>
      </c>
      <c r="C4" s="41" t="s">
        <v>26</v>
      </c>
      <c r="D4" s="41" t="s">
        <v>128</v>
      </c>
      <c r="E4" s="41" t="s">
        <v>27</v>
      </c>
      <c r="F4" s="41">
        <v>262629</v>
      </c>
      <c r="G4" s="41" t="s">
        <v>31</v>
      </c>
      <c r="H4" s="41">
        <v>300</v>
      </c>
      <c r="I4" s="42">
        <v>1.3480000000000001</v>
      </c>
      <c r="J4" s="42">
        <v>1.496</v>
      </c>
      <c r="K4" s="41" t="s">
        <v>33</v>
      </c>
      <c r="L4" s="38">
        <v>604.98199999999997</v>
      </c>
      <c r="M4" s="40">
        <v>448.8</v>
      </c>
      <c r="N4" s="37">
        <v>0.12470000000000001</v>
      </c>
      <c r="O4" s="39">
        <v>7.48</v>
      </c>
      <c r="P4" s="36">
        <v>325.5</v>
      </c>
      <c r="Q4" s="36">
        <v>1</v>
      </c>
      <c r="R4" s="36">
        <v>1400</v>
      </c>
      <c r="S4" s="38">
        <v>1.3480000000000001</v>
      </c>
      <c r="T4" s="36">
        <v>52</v>
      </c>
      <c r="U4" s="37">
        <v>3.7100000000000001E-2</v>
      </c>
      <c r="V4" s="36" t="s">
        <v>28</v>
      </c>
      <c r="W4" s="36" t="s">
        <v>29</v>
      </c>
      <c r="X4" s="36" t="s">
        <v>28</v>
      </c>
      <c r="Y4" s="36" t="s">
        <v>28</v>
      </c>
      <c r="Z4" s="36" t="s">
        <v>28</v>
      </c>
      <c r="AA4" s="36" t="s">
        <v>32</v>
      </c>
      <c r="AB4" s="36" t="s">
        <v>206</v>
      </c>
    </row>
    <row r="5" spans="1:28" ht="25.05" customHeight="1" x14ac:dyDescent="0.3">
      <c r="A5" s="41">
        <v>3</v>
      </c>
      <c r="B5" s="43" t="s">
        <v>236</v>
      </c>
      <c r="C5" s="41" t="s">
        <v>26</v>
      </c>
      <c r="D5" s="41" t="s">
        <v>128</v>
      </c>
      <c r="E5" s="41" t="s">
        <v>27</v>
      </c>
      <c r="F5" s="41">
        <v>262627</v>
      </c>
      <c r="G5" s="41" t="s">
        <v>31</v>
      </c>
      <c r="H5" s="41">
        <v>250</v>
      </c>
      <c r="I5" s="42">
        <v>0.94799999999999995</v>
      </c>
      <c r="J5" s="42">
        <v>2.36</v>
      </c>
      <c r="K5" s="41" t="s">
        <v>205</v>
      </c>
      <c r="L5" s="38">
        <v>559.32000000000005</v>
      </c>
      <c r="M5" s="40">
        <v>590</v>
      </c>
      <c r="N5" s="37">
        <v>0.16389999999999999</v>
      </c>
      <c r="O5" s="39">
        <v>9.83</v>
      </c>
      <c r="P5" s="36">
        <v>300.89999999999998</v>
      </c>
      <c r="Q5" s="36">
        <v>1</v>
      </c>
      <c r="R5" s="36">
        <v>1000</v>
      </c>
      <c r="S5" s="38">
        <v>0.94799999999999995</v>
      </c>
      <c r="T5" s="36">
        <v>52</v>
      </c>
      <c r="U5" s="37">
        <v>5.1999999999999998E-2</v>
      </c>
      <c r="V5" s="36" t="s">
        <v>28</v>
      </c>
      <c r="W5" s="36" t="s">
        <v>29</v>
      </c>
      <c r="X5" s="36" t="s">
        <v>28</v>
      </c>
      <c r="Y5" s="36" t="s">
        <v>28</v>
      </c>
      <c r="Z5" s="36" t="s">
        <v>28</v>
      </c>
      <c r="AA5" s="36" t="s">
        <v>32</v>
      </c>
      <c r="AB5" s="36" t="s">
        <v>204</v>
      </c>
    </row>
    <row r="6" spans="1:28" ht="25.05" customHeight="1" x14ac:dyDescent="0.3">
      <c r="A6" s="41">
        <v>4</v>
      </c>
      <c r="B6" s="43" t="s">
        <v>236</v>
      </c>
      <c r="C6" s="41" t="s">
        <v>26</v>
      </c>
      <c r="D6" s="41" t="s">
        <v>128</v>
      </c>
      <c r="E6" s="41" t="s">
        <v>27</v>
      </c>
      <c r="F6" s="41">
        <v>262628</v>
      </c>
      <c r="G6" s="41" t="s">
        <v>31</v>
      </c>
      <c r="H6" s="41">
        <v>320</v>
      </c>
      <c r="I6" s="42">
        <v>0.83599999999999997</v>
      </c>
      <c r="J6" s="42">
        <v>2.1</v>
      </c>
      <c r="K6" s="41" t="s">
        <v>203</v>
      </c>
      <c r="L6" s="38">
        <v>561.79200000000003</v>
      </c>
      <c r="M6" s="40">
        <v>672</v>
      </c>
      <c r="N6" s="37">
        <v>0.1867</v>
      </c>
      <c r="O6" s="39">
        <v>11.2</v>
      </c>
      <c r="P6" s="36">
        <v>302.2</v>
      </c>
      <c r="Q6" s="36">
        <v>1</v>
      </c>
      <c r="R6" s="36">
        <v>900</v>
      </c>
      <c r="S6" s="38">
        <v>0.83599999999999997</v>
      </c>
      <c r="T6" s="36">
        <v>64</v>
      </c>
      <c r="U6" s="37">
        <v>7.1099999999999997E-2</v>
      </c>
      <c r="V6" s="36" t="s">
        <v>28</v>
      </c>
      <c r="W6" s="36" t="s">
        <v>29</v>
      </c>
      <c r="X6" s="36" t="s">
        <v>28</v>
      </c>
      <c r="Y6" s="36" t="s">
        <v>28</v>
      </c>
      <c r="Z6" s="36" t="s">
        <v>28</v>
      </c>
      <c r="AA6" s="36" t="s">
        <v>32</v>
      </c>
      <c r="AB6" s="36" t="s">
        <v>202</v>
      </c>
    </row>
    <row r="7" spans="1:28" ht="25.05" customHeight="1" x14ac:dyDescent="0.3">
      <c r="A7" s="41">
        <v>5</v>
      </c>
      <c r="B7" s="43" t="s">
        <v>236</v>
      </c>
      <c r="C7" s="41" t="s">
        <v>35</v>
      </c>
      <c r="D7" s="41" t="s">
        <v>128</v>
      </c>
      <c r="E7" s="41" t="s">
        <v>27</v>
      </c>
      <c r="F7" s="41">
        <v>262621</v>
      </c>
      <c r="G7" s="41" t="s">
        <v>31</v>
      </c>
      <c r="H7" s="41">
        <v>1000</v>
      </c>
      <c r="I7" s="42">
        <v>0.71</v>
      </c>
      <c r="J7" s="42">
        <v>0.96</v>
      </c>
      <c r="K7" s="41" t="s">
        <v>201</v>
      </c>
      <c r="L7" s="38">
        <v>681.6</v>
      </c>
      <c r="M7" s="40">
        <v>480</v>
      </c>
      <c r="N7" s="37">
        <v>6.6699999999999995E-2</v>
      </c>
      <c r="O7" s="39">
        <v>4</v>
      </c>
      <c r="P7" s="36">
        <v>214.7</v>
      </c>
      <c r="Q7" s="36">
        <v>2</v>
      </c>
      <c r="R7" s="36">
        <v>1450</v>
      </c>
      <c r="S7" s="38">
        <v>1.42</v>
      </c>
      <c r="T7" s="36">
        <v>30</v>
      </c>
      <c r="U7" s="37">
        <v>2.07E-2</v>
      </c>
      <c r="V7" s="36" t="s">
        <v>28</v>
      </c>
      <c r="W7" s="36" t="s">
        <v>28</v>
      </c>
      <c r="X7" s="36" t="s">
        <v>28</v>
      </c>
      <c r="Y7" s="36" t="s">
        <v>27</v>
      </c>
      <c r="Z7" s="36" t="s">
        <v>27</v>
      </c>
      <c r="AA7" s="36" t="s">
        <v>38</v>
      </c>
      <c r="AB7" s="36" t="s">
        <v>200</v>
      </c>
    </row>
    <row r="8" spans="1:28" ht="25.05" customHeight="1" x14ac:dyDescent="0.3">
      <c r="A8" s="41">
        <v>6</v>
      </c>
      <c r="B8" s="43" t="s">
        <v>236</v>
      </c>
      <c r="C8" s="41" t="s">
        <v>35</v>
      </c>
      <c r="D8" s="41" t="s">
        <v>128</v>
      </c>
      <c r="E8" s="41" t="s">
        <v>27</v>
      </c>
      <c r="F8" s="41">
        <v>262622</v>
      </c>
      <c r="G8" s="41" t="s">
        <v>31</v>
      </c>
      <c r="H8" s="41">
        <v>550</v>
      </c>
      <c r="I8" s="42">
        <v>1.18</v>
      </c>
      <c r="J8" s="42">
        <v>1.44</v>
      </c>
      <c r="K8" s="41" t="s">
        <v>199</v>
      </c>
      <c r="L8" s="38">
        <v>934.56</v>
      </c>
      <c r="M8" s="40">
        <v>792</v>
      </c>
      <c r="N8" s="37">
        <v>0.22</v>
      </c>
      <c r="O8" s="39">
        <v>13.2</v>
      </c>
      <c r="P8" s="36">
        <v>294.39999999999998</v>
      </c>
      <c r="Q8" s="36">
        <v>1</v>
      </c>
      <c r="R8" s="36">
        <v>1200</v>
      </c>
      <c r="S8" s="38">
        <v>1.18</v>
      </c>
      <c r="T8" s="36">
        <v>20</v>
      </c>
      <c r="U8" s="37">
        <v>1.67E-2</v>
      </c>
      <c r="V8" s="36" t="s">
        <v>28</v>
      </c>
      <c r="W8" s="36" t="s">
        <v>28</v>
      </c>
      <c r="X8" s="36" t="s">
        <v>28</v>
      </c>
      <c r="Y8" s="36" t="s">
        <v>27</v>
      </c>
      <c r="Z8" s="36" t="s">
        <v>27</v>
      </c>
      <c r="AA8" s="36" t="s">
        <v>32</v>
      </c>
      <c r="AB8" s="36" t="s">
        <v>198</v>
      </c>
    </row>
    <row r="9" spans="1:28" ht="25.05" customHeight="1" x14ac:dyDescent="0.3">
      <c r="A9" s="41">
        <v>7</v>
      </c>
      <c r="B9" s="43" t="s">
        <v>236</v>
      </c>
      <c r="C9" s="41" t="s">
        <v>81</v>
      </c>
      <c r="D9" s="41" t="s">
        <v>128</v>
      </c>
      <c r="E9" s="41" t="s">
        <v>27</v>
      </c>
      <c r="F9" s="41">
        <v>262626</v>
      </c>
      <c r="G9" s="41" t="s">
        <v>31</v>
      </c>
      <c r="H9" s="41">
        <v>5500</v>
      </c>
      <c r="I9" s="42">
        <v>0.54500000000000004</v>
      </c>
      <c r="J9" s="42">
        <v>1.8</v>
      </c>
      <c r="K9" s="41" t="s">
        <v>197</v>
      </c>
      <c r="L9" s="38">
        <v>5395.5</v>
      </c>
      <c r="M9" s="40">
        <v>4950</v>
      </c>
      <c r="N9" s="37">
        <v>0.6875</v>
      </c>
      <c r="O9" s="39">
        <v>41.25</v>
      </c>
      <c r="P9" s="36">
        <v>1969.4</v>
      </c>
      <c r="Q9" s="36">
        <v>2</v>
      </c>
      <c r="R9" s="36">
        <v>1150</v>
      </c>
      <c r="S9" s="38">
        <v>1.0900000000000001</v>
      </c>
      <c r="T9" s="36">
        <v>60</v>
      </c>
      <c r="U9" s="37">
        <v>5.2200000000000003E-2</v>
      </c>
      <c r="V9" s="36" t="s">
        <v>41</v>
      </c>
      <c r="W9" s="36" t="s">
        <v>29</v>
      </c>
      <c r="X9" s="36" t="s">
        <v>28</v>
      </c>
      <c r="Y9" s="36" t="s">
        <v>27</v>
      </c>
      <c r="Z9" s="36" t="s">
        <v>27</v>
      </c>
      <c r="AA9" s="36" t="s">
        <v>54</v>
      </c>
      <c r="AB9" s="36" t="s">
        <v>196</v>
      </c>
    </row>
    <row r="10" spans="1:28" ht="25.05" customHeight="1" x14ac:dyDescent="0.3">
      <c r="A10" s="41">
        <v>8</v>
      </c>
      <c r="B10" s="43" t="s">
        <v>236</v>
      </c>
      <c r="C10" s="41" t="s">
        <v>81</v>
      </c>
      <c r="D10" s="41" t="s">
        <v>128</v>
      </c>
      <c r="E10" s="41" t="s">
        <v>27</v>
      </c>
      <c r="F10" s="41">
        <v>262620</v>
      </c>
      <c r="G10" s="41" t="s">
        <v>31</v>
      </c>
      <c r="H10" s="41">
        <v>5000</v>
      </c>
      <c r="I10" s="42">
        <v>0.52100000000000002</v>
      </c>
      <c r="J10" s="42">
        <v>1.03</v>
      </c>
      <c r="K10" s="41" t="s">
        <v>195</v>
      </c>
      <c r="L10" s="38">
        <v>2683.15</v>
      </c>
      <c r="M10" s="40">
        <v>2575</v>
      </c>
      <c r="N10" s="37">
        <v>0.35759999999999997</v>
      </c>
      <c r="O10" s="39">
        <v>21.46</v>
      </c>
      <c r="P10" s="36">
        <v>979.3</v>
      </c>
      <c r="Q10" s="36">
        <v>2</v>
      </c>
      <c r="R10" s="36">
        <v>1100</v>
      </c>
      <c r="S10" s="38">
        <v>1.042</v>
      </c>
      <c r="T10" s="36">
        <v>58</v>
      </c>
      <c r="U10" s="37">
        <v>5.2699999999999997E-2</v>
      </c>
      <c r="V10" s="36" t="s">
        <v>41</v>
      </c>
      <c r="W10" s="36" t="s">
        <v>29</v>
      </c>
      <c r="X10" s="36" t="s">
        <v>28</v>
      </c>
      <c r="Y10" s="36" t="s">
        <v>27</v>
      </c>
      <c r="Z10" s="36" t="s">
        <v>27</v>
      </c>
      <c r="AA10" s="36" t="s">
        <v>31</v>
      </c>
      <c r="AB10" s="36" t="s">
        <v>194</v>
      </c>
    </row>
    <row r="11" spans="1:28" ht="25.05" customHeight="1" x14ac:dyDescent="0.3">
      <c r="A11" s="41">
        <v>9</v>
      </c>
      <c r="B11" s="43" t="s">
        <v>236</v>
      </c>
      <c r="C11" s="41" t="s">
        <v>35</v>
      </c>
      <c r="D11" s="41" t="s">
        <v>128</v>
      </c>
      <c r="E11" s="41" t="s">
        <v>27</v>
      </c>
      <c r="F11" s="41">
        <v>262623</v>
      </c>
      <c r="G11" s="41" t="s">
        <v>31</v>
      </c>
      <c r="H11" s="41">
        <v>700</v>
      </c>
      <c r="I11" s="42">
        <v>0.97</v>
      </c>
      <c r="J11" s="42">
        <v>1.42</v>
      </c>
      <c r="K11" s="41" t="s">
        <v>193</v>
      </c>
      <c r="L11" s="38">
        <v>964.18</v>
      </c>
      <c r="M11" s="40">
        <v>994</v>
      </c>
      <c r="N11" s="37">
        <v>0.27610000000000001</v>
      </c>
      <c r="O11" s="39">
        <v>16.57</v>
      </c>
      <c r="P11" s="36">
        <v>303.7</v>
      </c>
      <c r="Q11" s="36">
        <v>1</v>
      </c>
      <c r="R11" s="36">
        <v>1000</v>
      </c>
      <c r="S11" s="38">
        <v>0.97</v>
      </c>
      <c r="T11" s="36">
        <v>30</v>
      </c>
      <c r="U11" s="37">
        <v>0.03</v>
      </c>
      <c r="V11" s="36" t="s">
        <v>28</v>
      </c>
      <c r="W11" s="36" t="s">
        <v>28</v>
      </c>
      <c r="X11" s="36" t="s">
        <v>28</v>
      </c>
      <c r="Y11" s="36" t="s">
        <v>27</v>
      </c>
      <c r="Z11" s="36" t="s">
        <v>27</v>
      </c>
      <c r="AA11" s="36" t="s">
        <v>32</v>
      </c>
      <c r="AB11" s="36" t="s">
        <v>192</v>
      </c>
    </row>
    <row r="12" spans="1:28" ht="25.05" customHeight="1" x14ac:dyDescent="0.3">
      <c r="A12" s="41">
        <v>10</v>
      </c>
      <c r="B12" s="43" t="s">
        <v>236</v>
      </c>
      <c r="C12" s="41" t="s">
        <v>35</v>
      </c>
      <c r="D12" s="41" t="s">
        <v>128</v>
      </c>
      <c r="E12" s="41" t="s">
        <v>27</v>
      </c>
      <c r="F12" s="41">
        <v>262625</v>
      </c>
      <c r="G12" s="41" t="s">
        <v>31</v>
      </c>
      <c r="H12" s="41">
        <v>4000</v>
      </c>
      <c r="I12" s="42">
        <v>0.30399999999999999</v>
      </c>
      <c r="J12" s="42">
        <v>0.98</v>
      </c>
      <c r="K12" s="41" t="s">
        <v>83</v>
      </c>
      <c r="L12" s="38">
        <v>1191.68</v>
      </c>
      <c r="M12" s="40">
        <v>1960</v>
      </c>
      <c r="N12" s="37">
        <v>0.2722</v>
      </c>
      <c r="O12" s="39">
        <v>16.329999999999998</v>
      </c>
      <c r="P12" s="36">
        <v>375.4</v>
      </c>
      <c r="Q12" s="36">
        <v>2</v>
      </c>
      <c r="R12" s="36">
        <v>650</v>
      </c>
      <c r="S12" s="38">
        <v>0.60799999999999998</v>
      </c>
      <c r="T12" s="36">
        <v>42</v>
      </c>
      <c r="U12" s="37">
        <v>6.4600000000000005E-2</v>
      </c>
      <c r="V12" s="36" t="s">
        <v>28</v>
      </c>
      <c r="W12" s="36" t="s">
        <v>28</v>
      </c>
      <c r="X12" s="36" t="s">
        <v>28</v>
      </c>
      <c r="Y12" s="36" t="s">
        <v>27</v>
      </c>
      <c r="Z12" s="36" t="s">
        <v>27</v>
      </c>
      <c r="AA12" s="36" t="s">
        <v>32</v>
      </c>
      <c r="AB12" s="36" t="s">
        <v>82</v>
      </c>
    </row>
    <row r="13" spans="1:28" ht="25.05" customHeight="1" x14ac:dyDescent="0.3">
      <c r="A13" s="35" t="s">
        <v>27</v>
      </c>
      <c r="B13" s="35" t="s">
        <v>27</v>
      </c>
      <c r="C13" s="35" t="s">
        <v>27</v>
      </c>
      <c r="D13" s="35" t="s">
        <v>27</v>
      </c>
      <c r="E13" s="35" t="s">
        <v>27</v>
      </c>
      <c r="F13" s="35" t="s">
        <v>27</v>
      </c>
      <c r="G13" s="35" t="s">
        <v>27</v>
      </c>
      <c r="H13" s="35">
        <v>19620</v>
      </c>
      <c r="I13" s="35" t="s">
        <v>27</v>
      </c>
      <c r="J13" s="35" t="s">
        <v>27</v>
      </c>
      <c r="K13" s="35" t="s">
        <v>27</v>
      </c>
      <c r="L13" s="34" t="s">
        <v>27</v>
      </c>
      <c r="M13" s="34" t="s">
        <v>27</v>
      </c>
      <c r="N13" s="34" t="s">
        <v>27</v>
      </c>
      <c r="O13" s="34" t="s">
        <v>27</v>
      </c>
      <c r="P13" s="34">
        <v>6051.8</v>
      </c>
      <c r="Q13" s="34" t="s">
        <v>27</v>
      </c>
      <c r="R13" s="34" t="s">
        <v>27</v>
      </c>
      <c r="S13" s="34" t="s">
        <v>27</v>
      </c>
      <c r="T13" s="34" t="s">
        <v>27</v>
      </c>
      <c r="U13" s="34" t="s">
        <v>27</v>
      </c>
      <c r="V13" s="34" t="s">
        <v>27</v>
      </c>
      <c r="W13" s="34" t="s">
        <v>27</v>
      </c>
      <c r="X13" s="34" t="s">
        <v>27</v>
      </c>
      <c r="Y13" s="34" t="s">
        <v>27</v>
      </c>
      <c r="Z13" s="34" t="s">
        <v>27</v>
      </c>
      <c r="AA13" s="34" t="s">
        <v>27</v>
      </c>
      <c r="AB13" s="34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6" orientation="landscape" horizontalDpi="360" verticalDpi="36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F4CA-00D7-4A30-8F64-AC13CDBB2809}">
  <sheetPr>
    <pageSetUpPr fitToPage="1"/>
  </sheetPr>
  <dimension ref="A1:AB8"/>
  <sheetViews>
    <sheetView workbookViewId="0">
      <selection sqref="A1:AB8"/>
    </sheetView>
  </sheetViews>
  <sheetFormatPr defaultRowHeight="14.4" x14ac:dyDescent="0.3"/>
  <cols>
    <col min="1" max="1" width="4.44140625" style="1" customWidth="1"/>
    <col min="2" max="2" width="20.77734375" style="1" hidden="1" customWidth="1"/>
    <col min="3" max="3" width="7.77734375" style="1" customWidth="1"/>
    <col min="4" max="4" width="11.77734375" style="1" hidden="1" customWidth="1"/>
    <col min="5" max="5" width="9" style="1" customWidth="1"/>
    <col min="6" max="6" width="7.6640625" style="1" customWidth="1"/>
    <col min="7" max="7" width="5.6640625" style="1" customWidth="1"/>
    <col min="8" max="8" width="5.88671875" style="1" customWidth="1"/>
    <col min="9" max="9" width="6.5546875" style="1" customWidth="1"/>
    <col min="10" max="10" width="6.88671875" style="1" customWidth="1"/>
    <col min="11" max="11" width="13.2187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7" style="1" customWidth="1"/>
    <col min="17" max="17" width="4.33203125" style="1" customWidth="1"/>
    <col min="18" max="18" width="5.77734375" style="1" customWidth="1"/>
    <col min="19" max="19" width="6.21875" style="1" customWidth="1"/>
    <col min="20" max="20" width="11.77734375" style="1" hidden="1" customWidth="1"/>
    <col min="21" max="21" width="8.77734375" style="1" hidden="1" customWidth="1"/>
    <col min="22" max="22" width="8.109375" style="1" customWidth="1"/>
    <col min="23" max="23" width="8.33203125" style="1" customWidth="1"/>
    <col min="24" max="24" width="7.6640625" style="1" customWidth="1"/>
    <col min="25" max="25" width="8" style="1" customWidth="1"/>
    <col min="26" max="26" width="8.109375" style="1" customWidth="1"/>
    <col min="27" max="27" width="4.21875" style="1" customWidth="1"/>
    <col min="28" max="28" width="9.44140625" style="1" customWidth="1"/>
    <col min="29" max="16384" width="8.88671875" style="1"/>
  </cols>
  <sheetData>
    <row r="1" spans="1:28" ht="18" customHeight="1" x14ac:dyDescent="0.35">
      <c r="A1" s="267" t="s">
        <v>181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</row>
    <row r="2" spans="1:28" ht="54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53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</row>
    <row r="3" spans="1:28" s="12" customFormat="1" ht="25.05" customHeight="1" x14ac:dyDescent="0.3">
      <c r="A3" s="5">
        <v>1</v>
      </c>
      <c r="B3" s="10" t="s">
        <v>58</v>
      </c>
      <c r="C3" s="5" t="s">
        <v>26</v>
      </c>
      <c r="D3" s="5" t="s">
        <v>152</v>
      </c>
      <c r="E3" s="5" t="s">
        <v>27</v>
      </c>
      <c r="F3" s="5">
        <v>262601</v>
      </c>
      <c r="G3" s="5" t="s">
        <v>175</v>
      </c>
      <c r="H3" s="5">
        <v>1000</v>
      </c>
      <c r="I3" s="7">
        <v>0.71199999999999997</v>
      </c>
      <c r="J3" s="7">
        <v>2.19</v>
      </c>
      <c r="K3" s="5" t="s">
        <v>180</v>
      </c>
      <c r="L3" s="7">
        <v>1559.28</v>
      </c>
      <c r="M3" s="9">
        <v>1095</v>
      </c>
      <c r="N3" s="6">
        <v>0.15210000000000001</v>
      </c>
      <c r="O3" s="8">
        <v>9.1300000000000008</v>
      </c>
      <c r="P3" s="5">
        <v>838.9</v>
      </c>
      <c r="Q3" s="5">
        <v>2</v>
      </c>
      <c r="R3" s="5">
        <v>1450</v>
      </c>
      <c r="S3" s="7">
        <v>1.4239999999999999</v>
      </c>
      <c r="T3" s="5">
        <v>26</v>
      </c>
      <c r="U3" s="6">
        <v>1.7899999999999999E-2</v>
      </c>
      <c r="V3" s="5" t="s">
        <v>28</v>
      </c>
      <c r="W3" s="5" t="s">
        <v>29</v>
      </c>
      <c r="X3" s="5" t="s">
        <v>28</v>
      </c>
      <c r="Y3" s="5" t="s">
        <v>28</v>
      </c>
      <c r="Z3" s="5" t="s">
        <v>28</v>
      </c>
      <c r="AA3" s="5" t="s">
        <v>40</v>
      </c>
      <c r="AB3" s="5" t="s">
        <v>179</v>
      </c>
    </row>
    <row r="4" spans="1:28" s="12" customFormat="1" ht="25.05" customHeight="1" x14ac:dyDescent="0.3">
      <c r="A4" s="5">
        <v>2</v>
      </c>
      <c r="B4" s="10" t="s">
        <v>58</v>
      </c>
      <c r="C4" s="5" t="s">
        <v>26</v>
      </c>
      <c r="D4" s="5" t="s">
        <v>152</v>
      </c>
      <c r="E4" s="5" t="s">
        <v>27</v>
      </c>
      <c r="F4" s="5">
        <v>262600</v>
      </c>
      <c r="G4" s="5" t="s">
        <v>175</v>
      </c>
      <c r="H4" s="5">
        <v>900</v>
      </c>
      <c r="I4" s="7">
        <v>0.64200000000000002</v>
      </c>
      <c r="J4" s="7">
        <v>2.0779999999999998</v>
      </c>
      <c r="K4" s="5" t="s">
        <v>67</v>
      </c>
      <c r="L4" s="7">
        <v>1200.6679999999999</v>
      </c>
      <c r="M4" s="9">
        <v>935.1</v>
      </c>
      <c r="N4" s="6">
        <v>0.12989999999999999</v>
      </c>
      <c r="O4" s="8">
        <v>7.79</v>
      </c>
      <c r="P4" s="5">
        <v>646</v>
      </c>
      <c r="Q4" s="5">
        <v>2</v>
      </c>
      <c r="R4" s="5">
        <v>1350</v>
      </c>
      <c r="S4" s="7">
        <v>1.284</v>
      </c>
      <c r="T4" s="5">
        <v>66</v>
      </c>
      <c r="U4" s="6">
        <v>4.8899999999999999E-2</v>
      </c>
      <c r="V4" s="5" t="s">
        <v>28</v>
      </c>
      <c r="W4" s="5" t="s">
        <v>29</v>
      </c>
      <c r="X4" s="5" t="s">
        <v>28</v>
      </c>
      <c r="Y4" s="5" t="s">
        <v>28</v>
      </c>
      <c r="Z4" s="5" t="s">
        <v>28</v>
      </c>
      <c r="AA4" s="5" t="s">
        <v>48</v>
      </c>
      <c r="AB4" s="5" t="s">
        <v>178</v>
      </c>
    </row>
    <row r="5" spans="1:28" s="12" customFormat="1" ht="25.05" customHeight="1" x14ac:dyDescent="0.3">
      <c r="A5" s="5">
        <v>3</v>
      </c>
      <c r="B5" s="10" t="s">
        <v>58</v>
      </c>
      <c r="C5" s="5" t="s">
        <v>26</v>
      </c>
      <c r="D5" s="5" t="s">
        <v>152</v>
      </c>
      <c r="E5" s="5" t="s">
        <v>27</v>
      </c>
      <c r="F5" s="5">
        <v>262599</v>
      </c>
      <c r="G5" s="5" t="s">
        <v>175</v>
      </c>
      <c r="H5" s="5">
        <v>450</v>
      </c>
      <c r="I5" s="7">
        <v>0.622</v>
      </c>
      <c r="J5" s="7">
        <v>2.2000000000000002</v>
      </c>
      <c r="K5" s="5" t="s">
        <v>177</v>
      </c>
      <c r="L5" s="7">
        <v>615.78</v>
      </c>
      <c r="M5" s="9">
        <v>495</v>
      </c>
      <c r="N5" s="6">
        <v>6.88E-2</v>
      </c>
      <c r="O5" s="8">
        <v>4.13</v>
      </c>
      <c r="P5" s="5">
        <v>331.3</v>
      </c>
      <c r="Q5" s="5">
        <v>2</v>
      </c>
      <c r="R5" s="5">
        <v>1300</v>
      </c>
      <c r="S5" s="7">
        <v>1.244</v>
      </c>
      <c r="T5" s="5">
        <v>56</v>
      </c>
      <c r="U5" s="6">
        <v>4.3099999999999999E-2</v>
      </c>
      <c r="V5" s="5" t="s">
        <v>28</v>
      </c>
      <c r="W5" s="5" t="s">
        <v>29</v>
      </c>
      <c r="X5" s="5" t="s">
        <v>28</v>
      </c>
      <c r="Y5" s="5" t="s">
        <v>28</v>
      </c>
      <c r="Z5" s="5" t="s">
        <v>28</v>
      </c>
      <c r="AA5" s="5" t="s">
        <v>30</v>
      </c>
      <c r="AB5" s="5" t="s">
        <v>176</v>
      </c>
    </row>
    <row r="6" spans="1:28" s="12" customFormat="1" ht="25.05" customHeight="1" x14ac:dyDescent="0.3">
      <c r="A6" s="5">
        <v>4</v>
      </c>
      <c r="B6" s="10" t="s">
        <v>58</v>
      </c>
      <c r="C6" s="5" t="s">
        <v>26</v>
      </c>
      <c r="D6" s="5" t="s">
        <v>152</v>
      </c>
      <c r="E6" s="5" t="s">
        <v>27</v>
      </c>
      <c r="F6" s="5">
        <v>262598</v>
      </c>
      <c r="G6" s="5" t="s">
        <v>175</v>
      </c>
      <c r="H6" s="5">
        <v>550</v>
      </c>
      <c r="I6" s="7">
        <v>0.96199999999999997</v>
      </c>
      <c r="J6" s="7">
        <v>2.1190000000000002</v>
      </c>
      <c r="K6" s="5" t="s">
        <v>70</v>
      </c>
      <c r="L6" s="7">
        <v>1121.163</v>
      </c>
      <c r="M6" s="9">
        <v>1165.5</v>
      </c>
      <c r="N6" s="6">
        <v>0.32369999999999999</v>
      </c>
      <c r="O6" s="8">
        <v>19.420000000000002</v>
      </c>
      <c r="P6" s="5">
        <v>603.20000000000005</v>
      </c>
      <c r="Q6" s="5">
        <v>1</v>
      </c>
      <c r="R6" s="5">
        <v>1000</v>
      </c>
      <c r="S6" s="7">
        <v>0.96199999999999997</v>
      </c>
      <c r="T6" s="5">
        <v>38</v>
      </c>
      <c r="U6" s="6">
        <v>3.7999999999999999E-2</v>
      </c>
      <c r="V6" s="5" t="s">
        <v>28</v>
      </c>
      <c r="W6" s="5" t="s">
        <v>29</v>
      </c>
      <c r="X6" s="5" t="s">
        <v>28</v>
      </c>
      <c r="Y6" s="5" t="s">
        <v>28</v>
      </c>
      <c r="Z6" s="5" t="s">
        <v>28</v>
      </c>
      <c r="AA6" s="5" t="s">
        <v>30</v>
      </c>
      <c r="AB6" s="5" t="s">
        <v>174</v>
      </c>
    </row>
    <row r="7" spans="1:28" s="12" customFormat="1" ht="25.05" customHeight="1" x14ac:dyDescent="0.3">
      <c r="A7" s="5">
        <v>5</v>
      </c>
      <c r="B7" s="10" t="s">
        <v>299</v>
      </c>
      <c r="C7" s="5" t="s">
        <v>26</v>
      </c>
      <c r="D7" s="87">
        <v>46288</v>
      </c>
      <c r="E7" s="5"/>
      <c r="F7" s="5">
        <v>262681</v>
      </c>
      <c r="G7" s="5">
        <v>8207</v>
      </c>
      <c r="H7" s="5">
        <v>410</v>
      </c>
      <c r="I7" s="7">
        <v>0.92</v>
      </c>
      <c r="J7" s="7">
        <v>1.22</v>
      </c>
      <c r="K7" s="5" t="s">
        <v>33</v>
      </c>
      <c r="L7" s="7">
        <v>460.18400000000003</v>
      </c>
      <c r="M7" s="9">
        <v>500.2</v>
      </c>
      <c r="N7" s="6">
        <v>0.1389</v>
      </c>
      <c r="O7" s="8">
        <v>8.34</v>
      </c>
      <c r="P7" s="5">
        <v>247.6</v>
      </c>
      <c r="Q7" s="5">
        <v>1</v>
      </c>
      <c r="R7" s="5">
        <v>950</v>
      </c>
      <c r="S7" s="7">
        <v>0.92</v>
      </c>
      <c r="T7" s="5">
        <v>30</v>
      </c>
      <c r="U7" s="6">
        <v>3.1600000000000003E-2</v>
      </c>
      <c r="V7" s="5" t="s">
        <v>28</v>
      </c>
      <c r="W7" s="5" t="s">
        <v>29</v>
      </c>
      <c r="X7" s="5" t="s">
        <v>28</v>
      </c>
      <c r="Y7" s="5" t="s">
        <v>28</v>
      </c>
      <c r="Z7" s="5" t="s">
        <v>28</v>
      </c>
      <c r="AA7" s="5">
        <v>3</v>
      </c>
      <c r="AB7" s="5" t="s">
        <v>300</v>
      </c>
    </row>
    <row r="8" spans="1:28" s="12" customFormat="1" ht="25.05" customHeight="1" x14ac:dyDescent="0.3">
      <c r="A8" s="11" t="s">
        <v>27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>
        <f>SUM(H3:H7)</f>
        <v>3310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>
        <f>SUM(P3:P7)</f>
        <v>2667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</row>
  </sheetData>
  <mergeCells count="1">
    <mergeCell ref="A1:AB1"/>
  </mergeCells>
  <pageMargins left="0.511811024" right="0.511811024" top="1.39" bottom="0.78740157499999996" header="0.31496062000000002" footer="0.31496062000000002"/>
  <pageSetup paperSize="9" scale="94" orientation="landscape" horizontalDpi="360" verticalDpi="36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73F0-D53E-458D-8A18-622E142F07EE}">
  <sheetPr>
    <pageSetUpPr fitToPage="1"/>
  </sheetPr>
  <dimension ref="A1:AB20"/>
  <sheetViews>
    <sheetView zoomScale="77" zoomScaleNormal="77" workbookViewId="0">
      <selection sqref="A1:AB20"/>
    </sheetView>
  </sheetViews>
  <sheetFormatPr defaultRowHeight="14.4" x14ac:dyDescent="0.3"/>
  <cols>
    <col min="1" max="1" width="4.44140625" style="1" customWidth="1"/>
    <col min="2" max="2" width="20.77734375" style="1" hidden="1" customWidth="1"/>
    <col min="3" max="3" width="6.109375" style="1" customWidth="1"/>
    <col min="4" max="4" width="11.77734375" style="1" hidden="1" customWidth="1"/>
    <col min="5" max="5" width="9.5546875" style="1" customWidth="1"/>
    <col min="6" max="6" width="7.5546875" style="1" customWidth="1"/>
    <col min="7" max="7" width="10.88671875" style="1" customWidth="1"/>
    <col min="8" max="8" width="7.5546875" style="1" customWidth="1"/>
    <col min="9" max="9" width="7" style="1" customWidth="1"/>
    <col min="10" max="10" width="6.6640625" style="1" customWidth="1"/>
    <col min="11" max="11" width="14.10937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8.77734375" style="1" customWidth="1"/>
    <col min="17" max="17" width="4.21875" style="1" customWidth="1"/>
    <col min="18" max="18" width="6.33203125" style="1" customWidth="1"/>
    <col min="19" max="19" width="6.88671875" style="1" customWidth="1"/>
    <col min="20" max="20" width="11.77734375" style="1" hidden="1" customWidth="1"/>
    <col min="21" max="21" width="8.77734375" style="1" hidden="1" customWidth="1"/>
    <col min="22" max="22" width="7.5546875" style="1" customWidth="1"/>
    <col min="23" max="23" width="8" style="1" customWidth="1"/>
    <col min="24" max="24" width="7.77734375" style="1" customWidth="1"/>
    <col min="25" max="25" width="7.33203125" style="1" customWidth="1"/>
    <col min="26" max="26" width="7.21875" style="1" customWidth="1"/>
    <col min="27" max="27" width="5.5546875" style="1" customWidth="1"/>
    <col min="28" max="28" width="11.77734375" style="1" customWidth="1"/>
    <col min="29" max="16384" width="8.88671875" style="1"/>
  </cols>
  <sheetData>
    <row r="1" spans="1:28" ht="18" customHeight="1" x14ac:dyDescent="0.35">
      <c r="A1" s="267" t="s">
        <v>173</v>
      </c>
      <c r="B1" s="267" t="s">
        <v>27</v>
      </c>
      <c r="C1" s="267" t="s">
        <v>27</v>
      </c>
      <c r="D1" s="267" t="s">
        <v>27</v>
      </c>
      <c r="E1" s="267" t="s">
        <v>27</v>
      </c>
      <c r="F1" s="267" t="s">
        <v>27</v>
      </c>
      <c r="G1" s="267" t="s">
        <v>27</v>
      </c>
      <c r="H1" s="267" t="s">
        <v>27</v>
      </c>
      <c r="I1" s="267" t="s">
        <v>27</v>
      </c>
      <c r="J1" s="267" t="s">
        <v>27</v>
      </c>
      <c r="K1" s="267" t="s">
        <v>27</v>
      </c>
      <c r="L1" s="267" t="s">
        <v>27</v>
      </c>
      <c r="M1" s="267" t="s">
        <v>27</v>
      </c>
      <c r="N1" s="267" t="s">
        <v>27</v>
      </c>
      <c r="O1" s="267" t="s">
        <v>27</v>
      </c>
      <c r="P1" s="267" t="s">
        <v>27</v>
      </c>
      <c r="Q1" s="267" t="s">
        <v>27</v>
      </c>
      <c r="R1" s="267" t="s">
        <v>27</v>
      </c>
      <c r="S1" s="267" t="s">
        <v>27</v>
      </c>
      <c r="T1" s="267" t="s">
        <v>27</v>
      </c>
      <c r="U1" s="267" t="s">
        <v>27</v>
      </c>
      <c r="V1" s="267" t="s">
        <v>27</v>
      </c>
      <c r="W1" s="267" t="s">
        <v>27</v>
      </c>
      <c r="X1" s="267" t="s">
        <v>27</v>
      </c>
      <c r="Y1" s="267" t="s">
        <v>27</v>
      </c>
      <c r="Z1" s="267" t="s">
        <v>27</v>
      </c>
      <c r="AA1" s="267" t="s">
        <v>27</v>
      </c>
      <c r="AB1" s="267" t="s">
        <v>27</v>
      </c>
    </row>
    <row r="2" spans="1:28" ht="42.6" customHeight="1" x14ac:dyDescent="0.3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53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</row>
    <row r="3" spans="1:28" s="12" customFormat="1" ht="25.05" customHeight="1" x14ac:dyDescent="0.3">
      <c r="A3" s="5">
        <v>1</v>
      </c>
      <c r="B3" s="10" t="s">
        <v>60</v>
      </c>
      <c r="C3" s="5" t="s">
        <v>26</v>
      </c>
      <c r="D3" s="5" t="s">
        <v>152</v>
      </c>
      <c r="E3" s="5" t="s">
        <v>27</v>
      </c>
      <c r="F3" s="5">
        <v>262591</v>
      </c>
      <c r="G3" s="5" t="s">
        <v>155</v>
      </c>
      <c r="H3" s="5">
        <v>1250</v>
      </c>
      <c r="I3" s="7">
        <v>0.49</v>
      </c>
      <c r="J3" s="7">
        <v>1.5489999999999999</v>
      </c>
      <c r="K3" s="5" t="s">
        <v>33</v>
      </c>
      <c r="L3" s="7">
        <v>948.76199999999994</v>
      </c>
      <c r="M3" s="9">
        <v>645.4</v>
      </c>
      <c r="N3" s="6">
        <v>5.9799999999999999E-2</v>
      </c>
      <c r="O3" s="8">
        <v>3.59</v>
      </c>
      <c r="P3" s="5">
        <v>510.4</v>
      </c>
      <c r="Q3" s="5">
        <v>3</v>
      </c>
      <c r="R3" s="5">
        <v>1500</v>
      </c>
      <c r="S3" s="7">
        <v>1.47</v>
      </c>
      <c r="T3" s="5">
        <v>30</v>
      </c>
      <c r="U3" s="6">
        <v>0.02</v>
      </c>
      <c r="V3" s="5" t="s">
        <v>28</v>
      </c>
      <c r="W3" s="5" t="s">
        <v>29</v>
      </c>
      <c r="X3" s="5" t="s">
        <v>28</v>
      </c>
      <c r="Y3" s="5" t="s">
        <v>28</v>
      </c>
      <c r="Z3" s="5" t="s">
        <v>28</v>
      </c>
      <c r="AA3" s="5" t="s">
        <v>31</v>
      </c>
      <c r="AB3" s="5" t="s">
        <v>172</v>
      </c>
    </row>
    <row r="4" spans="1:28" s="77" customFormat="1" ht="25.05" customHeight="1" x14ac:dyDescent="0.3">
      <c r="A4" s="5">
        <v>2</v>
      </c>
      <c r="B4" s="83" t="s">
        <v>60</v>
      </c>
      <c r="C4" s="78" t="s">
        <v>57</v>
      </c>
      <c r="D4" s="78" t="s">
        <v>152</v>
      </c>
      <c r="E4" s="78" t="s">
        <v>27</v>
      </c>
      <c r="F4" s="78">
        <v>262597</v>
      </c>
      <c r="G4" s="78" t="s">
        <v>171</v>
      </c>
      <c r="H4" s="78">
        <v>600</v>
      </c>
      <c r="I4" s="80">
        <v>1.236</v>
      </c>
      <c r="J4" s="80">
        <v>2.5910000000000002</v>
      </c>
      <c r="K4" s="78" t="s">
        <v>104</v>
      </c>
      <c r="L4" s="80">
        <v>1921.4860000000001</v>
      </c>
      <c r="M4" s="82">
        <v>1554.6</v>
      </c>
      <c r="N4" s="79">
        <v>0.43180000000000002</v>
      </c>
      <c r="O4" s="81">
        <v>25.91</v>
      </c>
      <c r="P4" s="78">
        <v>1214.4000000000001</v>
      </c>
      <c r="Q4" s="78">
        <v>1</v>
      </c>
      <c r="R4" s="78">
        <v>1300</v>
      </c>
      <c r="S4" s="80">
        <v>1.236</v>
      </c>
      <c r="T4" s="78">
        <v>64</v>
      </c>
      <c r="U4" s="79">
        <v>4.9200000000000001E-2</v>
      </c>
      <c r="V4" s="78" t="s">
        <v>29</v>
      </c>
      <c r="W4" s="78" t="s">
        <v>39</v>
      </c>
      <c r="X4" s="78" t="s">
        <v>28</v>
      </c>
      <c r="Y4" s="78" t="s">
        <v>28</v>
      </c>
      <c r="Z4" s="78" t="s">
        <v>29</v>
      </c>
      <c r="AA4" s="78" t="s">
        <v>31</v>
      </c>
      <c r="AB4" s="78" t="s">
        <v>103</v>
      </c>
    </row>
    <row r="5" spans="1:28" s="77" customFormat="1" ht="25.05" customHeight="1" x14ac:dyDescent="0.3">
      <c r="A5" s="5">
        <v>3</v>
      </c>
      <c r="B5" s="83" t="s">
        <v>60</v>
      </c>
      <c r="C5" s="78" t="s">
        <v>57</v>
      </c>
      <c r="D5" s="78" t="s">
        <v>152</v>
      </c>
      <c r="E5" s="78" t="s">
        <v>27</v>
      </c>
      <c r="F5" s="78">
        <v>262596</v>
      </c>
      <c r="G5" s="78" t="s">
        <v>171</v>
      </c>
      <c r="H5" s="78">
        <v>2000</v>
      </c>
      <c r="I5" s="80">
        <v>1.196</v>
      </c>
      <c r="J5" s="80">
        <v>1.6910000000000001</v>
      </c>
      <c r="K5" s="78" t="s">
        <v>101</v>
      </c>
      <c r="L5" s="80">
        <v>4044.8719999999998</v>
      </c>
      <c r="M5" s="82">
        <v>3382</v>
      </c>
      <c r="N5" s="79">
        <v>0.93940000000000001</v>
      </c>
      <c r="O5" s="81">
        <v>56.37</v>
      </c>
      <c r="P5" s="78">
        <v>2556.4</v>
      </c>
      <c r="Q5" s="78">
        <v>1</v>
      </c>
      <c r="R5" s="78">
        <v>1250</v>
      </c>
      <c r="S5" s="80">
        <v>1.196</v>
      </c>
      <c r="T5" s="78">
        <v>54</v>
      </c>
      <c r="U5" s="79">
        <v>4.3200000000000002E-2</v>
      </c>
      <c r="V5" s="78" t="s">
        <v>29</v>
      </c>
      <c r="W5" s="78" t="s">
        <v>39</v>
      </c>
      <c r="X5" s="78" t="s">
        <v>28</v>
      </c>
      <c r="Y5" s="78" t="s">
        <v>28</v>
      </c>
      <c r="Z5" s="78" t="s">
        <v>29</v>
      </c>
      <c r="AA5" s="78" t="s">
        <v>65</v>
      </c>
      <c r="AB5" s="78" t="s">
        <v>100</v>
      </c>
    </row>
    <row r="6" spans="1:28" s="77" customFormat="1" ht="25.05" customHeight="1" x14ac:dyDescent="0.3">
      <c r="A6" s="5">
        <v>4</v>
      </c>
      <c r="B6" s="83" t="s">
        <v>60</v>
      </c>
      <c r="C6" s="78" t="s">
        <v>44</v>
      </c>
      <c r="D6" s="78" t="s">
        <v>152</v>
      </c>
      <c r="E6" s="78" t="s">
        <v>27</v>
      </c>
      <c r="F6" s="78">
        <v>262595</v>
      </c>
      <c r="G6" s="78" t="s">
        <v>171</v>
      </c>
      <c r="H6" s="78">
        <v>1400</v>
      </c>
      <c r="I6" s="80">
        <v>1.2050000000000001</v>
      </c>
      <c r="J6" s="80">
        <v>2.5910000000000002</v>
      </c>
      <c r="K6" s="78" t="s">
        <v>50</v>
      </c>
      <c r="L6" s="80">
        <v>4371.0169999999998</v>
      </c>
      <c r="M6" s="82">
        <v>3627.4</v>
      </c>
      <c r="N6" s="79">
        <v>1.0076000000000001</v>
      </c>
      <c r="O6" s="81">
        <v>60.46</v>
      </c>
      <c r="P6" s="78">
        <v>2482.6999999999998</v>
      </c>
      <c r="Q6" s="78">
        <v>1</v>
      </c>
      <c r="R6" s="78">
        <v>1250</v>
      </c>
      <c r="S6" s="80">
        <v>1.2050000000000001</v>
      </c>
      <c r="T6" s="78">
        <v>45</v>
      </c>
      <c r="U6" s="79">
        <v>3.5999999999999997E-2</v>
      </c>
      <c r="V6" s="78" t="s">
        <v>34</v>
      </c>
      <c r="W6" s="78" t="s">
        <v>39</v>
      </c>
      <c r="X6" s="78" t="s">
        <v>34</v>
      </c>
      <c r="Y6" s="78" t="s">
        <v>34</v>
      </c>
      <c r="Z6" s="78" t="s">
        <v>34</v>
      </c>
      <c r="AA6" s="78" t="s">
        <v>52</v>
      </c>
      <c r="AB6" s="78" t="s">
        <v>51</v>
      </c>
    </row>
    <row r="7" spans="1:28" s="12" customFormat="1" ht="25.05" customHeight="1" x14ac:dyDescent="0.3">
      <c r="A7" s="5">
        <v>6</v>
      </c>
      <c r="B7" s="10" t="s">
        <v>60</v>
      </c>
      <c r="C7" s="5" t="s">
        <v>26</v>
      </c>
      <c r="D7" s="5" t="s">
        <v>152</v>
      </c>
      <c r="E7" s="5" t="s">
        <v>27</v>
      </c>
      <c r="F7" s="5">
        <v>262589</v>
      </c>
      <c r="G7" s="5" t="s">
        <v>155</v>
      </c>
      <c r="H7" s="5">
        <v>1250</v>
      </c>
      <c r="I7" s="7">
        <v>0.88800000000000001</v>
      </c>
      <c r="J7" s="7">
        <v>1.4990000000000001</v>
      </c>
      <c r="K7" s="5" t="s">
        <v>33</v>
      </c>
      <c r="L7" s="7">
        <v>1663.89</v>
      </c>
      <c r="M7" s="9">
        <v>1873.8</v>
      </c>
      <c r="N7" s="6">
        <v>0.52049999999999996</v>
      </c>
      <c r="O7" s="8">
        <v>31.23</v>
      </c>
      <c r="P7" s="5">
        <v>895.2</v>
      </c>
      <c r="Q7" s="5">
        <v>1</v>
      </c>
      <c r="R7" s="5">
        <v>950</v>
      </c>
      <c r="S7" s="7">
        <v>0.88800000000000001</v>
      </c>
      <c r="T7" s="5">
        <v>62</v>
      </c>
      <c r="U7" s="6">
        <v>6.5299999999999997E-2</v>
      </c>
      <c r="V7" s="5" t="s">
        <v>28</v>
      </c>
      <c r="W7" s="5" t="s">
        <v>29</v>
      </c>
      <c r="X7" s="5" t="s">
        <v>28</v>
      </c>
      <c r="Y7" s="5" t="s">
        <v>28</v>
      </c>
      <c r="Z7" s="5" t="s">
        <v>28</v>
      </c>
      <c r="AA7" s="5" t="s">
        <v>54</v>
      </c>
      <c r="AB7" s="5" t="s">
        <v>170</v>
      </c>
    </row>
    <row r="8" spans="1:28" s="12" customFormat="1" ht="25.05" customHeight="1" x14ac:dyDescent="0.3">
      <c r="A8" s="5">
        <v>7</v>
      </c>
      <c r="B8" s="10" t="s">
        <v>60</v>
      </c>
      <c r="C8" s="5" t="s">
        <v>26</v>
      </c>
      <c r="D8" s="5" t="s">
        <v>152</v>
      </c>
      <c r="E8" s="5" t="s">
        <v>27</v>
      </c>
      <c r="F8" s="5">
        <v>262590</v>
      </c>
      <c r="G8" s="5" t="s">
        <v>155</v>
      </c>
      <c r="H8" s="5">
        <v>5000</v>
      </c>
      <c r="I8" s="7">
        <v>0.90200000000000002</v>
      </c>
      <c r="J8" s="7">
        <v>0.95899999999999996</v>
      </c>
      <c r="K8" s="5" t="s">
        <v>33</v>
      </c>
      <c r="L8" s="7">
        <v>4325.09</v>
      </c>
      <c r="M8" s="9">
        <v>4795</v>
      </c>
      <c r="N8" s="6">
        <v>1.3319000000000001</v>
      </c>
      <c r="O8" s="8">
        <v>79.92</v>
      </c>
      <c r="P8" s="5">
        <v>2326.9</v>
      </c>
      <c r="Q8" s="5">
        <v>1</v>
      </c>
      <c r="R8" s="5">
        <v>950</v>
      </c>
      <c r="S8" s="7">
        <v>0.90200000000000002</v>
      </c>
      <c r="T8" s="5">
        <v>48</v>
      </c>
      <c r="U8" s="6">
        <v>5.0500000000000003E-2</v>
      </c>
      <c r="V8" s="5" t="s">
        <v>28</v>
      </c>
      <c r="W8" s="5" t="s">
        <v>29</v>
      </c>
      <c r="X8" s="5" t="s">
        <v>28</v>
      </c>
      <c r="Y8" s="5" t="s">
        <v>28</v>
      </c>
      <c r="Z8" s="5" t="s">
        <v>28</v>
      </c>
      <c r="AA8" s="5" t="s">
        <v>66</v>
      </c>
      <c r="AB8" s="5" t="s">
        <v>169</v>
      </c>
    </row>
    <row r="9" spans="1:28" s="12" customFormat="1" ht="25.05" customHeight="1" x14ac:dyDescent="0.3">
      <c r="A9" s="5">
        <v>8</v>
      </c>
      <c r="B9" s="10" t="s">
        <v>60</v>
      </c>
      <c r="C9" s="5" t="s">
        <v>35</v>
      </c>
      <c r="D9" s="5" t="s">
        <v>152</v>
      </c>
      <c r="E9" s="5" t="s">
        <v>27</v>
      </c>
      <c r="F9" s="5">
        <v>262588</v>
      </c>
      <c r="G9" s="5" t="s">
        <v>155</v>
      </c>
      <c r="H9" s="5">
        <v>3000</v>
      </c>
      <c r="I9" s="7">
        <v>0.5</v>
      </c>
      <c r="J9" s="7">
        <v>0.81</v>
      </c>
      <c r="K9" s="5" t="s">
        <v>33</v>
      </c>
      <c r="L9" s="7">
        <v>1215</v>
      </c>
      <c r="M9" s="9">
        <v>810</v>
      </c>
      <c r="N9" s="6">
        <v>7.4999999999999997E-2</v>
      </c>
      <c r="O9" s="8">
        <v>4.5</v>
      </c>
      <c r="P9" s="5">
        <v>382.7</v>
      </c>
      <c r="Q9" s="5">
        <v>3</v>
      </c>
      <c r="R9" s="5">
        <v>1550</v>
      </c>
      <c r="S9" s="7">
        <v>1.5</v>
      </c>
      <c r="T9" s="5">
        <v>50</v>
      </c>
      <c r="U9" s="6">
        <v>3.2300000000000002E-2</v>
      </c>
      <c r="V9" s="5" t="s">
        <v>28</v>
      </c>
      <c r="W9" s="5" t="s">
        <v>28</v>
      </c>
      <c r="X9" s="5" t="s">
        <v>28</v>
      </c>
      <c r="Y9" s="5" t="s">
        <v>27</v>
      </c>
      <c r="Z9" s="5" t="s">
        <v>27</v>
      </c>
      <c r="AA9" s="5" t="s">
        <v>32</v>
      </c>
      <c r="AB9" s="5" t="s">
        <v>168</v>
      </c>
    </row>
    <row r="10" spans="1:28" s="12" customFormat="1" ht="25.05" customHeight="1" x14ac:dyDescent="0.3">
      <c r="A10" s="5">
        <v>9</v>
      </c>
      <c r="B10" s="10" t="s">
        <v>60</v>
      </c>
      <c r="C10" s="5" t="s">
        <v>35</v>
      </c>
      <c r="D10" s="5" t="s">
        <v>152</v>
      </c>
      <c r="E10" s="5" t="s">
        <v>27</v>
      </c>
      <c r="F10" s="5">
        <v>262586</v>
      </c>
      <c r="G10" s="5" t="s">
        <v>155</v>
      </c>
      <c r="H10" s="5">
        <v>3000</v>
      </c>
      <c r="I10" s="7">
        <v>0.35</v>
      </c>
      <c r="J10" s="7">
        <v>0.6</v>
      </c>
      <c r="K10" s="5" t="s">
        <v>33</v>
      </c>
      <c r="L10" s="7">
        <v>630</v>
      </c>
      <c r="M10" s="9">
        <v>600</v>
      </c>
      <c r="N10" s="6">
        <v>5.5599999999999997E-2</v>
      </c>
      <c r="O10" s="8">
        <v>3.33</v>
      </c>
      <c r="P10" s="5">
        <v>198.4</v>
      </c>
      <c r="Q10" s="5">
        <v>3</v>
      </c>
      <c r="R10" s="5">
        <v>1100</v>
      </c>
      <c r="S10" s="7">
        <v>1.05</v>
      </c>
      <c r="T10" s="5">
        <v>50</v>
      </c>
      <c r="U10" s="6">
        <v>4.5499999999999999E-2</v>
      </c>
      <c r="V10" s="5" t="s">
        <v>28</v>
      </c>
      <c r="W10" s="5" t="s">
        <v>28</v>
      </c>
      <c r="X10" s="5" t="s">
        <v>28</v>
      </c>
      <c r="Y10" s="5" t="s">
        <v>27</v>
      </c>
      <c r="Z10" s="5" t="s">
        <v>27</v>
      </c>
      <c r="AA10" s="5" t="s">
        <v>38</v>
      </c>
      <c r="AB10" s="5" t="s">
        <v>167</v>
      </c>
    </row>
    <row r="11" spans="1:28" s="12" customFormat="1" ht="25.05" customHeight="1" x14ac:dyDescent="0.3">
      <c r="A11" s="5">
        <v>10</v>
      </c>
      <c r="B11" s="10" t="s">
        <v>60</v>
      </c>
      <c r="C11" s="5" t="s">
        <v>35</v>
      </c>
      <c r="D11" s="5" t="s">
        <v>152</v>
      </c>
      <c r="E11" s="5" t="s">
        <v>27</v>
      </c>
      <c r="F11" s="5">
        <v>262587</v>
      </c>
      <c r="G11" s="5" t="s">
        <v>155</v>
      </c>
      <c r="H11" s="5">
        <v>2000</v>
      </c>
      <c r="I11" s="7">
        <v>0.35</v>
      </c>
      <c r="J11" s="7">
        <v>0.73</v>
      </c>
      <c r="K11" s="5" t="s">
        <v>33</v>
      </c>
      <c r="L11" s="7">
        <v>511</v>
      </c>
      <c r="M11" s="9">
        <v>486.7</v>
      </c>
      <c r="N11" s="6">
        <v>4.5100000000000001E-2</v>
      </c>
      <c r="O11" s="8">
        <v>2.7</v>
      </c>
      <c r="P11" s="5">
        <v>161</v>
      </c>
      <c r="Q11" s="5">
        <v>3</v>
      </c>
      <c r="R11" s="5">
        <v>1100</v>
      </c>
      <c r="S11" s="7">
        <v>1.05</v>
      </c>
      <c r="T11" s="5">
        <v>50</v>
      </c>
      <c r="U11" s="6">
        <v>4.5499999999999999E-2</v>
      </c>
      <c r="V11" s="5" t="s">
        <v>28</v>
      </c>
      <c r="W11" s="5" t="s">
        <v>28</v>
      </c>
      <c r="X11" s="5" t="s">
        <v>28</v>
      </c>
      <c r="Y11" s="5" t="s">
        <v>27</v>
      </c>
      <c r="Z11" s="5" t="s">
        <v>27</v>
      </c>
      <c r="AA11" s="5" t="s">
        <v>38</v>
      </c>
      <c r="AB11" s="5" t="s">
        <v>166</v>
      </c>
    </row>
    <row r="12" spans="1:28" s="12" customFormat="1" ht="25.05" customHeight="1" x14ac:dyDescent="0.3">
      <c r="A12" s="5">
        <v>11</v>
      </c>
      <c r="B12" s="10" t="s">
        <v>60</v>
      </c>
      <c r="C12" s="5" t="s">
        <v>42</v>
      </c>
      <c r="D12" s="5" t="s">
        <v>152</v>
      </c>
      <c r="E12" s="5" t="s">
        <v>27</v>
      </c>
      <c r="F12" s="5">
        <v>262583</v>
      </c>
      <c r="G12" s="5" t="s">
        <v>155</v>
      </c>
      <c r="H12" s="5">
        <v>450</v>
      </c>
      <c r="I12" s="7">
        <v>0.51400000000000001</v>
      </c>
      <c r="J12" s="7">
        <v>1.169</v>
      </c>
      <c r="K12" s="5" t="s">
        <v>165</v>
      </c>
      <c r="L12" s="7">
        <v>270.39</v>
      </c>
      <c r="M12" s="9">
        <v>263</v>
      </c>
      <c r="N12" s="6">
        <v>3.6499999999999998E-2</v>
      </c>
      <c r="O12" s="8">
        <v>2.19</v>
      </c>
      <c r="P12" s="5">
        <v>93.3</v>
      </c>
      <c r="Q12" s="5">
        <v>2</v>
      </c>
      <c r="R12" s="5">
        <v>1050</v>
      </c>
      <c r="S12" s="7">
        <v>1.028</v>
      </c>
      <c r="T12" s="5">
        <v>22</v>
      </c>
      <c r="U12" s="6">
        <v>2.1000000000000001E-2</v>
      </c>
      <c r="V12" s="5" t="s">
        <v>29</v>
      </c>
      <c r="W12" s="5" t="s">
        <v>29</v>
      </c>
      <c r="X12" s="5" t="s">
        <v>28</v>
      </c>
      <c r="Y12" s="5" t="s">
        <v>27</v>
      </c>
      <c r="Z12" s="5" t="s">
        <v>27</v>
      </c>
      <c r="AA12" s="5" t="s">
        <v>38</v>
      </c>
      <c r="AB12" s="5" t="s">
        <v>164</v>
      </c>
    </row>
    <row r="13" spans="1:28" s="12" customFormat="1" ht="25.05" customHeight="1" x14ac:dyDescent="0.3">
      <c r="A13" s="5">
        <v>12</v>
      </c>
      <c r="B13" s="10" t="s">
        <v>60</v>
      </c>
      <c r="C13" s="5" t="s">
        <v>42</v>
      </c>
      <c r="D13" s="5" t="s">
        <v>152</v>
      </c>
      <c r="E13" s="5" t="s">
        <v>27</v>
      </c>
      <c r="F13" s="5">
        <v>262592</v>
      </c>
      <c r="G13" s="5" t="s">
        <v>155</v>
      </c>
      <c r="H13" s="5">
        <v>270</v>
      </c>
      <c r="I13" s="7">
        <v>1.022</v>
      </c>
      <c r="J13" s="7">
        <v>1.089</v>
      </c>
      <c r="K13" s="5" t="s">
        <v>33</v>
      </c>
      <c r="L13" s="7">
        <v>300.49900000000002</v>
      </c>
      <c r="M13" s="9">
        <v>294</v>
      </c>
      <c r="N13" s="6">
        <v>8.1699999999999995E-2</v>
      </c>
      <c r="O13" s="8">
        <v>4.9000000000000004</v>
      </c>
      <c r="P13" s="5">
        <v>103.7</v>
      </c>
      <c r="Q13" s="5">
        <v>1</v>
      </c>
      <c r="R13" s="5">
        <v>1050</v>
      </c>
      <c r="S13" s="7">
        <v>1.022</v>
      </c>
      <c r="T13" s="5">
        <v>28</v>
      </c>
      <c r="U13" s="6">
        <v>2.6700000000000002E-2</v>
      </c>
      <c r="V13" s="5" t="s">
        <v>29</v>
      </c>
      <c r="W13" s="5" t="s">
        <v>29</v>
      </c>
      <c r="X13" s="5" t="s">
        <v>28</v>
      </c>
      <c r="Y13" s="5" t="s">
        <v>27</v>
      </c>
      <c r="Z13" s="5" t="s">
        <v>27</v>
      </c>
      <c r="AA13" s="5" t="s">
        <v>38</v>
      </c>
      <c r="AB13" s="5" t="s">
        <v>163</v>
      </c>
    </row>
    <row r="14" spans="1:28" s="12" customFormat="1" ht="25.05" customHeight="1" x14ac:dyDescent="0.3">
      <c r="A14" s="5">
        <v>13</v>
      </c>
      <c r="B14" s="10" t="s">
        <v>60</v>
      </c>
      <c r="C14" s="5" t="s">
        <v>35</v>
      </c>
      <c r="D14" s="5" t="s">
        <v>152</v>
      </c>
      <c r="E14" s="5" t="s">
        <v>27</v>
      </c>
      <c r="F14" s="5">
        <v>262593</v>
      </c>
      <c r="G14" s="5" t="s">
        <v>155</v>
      </c>
      <c r="H14" s="5">
        <v>500</v>
      </c>
      <c r="I14" s="7">
        <v>0.96</v>
      </c>
      <c r="J14" s="7">
        <v>0.749</v>
      </c>
      <c r="K14" s="5" t="s">
        <v>33</v>
      </c>
      <c r="L14" s="7">
        <v>359.52</v>
      </c>
      <c r="M14" s="9">
        <v>374.5</v>
      </c>
      <c r="N14" s="6">
        <v>0.104</v>
      </c>
      <c r="O14" s="8">
        <v>6.24</v>
      </c>
      <c r="P14" s="5">
        <v>113.2</v>
      </c>
      <c r="Q14" s="5">
        <v>1</v>
      </c>
      <c r="R14" s="5">
        <v>1000</v>
      </c>
      <c r="S14" s="7">
        <v>0.96</v>
      </c>
      <c r="T14" s="5">
        <v>40</v>
      </c>
      <c r="U14" s="6">
        <v>0.04</v>
      </c>
      <c r="V14" s="5" t="s">
        <v>28</v>
      </c>
      <c r="W14" s="5" t="s">
        <v>28</v>
      </c>
      <c r="X14" s="5" t="s">
        <v>28</v>
      </c>
      <c r="Y14" s="5" t="s">
        <v>27</v>
      </c>
      <c r="Z14" s="5" t="s">
        <v>27</v>
      </c>
      <c r="AA14" s="5" t="s">
        <v>38</v>
      </c>
      <c r="AB14" s="5" t="s">
        <v>162</v>
      </c>
    </row>
    <row r="15" spans="1:28" s="12" customFormat="1" ht="25.05" customHeight="1" x14ac:dyDescent="0.3">
      <c r="A15" s="5">
        <v>14</v>
      </c>
      <c r="B15" s="10" t="s">
        <v>60</v>
      </c>
      <c r="C15" s="5" t="s">
        <v>42</v>
      </c>
      <c r="D15" s="5" t="s">
        <v>152</v>
      </c>
      <c r="E15" s="5" t="s">
        <v>27</v>
      </c>
      <c r="F15" s="5">
        <v>262584</v>
      </c>
      <c r="G15" s="5" t="s">
        <v>155</v>
      </c>
      <c r="H15" s="5">
        <v>550</v>
      </c>
      <c r="I15" s="7">
        <v>0.44400000000000001</v>
      </c>
      <c r="J15" s="7">
        <v>1.0489999999999999</v>
      </c>
      <c r="K15" s="5" t="s">
        <v>161</v>
      </c>
      <c r="L15" s="7">
        <v>256.166</v>
      </c>
      <c r="M15" s="9">
        <v>288.5</v>
      </c>
      <c r="N15" s="6">
        <v>4.0099999999999997E-2</v>
      </c>
      <c r="O15" s="8">
        <v>2.4</v>
      </c>
      <c r="P15" s="5">
        <v>88.4</v>
      </c>
      <c r="Q15" s="5">
        <v>2</v>
      </c>
      <c r="R15" s="5">
        <v>950</v>
      </c>
      <c r="S15" s="7">
        <v>0.88800000000000001</v>
      </c>
      <c r="T15" s="5">
        <v>62</v>
      </c>
      <c r="U15" s="6">
        <v>6.5299999999999997E-2</v>
      </c>
      <c r="V15" s="5" t="s">
        <v>29</v>
      </c>
      <c r="W15" s="5" t="s">
        <v>29</v>
      </c>
      <c r="X15" s="5" t="s">
        <v>28</v>
      </c>
      <c r="Y15" s="5" t="s">
        <v>27</v>
      </c>
      <c r="Z15" s="5" t="s">
        <v>27</v>
      </c>
      <c r="AA15" s="5" t="s">
        <v>38</v>
      </c>
      <c r="AB15" s="5" t="s">
        <v>160</v>
      </c>
    </row>
    <row r="16" spans="1:28" s="12" customFormat="1" ht="25.05" customHeight="1" x14ac:dyDescent="0.3">
      <c r="A16" s="5">
        <v>15</v>
      </c>
      <c r="B16" s="10" t="s">
        <v>60</v>
      </c>
      <c r="C16" s="5" t="s">
        <v>35</v>
      </c>
      <c r="D16" s="5" t="s">
        <v>152</v>
      </c>
      <c r="E16" s="5" t="s">
        <v>27</v>
      </c>
      <c r="F16" s="5">
        <v>262585</v>
      </c>
      <c r="G16" s="5" t="s">
        <v>155</v>
      </c>
      <c r="H16" s="5">
        <v>550</v>
      </c>
      <c r="I16" s="7">
        <v>0.91600000000000004</v>
      </c>
      <c r="J16" s="7">
        <v>0.629</v>
      </c>
      <c r="K16" s="5" t="s">
        <v>33</v>
      </c>
      <c r="L16" s="7">
        <v>316.89</v>
      </c>
      <c r="M16" s="9">
        <v>345.9</v>
      </c>
      <c r="N16" s="6">
        <v>9.6100000000000005E-2</v>
      </c>
      <c r="O16" s="8">
        <v>5.77</v>
      </c>
      <c r="P16" s="5">
        <v>99.8</v>
      </c>
      <c r="Q16" s="5">
        <v>1</v>
      </c>
      <c r="R16" s="5">
        <v>950</v>
      </c>
      <c r="S16" s="7">
        <v>0.91600000000000004</v>
      </c>
      <c r="T16" s="5">
        <v>34</v>
      </c>
      <c r="U16" s="6">
        <v>3.5799999999999998E-2</v>
      </c>
      <c r="V16" s="5" t="s">
        <v>28</v>
      </c>
      <c r="W16" s="5" t="s">
        <v>28</v>
      </c>
      <c r="X16" s="5" t="s">
        <v>28</v>
      </c>
      <c r="Y16" s="5" t="s">
        <v>27</v>
      </c>
      <c r="Z16" s="5" t="s">
        <v>27</v>
      </c>
      <c r="AA16" s="5" t="s">
        <v>38</v>
      </c>
      <c r="AB16" s="5" t="s">
        <v>159</v>
      </c>
    </row>
    <row r="17" spans="1:28" s="12" customFormat="1" ht="25.05" customHeight="1" x14ac:dyDescent="0.3">
      <c r="A17" s="5">
        <v>16</v>
      </c>
      <c r="B17" s="10" t="s">
        <v>60</v>
      </c>
      <c r="C17" s="5" t="s">
        <v>35</v>
      </c>
      <c r="D17" s="5" t="s">
        <v>152</v>
      </c>
      <c r="E17" s="5" t="s">
        <v>27</v>
      </c>
      <c r="F17" s="5">
        <v>262594</v>
      </c>
      <c r="G17" s="5" t="s">
        <v>155</v>
      </c>
      <c r="H17" s="5">
        <v>600</v>
      </c>
      <c r="I17" s="7">
        <v>0.85</v>
      </c>
      <c r="J17" s="7">
        <v>1.2490000000000001</v>
      </c>
      <c r="K17" s="5" t="s">
        <v>33</v>
      </c>
      <c r="L17" s="7">
        <v>636.99</v>
      </c>
      <c r="M17" s="9">
        <v>749.4</v>
      </c>
      <c r="N17" s="6">
        <v>0.2082</v>
      </c>
      <c r="O17" s="8">
        <v>12.49</v>
      </c>
      <c r="P17" s="5">
        <v>200.7</v>
      </c>
      <c r="Q17" s="5">
        <v>1</v>
      </c>
      <c r="R17" s="5">
        <v>900</v>
      </c>
      <c r="S17" s="7">
        <v>0.85</v>
      </c>
      <c r="T17" s="5">
        <v>50</v>
      </c>
      <c r="U17" s="6">
        <v>5.5599999999999997E-2</v>
      </c>
      <c r="V17" s="5" t="s">
        <v>28</v>
      </c>
      <c r="W17" s="5" t="s">
        <v>28</v>
      </c>
      <c r="X17" s="5" t="s">
        <v>28</v>
      </c>
      <c r="Y17" s="5" t="s">
        <v>27</v>
      </c>
      <c r="Z17" s="5" t="s">
        <v>27</v>
      </c>
      <c r="AA17" s="5" t="s">
        <v>32</v>
      </c>
      <c r="AB17" s="5" t="s">
        <v>158</v>
      </c>
    </row>
    <row r="18" spans="1:28" s="12" customFormat="1" ht="25.05" customHeight="1" x14ac:dyDescent="0.3">
      <c r="A18" s="5">
        <v>17</v>
      </c>
      <c r="B18" s="10" t="s">
        <v>60</v>
      </c>
      <c r="C18" s="5" t="s">
        <v>49</v>
      </c>
      <c r="D18" s="5" t="s">
        <v>152</v>
      </c>
      <c r="E18" s="5" t="s">
        <v>27</v>
      </c>
      <c r="F18" s="5">
        <v>262581</v>
      </c>
      <c r="G18" s="5" t="s">
        <v>155</v>
      </c>
      <c r="H18" s="5">
        <v>1000</v>
      </c>
      <c r="I18" s="7">
        <v>0.33500000000000002</v>
      </c>
      <c r="J18" s="7">
        <v>0.94899999999999995</v>
      </c>
      <c r="K18" s="5" t="s">
        <v>157</v>
      </c>
      <c r="L18" s="7">
        <v>317.91500000000002</v>
      </c>
      <c r="M18" s="9">
        <v>474.5</v>
      </c>
      <c r="N18" s="6">
        <v>6.59E-2</v>
      </c>
      <c r="O18" s="8">
        <v>3.95</v>
      </c>
      <c r="P18" s="5">
        <v>112.9</v>
      </c>
      <c r="Q18" s="5">
        <v>2</v>
      </c>
      <c r="R18" s="5">
        <v>700</v>
      </c>
      <c r="S18" s="7">
        <v>0.67</v>
      </c>
      <c r="T18" s="5">
        <v>30</v>
      </c>
      <c r="U18" s="6">
        <v>4.2900000000000001E-2</v>
      </c>
      <c r="V18" s="5" t="s">
        <v>29</v>
      </c>
      <c r="W18" s="5" t="s">
        <v>28</v>
      </c>
      <c r="X18" s="5" t="s">
        <v>29</v>
      </c>
      <c r="Y18" s="5" t="s">
        <v>27</v>
      </c>
      <c r="Z18" s="5" t="s">
        <v>27</v>
      </c>
      <c r="AA18" s="5" t="s">
        <v>38</v>
      </c>
      <c r="AB18" s="5" t="s">
        <v>156</v>
      </c>
    </row>
    <row r="19" spans="1:28" s="12" customFormat="1" ht="25.05" customHeight="1" x14ac:dyDescent="0.3">
      <c r="A19" s="5">
        <v>18</v>
      </c>
      <c r="B19" s="10" t="s">
        <v>60</v>
      </c>
      <c r="C19" s="5" t="s">
        <v>35</v>
      </c>
      <c r="D19" s="5" t="s">
        <v>152</v>
      </c>
      <c r="E19" s="5" t="s">
        <v>27</v>
      </c>
      <c r="F19" s="5">
        <v>262582</v>
      </c>
      <c r="G19" s="5" t="s">
        <v>155</v>
      </c>
      <c r="H19" s="5">
        <v>1300</v>
      </c>
      <c r="I19" s="7">
        <v>0.33400000000000002</v>
      </c>
      <c r="J19" s="7">
        <v>0.78900000000000003</v>
      </c>
      <c r="K19" s="5" t="s">
        <v>154</v>
      </c>
      <c r="L19" s="7">
        <v>342.584</v>
      </c>
      <c r="M19" s="9">
        <v>512.9</v>
      </c>
      <c r="N19" s="6">
        <v>7.1199999999999999E-2</v>
      </c>
      <c r="O19" s="8">
        <v>4.2699999999999996</v>
      </c>
      <c r="P19" s="5">
        <v>107.9</v>
      </c>
      <c r="Q19" s="5">
        <v>2</v>
      </c>
      <c r="R19" s="5">
        <v>700</v>
      </c>
      <c r="S19" s="7">
        <v>0.66800000000000004</v>
      </c>
      <c r="T19" s="5">
        <v>32</v>
      </c>
      <c r="U19" s="6">
        <v>4.5699999999999998E-2</v>
      </c>
      <c r="V19" s="5" t="s">
        <v>28</v>
      </c>
      <c r="W19" s="5" t="s">
        <v>28</v>
      </c>
      <c r="X19" s="5" t="s">
        <v>28</v>
      </c>
      <c r="Y19" s="5" t="s">
        <v>27</v>
      </c>
      <c r="Z19" s="5" t="s">
        <v>27</v>
      </c>
      <c r="AA19" s="5" t="s">
        <v>38</v>
      </c>
      <c r="AB19" s="5" t="s">
        <v>153</v>
      </c>
    </row>
    <row r="20" spans="1:28" s="12" customFormat="1" ht="25.05" customHeight="1" x14ac:dyDescent="0.3">
      <c r="A20" s="11" t="s">
        <v>27</v>
      </c>
      <c r="B20" s="11" t="s">
        <v>27</v>
      </c>
      <c r="C20" s="11" t="s">
        <v>27</v>
      </c>
      <c r="D20" s="11" t="s">
        <v>27</v>
      </c>
      <c r="E20" s="11" t="s">
        <v>27</v>
      </c>
      <c r="F20" s="11" t="s">
        <v>27</v>
      </c>
      <c r="G20" s="11" t="s">
        <v>27</v>
      </c>
      <c r="H20" s="11">
        <f>SUM(H3:H19)</f>
        <v>24720</v>
      </c>
      <c r="I20" s="11" t="s">
        <v>27</v>
      </c>
      <c r="J20" s="11" t="s">
        <v>27</v>
      </c>
      <c r="K20" s="11" t="s">
        <v>27</v>
      </c>
      <c r="L20" s="11" t="s">
        <v>27</v>
      </c>
      <c r="M20" s="11" t="s">
        <v>27</v>
      </c>
      <c r="N20" s="11" t="s">
        <v>27</v>
      </c>
      <c r="O20" s="11" t="s">
        <v>27</v>
      </c>
      <c r="P20" s="11">
        <f>SUM(P3:P19)</f>
        <v>11648</v>
      </c>
      <c r="Q20" s="11" t="s">
        <v>27</v>
      </c>
      <c r="R20" s="11" t="s">
        <v>27</v>
      </c>
      <c r="S20" s="11" t="s">
        <v>27</v>
      </c>
      <c r="T20" s="11" t="s">
        <v>27</v>
      </c>
      <c r="U20" s="11" t="s">
        <v>27</v>
      </c>
      <c r="V20" s="11" t="s">
        <v>27</v>
      </c>
      <c r="W20" s="11" t="s">
        <v>27</v>
      </c>
      <c r="X20" s="11" t="s">
        <v>27</v>
      </c>
      <c r="Y20" s="11" t="s">
        <v>27</v>
      </c>
      <c r="Z20" s="11" t="s">
        <v>27</v>
      </c>
      <c r="AA20" s="11" t="s">
        <v>27</v>
      </c>
      <c r="AB20" s="11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82" orientation="landscape" horizontalDpi="360" verticalDpi="36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16D2-EB8A-4484-83AF-D7868E55628C}">
  <sheetPr>
    <pageSetUpPr fitToPage="1"/>
  </sheetPr>
  <dimension ref="A1:AB17"/>
  <sheetViews>
    <sheetView zoomScale="89" zoomScaleNormal="89" workbookViewId="0">
      <selection activeCell="B16" sqref="B16"/>
    </sheetView>
  </sheetViews>
  <sheetFormatPr defaultRowHeight="14.4" x14ac:dyDescent="0.3"/>
  <cols>
    <col min="1" max="1" width="4.44140625" style="33" customWidth="1"/>
    <col min="2" max="2" width="20.77734375" style="33" customWidth="1"/>
    <col min="3" max="3" width="7.77734375" style="33" customWidth="1"/>
    <col min="4" max="4" width="11.77734375" style="33" hidden="1" customWidth="1"/>
    <col min="5" max="5" width="9.6640625" style="33" customWidth="1"/>
    <col min="6" max="6" width="8.44140625" style="33" customWidth="1"/>
    <col min="7" max="7" width="4.44140625" style="33" customWidth="1"/>
    <col min="8" max="8" width="7.33203125" style="33" customWidth="1"/>
    <col min="9" max="9" width="6.109375" style="33" customWidth="1"/>
    <col min="10" max="10" width="6.44140625" style="33" customWidth="1"/>
    <col min="11" max="11" width="13.777343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109375" style="33" customWidth="1"/>
    <col min="17" max="17" width="3.88671875" style="33" customWidth="1"/>
    <col min="18" max="18" width="6.5546875" style="33" customWidth="1"/>
    <col min="19" max="19" width="6.77734375" style="33" customWidth="1"/>
    <col min="20" max="20" width="11.77734375" style="33" hidden="1" customWidth="1"/>
    <col min="21" max="21" width="8.77734375" style="33" hidden="1" customWidth="1"/>
    <col min="22" max="23" width="8.109375" style="33" customWidth="1"/>
    <col min="24" max="24" width="8.6640625" style="33" customWidth="1"/>
    <col min="25" max="26" width="11.77734375" style="33" customWidth="1"/>
    <col min="27" max="27" width="10.77734375" style="33" customWidth="1"/>
    <col min="28" max="28" width="16.77734375" style="33" customWidth="1"/>
    <col min="29" max="16384" width="8.88671875" style="33"/>
  </cols>
  <sheetData>
    <row r="1" spans="1:28" ht="18" customHeight="1" x14ac:dyDescent="0.35">
      <c r="A1" s="269" t="s">
        <v>143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ht="41.4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59" customFormat="1" ht="25.05" customHeight="1" x14ac:dyDescent="0.3">
      <c r="A3" s="53">
        <v>1</v>
      </c>
      <c r="B3" s="54" t="s">
        <v>93</v>
      </c>
      <c r="C3" s="53" t="s">
        <v>57</v>
      </c>
      <c r="D3" s="53" t="s">
        <v>125</v>
      </c>
      <c r="E3" s="53" t="s">
        <v>27</v>
      </c>
      <c r="F3" s="53">
        <v>262575</v>
      </c>
      <c r="G3" s="53" t="s">
        <v>142</v>
      </c>
      <c r="H3" s="53">
        <v>600</v>
      </c>
      <c r="I3" s="55">
        <v>0.54300000000000004</v>
      </c>
      <c r="J3" s="55">
        <v>0.95</v>
      </c>
      <c r="K3" s="53" t="s">
        <v>141</v>
      </c>
      <c r="L3" s="55">
        <v>309.51</v>
      </c>
      <c r="M3" s="56">
        <v>285</v>
      </c>
      <c r="N3" s="57">
        <v>3.9600000000000003E-2</v>
      </c>
      <c r="O3" s="58">
        <v>2.38</v>
      </c>
      <c r="P3" s="53">
        <v>193.8</v>
      </c>
      <c r="Q3" s="53">
        <v>2</v>
      </c>
      <c r="R3" s="53">
        <v>1150</v>
      </c>
      <c r="S3" s="55">
        <v>1.0860000000000001</v>
      </c>
      <c r="T3" s="53">
        <v>64</v>
      </c>
      <c r="U3" s="57">
        <v>5.57E-2</v>
      </c>
      <c r="V3" s="53" t="s">
        <v>29</v>
      </c>
      <c r="W3" s="53" t="s">
        <v>39</v>
      </c>
      <c r="X3" s="53" t="s">
        <v>28</v>
      </c>
      <c r="Y3" s="53" t="s">
        <v>28</v>
      </c>
      <c r="Z3" s="53" t="s">
        <v>29</v>
      </c>
      <c r="AA3" s="53" t="s">
        <v>38</v>
      </c>
      <c r="AB3" s="53" t="s">
        <v>140</v>
      </c>
    </row>
    <row r="4" spans="1:28" s="59" customFormat="1" ht="25.05" customHeight="1" x14ac:dyDescent="0.3">
      <c r="A4" s="53">
        <v>2</v>
      </c>
      <c r="B4" s="54" t="s">
        <v>93</v>
      </c>
      <c r="C4" s="53" t="s">
        <v>57</v>
      </c>
      <c r="D4" s="69">
        <v>46279</v>
      </c>
      <c r="E4" s="53"/>
      <c r="F4" s="53">
        <v>262579</v>
      </c>
      <c r="G4" s="53">
        <v>69</v>
      </c>
      <c r="H4" s="53">
        <v>300</v>
      </c>
      <c r="I4" s="55">
        <v>1.113</v>
      </c>
      <c r="J4" s="55">
        <v>2.41</v>
      </c>
      <c r="K4" s="53" t="s">
        <v>150</v>
      </c>
      <c r="L4" s="55">
        <v>804.69899999999996</v>
      </c>
      <c r="M4" s="56">
        <v>723</v>
      </c>
      <c r="N4" s="57">
        <v>0.20080000000000001</v>
      </c>
      <c r="O4" s="58">
        <v>12.05</v>
      </c>
      <c r="P4" s="53">
        <v>503.7</v>
      </c>
      <c r="Q4" s="53">
        <v>1</v>
      </c>
      <c r="R4" s="53">
        <v>1150</v>
      </c>
      <c r="S4" s="55">
        <v>1.113</v>
      </c>
      <c r="T4" s="53">
        <v>37</v>
      </c>
      <c r="U4" s="57">
        <v>3.2199999999999999E-2</v>
      </c>
      <c r="V4" s="53" t="s">
        <v>29</v>
      </c>
      <c r="W4" s="53" t="s">
        <v>39</v>
      </c>
      <c r="X4" s="53" t="s">
        <v>28</v>
      </c>
      <c r="Y4" s="53" t="s">
        <v>28</v>
      </c>
      <c r="Z4" s="53" t="s">
        <v>29</v>
      </c>
      <c r="AA4" s="53">
        <v>2</v>
      </c>
      <c r="AB4" s="53" t="s">
        <v>151</v>
      </c>
    </row>
    <row r="5" spans="1:28" s="59" customFormat="1" ht="25.05" customHeight="1" x14ac:dyDescent="0.3">
      <c r="A5" s="53">
        <v>3</v>
      </c>
      <c r="B5" s="54" t="s">
        <v>93</v>
      </c>
      <c r="C5" s="53" t="s">
        <v>144</v>
      </c>
      <c r="D5" s="69">
        <v>46279</v>
      </c>
      <c r="E5" s="53"/>
      <c r="F5" s="53">
        <v>262577</v>
      </c>
      <c r="G5" s="53">
        <v>69</v>
      </c>
      <c r="H5" s="53">
        <v>1000</v>
      </c>
      <c r="I5" s="55">
        <v>0.52500000000000002</v>
      </c>
      <c r="J5" s="55">
        <v>1.29</v>
      </c>
      <c r="K5" s="53" t="s">
        <v>146</v>
      </c>
      <c r="L5" s="55">
        <v>677.25</v>
      </c>
      <c r="M5" s="56">
        <v>645</v>
      </c>
      <c r="N5" s="57">
        <v>8.9599999999999999E-2</v>
      </c>
      <c r="O5" s="58">
        <v>5.38</v>
      </c>
      <c r="P5" s="53">
        <v>262.8</v>
      </c>
      <c r="Q5" s="53">
        <v>2</v>
      </c>
      <c r="R5" s="53">
        <v>1100</v>
      </c>
      <c r="S5" s="55">
        <v>1.05</v>
      </c>
      <c r="T5" s="53">
        <v>50</v>
      </c>
      <c r="U5" s="57">
        <v>4.5499999999999999E-2</v>
      </c>
      <c r="V5" s="53" t="s">
        <v>39</v>
      </c>
      <c r="W5" s="53" t="s">
        <v>29</v>
      </c>
      <c r="X5" s="53" t="s">
        <v>29</v>
      </c>
      <c r="Y5" s="53"/>
      <c r="Z5" s="53"/>
      <c r="AA5" s="53">
        <v>2</v>
      </c>
      <c r="AB5" s="53" t="s">
        <v>147</v>
      </c>
    </row>
    <row r="6" spans="1:28" s="59" customFormat="1" ht="25.05" customHeight="1" x14ac:dyDescent="0.3">
      <c r="A6" s="53">
        <v>4</v>
      </c>
      <c r="B6" s="54" t="s">
        <v>93</v>
      </c>
      <c r="C6" s="53" t="s">
        <v>144</v>
      </c>
      <c r="D6" s="69">
        <v>46279</v>
      </c>
      <c r="E6" s="53"/>
      <c r="F6" s="53">
        <v>262576</v>
      </c>
      <c r="G6" s="53">
        <v>69</v>
      </c>
      <c r="H6" s="53">
        <v>500</v>
      </c>
      <c r="I6" s="55">
        <v>0.45</v>
      </c>
      <c r="J6" s="55">
        <v>1.59</v>
      </c>
      <c r="K6" s="53" t="s">
        <v>145</v>
      </c>
      <c r="L6" s="55">
        <v>357.75</v>
      </c>
      <c r="M6" s="56">
        <v>397.5</v>
      </c>
      <c r="N6" s="57">
        <v>5.5199999999999999E-2</v>
      </c>
      <c r="O6" s="58">
        <v>3.31</v>
      </c>
      <c r="P6" s="53">
        <v>138.80000000000001</v>
      </c>
      <c r="Q6" s="53">
        <v>2</v>
      </c>
      <c r="R6" s="53">
        <v>1150</v>
      </c>
      <c r="S6" s="55">
        <v>0.9</v>
      </c>
      <c r="T6" s="53">
        <v>250</v>
      </c>
      <c r="U6" s="57">
        <v>0.21740000000000001</v>
      </c>
      <c r="V6" s="53" t="s">
        <v>39</v>
      </c>
      <c r="W6" s="53" t="s">
        <v>29</v>
      </c>
      <c r="X6" s="53" t="s">
        <v>29</v>
      </c>
      <c r="Y6" s="53"/>
      <c r="Z6" s="53"/>
      <c r="AA6" s="53">
        <v>1</v>
      </c>
      <c r="AB6" s="53" t="s">
        <v>140</v>
      </c>
    </row>
    <row r="7" spans="1:28" s="59" customFormat="1" ht="25.05" customHeight="1" x14ac:dyDescent="0.3">
      <c r="A7" s="53">
        <v>5</v>
      </c>
      <c r="B7" s="54" t="s">
        <v>93</v>
      </c>
      <c r="C7" s="53" t="s">
        <v>144</v>
      </c>
      <c r="D7" s="69">
        <v>46279</v>
      </c>
      <c r="E7" s="53"/>
      <c r="F7" s="53">
        <v>262578</v>
      </c>
      <c r="G7" s="53">
        <v>69</v>
      </c>
      <c r="H7" s="53">
        <v>600</v>
      </c>
      <c r="I7" s="55">
        <v>0.54600000000000004</v>
      </c>
      <c r="J7" s="55">
        <v>1.41</v>
      </c>
      <c r="K7" s="53" t="s">
        <v>148</v>
      </c>
      <c r="L7" s="55">
        <v>461.916</v>
      </c>
      <c r="M7" s="56">
        <v>423</v>
      </c>
      <c r="N7" s="57">
        <v>5.8700000000000002E-2</v>
      </c>
      <c r="O7" s="58">
        <v>3.52</v>
      </c>
      <c r="P7" s="53">
        <v>179.2</v>
      </c>
      <c r="Q7" s="53">
        <v>2</v>
      </c>
      <c r="R7" s="53">
        <v>1150</v>
      </c>
      <c r="S7" s="55">
        <v>1.0920000000000001</v>
      </c>
      <c r="T7" s="53">
        <v>58</v>
      </c>
      <c r="U7" s="57">
        <v>5.04E-2</v>
      </c>
      <c r="V7" s="53" t="s">
        <v>39</v>
      </c>
      <c r="W7" s="53" t="s">
        <v>29</v>
      </c>
      <c r="X7" s="53" t="s">
        <v>29</v>
      </c>
      <c r="Y7" s="53"/>
      <c r="Z7" s="53"/>
      <c r="AA7" s="53">
        <v>1</v>
      </c>
      <c r="AB7" s="53" t="s">
        <v>149</v>
      </c>
    </row>
    <row r="8" spans="1:28" s="59" customFormat="1" ht="25.05" customHeight="1" x14ac:dyDescent="0.3">
      <c r="A8" s="53">
        <v>6</v>
      </c>
      <c r="B8" s="54" t="s">
        <v>93</v>
      </c>
      <c r="C8" s="53" t="s">
        <v>35</v>
      </c>
      <c r="D8" s="69">
        <v>46282</v>
      </c>
      <c r="E8" s="53"/>
      <c r="F8" s="53">
        <v>262634</v>
      </c>
      <c r="G8" s="53">
        <v>74</v>
      </c>
      <c r="H8" s="53">
        <v>5000</v>
      </c>
      <c r="I8" s="55">
        <v>0.76</v>
      </c>
      <c r="J8" s="55">
        <v>0.9</v>
      </c>
      <c r="K8" s="53" t="s">
        <v>33</v>
      </c>
      <c r="L8" s="55">
        <v>3420</v>
      </c>
      <c r="M8" s="56">
        <v>2250</v>
      </c>
      <c r="N8" s="57">
        <v>0.3125</v>
      </c>
      <c r="O8" s="58">
        <v>18.75</v>
      </c>
      <c r="P8" s="53">
        <v>1077.3</v>
      </c>
      <c r="Q8" s="53">
        <v>2</v>
      </c>
      <c r="R8" s="53">
        <v>1550</v>
      </c>
      <c r="S8" s="55">
        <v>1.52</v>
      </c>
      <c r="T8" s="53">
        <v>30</v>
      </c>
      <c r="U8" s="57">
        <v>1.9400000000000001E-2</v>
      </c>
      <c r="V8" s="53" t="s">
        <v>28</v>
      </c>
      <c r="W8" s="53" t="s">
        <v>28</v>
      </c>
      <c r="X8" s="53" t="s">
        <v>28</v>
      </c>
      <c r="Y8" s="53"/>
      <c r="Z8" s="53"/>
      <c r="AA8" s="53">
        <v>7</v>
      </c>
      <c r="AB8" s="53" t="s">
        <v>219</v>
      </c>
    </row>
    <row r="9" spans="1:28" s="59" customFormat="1" ht="25.05" customHeight="1" x14ac:dyDescent="0.3">
      <c r="A9" s="53">
        <v>7</v>
      </c>
      <c r="B9" s="54" t="s">
        <v>93</v>
      </c>
      <c r="C9" s="53" t="s">
        <v>35</v>
      </c>
      <c r="D9" s="69">
        <v>46280</v>
      </c>
      <c r="E9" s="53"/>
      <c r="F9" s="53">
        <v>262603</v>
      </c>
      <c r="G9" s="53">
        <v>70</v>
      </c>
      <c r="H9" s="53">
        <v>600</v>
      </c>
      <c r="I9" s="55">
        <v>0.69</v>
      </c>
      <c r="J9" s="55">
        <v>1</v>
      </c>
      <c r="K9" s="53" t="s">
        <v>33</v>
      </c>
      <c r="L9" s="55">
        <v>414</v>
      </c>
      <c r="M9" s="56">
        <v>300</v>
      </c>
      <c r="N9" s="57">
        <v>4.1700000000000001E-2</v>
      </c>
      <c r="O9" s="58">
        <v>2.5</v>
      </c>
      <c r="P9" s="53">
        <v>130.4</v>
      </c>
      <c r="Q9" s="53">
        <v>2</v>
      </c>
      <c r="R9" s="53">
        <v>1400</v>
      </c>
      <c r="S9" s="55">
        <v>1.38</v>
      </c>
      <c r="T9" s="53">
        <v>20</v>
      </c>
      <c r="U9" s="57">
        <v>1.43E-2</v>
      </c>
      <c r="V9" s="53" t="s">
        <v>28</v>
      </c>
      <c r="W9" s="53" t="s">
        <v>28</v>
      </c>
      <c r="X9" s="53" t="s">
        <v>28</v>
      </c>
      <c r="Y9" s="53"/>
      <c r="Z9" s="53"/>
      <c r="AA9" s="53">
        <v>1</v>
      </c>
      <c r="AB9" s="53" t="s">
        <v>183</v>
      </c>
    </row>
    <row r="10" spans="1:28" s="59" customFormat="1" ht="25.05" customHeight="1" x14ac:dyDescent="0.3">
      <c r="A10" s="53">
        <v>8</v>
      </c>
      <c r="B10" s="54" t="s">
        <v>93</v>
      </c>
      <c r="C10" s="53" t="s">
        <v>35</v>
      </c>
      <c r="D10" s="69">
        <v>46281</v>
      </c>
      <c r="E10" s="53"/>
      <c r="F10" s="53">
        <v>262616</v>
      </c>
      <c r="G10" s="53">
        <v>72</v>
      </c>
      <c r="H10" s="53">
        <v>1000</v>
      </c>
      <c r="I10" s="55">
        <v>0.35</v>
      </c>
      <c r="J10" s="55">
        <v>0.88</v>
      </c>
      <c r="K10" s="53" t="s">
        <v>33</v>
      </c>
      <c r="L10" s="55">
        <v>308</v>
      </c>
      <c r="M10" s="56">
        <v>293.3</v>
      </c>
      <c r="N10" s="57">
        <v>2.7199999999999998E-2</v>
      </c>
      <c r="O10" s="58">
        <v>1.63</v>
      </c>
      <c r="P10" s="53">
        <v>97</v>
      </c>
      <c r="Q10" s="53">
        <v>3</v>
      </c>
      <c r="R10" s="53">
        <v>1100</v>
      </c>
      <c r="S10" s="55">
        <v>1.05</v>
      </c>
      <c r="T10" s="53">
        <v>50</v>
      </c>
      <c r="U10" s="57">
        <v>4.5499999999999999E-2</v>
      </c>
      <c r="V10" s="53" t="s">
        <v>28</v>
      </c>
      <c r="W10" s="53" t="s">
        <v>28</v>
      </c>
      <c r="X10" s="53" t="s">
        <v>28</v>
      </c>
      <c r="Y10" s="53"/>
      <c r="Z10" s="53"/>
      <c r="AA10" s="53">
        <v>1</v>
      </c>
      <c r="AB10" s="53" t="s">
        <v>186</v>
      </c>
    </row>
    <row r="11" spans="1:28" s="59" customFormat="1" ht="25.05" customHeight="1" x14ac:dyDescent="0.3">
      <c r="A11" s="53">
        <v>9</v>
      </c>
      <c r="B11" s="54" t="s">
        <v>93</v>
      </c>
      <c r="C11" s="53" t="s">
        <v>35</v>
      </c>
      <c r="D11" s="69">
        <v>46280</v>
      </c>
      <c r="E11" s="53"/>
      <c r="F11" s="53">
        <v>262602</v>
      </c>
      <c r="G11" s="53">
        <v>70</v>
      </c>
      <c r="H11" s="53">
        <v>1250</v>
      </c>
      <c r="I11" s="55">
        <v>0.54</v>
      </c>
      <c r="J11" s="55">
        <v>1</v>
      </c>
      <c r="K11" s="53" t="s">
        <v>33</v>
      </c>
      <c r="L11" s="55">
        <v>675</v>
      </c>
      <c r="M11" s="56">
        <v>625</v>
      </c>
      <c r="N11" s="57">
        <v>8.6800000000000002E-2</v>
      </c>
      <c r="O11" s="58">
        <v>5.21</v>
      </c>
      <c r="P11" s="53">
        <v>212.6</v>
      </c>
      <c r="Q11" s="53">
        <v>2</v>
      </c>
      <c r="R11" s="53">
        <v>1100</v>
      </c>
      <c r="S11" s="55">
        <v>1.08</v>
      </c>
      <c r="T11" s="53">
        <v>20</v>
      </c>
      <c r="U11" s="57">
        <v>1.8200000000000001E-2</v>
      </c>
      <c r="V11" s="53" t="s">
        <v>28</v>
      </c>
      <c r="W11" s="53" t="s">
        <v>28</v>
      </c>
      <c r="X11" s="53" t="s">
        <v>28</v>
      </c>
      <c r="Y11" s="53"/>
      <c r="Z11" s="53"/>
      <c r="AA11" s="53">
        <v>1</v>
      </c>
      <c r="AB11" s="53" t="s">
        <v>182</v>
      </c>
    </row>
    <row r="12" spans="1:28" s="59" customFormat="1" ht="25.05" customHeight="1" x14ac:dyDescent="0.3">
      <c r="A12" s="53">
        <v>10</v>
      </c>
      <c r="B12" s="54" t="s">
        <v>93</v>
      </c>
      <c r="C12" s="53" t="s">
        <v>35</v>
      </c>
      <c r="D12" s="69">
        <v>46281</v>
      </c>
      <c r="E12" s="53"/>
      <c r="F12" s="53">
        <v>262615</v>
      </c>
      <c r="G12" s="53">
        <v>71</v>
      </c>
      <c r="H12" s="53">
        <v>3000</v>
      </c>
      <c r="I12" s="55">
        <v>0.51400000000000001</v>
      </c>
      <c r="J12" s="55">
        <v>1.3420000000000001</v>
      </c>
      <c r="K12" s="53" t="s">
        <v>184</v>
      </c>
      <c r="L12" s="55">
        <v>1379.576</v>
      </c>
      <c r="M12" s="56">
        <v>1342</v>
      </c>
      <c r="N12" s="57">
        <v>0.18640000000000001</v>
      </c>
      <c r="O12" s="58">
        <v>11.18</v>
      </c>
      <c r="P12" s="53">
        <v>434.6</v>
      </c>
      <c r="Q12" s="53">
        <v>2</v>
      </c>
      <c r="R12" s="53">
        <v>1050</v>
      </c>
      <c r="S12" s="55">
        <v>1.028</v>
      </c>
      <c r="T12" s="53">
        <v>22</v>
      </c>
      <c r="U12" s="57">
        <v>2.1000000000000001E-2</v>
      </c>
      <c r="V12" s="53" t="s">
        <v>28</v>
      </c>
      <c r="W12" s="53" t="s">
        <v>28</v>
      </c>
      <c r="X12" s="53" t="s">
        <v>28</v>
      </c>
      <c r="Y12" s="53"/>
      <c r="Z12" s="53"/>
      <c r="AA12" s="53">
        <v>3</v>
      </c>
      <c r="AB12" s="53" t="s">
        <v>185</v>
      </c>
    </row>
    <row r="13" spans="1:28" s="59" customFormat="1" ht="25.05" customHeight="1" x14ac:dyDescent="0.3">
      <c r="A13" s="53">
        <v>11</v>
      </c>
      <c r="B13" s="54" t="s">
        <v>93</v>
      </c>
      <c r="C13" s="53" t="s">
        <v>35</v>
      </c>
      <c r="D13" s="69">
        <v>46281</v>
      </c>
      <c r="E13" s="53"/>
      <c r="F13" s="53">
        <v>262617</v>
      </c>
      <c r="G13" s="53">
        <v>72</v>
      </c>
      <c r="H13" s="53">
        <v>3200</v>
      </c>
      <c r="I13" s="55">
        <v>0.32500000000000001</v>
      </c>
      <c r="J13" s="55">
        <v>0.8</v>
      </c>
      <c r="K13" s="53" t="s">
        <v>33</v>
      </c>
      <c r="L13" s="55">
        <v>832</v>
      </c>
      <c r="M13" s="56">
        <v>853.3</v>
      </c>
      <c r="N13" s="57">
        <v>7.9000000000000001E-2</v>
      </c>
      <c r="O13" s="58">
        <v>4.74</v>
      </c>
      <c r="P13" s="53">
        <v>262.10000000000002</v>
      </c>
      <c r="Q13" s="53">
        <v>3</v>
      </c>
      <c r="R13" s="53">
        <v>1000</v>
      </c>
      <c r="S13" s="55">
        <v>0.97499999999999998</v>
      </c>
      <c r="T13" s="53">
        <v>25</v>
      </c>
      <c r="U13" s="57">
        <v>2.5000000000000001E-2</v>
      </c>
      <c r="V13" s="53" t="s">
        <v>28</v>
      </c>
      <c r="W13" s="53" t="s">
        <v>28</v>
      </c>
      <c r="X13" s="53" t="s">
        <v>28</v>
      </c>
      <c r="Y13" s="53"/>
      <c r="Z13" s="53"/>
      <c r="AA13" s="53">
        <v>2</v>
      </c>
      <c r="AB13" s="53" t="s">
        <v>187</v>
      </c>
    </row>
    <row r="14" spans="1:28" s="59" customFormat="1" ht="25.05" customHeight="1" x14ac:dyDescent="0.3">
      <c r="A14" s="53">
        <v>12</v>
      </c>
      <c r="B14" s="54" t="s">
        <v>93</v>
      </c>
      <c r="C14" s="53" t="s">
        <v>35</v>
      </c>
      <c r="D14" s="69">
        <v>46281</v>
      </c>
      <c r="E14" s="53"/>
      <c r="F14" s="53">
        <v>262618</v>
      </c>
      <c r="G14" s="53">
        <v>73</v>
      </c>
      <c r="H14" s="53">
        <v>2000</v>
      </c>
      <c r="I14" s="55">
        <v>0.27900000000000003</v>
      </c>
      <c r="J14" s="55">
        <v>1.002</v>
      </c>
      <c r="K14" s="53" t="s">
        <v>188</v>
      </c>
      <c r="L14" s="55">
        <v>559.11599999999999</v>
      </c>
      <c r="M14" s="56">
        <v>1002</v>
      </c>
      <c r="N14" s="57">
        <v>0.13919999999999999</v>
      </c>
      <c r="O14" s="58">
        <v>8.35</v>
      </c>
      <c r="P14" s="53">
        <v>176.1</v>
      </c>
      <c r="Q14" s="53">
        <v>2</v>
      </c>
      <c r="R14" s="53">
        <v>600</v>
      </c>
      <c r="S14" s="55">
        <v>0.55800000000000005</v>
      </c>
      <c r="T14" s="53">
        <v>42</v>
      </c>
      <c r="U14" s="57">
        <v>7.0000000000000007E-2</v>
      </c>
      <c r="V14" s="53" t="s">
        <v>28</v>
      </c>
      <c r="W14" s="53" t="s">
        <v>28</v>
      </c>
      <c r="X14" s="53" t="s">
        <v>28</v>
      </c>
      <c r="Y14" s="53"/>
      <c r="Z14" s="53"/>
      <c r="AA14" s="53">
        <v>1</v>
      </c>
      <c r="AB14" s="53" t="s">
        <v>189</v>
      </c>
    </row>
    <row r="15" spans="1:28" s="59" customFormat="1" ht="25.05" customHeight="1" x14ac:dyDescent="0.3">
      <c r="A15" s="53">
        <v>13</v>
      </c>
      <c r="B15" s="54" t="s">
        <v>93</v>
      </c>
      <c r="C15" s="53" t="s">
        <v>35</v>
      </c>
      <c r="D15" s="69">
        <v>46281</v>
      </c>
      <c r="E15" s="53"/>
      <c r="F15" s="53">
        <v>262619</v>
      </c>
      <c r="G15" s="53">
        <v>73</v>
      </c>
      <c r="H15" s="53">
        <v>6000</v>
      </c>
      <c r="I15" s="55">
        <v>0.36499999999999999</v>
      </c>
      <c r="J15" s="55">
        <v>1.04</v>
      </c>
      <c r="K15" s="53" t="s">
        <v>190</v>
      </c>
      <c r="L15" s="55">
        <v>2277.6</v>
      </c>
      <c r="M15" s="56">
        <v>3120</v>
      </c>
      <c r="N15" s="57">
        <v>0.43330000000000002</v>
      </c>
      <c r="O15" s="58">
        <v>26</v>
      </c>
      <c r="P15" s="53">
        <v>717.4</v>
      </c>
      <c r="Q15" s="53">
        <v>2</v>
      </c>
      <c r="R15" s="53">
        <v>750</v>
      </c>
      <c r="S15" s="55">
        <v>0.73</v>
      </c>
      <c r="T15" s="53">
        <v>20</v>
      </c>
      <c r="U15" s="57">
        <v>2.6700000000000002E-2</v>
      </c>
      <c r="V15" s="53" t="s">
        <v>28</v>
      </c>
      <c r="W15" s="53" t="s">
        <v>28</v>
      </c>
      <c r="X15" s="53" t="s">
        <v>28</v>
      </c>
      <c r="Y15" s="53"/>
      <c r="Z15" s="53"/>
      <c r="AA15" s="53">
        <v>3</v>
      </c>
      <c r="AB15" s="53" t="s">
        <v>191</v>
      </c>
    </row>
    <row r="16" spans="1:28" s="51" customFormat="1" ht="25.05" customHeight="1" x14ac:dyDescent="0.3">
      <c r="A16" s="53">
        <v>14</v>
      </c>
      <c r="B16" s="46" t="s">
        <v>126</v>
      </c>
      <c r="C16" s="45" t="s">
        <v>35</v>
      </c>
      <c r="D16" s="61">
        <v>46275</v>
      </c>
      <c r="E16" s="45"/>
      <c r="F16" s="45">
        <v>252541</v>
      </c>
      <c r="G16" s="45">
        <v>67</v>
      </c>
      <c r="H16" s="45">
        <v>3000</v>
      </c>
      <c r="I16" s="47">
        <v>0.27900000000000003</v>
      </c>
      <c r="J16" s="47">
        <v>1.004</v>
      </c>
      <c r="K16" s="45" t="s">
        <v>188</v>
      </c>
      <c r="L16" s="47">
        <v>840.34799999999996</v>
      </c>
      <c r="M16" s="48">
        <v>1004</v>
      </c>
      <c r="N16" s="49">
        <v>9.2999999999999999E-2</v>
      </c>
      <c r="O16" s="50">
        <v>5.58</v>
      </c>
      <c r="P16" s="45">
        <v>289.89999999999998</v>
      </c>
      <c r="Q16" s="45">
        <v>3</v>
      </c>
      <c r="R16" s="45">
        <v>900</v>
      </c>
      <c r="S16" s="47">
        <v>0.83699999999999997</v>
      </c>
      <c r="T16" s="45">
        <v>63</v>
      </c>
      <c r="U16" s="49">
        <v>7.0000000000000007E-2</v>
      </c>
      <c r="V16" s="45" t="s">
        <v>28</v>
      </c>
      <c r="W16" s="45" t="s">
        <v>28</v>
      </c>
      <c r="X16" s="45" t="s">
        <v>28</v>
      </c>
      <c r="Y16" s="45"/>
      <c r="Z16" s="45"/>
      <c r="AA16" s="45">
        <v>1</v>
      </c>
      <c r="AB16" s="45" t="s">
        <v>127</v>
      </c>
    </row>
    <row r="17" spans="1:28" s="59" customFormat="1" ht="25.05" customHeight="1" x14ac:dyDescent="0.3">
      <c r="A17" s="60" t="s">
        <v>27</v>
      </c>
      <c r="B17" s="60" t="s">
        <v>27</v>
      </c>
      <c r="C17" s="60" t="s">
        <v>27</v>
      </c>
      <c r="D17" s="60" t="s">
        <v>27</v>
      </c>
      <c r="E17" s="60" t="s">
        <v>27</v>
      </c>
      <c r="F17" s="60" t="s">
        <v>27</v>
      </c>
      <c r="G17" s="60" t="s">
        <v>27</v>
      </c>
      <c r="H17" s="60">
        <f>SUM(H3:H16)</f>
        <v>28050</v>
      </c>
      <c r="I17" s="60" t="s">
        <v>27</v>
      </c>
      <c r="J17" s="60" t="s">
        <v>27</v>
      </c>
      <c r="K17" s="60" t="s">
        <v>27</v>
      </c>
      <c r="L17" s="60" t="s">
        <v>27</v>
      </c>
      <c r="M17" s="60" t="s">
        <v>27</v>
      </c>
      <c r="N17" s="60" t="s">
        <v>27</v>
      </c>
      <c r="O17" s="60" t="s">
        <v>27</v>
      </c>
      <c r="P17" s="60">
        <f>SUM(P3:P16)</f>
        <v>4675.6999999999989</v>
      </c>
      <c r="Q17" s="60" t="s">
        <v>27</v>
      </c>
      <c r="R17" s="60" t="s">
        <v>27</v>
      </c>
      <c r="S17" s="60" t="s">
        <v>27</v>
      </c>
      <c r="T17" s="60" t="s">
        <v>27</v>
      </c>
      <c r="U17" s="60" t="s">
        <v>27</v>
      </c>
      <c r="V17" s="60" t="s">
        <v>27</v>
      </c>
      <c r="W17" s="60" t="s">
        <v>27</v>
      </c>
      <c r="X17" s="60" t="s">
        <v>27</v>
      </c>
      <c r="Y17" s="60" t="s">
        <v>27</v>
      </c>
      <c r="Z17" s="60" t="s">
        <v>27</v>
      </c>
      <c r="AA17" s="60" t="s">
        <v>27</v>
      </c>
      <c r="AB17" s="60" t="s">
        <v>27</v>
      </c>
    </row>
  </sheetData>
  <mergeCells count="1">
    <mergeCell ref="A1:AB1"/>
  </mergeCells>
  <pageMargins left="0.511811024" right="0.511811024" top="1.35" bottom="0.78740157499999996" header="0.31496062000000002" footer="0.31496062000000002"/>
  <pageSetup paperSize="9" scale="8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DD7F-F2DE-484D-858D-A0AEE46D68A8}">
  <sheetPr>
    <pageSetUpPr fitToPage="1"/>
  </sheetPr>
  <dimension ref="A1:AB12"/>
  <sheetViews>
    <sheetView workbookViewId="0">
      <selection sqref="A1:AB12"/>
    </sheetView>
  </sheetViews>
  <sheetFormatPr defaultRowHeight="14.4" x14ac:dyDescent="0.3"/>
  <cols>
    <col min="1" max="1" width="3.88671875" style="33" customWidth="1"/>
    <col min="2" max="2" width="20.77734375" style="33" hidden="1" customWidth="1"/>
    <col min="3" max="3" width="7.21875" style="33" customWidth="1"/>
    <col min="4" max="4" width="11.77734375" style="33" hidden="1" customWidth="1"/>
    <col min="5" max="5" width="10.77734375" style="33" customWidth="1"/>
    <col min="6" max="6" width="8.33203125" style="33" customWidth="1"/>
    <col min="7" max="7" width="6.77734375" style="33" customWidth="1"/>
    <col min="8" max="8" width="7.21875" style="33" customWidth="1"/>
    <col min="9" max="9" width="6.33203125" style="33" customWidth="1"/>
    <col min="10" max="10" width="6.44140625" style="33" customWidth="1"/>
    <col min="11" max="11" width="27.7773437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77734375" style="33" customWidth="1"/>
    <col min="17" max="17" width="3.6640625" style="33" customWidth="1"/>
    <col min="18" max="18" width="7" style="33" customWidth="1"/>
    <col min="19" max="19" width="6.77734375" style="33" customWidth="1"/>
    <col min="20" max="20" width="11.77734375" style="33" hidden="1" customWidth="1"/>
    <col min="21" max="21" width="8.77734375" style="33" hidden="1" customWidth="1"/>
    <col min="22" max="22" width="9" style="33" customWidth="1"/>
    <col min="23" max="23" width="8.44140625" style="33" customWidth="1"/>
    <col min="24" max="24" width="9" style="33" customWidth="1"/>
    <col min="25" max="26" width="8.33203125" style="33" customWidth="1"/>
    <col min="27" max="27" width="5.109375" style="33" customWidth="1"/>
    <col min="28" max="28" width="11.109375" style="33" customWidth="1"/>
    <col min="29" max="16384" width="8.88671875" style="33"/>
  </cols>
  <sheetData>
    <row r="1" spans="1:28" ht="18" customHeight="1" x14ac:dyDescent="0.35">
      <c r="A1" s="269" t="s">
        <v>139</v>
      </c>
      <c r="B1" s="269" t="s">
        <v>27</v>
      </c>
      <c r="C1" s="269" t="s">
        <v>27</v>
      </c>
      <c r="D1" s="269" t="s">
        <v>27</v>
      </c>
      <c r="E1" s="269" t="s">
        <v>27</v>
      </c>
      <c r="F1" s="269" t="s">
        <v>27</v>
      </c>
      <c r="G1" s="269" t="s">
        <v>27</v>
      </c>
      <c r="H1" s="269" t="s">
        <v>27</v>
      </c>
      <c r="I1" s="269" t="s">
        <v>27</v>
      </c>
      <c r="J1" s="269" t="s">
        <v>27</v>
      </c>
      <c r="K1" s="269" t="s">
        <v>27</v>
      </c>
      <c r="L1" s="269" t="s">
        <v>27</v>
      </c>
      <c r="M1" s="269" t="s">
        <v>27</v>
      </c>
      <c r="N1" s="269" t="s">
        <v>27</v>
      </c>
      <c r="O1" s="269" t="s">
        <v>27</v>
      </c>
      <c r="P1" s="269" t="s">
        <v>27</v>
      </c>
      <c r="Q1" s="269" t="s">
        <v>27</v>
      </c>
      <c r="R1" s="269" t="s">
        <v>27</v>
      </c>
      <c r="S1" s="269" t="s">
        <v>27</v>
      </c>
      <c r="T1" s="269" t="s">
        <v>27</v>
      </c>
      <c r="U1" s="269" t="s">
        <v>27</v>
      </c>
      <c r="V1" s="269" t="s">
        <v>27</v>
      </c>
      <c r="W1" s="269" t="s">
        <v>27</v>
      </c>
      <c r="X1" s="269" t="s">
        <v>27</v>
      </c>
      <c r="Y1" s="269" t="s">
        <v>27</v>
      </c>
      <c r="Z1" s="269" t="s">
        <v>27</v>
      </c>
      <c r="AA1" s="269" t="s">
        <v>27</v>
      </c>
      <c r="AB1" s="269" t="s">
        <v>27</v>
      </c>
    </row>
    <row r="2" spans="1:28" s="59" customFormat="1" ht="42.6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68" customFormat="1" ht="25.05" customHeight="1" x14ac:dyDescent="0.3">
      <c r="A3" s="62">
        <v>1</v>
      </c>
      <c r="B3" s="63" t="s">
        <v>58</v>
      </c>
      <c r="C3" s="62" t="s">
        <v>26</v>
      </c>
      <c r="D3" s="88">
        <v>46288</v>
      </c>
      <c r="E3" s="62"/>
      <c r="F3" s="62">
        <v>262682</v>
      </c>
      <c r="G3" s="62" t="s">
        <v>301</v>
      </c>
      <c r="H3" s="62">
        <v>450</v>
      </c>
      <c r="I3" s="64">
        <v>1.165</v>
      </c>
      <c r="J3" s="64">
        <v>2.13</v>
      </c>
      <c r="K3" s="62" t="s">
        <v>33</v>
      </c>
      <c r="L3" s="64">
        <v>1116.653</v>
      </c>
      <c r="M3" s="65">
        <v>958.5</v>
      </c>
      <c r="N3" s="66">
        <v>0.26619999999999999</v>
      </c>
      <c r="O3" s="67">
        <v>15.97</v>
      </c>
      <c r="P3" s="62">
        <v>600.79999999999995</v>
      </c>
      <c r="Q3" s="62">
        <v>1</v>
      </c>
      <c r="R3" s="62">
        <v>1200</v>
      </c>
      <c r="S3" s="64">
        <v>1.165</v>
      </c>
      <c r="T3" s="62">
        <v>35</v>
      </c>
      <c r="U3" s="66">
        <v>2.92E-2</v>
      </c>
      <c r="V3" s="62" t="s">
        <v>28</v>
      </c>
      <c r="W3" s="62" t="s">
        <v>29</v>
      </c>
      <c r="X3" s="62" t="s">
        <v>28</v>
      </c>
      <c r="Y3" s="62" t="s">
        <v>28</v>
      </c>
      <c r="Z3" s="62" t="s">
        <v>28</v>
      </c>
      <c r="AA3" s="62">
        <v>3</v>
      </c>
      <c r="AB3" s="62" t="s">
        <v>302</v>
      </c>
    </row>
    <row r="4" spans="1:28" s="68" customFormat="1" ht="25.05" customHeight="1" x14ac:dyDescent="0.3">
      <c r="A4" s="62">
        <v>2</v>
      </c>
      <c r="B4" s="63" t="s">
        <v>58</v>
      </c>
      <c r="C4" s="62" t="s">
        <v>26</v>
      </c>
      <c r="D4" s="62" t="s">
        <v>125</v>
      </c>
      <c r="E4" s="62" t="s">
        <v>27</v>
      </c>
      <c r="F4" s="62">
        <v>262571</v>
      </c>
      <c r="G4" s="62" t="s">
        <v>130</v>
      </c>
      <c r="H4" s="62">
        <v>1100</v>
      </c>
      <c r="I4" s="64">
        <v>0.85299999999999998</v>
      </c>
      <c r="J4" s="64">
        <v>2.105</v>
      </c>
      <c r="K4" s="62" t="s">
        <v>72</v>
      </c>
      <c r="L4" s="64">
        <v>1975.1210000000001</v>
      </c>
      <c r="M4" s="65">
        <v>2315.5</v>
      </c>
      <c r="N4" s="66">
        <v>0.64319999999999999</v>
      </c>
      <c r="O4" s="67">
        <v>38.590000000000003</v>
      </c>
      <c r="P4" s="62">
        <v>1171.2</v>
      </c>
      <c r="Q4" s="62">
        <v>1</v>
      </c>
      <c r="R4" s="62">
        <v>900</v>
      </c>
      <c r="S4" s="64">
        <v>0.85299999999999998</v>
      </c>
      <c r="T4" s="62">
        <v>47</v>
      </c>
      <c r="U4" s="66">
        <v>5.2200000000000003E-2</v>
      </c>
      <c r="V4" s="62" t="s">
        <v>28</v>
      </c>
      <c r="W4" s="62" t="s">
        <v>29</v>
      </c>
      <c r="X4" s="62" t="s">
        <v>28</v>
      </c>
      <c r="Y4" s="62" t="s">
        <v>28</v>
      </c>
      <c r="Z4" s="62" t="s">
        <v>28</v>
      </c>
      <c r="AA4" s="62" t="s">
        <v>40</v>
      </c>
      <c r="AB4" s="62" t="s">
        <v>138</v>
      </c>
    </row>
    <row r="5" spans="1:28" s="68" customFormat="1" ht="25.05" customHeight="1" x14ac:dyDescent="0.3">
      <c r="A5" s="62">
        <v>3</v>
      </c>
      <c r="B5" s="63" t="s">
        <v>58</v>
      </c>
      <c r="C5" s="62" t="s">
        <v>59</v>
      </c>
      <c r="D5" s="62" t="s">
        <v>125</v>
      </c>
      <c r="E5" s="62" t="s">
        <v>27</v>
      </c>
      <c r="F5" s="62">
        <v>262573</v>
      </c>
      <c r="G5" s="62" t="s">
        <v>130</v>
      </c>
      <c r="H5" s="62">
        <v>750</v>
      </c>
      <c r="I5" s="64">
        <v>1.522</v>
      </c>
      <c r="J5" s="64">
        <v>0.80600000000000005</v>
      </c>
      <c r="K5" s="62" t="s">
        <v>33</v>
      </c>
      <c r="L5" s="64">
        <v>920.04899999999998</v>
      </c>
      <c r="M5" s="65">
        <v>604.5</v>
      </c>
      <c r="N5" s="66">
        <v>0.16789999999999999</v>
      </c>
      <c r="O5" s="67">
        <v>10.07</v>
      </c>
      <c r="P5" s="62">
        <v>317.39999999999998</v>
      </c>
      <c r="Q5" s="62">
        <v>1</v>
      </c>
      <c r="R5" s="62">
        <v>1550</v>
      </c>
      <c r="S5" s="64">
        <v>1.522</v>
      </c>
      <c r="T5" s="62">
        <v>28</v>
      </c>
      <c r="U5" s="66">
        <v>1.8100000000000002E-2</v>
      </c>
      <c r="V5" s="62" t="s">
        <v>28</v>
      </c>
      <c r="W5" s="62" t="s">
        <v>28</v>
      </c>
      <c r="X5" s="62" t="s">
        <v>28</v>
      </c>
      <c r="Y5" s="62" t="s">
        <v>27</v>
      </c>
      <c r="Z5" s="62" t="s">
        <v>27</v>
      </c>
      <c r="AA5" s="62" t="s">
        <v>30</v>
      </c>
      <c r="AB5" s="62" t="s">
        <v>137</v>
      </c>
    </row>
    <row r="6" spans="1:28" s="68" customFormat="1" ht="25.05" customHeight="1" x14ac:dyDescent="0.3">
      <c r="A6" s="62">
        <v>4</v>
      </c>
      <c r="B6" s="63" t="s">
        <v>58</v>
      </c>
      <c r="C6" s="62" t="s">
        <v>59</v>
      </c>
      <c r="D6" s="62" t="s">
        <v>125</v>
      </c>
      <c r="E6" s="62" t="s">
        <v>27</v>
      </c>
      <c r="F6" s="62">
        <v>262567</v>
      </c>
      <c r="G6" s="62" t="s">
        <v>130</v>
      </c>
      <c r="H6" s="62">
        <v>520</v>
      </c>
      <c r="I6" s="64">
        <v>1.2949999999999999</v>
      </c>
      <c r="J6" s="64">
        <v>1.21</v>
      </c>
      <c r="K6" s="62" t="s">
        <v>33</v>
      </c>
      <c r="L6" s="64">
        <v>814.81399999999996</v>
      </c>
      <c r="M6" s="65">
        <v>629.20000000000005</v>
      </c>
      <c r="N6" s="66">
        <v>0.17480000000000001</v>
      </c>
      <c r="O6" s="67">
        <v>10.49</v>
      </c>
      <c r="P6" s="62">
        <v>281.10000000000002</v>
      </c>
      <c r="Q6" s="62">
        <v>1</v>
      </c>
      <c r="R6" s="62">
        <v>1350</v>
      </c>
      <c r="S6" s="64">
        <v>1.2949999999999999</v>
      </c>
      <c r="T6" s="62">
        <v>55</v>
      </c>
      <c r="U6" s="66">
        <v>4.07E-2</v>
      </c>
      <c r="V6" s="62" t="s">
        <v>28</v>
      </c>
      <c r="W6" s="62" t="s">
        <v>28</v>
      </c>
      <c r="X6" s="62" t="s">
        <v>28</v>
      </c>
      <c r="Y6" s="62" t="s">
        <v>27</v>
      </c>
      <c r="Z6" s="62" t="s">
        <v>27</v>
      </c>
      <c r="AA6" s="62" t="s">
        <v>32</v>
      </c>
      <c r="AB6" s="62" t="s">
        <v>136</v>
      </c>
    </row>
    <row r="7" spans="1:28" s="68" customFormat="1" ht="25.05" customHeight="1" x14ac:dyDescent="0.3">
      <c r="A7" s="62">
        <v>5</v>
      </c>
      <c r="B7" s="63" t="s">
        <v>58</v>
      </c>
      <c r="C7" s="62" t="s">
        <v>59</v>
      </c>
      <c r="D7" s="62" t="s">
        <v>125</v>
      </c>
      <c r="E7" s="62" t="s">
        <v>27</v>
      </c>
      <c r="F7" s="62">
        <v>262572</v>
      </c>
      <c r="G7" s="62" t="s">
        <v>130</v>
      </c>
      <c r="H7" s="62">
        <v>900</v>
      </c>
      <c r="I7" s="64">
        <v>1.01</v>
      </c>
      <c r="J7" s="64">
        <v>1.006</v>
      </c>
      <c r="K7" s="62" t="s">
        <v>33</v>
      </c>
      <c r="L7" s="64">
        <v>914.45399999999995</v>
      </c>
      <c r="M7" s="65">
        <v>905.4</v>
      </c>
      <c r="N7" s="66">
        <v>0.2515</v>
      </c>
      <c r="O7" s="67">
        <v>15.09</v>
      </c>
      <c r="P7" s="62">
        <v>315.5</v>
      </c>
      <c r="Q7" s="62">
        <v>1</v>
      </c>
      <c r="R7" s="62">
        <v>1050</v>
      </c>
      <c r="S7" s="64">
        <v>1.01</v>
      </c>
      <c r="T7" s="62">
        <v>40</v>
      </c>
      <c r="U7" s="66">
        <v>3.8100000000000002E-2</v>
      </c>
      <c r="V7" s="62" t="s">
        <v>28</v>
      </c>
      <c r="W7" s="62" t="s">
        <v>28</v>
      </c>
      <c r="X7" s="62" t="s">
        <v>28</v>
      </c>
      <c r="Y7" s="62" t="s">
        <v>27</v>
      </c>
      <c r="Z7" s="62" t="s">
        <v>27</v>
      </c>
      <c r="AA7" s="62" t="s">
        <v>32</v>
      </c>
      <c r="AB7" s="62" t="s">
        <v>135</v>
      </c>
    </row>
    <row r="8" spans="1:28" s="68" customFormat="1" ht="25.05" customHeight="1" x14ac:dyDescent="0.3">
      <c r="A8" s="62">
        <v>6</v>
      </c>
      <c r="B8" s="63" t="s">
        <v>58</v>
      </c>
      <c r="C8" s="62" t="s">
        <v>59</v>
      </c>
      <c r="D8" s="62" t="s">
        <v>125</v>
      </c>
      <c r="E8" s="62" t="s">
        <v>27</v>
      </c>
      <c r="F8" s="62">
        <v>262574</v>
      </c>
      <c r="G8" s="62" t="s">
        <v>130</v>
      </c>
      <c r="H8" s="62">
        <v>1500</v>
      </c>
      <c r="I8" s="64">
        <v>0.98799999999999999</v>
      </c>
      <c r="J8" s="64">
        <v>0.72599999999999998</v>
      </c>
      <c r="K8" s="62" t="s">
        <v>33</v>
      </c>
      <c r="L8" s="64">
        <v>1075.932</v>
      </c>
      <c r="M8" s="65">
        <v>1089</v>
      </c>
      <c r="N8" s="66">
        <v>0.30249999999999999</v>
      </c>
      <c r="O8" s="67">
        <v>18.149999999999999</v>
      </c>
      <c r="P8" s="62">
        <v>371.2</v>
      </c>
      <c r="Q8" s="62">
        <v>1</v>
      </c>
      <c r="R8" s="62">
        <v>1050</v>
      </c>
      <c r="S8" s="64">
        <v>0.98799999999999999</v>
      </c>
      <c r="T8" s="62">
        <v>62</v>
      </c>
      <c r="U8" s="66">
        <v>5.8999999999999997E-2</v>
      </c>
      <c r="V8" s="62" t="s">
        <v>28</v>
      </c>
      <c r="W8" s="62" t="s">
        <v>28</v>
      </c>
      <c r="X8" s="62" t="s">
        <v>28</v>
      </c>
      <c r="Y8" s="62" t="s">
        <v>27</v>
      </c>
      <c r="Z8" s="62" t="s">
        <v>27</v>
      </c>
      <c r="AA8" s="62" t="s">
        <v>32</v>
      </c>
      <c r="AB8" s="62" t="s">
        <v>134</v>
      </c>
    </row>
    <row r="9" spans="1:28" s="68" customFormat="1" ht="25.05" customHeight="1" x14ac:dyDescent="0.3">
      <c r="A9" s="62">
        <v>7</v>
      </c>
      <c r="B9" s="63" t="s">
        <v>58</v>
      </c>
      <c r="C9" s="62" t="s">
        <v>35</v>
      </c>
      <c r="D9" s="62" t="s">
        <v>125</v>
      </c>
      <c r="E9" s="62" t="s">
        <v>27</v>
      </c>
      <c r="F9" s="62">
        <v>262568</v>
      </c>
      <c r="G9" s="62" t="s">
        <v>130</v>
      </c>
      <c r="H9" s="62">
        <v>1100</v>
      </c>
      <c r="I9" s="64">
        <v>1.4410000000000001</v>
      </c>
      <c r="J9" s="64">
        <v>1.85</v>
      </c>
      <c r="K9" s="62" t="s">
        <v>133</v>
      </c>
      <c r="L9" s="64">
        <v>2932.4349999999999</v>
      </c>
      <c r="M9" s="65">
        <v>2035</v>
      </c>
      <c r="N9" s="66">
        <v>0.56530000000000002</v>
      </c>
      <c r="O9" s="67">
        <v>33.92</v>
      </c>
      <c r="P9" s="62">
        <v>1011.7</v>
      </c>
      <c r="Q9" s="62">
        <v>1</v>
      </c>
      <c r="R9" s="62">
        <v>1500</v>
      </c>
      <c r="S9" s="64">
        <v>1.4410000000000001</v>
      </c>
      <c r="T9" s="62">
        <v>59</v>
      </c>
      <c r="U9" s="66">
        <v>3.9300000000000002E-2</v>
      </c>
      <c r="V9" s="62" t="s">
        <v>28</v>
      </c>
      <c r="W9" s="62" t="s">
        <v>28</v>
      </c>
      <c r="X9" s="62" t="s">
        <v>28</v>
      </c>
      <c r="Y9" s="62" t="s">
        <v>27</v>
      </c>
      <c r="Z9" s="62" t="s">
        <v>27</v>
      </c>
      <c r="AA9" s="62" t="s">
        <v>30</v>
      </c>
      <c r="AB9" s="62" t="s">
        <v>132</v>
      </c>
    </row>
    <row r="10" spans="1:28" s="68" customFormat="1" ht="25.05" customHeight="1" x14ac:dyDescent="0.3">
      <c r="A10" s="62">
        <v>8</v>
      </c>
      <c r="B10" s="63" t="s">
        <v>58</v>
      </c>
      <c r="C10" s="62" t="s">
        <v>35</v>
      </c>
      <c r="D10" s="62" t="s">
        <v>125</v>
      </c>
      <c r="E10" s="62" t="s">
        <v>27</v>
      </c>
      <c r="F10" s="62">
        <v>262570</v>
      </c>
      <c r="G10" s="62" t="s">
        <v>130</v>
      </c>
      <c r="H10" s="62">
        <v>11000</v>
      </c>
      <c r="I10" s="64">
        <v>0.44600000000000001</v>
      </c>
      <c r="J10" s="64">
        <v>1.2290000000000001</v>
      </c>
      <c r="K10" s="62" t="s">
        <v>89</v>
      </c>
      <c r="L10" s="64">
        <v>6029.4740000000002</v>
      </c>
      <c r="M10" s="65">
        <v>6759.5</v>
      </c>
      <c r="N10" s="66">
        <v>0.93879999999999997</v>
      </c>
      <c r="O10" s="67">
        <v>56.33</v>
      </c>
      <c r="P10" s="62">
        <v>2080.1999999999998</v>
      </c>
      <c r="Q10" s="62">
        <v>2</v>
      </c>
      <c r="R10" s="62">
        <v>950</v>
      </c>
      <c r="S10" s="64">
        <v>0.89200000000000002</v>
      </c>
      <c r="T10" s="62">
        <v>58</v>
      </c>
      <c r="U10" s="66">
        <v>6.1100000000000002E-2</v>
      </c>
      <c r="V10" s="62" t="s">
        <v>28</v>
      </c>
      <c r="W10" s="62" t="s">
        <v>28</v>
      </c>
      <c r="X10" s="62" t="s">
        <v>28</v>
      </c>
      <c r="Y10" s="62" t="s">
        <v>27</v>
      </c>
      <c r="Z10" s="62" t="s">
        <v>27</v>
      </c>
      <c r="AA10" s="62" t="s">
        <v>88</v>
      </c>
      <c r="AB10" s="62" t="s">
        <v>131</v>
      </c>
    </row>
    <row r="11" spans="1:28" s="68" customFormat="1" ht="25.05" customHeight="1" x14ac:dyDescent="0.3">
      <c r="A11" s="62">
        <v>9</v>
      </c>
      <c r="B11" s="63" t="s">
        <v>58</v>
      </c>
      <c r="C11" s="62" t="s">
        <v>35</v>
      </c>
      <c r="D11" s="62" t="s">
        <v>125</v>
      </c>
      <c r="E11" s="62" t="s">
        <v>27</v>
      </c>
      <c r="F11" s="62">
        <v>262569</v>
      </c>
      <c r="G11" s="62" t="s">
        <v>130</v>
      </c>
      <c r="H11" s="62">
        <v>1800</v>
      </c>
      <c r="I11" s="64">
        <v>0.91</v>
      </c>
      <c r="J11" s="64">
        <v>0.65900000000000003</v>
      </c>
      <c r="K11" s="62" t="s">
        <v>33</v>
      </c>
      <c r="L11" s="64">
        <v>1079.442</v>
      </c>
      <c r="M11" s="65">
        <v>1186.2</v>
      </c>
      <c r="N11" s="66">
        <v>0.32950000000000002</v>
      </c>
      <c r="O11" s="67">
        <v>19.77</v>
      </c>
      <c r="P11" s="62">
        <v>372.4</v>
      </c>
      <c r="Q11" s="62">
        <v>1</v>
      </c>
      <c r="R11" s="62">
        <v>950</v>
      </c>
      <c r="S11" s="64">
        <v>0.91</v>
      </c>
      <c r="T11" s="62">
        <v>40</v>
      </c>
      <c r="U11" s="66">
        <v>4.2099999999999999E-2</v>
      </c>
      <c r="V11" s="62" t="s">
        <v>28</v>
      </c>
      <c r="W11" s="62" t="s">
        <v>28</v>
      </c>
      <c r="X11" s="62" t="s">
        <v>28</v>
      </c>
      <c r="Y11" s="62" t="s">
        <v>27</v>
      </c>
      <c r="Z11" s="62" t="s">
        <v>27</v>
      </c>
      <c r="AA11" s="62" t="s">
        <v>32</v>
      </c>
      <c r="AB11" s="62" t="s">
        <v>129</v>
      </c>
    </row>
    <row r="12" spans="1:28" s="59" customFormat="1" ht="25.05" customHeight="1" x14ac:dyDescent="0.3">
      <c r="A12" s="60" t="s">
        <v>27</v>
      </c>
      <c r="B12" s="60" t="s">
        <v>27</v>
      </c>
      <c r="C12" s="60" t="s">
        <v>27</v>
      </c>
      <c r="D12" s="60" t="s">
        <v>27</v>
      </c>
      <c r="E12" s="60" t="s">
        <v>27</v>
      </c>
      <c r="F12" s="60" t="s">
        <v>27</v>
      </c>
      <c r="G12" s="60" t="s">
        <v>27</v>
      </c>
      <c r="H12" s="60">
        <v>19120</v>
      </c>
      <c r="I12" s="60" t="s">
        <v>27</v>
      </c>
      <c r="J12" s="60" t="s">
        <v>27</v>
      </c>
      <c r="K12" s="60" t="s">
        <v>27</v>
      </c>
      <c r="L12" s="60" t="s">
        <v>27</v>
      </c>
      <c r="M12" s="60" t="s">
        <v>27</v>
      </c>
      <c r="N12" s="60" t="s">
        <v>27</v>
      </c>
      <c r="O12" s="60" t="s">
        <v>27</v>
      </c>
      <c r="P12" s="60">
        <v>6577.2</v>
      </c>
      <c r="Q12" s="60" t="s">
        <v>27</v>
      </c>
      <c r="R12" s="60" t="s">
        <v>27</v>
      </c>
      <c r="S12" s="60" t="s">
        <v>27</v>
      </c>
      <c r="T12" s="60" t="s">
        <v>27</v>
      </c>
      <c r="U12" s="60" t="s">
        <v>27</v>
      </c>
      <c r="V12" s="60" t="s">
        <v>27</v>
      </c>
      <c r="W12" s="60" t="s">
        <v>27</v>
      </c>
      <c r="X12" s="60" t="s">
        <v>27</v>
      </c>
      <c r="Y12" s="60" t="s">
        <v>27</v>
      </c>
      <c r="Z12" s="60" t="s">
        <v>27</v>
      </c>
      <c r="AA12" s="60" t="s">
        <v>27</v>
      </c>
      <c r="AB12" s="60" t="s">
        <v>27</v>
      </c>
    </row>
  </sheetData>
  <mergeCells count="1">
    <mergeCell ref="A1:AB1"/>
  </mergeCells>
  <pageMargins left="0.511811024" right="0.511811024" top="1.72" bottom="0.78740157499999996" header="0.31496062000000002" footer="0.31496062000000002"/>
  <pageSetup scale="75" orientation="landscape" horizontalDpi="360" verticalDpi="36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A626-F30A-4671-8B85-D3FC298D272A}">
  <sheetPr>
    <pageSetUpPr fitToPage="1"/>
  </sheetPr>
  <dimension ref="A1:AB15"/>
  <sheetViews>
    <sheetView workbookViewId="0">
      <selection activeCell="C5" sqref="C5"/>
    </sheetView>
  </sheetViews>
  <sheetFormatPr defaultRowHeight="14.4" x14ac:dyDescent="0.3"/>
  <cols>
    <col min="1" max="1" width="5.33203125" style="33" customWidth="1"/>
    <col min="2" max="2" width="20.77734375" style="33" hidden="1" customWidth="1"/>
    <col min="3" max="3" width="6" style="33" customWidth="1"/>
    <col min="4" max="4" width="11.77734375" style="33" hidden="1" customWidth="1"/>
    <col min="5" max="5" width="8.6640625" style="33" customWidth="1"/>
    <col min="6" max="6" width="7.5546875" style="33" customWidth="1"/>
    <col min="7" max="7" width="5" style="33" customWidth="1"/>
    <col min="8" max="8" width="6.77734375" style="33" customWidth="1"/>
    <col min="9" max="9" width="6.5546875" style="33" customWidth="1"/>
    <col min="10" max="10" width="7.77734375" style="33" customWidth="1"/>
    <col min="11" max="11" width="11.33203125" style="33" customWidth="1"/>
    <col min="12" max="12" width="9.77734375" style="33" hidden="1" customWidth="1"/>
    <col min="13" max="13" width="8.77734375" style="33" hidden="1" customWidth="1"/>
    <col min="14" max="15" width="9.77734375" style="33" hidden="1" customWidth="1"/>
    <col min="16" max="16" width="7.77734375" style="33" customWidth="1"/>
    <col min="17" max="17" width="4" style="33" customWidth="1"/>
    <col min="18" max="18" width="6.33203125" style="33" customWidth="1"/>
    <col min="19" max="19" width="6.6640625" style="33" customWidth="1"/>
    <col min="20" max="20" width="11.77734375" style="33" hidden="1" customWidth="1"/>
    <col min="21" max="21" width="8.77734375" style="33" hidden="1" customWidth="1"/>
    <col min="22" max="22" width="7.88671875" style="33" customWidth="1"/>
    <col min="23" max="23" width="7.77734375" style="33" customWidth="1"/>
    <col min="24" max="24" width="7.6640625" style="33" customWidth="1"/>
    <col min="25" max="26" width="8" style="33" customWidth="1"/>
    <col min="27" max="27" width="4" style="33" customWidth="1"/>
    <col min="28" max="28" width="11.109375" style="33" customWidth="1"/>
    <col min="29" max="16384" width="8.88671875" style="33"/>
  </cols>
  <sheetData>
    <row r="1" spans="1:28" ht="18" customHeight="1" x14ac:dyDescent="0.3">
      <c r="A1" s="272" t="s">
        <v>123</v>
      </c>
      <c r="B1" s="272" t="s">
        <v>27</v>
      </c>
      <c r="C1" s="272" t="s">
        <v>27</v>
      </c>
      <c r="D1" s="272" t="s">
        <v>27</v>
      </c>
      <c r="E1" s="272" t="s">
        <v>27</v>
      </c>
      <c r="F1" s="272" t="s">
        <v>27</v>
      </c>
      <c r="G1" s="272" t="s">
        <v>27</v>
      </c>
      <c r="H1" s="272" t="s">
        <v>27</v>
      </c>
      <c r="I1" s="272" t="s">
        <v>27</v>
      </c>
      <c r="J1" s="272" t="s">
        <v>27</v>
      </c>
      <c r="K1" s="272" t="s">
        <v>27</v>
      </c>
      <c r="L1" s="272" t="s">
        <v>27</v>
      </c>
      <c r="M1" s="272" t="s">
        <v>27</v>
      </c>
      <c r="N1" s="272" t="s">
        <v>27</v>
      </c>
      <c r="O1" s="272" t="s">
        <v>27</v>
      </c>
      <c r="P1" s="272" t="s">
        <v>27</v>
      </c>
      <c r="Q1" s="272" t="s">
        <v>27</v>
      </c>
      <c r="R1" s="272" t="s">
        <v>27</v>
      </c>
      <c r="S1" s="272" t="s">
        <v>27</v>
      </c>
      <c r="T1" s="272" t="s">
        <v>27</v>
      </c>
      <c r="U1" s="272" t="s">
        <v>27</v>
      </c>
      <c r="V1" s="272" t="s">
        <v>27</v>
      </c>
      <c r="W1" s="272" t="s">
        <v>27</v>
      </c>
      <c r="X1" s="272" t="s">
        <v>27</v>
      </c>
      <c r="Y1" s="272" t="s">
        <v>27</v>
      </c>
      <c r="Z1" s="272" t="s">
        <v>27</v>
      </c>
      <c r="AA1" s="272" t="s">
        <v>27</v>
      </c>
      <c r="AB1" s="272" t="s">
        <v>27</v>
      </c>
    </row>
    <row r="2" spans="1:28" ht="38.4" customHeight="1" x14ac:dyDescent="0.3">
      <c r="A2" s="44" t="s">
        <v>0</v>
      </c>
      <c r="B2" s="44" t="s">
        <v>36</v>
      </c>
      <c r="C2" s="44" t="s">
        <v>1</v>
      </c>
      <c r="D2" s="44" t="s">
        <v>2</v>
      </c>
      <c r="E2" s="44" t="s">
        <v>3</v>
      </c>
      <c r="F2" s="44" t="s">
        <v>53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4" t="s">
        <v>12</v>
      </c>
      <c r="P2" s="44" t="s">
        <v>13</v>
      </c>
      <c r="Q2" s="44" t="s">
        <v>14</v>
      </c>
      <c r="R2" s="44" t="s">
        <v>15</v>
      </c>
      <c r="S2" s="44" t="s">
        <v>16</v>
      </c>
      <c r="T2" s="44" t="s">
        <v>17</v>
      </c>
      <c r="U2" s="44" t="s">
        <v>18</v>
      </c>
      <c r="V2" s="44" t="s">
        <v>19</v>
      </c>
      <c r="W2" s="44" t="s">
        <v>20</v>
      </c>
      <c r="X2" s="44" t="s">
        <v>21</v>
      </c>
      <c r="Y2" s="44" t="s">
        <v>22</v>
      </c>
      <c r="Z2" s="44" t="s">
        <v>23</v>
      </c>
      <c r="AA2" s="44" t="s">
        <v>24</v>
      </c>
      <c r="AB2" s="44" t="s">
        <v>25</v>
      </c>
    </row>
    <row r="3" spans="1:28" s="70" customFormat="1" ht="25.05" customHeight="1" x14ac:dyDescent="0.3">
      <c r="A3" s="71">
        <v>1</v>
      </c>
      <c r="B3" s="72" t="s">
        <v>68</v>
      </c>
      <c r="C3" s="71" t="s">
        <v>26</v>
      </c>
      <c r="D3" s="71" t="s">
        <v>112</v>
      </c>
      <c r="E3" s="71" t="s">
        <v>27</v>
      </c>
      <c r="F3" s="71">
        <v>262497</v>
      </c>
      <c r="G3" s="71" t="s">
        <v>111</v>
      </c>
      <c r="H3" s="71">
        <v>225</v>
      </c>
      <c r="I3" s="73">
        <v>1.548</v>
      </c>
      <c r="J3" s="73">
        <v>1.62</v>
      </c>
      <c r="K3" s="71" t="s">
        <v>33</v>
      </c>
      <c r="L3" s="73">
        <v>564.24599999999998</v>
      </c>
      <c r="M3" s="74">
        <v>364.5</v>
      </c>
      <c r="N3" s="75">
        <v>0.1013</v>
      </c>
      <c r="O3" s="76">
        <v>6.08</v>
      </c>
      <c r="P3" s="71">
        <v>334.6</v>
      </c>
      <c r="Q3" s="71">
        <v>1</v>
      </c>
      <c r="R3" s="71">
        <v>1600</v>
      </c>
      <c r="S3" s="73">
        <v>1.548</v>
      </c>
      <c r="T3" s="71">
        <v>52</v>
      </c>
      <c r="U3" s="75">
        <v>3.2500000000000001E-2</v>
      </c>
      <c r="V3" s="71" t="s">
        <v>28</v>
      </c>
      <c r="W3" s="71" t="s">
        <v>29</v>
      </c>
      <c r="X3" s="71" t="s">
        <v>28</v>
      </c>
      <c r="Y3" s="71" t="s">
        <v>28</v>
      </c>
      <c r="Z3" s="71" t="s">
        <v>28</v>
      </c>
      <c r="AA3" s="71" t="s">
        <v>32</v>
      </c>
      <c r="AB3" s="71" t="s">
        <v>122</v>
      </c>
    </row>
    <row r="4" spans="1:28" s="59" customFormat="1" ht="25.05" customHeight="1" x14ac:dyDescent="0.3">
      <c r="A4" s="45">
        <v>2</v>
      </c>
      <c r="B4" s="46" t="s">
        <v>68</v>
      </c>
      <c r="C4" s="45" t="s">
        <v>26</v>
      </c>
      <c r="D4" s="45" t="s">
        <v>112</v>
      </c>
      <c r="E4" s="45" t="s">
        <v>27</v>
      </c>
      <c r="F4" s="45">
        <v>262501</v>
      </c>
      <c r="G4" s="45" t="s">
        <v>111</v>
      </c>
      <c r="H4" s="45">
        <v>510</v>
      </c>
      <c r="I4" s="47">
        <v>0.76600000000000001</v>
      </c>
      <c r="J4" s="47">
        <v>1.43</v>
      </c>
      <c r="K4" s="45" t="s">
        <v>33</v>
      </c>
      <c r="L4" s="47">
        <v>558.64400000000001</v>
      </c>
      <c r="M4" s="48">
        <v>364.6</v>
      </c>
      <c r="N4" s="49">
        <v>5.0599999999999999E-2</v>
      </c>
      <c r="O4" s="50">
        <v>3.04</v>
      </c>
      <c r="P4" s="45">
        <v>331.3</v>
      </c>
      <c r="Q4" s="45">
        <v>2</v>
      </c>
      <c r="R4" s="45">
        <v>1600</v>
      </c>
      <c r="S4" s="47">
        <v>1.532</v>
      </c>
      <c r="T4" s="45">
        <v>68</v>
      </c>
      <c r="U4" s="49">
        <v>4.2500000000000003E-2</v>
      </c>
      <c r="V4" s="45" t="s">
        <v>28</v>
      </c>
      <c r="W4" s="45" t="s">
        <v>29</v>
      </c>
      <c r="X4" s="45" t="s">
        <v>28</v>
      </c>
      <c r="Y4" s="45" t="s">
        <v>28</v>
      </c>
      <c r="Z4" s="45" t="s">
        <v>28</v>
      </c>
      <c r="AA4" s="45" t="s">
        <v>30</v>
      </c>
      <c r="AB4" s="45" t="s">
        <v>69</v>
      </c>
    </row>
    <row r="5" spans="1:28" s="70" customFormat="1" ht="25.05" customHeight="1" x14ac:dyDescent="0.3">
      <c r="A5" s="71">
        <v>3</v>
      </c>
      <c r="B5" s="72" t="s">
        <v>68</v>
      </c>
      <c r="C5" s="71" t="s">
        <v>26</v>
      </c>
      <c r="D5" s="71" t="s">
        <v>112</v>
      </c>
      <c r="E5" s="71" t="s">
        <v>27</v>
      </c>
      <c r="F5" s="71">
        <v>262495</v>
      </c>
      <c r="G5" s="71" t="s">
        <v>111</v>
      </c>
      <c r="H5" s="71">
        <v>395</v>
      </c>
      <c r="I5" s="73">
        <v>0.69</v>
      </c>
      <c r="J5" s="73">
        <v>2.0699999999999998</v>
      </c>
      <c r="K5" s="71" t="s">
        <v>33</v>
      </c>
      <c r="L5" s="73">
        <v>564.178</v>
      </c>
      <c r="M5" s="74">
        <v>408.8</v>
      </c>
      <c r="N5" s="75">
        <v>5.6800000000000003E-2</v>
      </c>
      <c r="O5" s="76">
        <v>3.41</v>
      </c>
      <c r="P5" s="71">
        <v>334.6</v>
      </c>
      <c r="Q5" s="71">
        <v>2</v>
      </c>
      <c r="R5" s="71">
        <v>1400</v>
      </c>
      <c r="S5" s="73">
        <v>1.38</v>
      </c>
      <c r="T5" s="71">
        <v>20</v>
      </c>
      <c r="U5" s="75">
        <v>1.43E-2</v>
      </c>
      <c r="V5" s="71" t="s">
        <v>28</v>
      </c>
      <c r="W5" s="71" t="s">
        <v>29</v>
      </c>
      <c r="X5" s="71" t="s">
        <v>28</v>
      </c>
      <c r="Y5" s="71" t="s">
        <v>28</v>
      </c>
      <c r="Z5" s="71" t="s">
        <v>28</v>
      </c>
      <c r="AA5" s="71" t="s">
        <v>30</v>
      </c>
      <c r="AB5" s="71" t="s">
        <v>121</v>
      </c>
    </row>
    <row r="6" spans="1:28" s="70" customFormat="1" ht="25.05" customHeight="1" x14ac:dyDescent="0.3">
      <c r="A6" s="71">
        <v>4</v>
      </c>
      <c r="B6" s="72" t="s">
        <v>68</v>
      </c>
      <c r="C6" s="71" t="s">
        <v>26</v>
      </c>
      <c r="D6" s="71" t="s">
        <v>112</v>
      </c>
      <c r="E6" s="71" t="s">
        <v>27</v>
      </c>
      <c r="F6" s="71">
        <v>262496</v>
      </c>
      <c r="G6" s="71" t="s">
        <v>111</v>
      </c>
      <c r="H6" s="71">
        <v>610</v>
      </c>
      <c r="I6" s="73">
        <v>1.29</v>
      </c>
      <c r="J6" s="73">
        <v>1.59</v>
      </c>
      <c r="K6" s="71" t="s">
        <v>33</v>
      </c>
      <c r="L6" s="73">
        <v>1251.171</v>
      </c>
      <c r="M6" s="74">
        <v>969.9</v>
      </c>
      <c r="N6" s="75">
        <v>0.26939999999999997</v>
      </c>
      <c r="O6" s="76">
        <v>16.170000000000002</v>
      </c>
      <c r="P6" s="71">
        <v>741.9</v>
      </c>
      <c r="Q6" s="71">
        <v>1</v>
      </c>
      <c r="R6" s="71">
        <v>1350</v>
      </c>
      <c r="S6" s="73">
        <v>1.29</v>
      </c>
      <c r="T6" s="71">
        <v>60</v>
      </c>
      <c r="U6" s="75">
        <v>4.4400000000000002E-2</v>
      </c>
      <c r="V6" s="71" t="s">
        <v>28</v>
      </c>
      <c r="W6" s="71" t="s">
        <v>29</v>
      </c>
      <c r="X6" s="71" t="s">
        <v>28</v>
      </c>
      <c r="Y6" s="71" t="s">
        <v>28</v>
      </c>
      <c r="Z6" s="71" t="s">
        <v>28</v>
      </c>
      <c r="AA6" s="71" t="s">
        <v>31</v>
      </c>
      <c r="AB6" s="71" t="s">
        <v>120</v>
      </c>
    </row>
    <row r="7" spans="1:28" s="70" customFormat="1" ht="25.05" customHeight="1" x14ac:dyDescent="0.3">
      <c r="A7" s="71">
        <v>5</v>
      </c>
      <c r="B7" s="72" t="s">
        <v>68</v>
      </c>
      <c r="C7" s="71" t="s">
        <v>26</v>
      </c>
      <c r="D7" s="71" t="s">
        <v>112</v>
      </c>
      <c r="E7" s="71" t="s">
        <v>27</v>
      </c>
      <c r="F7" s="71">
        <v>262494</v>
      </c>
      <c r="G7" s="71" t="s">
        <v>111</v>
      </c>
      <c r="H7" s="71">
        <v>700</v>
      </c>
      <c r="I7" s="73">
        <v>1.0740000000000001</v>
      </c>
      <c r="J7" s="73">
        <v>1.27</v>
      </c>
      <c r="K7" s="71" t="s">
        <v>33</v>
      </c>
      <c r="L7" s="73">
        <v>954.78599999999994</v>
      </c>
      <c r="M7" s="74">
        <v>889</v>
      </c>
      <c r="N7" s="75">
        <v>0.24690000000000001</v>
      </c>
      <c r="O7" s="76">
        <v>14.82</v>
      </c>
      <c r="P7" s="71">
        <v>566.20000000000005</v>
      </c>
      <c r="Q7" s="71">
        <v>1</v>
      </c>
      <c r="R7" s="71">
        <v>1100</v>
      </c>
      <c r="S7" s="73">
        <v>1.0740000000000001</v>
      </c>
      <c r="T7" s="71">
        <v>26</v>
      </c>
      <c r="U7" s="75">
        <v>2.3599999999999999E-2</v>
      </c>
      <c r="V7" s="71" t="s">
        <v>28</v>
      </c>
      <c r="W7" s="71" t="s">
        <v>29</v>
      </c>
      <c r="X7" s="71" t="s">
        <v>28</v>
      </c>
      <c r="Y7" s="71" t="s">
        <v>28</v>
      </c>
      <c r="Z7" s="71" t="s">
        <v>28</v>
      </c>
      <c r="AA7" s="71" t="s">
        <v>31</v>
      </c>
      <c r="AB7" s="71" t="s">
        <v>119</v>
      </c>
    </row>
    <row r="8" spans="1:28" s="59" customFormat="1" ht="25.05" customHeight="1" x14ac:dyDescent="0.3">
      <c r="A8" s="45">
        <v>6</v>
      </c>
      <c r="B8" s="46" t="s">
        <v>68</v>
      </c>
      <c r="C8" s="45" t="s">
        <v>26</v>
      </c>
      <c r="D8" s="45" t="s">
        <v>112</v>
      </c>
      <c r="E8" s="45" t="s">
        <v>27</v>
      </c>
      <c r="F8" s="45">
        <v>262502</v>
      </c>
      <c r="G8" s="45" t="s">
        <v>111</v>
      </c>
      <c r="H8" s="45">
        <v>550</v>
      </c>
      <c r="I8" s="47">
        <v>0.95599999999999996</v>
      </c>
      <c r="J8" s="47">
        <v>1.23</v>
      </c>
      <c r="K8" s="45" t="s">
        <v>33</v>
      </c>
      <c r="L8" s="47">
        <v>646.73400000000004</v>
      </c>
      <c r="M8" s="48">
        <v>676.5</v>
      </c>
      <c r="N8" s="49">
        <v>0.18790000000000001</v>
      </c>
      <c r="O8" s="50">
        <v>11.28</v>
      </c>
      <c r="P8" s="45">
        <v>383.5</v>
      </c>
      <c r="Q8" s="45">
        <v>1</v>
      </c>
      <c r="R8" s="45">
        <v>1000</v>
      </c>
      <c r="S8" s="47">
        <v>0.95599999999999996</v>
      </c>
      <c r="T8" s="45">
        <v>44</v>
      </c>
      <c r="U8" s="49">
        <v>4.3999999999999997E-2</v>
      </c>
      <c r="V8" s="45" t="s">
        <v>28</v>
      </c>
      <c r="W8" s="45" t="s">
        <v>29</v>
      </c>
      <c r="X8" s="45" t="s">
        <v>28</v>
      </c>
      <c r="Y8" s="45" t="s">
        <v>28</v>
      </c>
      <c r="Z8" s="45" t="s">
        <v>28</v>
      </c>
      <c r="AA8" s="45" t="s">
        <v>30</v>
      </c>
      <c r="AB8" s="45" t="s">
        <v>118</v>
      </c>
    </row>
    <row r="9" spans="1:28" s="59" customFormat="1" ht="25.05" customHeight="1" x14ac:dyDescent="0.3">
      <c r="A9" s="45">
        <v>7</v>
      </c>
      <c r="B9" s="46" t="s">
        <v>68</v>
      </c>
      <c r="C9" s="45" t="s">
        <v>26</v>
      </c>
      <c r="D9" s="45" t="s">
        <v>112</v>
      </c>
      <c r="E9" s="45" t="s">
        <v>27</v>
      </c>
      <c r="F9" s="45">
        <v>262503</v>
      </c>
      <c r="G9" s="45" t="s">
        <v>111</v>
      </c>
      <c r="H9" s="45">
        <v>550</v>
      </c>
      <c r="I9" s="47">
        <v>0.97099999999999997</v>
      </c>
      <c r="J9" s="47">
        <v>1.26</v>
      </c>
      <c r="K9" s="45" t="s">
        <v>33</v>
      </c>
      <c r="L9" s="47">
        <v>672.90300000000002</v>
      </c>
      <c r="M9" s="48">
        <v>693</v>
      </c>
      <c r="N9" s="49">
        <v>0.1925</v>
      </c>
      <c r="O9" s="50">
        <v>11.55</v>
      </c>
      <c r="P9" s="45">
        <v>399</v>
      </c>
      <c r="Q9" s="45">
        <v>1</v>
      </c>
      <c r="R9" s="45">
        <v>1000</v>
      </c>
      <c r="S9" s="47">
        <v>0.97099999999999997</v>
      </c>
      <c r="T9" s="45">
        <v>29</v>
      </c>
      <c r="U9" s="49">
        <v>2.9000000000000001E-2</v>
      </c>
      <c r="V9" s="45" t="s">
        <v>28</v>
      </c>
      <c r="W9" s="45" t="s">
        <v>29</v>
      </c>
      <c r="X9" s="45" t="s">
        <v>28</v>
      </c>
      <c r="Y9" s="45" t="s">
        <v>28</v>
      </c>
      <c r="Z9" s="45" t="s">
        <v>28</v>
      </c>
      <c r="AA9" s="45" t="s">
        <v>30</v>
      </c>
      <c r="AB9" s="45" t="s">
        <v>117</v>
      </c>
    </row>
    <row r="10" spans="1:28" s="59" customFormat="1" ht="25.05" customHeight="1" x14ac:dyDescent="0.3">
      <c r="A10" s="45">
        <v>8</v>
      </c>
      <c r="B10" s="46" t="s">
        <v>68</v>
      </c>
      <c r="C10" s="45" t="s">
        <v>81</v>
      </c>
      <c r="D10" s="45" t="s">
        <v>112</v>
      </c>
      <c r="E10" s="45" t="s">
        <v>27</v>
      </c>
      <c r="F10" s="45">
        <v>262504</v>
      </c>
      <c r="G10" s="45" t="s">
        <v>111</v>
      </c>
      <c r="H10" s="45">
        <v>375</v>
      </c>
      <c r="I10" s="47">
        <v>1.44</v>
      </c>
      <c r="J10" s="47">
        <v>1.538</v>
      </c>
      <c r="K10" s="45" t="s">
        <v>33</v>
      </c>
      <c r="L10" s="47">
        <v>830.52</v>
      </c>
      <c r="M10" s="48">
        <v>576.79999999999995</v>
      </c>
      <c r="N10" s="49">
        <v>0.16020000000000001</v>
      </c>
      <c r="O10" s="50">
        <v>9.61</v>
      </c>
      <c r="P10" s="45">
        <v>318.10000000000002</v>
      </c>
      <c r="Q10" s="45">
        <v>1</v>
      </c>
      <c r="R10" s="45">
        <v>1500</v>
      </c>
      <c r="S10" s="47">
        <v>1.44</v>
      </c>
      <c r="T10" s="45">
        <v>60</v>
      </c>
      <c r="U10" s="49">
        <v>0.04</v>
      </c>
      <c r="V10" s="45" t="s">
        <v>41</v>
      </c>
      <c r="W10" s="45" t="s">
        <v>29</v>
      </c>
      <c r="X10" s="45" t="s">
        <v>28</v>
      </c>
      <c r="Y10" s="45" t="s">
        <v>27</v>
      </c>
      <c r="Z10" s="45" t="s">
        <v>27</v>
      </c>
      <c r="AA10" s="45" t="s">
        <v>38</v>
      </c>
      <c r="AB10" s="45" t="s">
        <v>116</v>
      </c>
    </row>
    <row r="11" spans="1:28" s="59" customFormat="1" ht="25.05" customHeight="1" x14ac:dyDescent="0.3">
      <c r="A11" s="45">
        <v>9</v>
      </c>
      <c r="B11" s="46" t="s">
        <v>68</v>
      </c>
      <c r="C11" s="45" t="s">
        <v>35</v>
      </c>
      <c r="D11" s="45" t="s">
        <v>112</v>
      </c>
      <c r="E11" s="45" t="s">
        <v>27</v>
      </c>
      <c r="F11" s="45">
        <v>262505</v>
      </c>
      <c r="G11" s="45" t="s">
        <v>111</v>
      </c>
      <c r="H11" s="45">
        <v>1750</v>
      </c>
      <c r="I11" s="47">
        <v>0.74</v>
      </c>
      <c r="J11" s="47">
        <v>0.75</v>
      </c>
      <c r="K11" s="45" t="s">
        <v>33</v>
      </c>
      <c r="L11" s="47">
        <v>971.25</v>
      </c>
      <c r="M11" s="48">
        <v>656.3</v>
      </c>
      <c r="N11" s="49">
        <v>9.11E-2</v>
      </c>
      <c r="O11" s="50">
        <v>5.47</v>
      </c>
      <c r="P11" s="45">
        <v>335.1</v>
      </c>
      <c r="Q11" s="45">
        <v>2</v>
      </c>
      <c r="R11" s="45">
        <v>1500</v>
      </c>
      <c r="S11" s="47">
        <v>1.48</v>
      </c>
      <c r="T11" s="45">
        <v>20</v>
      </c>
      <c r="U11" s="49">
        <v>1.3299999999999999E-2</v>
      </c>
      <c r="V11" s="45" t="s">
        <v>28</v>
      </c>
      <c r="W11" s="45" t="s">
        <v>28</v>
      </c>
      <c r="X11" s="45" t="s">
        <v>28</v>
      </c>
      <c r="Y11" s="45" t="s">
        <v>27</v>
      </c>
      <c r="Z11" s="45" t="s">
        <v>27</v>
      </c>
      <c r="AA11" s="45" t="s">
        <v>30</v>
      </c>
      <c r="AB11" s="45" t="s">
        <v>115</v>
      </c>
    </row>
    <row r="12" spans="1:28" s="59" customFormat="1" ht="25.05" customHeight="1" x14ac:dyDescent="0.3">
      <c r="A12" s="45">
        <v>10</v>
      </c>
      <c r="B12" s="46" t="s">
        <v>68</v>
      </c>
      <c r="C12" s="45" t="s">
        <v>81</v>
      </c>
      <c r="D12" s="45" t="s">
        <v>112</v>
      </c>
      <c r="E12" s="45" t="s">
        <v>27</v>
      </c>
      <c r="F12" s="45">
        <v>262499</v>
      </c>
      <c r="G12" s="45" t="s">
        <v>111</v>
      </c>
      <c r="H12" s="45">
        <v>3200</v>
      </c>
      <c r="I12" s="47">
        <v>0.46100000000000002</v>
      </c>
      <c r="J12" s="47">
        <v>1.32</v>
      </c>
      <c r="K12" s="45" t="s">
        <v>33</v>
      </c>
      <c r="L12" s="47">
        <v>1947.2639999999999</v>
      </c>
      <c r="M12" s="48">
        <v>1408</v>
      </c>
      <c r="N12" s="49">
        <v>0.13039999999999999</v>
      </c>
      <c r="O12" s="50">
        <v>7.82</v>
      </c>
      <c r="P12" s="45">
        <v>745.8</v>
      </c>
      <c r="Q12" s="45">
        <v>3</v>
      </c>
      <c r="R12" s="45">
        <v>1450</v>
      </c>
      <c r="S12" s="47">
        <v>1.383</v>
      </c>
      <c r="T12" s="45">
        <v>67</v>
      </c>
      <c r="U12" s="49">
        <v>4.6199999999999998E-2</v>
      </c>
      <c r="V12" s="45" t="s">
        <v>41</v>
      </c>
      <c r="W12" s="45" t="s">
        <v>29</v>
      </c>
      <c r="X12" s="45" t="s">
        <v>28</v>
      </c>
      <c r="Y12" s="45" t="s">
        <v>27</v>
      </c>
      <c r="Z12" s="45" t="s">
        <v>27</v>
      </c>
      <c r="AA12" s="45" t="s">
        <v>31</v>
      </c>
      <c r="AB12" s="45" t="s">
        <v>114</v>
      </c>
    </row>
    <row r="13" spans="1:28" s="59" customFormat="1" ht="25.05" customHeight="1" x14ac:dyDescent="0.3">
      <c r="A13" s="45">
        <v>11</v>
      </c>
      <c r="B13" s="46" t="s">
        <v>68</v>
      </c>
      <c r="C13" s="45" t="s">
        <v>35</v>
      </c>
      <c r="D13" s="45" t="s">
        <v>112</v>
      </c>
      <c r="E13" s="45" t="s">
        <v>27</v>
      </c>
      <c r="F13" s="45">
        <v>262498</v>
      </c>
      <c r="G13" s="45" t="s">
        <v>111</v>
      </c>
      <c r="H13" s="45">
        <v>3550</v>
      </c>
      <c r="I13" s="47">
        <v>0.3</v>
      </c>
      <c r="J13" s="47">
        <v>0.9</v>
      </c>
      <c r="K13" s="45" t="s">
        <v>33</v>
      </c>
      <c r="L13" s="47">
        <v>958.5</v>
      </c>
      <c r="M13" s="48">
        <v>1065</v>
      </c>
      <c r="N13" s="49">
        <v>9.8599999999999993E-2</v>
      </c>
      <c r="O13" s="50">
        <v>5.92</v>
      </c>
      <c r="P13" s="45">
        <v>330.7</v>
      </c>
      <c r="Q13" s="45">
        <v>3</v>
      </c>
      <c r="R13" s="45">
        <v>950</v>
      </c>
      <c r="S13" s="47">
        <v>0.9</v>
      </c>
      <c r="T13" s="45">
        <v>50</v>
      </c>
      <c r="U13" s="49">
        <v>5.2600000000000001E-2</v>
      </c>
      <c r="V13" s="45" t="s">
        <v>28</v>
      </c>
      <c r="W13" s="45" t="s">
        <v>28</v>
      </c>
      <c r="X13" s="45" t="s">
        <v>28</v>
      </c>
      <c r="Y13" s="45" t="s">
        <v>27</v>
      </c>
      <c r="Z13" s="45" t="s">
        <v>27</v>
      </c>
      <c r="AA13" s="45" t="s">
        <v>32</v>
      </c>
      <c r="AB13" s="45" t="s">
        <v>113</v>
      </c>
    </row>
    <row r="14" spans="1:28" s="59" customFormat="1" ht="25.05" customHeight="1" x14ac:dyDescent="0.3">
      <c r="A14" s="45">
        <v>12</v>
      </c>
      <c r="B14" s="46" t="s">
        <v>68</v>
      </c>
      <c r="C14" s="45" t="s">
        <v>35</v>
      </c>
      <c r="D14" s="45" t="s">
        <v>112</v>
      </c>
      <c r="E14" s="45" t="s">
        <v>27</v>
      </c>
      <c r="F14" s="45">
        <v>262500</v>
      </c>
      <c r="G14" s="45" t="s">
        <v>111</v>
      </c>
      <c r="H14" s="45">
        <v>6000</v>
      </c>
      <c r="I14" s="47">
        <v>0.374</v>
      </c>
      <c r="J14" s="47">
        <v>0.44</v>
      </c>
      <c r="K14" s="45" t="s">
        <v>110</v>
      </c>
      <c r="L14" s="47">
        <v>987.36</v>
      </c>
      <c r="M14" s="48">
        <v>1320</v>
      </c>
      <c r="N14" s="49">
        <v>0.18329999999999999</v>
      </c>
      <c r="O14" s="50">
        <v>11</v>
      </c>
      <c r="P14" s="45">
        <v>340.6</v>
      </c>
      <c r="Q14" s="45">
        <v>2</v>
      </c>
      <c r="R14" s="45">
        <v>800</v>
      </c>
      <c r="S14" s="47">
        <v>0.748</v>
      </c>
      <c r="T14" s="45">
        <v>52</v>
      </c>
      <c r="U14" s="49">
        <v>6.5000000000000002E-2</v>
      </c>
      <c r="V14" s="45" t="s">
        <v>28</v>
      </c>
      <c r="W14" s="45" t="s">
        <v>28</v>
      </c>
      <c r="X14" s="45" t="s">
        <v>28</v>
      </c>
      <c r="Y14" s="45" t="s">
        <v>27</v>
      </c>
      <c r="Z14" s="45" t="s">
        <v>27</v>
      </c>
      <c r="AA14" s="45" t="s">
        <v>32</v>
      </c>
      <c r="AB14" s="45" t="s">
        <v>109</v>
      </c>
    </row>
    <row r="15" spans="1:28" s="59" customFormat="1" ht="25.05" customHeight="1" x14ac:dyDescent="0.3">
      <c r="A15" s="52" t="s">
        <v>27</v>
      </c>
      <c r="B15" s="52" t="s">
        <v>27</v>
      </c>
      <c r="C15" s="52" t="s">
        <v>27</v>
      </c>
      <c r="D15" s="52" t="s">
        <v>27</v>
      </c>
      <c r="E15" s="52" t="s">
        <v>27</v>
      </c>
      <c r="F15" s="52" t="s">
        <v>27</v>
      </c>
      <c r="G15" s="52" t="s">
        <v>27</v>
      </c>
      <c r="H15" s="52">
        <v>18415</v>
      </c>
      <c r="I15" s="52" t="s">
        <v>27</v>
      </c>
      <c r="J15" s="52" t="s">
        <v>27</v>
      </c>
      <c r="K15" s="52" t="s">
        <v>27</v>
      </c>
      <c r="L15" s="52" t="s">
        <v>27</v>
      </c>
      <c r="M15" s="52" t="s">
        <v>27</v>
      </c>
      <c r="N15" s="52" t="s">
        <v>27</v>
      </c>
      <c r="O15" s="52" t="s">
        <v>27</v>
      </c>
      <c r="P15" s="52">
        <v>5161.3999999999996</v>
      </c>
      <c r="Q15" s="52" t="s">
        <v>27</v>
      </c>
      <c r="R15" s="52" t="s">
        <v>27</v>
      </c>
      <c r="S15" s="52" t="s">
        <v>27</v>
      </c>
      <c r="T15" s="52" t="s">
        <v>27</v>
      </c>
      <c r="U15" s="52" t="s">
        <v>27</v>
      </c>
      <c r="V15" s="52" t="s">
        <v>27</v>
      </c>
      <c r="W15" s="52" t="s">
        <v>27</v>
      </c>
      <c r="X15" s="52" t="s">
        <v>27</v>
      </c>
      <c r="Y15" s="52" t="s">
        <v>27</v>
      </c>
      <c r="Z15" s="52" t="s">
        <v>27</v>
      </c>
      <c r="AA15" s="52" t="s">
        <v>27</v>
      </c>
      <c r="AB15" s="52" t="s">
        <v>27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4" orientation="landscape" horizontalDpi="360" verticalDpi="36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A62F-5FE1-4200-9945-6FEF51449597}">
  <sheetPr>
    <pageSetUpPr fitToPage="1"/>
  </sheetPr>
  <dimension ref="A1:AB7"/>
  <sheetViews>
    <sheetView workbookViewId="0">
      <selection activeCell="AD7" sqref="AD7"/>
    </sheetView>
  </sheetViews>
  <sheetFormatPr defaultRowHeight="14.4" x14ac:dyDescent="0.3"/>
  <cols>
    <col min="1" max="1" width="4.21875" style="1" customWidth="1"/>
    <col min="2" max="2" width="20.77734375" style="1" hidden="1" customWidth="1"/>
    <col min="3" max="3" width="7.77734375" style="1" customWidth="1"/>
    <col min="4" max="4" width="11.77734375" style="1" hidden="1" customWidth="1"/>
    <col min="5" max="5" width="9.21875" style="1" customWidth="1"/>
    <col min="6" max="6" width="8.21875" style="1" customWidth="1"/>
    <col min="7" max="7" width="10" style="1" customWidth="1"/>
    <col min="8" max="8" width="6.44140625" style="1" customWidth="1"/>
    <col min="9" max="9" width="7" style="1" customWidth="1"/>
    <col min="10" max="10" width="8.21875" style="1" customWidth="1"/>
    <col min="11" max="11" width="13.5546875" style="1" customWidth="1"/>
    <col min="12" max="12" width="9.77734375" style="1" hidden="1" customWidth="1"/>
    <col min="13" max="13" width="8.77734375" style="1" hidden="1" customWidth="1"/>
    <col min="14" max="15" width="9.77734375" style="1" hidden="1" customWidth="1"/>
    <col min="16" max="16" width="7.109375" style="1" customWidth="1"/>
    <col min="17" max="17" width="4.44140625" style="1" customWidth="1"/>
    <col min="18" max="18" width="6.21875" style="1" customWidth="1"/>
    <col min="19" max="19" width="6.77734375" style="1" customWidth="1"/>
    <col min="20" max="20" width="11.77734375" style="1" hidden="1" customWidth="1"/>
    <col min="21" max="21" width="8.77734375" style="1" hidden="1" customWidth="1"/>
    <col min="22" max="22" width="7.6640625" style="1" customWidth="1"/>
    <col min="23" max="23" width="8.21875" style="1" customWidth="1"/>
    <col min="24" max="24" width="7.88671875" style="1" customWidth="1"/>
    <col min="25" max="25" width="8" style="1" customWidth="1"/>
    <col min="26" max="26" width="7.109375" style="1" customWidth="1"/>
    <col min="27" max="27" width="4.109375" style="1" customWidth="1"/>
    <col min="28" max="28" width="11.33203125" style="1" customWidth="1"/>
    <col min="29" max="16384" width="8.88671875" style="1"/>
  </cols>
  <sheetData>
    <row r="1" spans="1:28" ht="18" customHeight="1" x14ac:dyDescent="0.3">
      <c r="A1" s="274" t="s">
        <v>105</v>
      </c>
      <c r="B1" s="274" t="s">
        <v>27</v>
      </c>
      <c r="C1" s="274" t="s">
        <v>27</v>
      </c>
      <c r="D1" s="274" t="s">
        <v>27</v>
      </c>
      <c r="E1" s="274" t="s">
        <v>27</v>
      </c>
      <c r="F1" s="274" t="s">
        <v>27</v>
      </c>
      <c r="G1" s="274" t="s">
        <v>27</v>
      </c>
      <c r="H1" s="274" t="s">
        <v>27</v>
      </c>
      <c r="I1" s="274" t="s">
        <v>27</v>
      </c>
      <c r="J1" s="274" t="s">
        <v>27</v>
      </c>
      <c r="K1" s="274" t="s">
        <v>27</v>
      </c>
      <c r="L1" s="274" t="s">
        <v>27</v>
      </c>
      <c r="M1" s="274" t="s">
        <v>27</v>
      </c>
      <c r="N1" s="274" t="s">
        <v>27</v>
      </c>
      <c r="O1" s="274" t="s">
        <v>27</v>
      </c>
      <c r="P1" s="274" t="s">
        <v>27</v>
      </c>
      <c r="Q1" s="274" t="s">
        <v>27</v>
      </c>
      <c r="R1" s="274" t="s">
        <v>27</v>
      </c>
      <c r="S1" s="274" t="s">
        <v>27</v>
      </c>
      <c r="T1" s="274" t="s">
        <v>27</v>
      </c>
      <c r="U1" s="274" t="s">
        <v>27</v>
      </c>
      <c r="V1" s="274" t="s">
        <v>27</v>
      </c>
      <c r="W1" s="274" t="s">
        <v>27</v>
      </c>
      <c r="X1" s="274" t="s">
        <v>27</v>
      </c>
      <c r="Y1" s="274" t="s">
        <v>27</v>
      </c>
      <c r="Z1" s="274" t="s">
        <v>27</v>
      </c>
      <c r="AA1" s="274" t="s">
        <v>27</v>
      </c>
      <c r="AB1" s="274" t="s">
        <v>27</v>
      </c>
    </row>
    <row r="2" spans="1:28" ht="43.2" customHeight="1" x14ac:dyDescent="0.3">
      <c r="A2" s="32" t="s">
        <v>0</v>
      </c>
      <c r="B2" s="32" t="s">
        <v>36</v>
      </c>
      <c r="C2" s="32" t="s">
        <v>1</v>
      </c>
      <c r="D2" s="32" t="s">
        <v>2</v>
      </c>
      <c r="E2" s="32" t="s">
        <v>3</v>
      </c>
      <c r="F2" s="32" t="s">
        <v>53</v>
      </c>
      <c r="G2" s="32" t="s">
        <v>4</v>
      </c>
      <c r="H2" s="32" t="s">
        <v>5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32" t="s">
        <v>14</v>
      </c>
      <c r="R2" s="32" t="s">
        <v>15</v>
      </c>
      <c r="S2" s="32" t="s">
        <v>16</v>
      </c>
      <c r="T2" s="32" t="s">
        <v>17</v>
      </c>
      <c r="U2" s="32" t="s">
        <v>18</v>
      </c>
      <c r="V2" s="32" t="s">
        <v>19</v>
      </c>
      <c r="W2" s="32" t="s">
        <v>20</v>
      </c>
      <c r="X2" s="32" t="s">
        <v>21</v>
      </c>
      <c r="Y2" s="32" t="s">
        <v>22</v>
      </c>
      <c r="Z2" s="32" t="s">
        <v>23</v>
      </c>
      <c r="AA2" s="32" t="s">
        <v>24</v>
      </c>
      <c r="AB2" s="32" t="s">
        <v>25</v>
      </c>
    </row>
    <row r="3" spans="1:28" s="29" customFormat="1" ht="25.05" customHeight="1" x14ac:dyDescent="0.3">
      <c r="A3" s="23">
        <v>1</v>
      </c>
      <c r="B3" s="24" t="s">
        <v>60</v>
      </c>
      <c r="C3" s="30" t="s">
        <v>57</v>
      </c>
      <c r="D3" s="23" t="s">
        <v>87</v>
      </c>
      <c r="E3" s="23" t="s">
        <v>27</v>
      </c>
      <c r="F3" s="23">
        <v>262478</v>
      </c>
      <c r="G3" s="23" t="s">
        <v>102</v>
      </c>
      <c r="H3" s="23">
        <v>150</v>
      </c>
      <c r="I3" s="25">
        <v>1.236</v>
      </c>
      <c r="J3" s="25">
        <v>2.5910000000000002</v>
      </c>
      <c r="K3" s="23" t="s">
        <v>104</v>
      </c>
      <c r="L3" s="25">
        <v>480.37099999999998</v>
      </c>
      <c r="M3" s="26">
        <v>388.7</v>
      </c>
      <c r="N3" s="27">
        <v>0.108</v>
      </c>
      <c r="O3" s="28">
        <v>6.48</v>
      </c>
      <c r="P3" s="23">
        <v>300.7</v>
      </c>
      <c r="Q3" s="23">
        <v>1</v>
      </c>
      <c r="R3" s="23">
        <v>1300</v>
      </c>
      <c r="S3" s="25">
        <v>1.236</v>
      </c>
      <c r="T3" s="23">
        <v>64</v>
      </c>
      <c r="U3" s="27">
        <v>4.9200000000000001E-2</v>
      </c>
      <c r="V3" s="23" t="s">
        <v>29</v>
      </c>
      <c r="W3" s="23" t="s">
        <v>39</v>
      </c>
      <c r="X3" s="23" t="s">
        <v>28</v>
      </c>
      <c r="Y3" s="23" t="s">
        <v>28</v>
      </c>
      <c r="Z3" s="23" t="s">
        <v>29</v>
      </c>
      <c r="AA3" s="23" t="s">
        <v>38</v>
      </c>
      <c r="AB3" s="23" t="s">
        <v>103</v>
      </c>
    </row>
    <row r="4" spans="1:28" s="29" customFormat="1" ht="25.05" customHeight="1" x14ac:dyDescent="0.3">
      <c r="A4" s="23">
        <v>2</v>
      </c>
      <c r="B4" s="24" t="s">
        <v>60</v>
      </c>
      <c r="C4" s="30" t="s">
        <v>57</v>
      </c>
      <c r="D4" s="23" t="s">
        <v>87</v>
      </c>
      <c r="E4" s="23" t="s">
        <v>27</v>
      </c>
      <c r="F4" s="23">
        <v>262479</v>
      </c>
      <c r="G4" s="23" t="s">
        <v>102</v>
      </c>
      <c r="H4" s="23">
        <v>1600</v>
      </c>
      <c r="I4" s="25">
        <v>1.196</v>
      </c>
      <c r="J4" s="25">
        <v>1.6910000000000001</v>
      </c>
      <c r="K4" s="23" t="s">
        <v>101</v>
      </c>
      <c r="L4" s="25">
        <v>3235.8980000000001</v>
      </c>
      <c r="M4" s="26">
        <v>2705.6</v>
      </c>
      <c r="N4" s="27">
        <v>0.75160000000000005</v>
      </c>
      <c r="O4" s="28">
        <v>45.09</v>
      </c>
      <c r="P4" s="23">
        <v>2025.7</v>
      </c>
      <c r="Q4" s="23">
        <v>1</v>
      </c>
      <c r="R4" s="23">
        <v>1250</v>
      </c>
      <c r="S4" s="25">
        <v>1.196</v>
      </c>
      <c r="T4" s="23">
        <v>54</v>
      </c>
      <c r="U4" s="27">
        <v>4.3200000000000002E-2</v>
      </c>
      <c r="V4" s="23" t="s">
        <v>29</v>
      </c>
      <c r="W4" s="23" t="s">
        <v>39</v>
      </c>
      <c r="X4" s="23" t="s">
        <v>28</v>
      </c>
      <c r="Y4" s="23" t="s">
        <v>28</v>
      </c>
      <c r="Z4" s="23" t="s">
        <v>29</v>
      </c>
      <c r="AA4" s="23" t="s">
        <v>63</v>
      </c>
      <c r="AB4" s="23" t="s">
        <v>100</v>
      </c>
    </row>
    <row r="5" spans="1:28" s="29" customFormat="1" ht="25.05" customHeight="1" x14ac:dyDescent="0.3">
      <c r="A5" s="23">
        <v>3</v>
      </c>
      <c r="B5" s="24" t="s">
        <v>60</v>
      </c>
      <c r="C5" s="23" t="s">
        <v>35</v>
      </c>
      <c r="D5" s="23" t="s">
        <v>94</v>
      </c>
      <c r="E5" s="23" t="s">
        <v>27</v>
      </c>
      <c r="F5" s="23">
        <v>262481</v>
      </c>
      <c r="G5" s="23" t="s">
        <v>97</v>
      </c>
      <c r="H5" s="23">
        <v>300</v>
      </c>
      <c r="I5" s="25">
        <v>0.75800000000000001</v>
      </c>
      <c r="J5" s="25">
        <v>0.94899999999999995</v>
      </c>
      <c r="K5" s="23" t="s">
        <v>99</v>
      </c>
      <c r="L5" s="25">
        <v>215.803</v>
      </c>
      <c r="M5" s="26">
        <v>142.30000000000001</v>
      </c>
      <c r="N5" s="27">
        <v>1.9800000000000002E-2</v>
      </c>
      <c r="O5" s="28">
        <v>1.19</v>
      </c>
      <c r="P5" s="23">
        <v>74.5</v>
      </c>
      <c r="Q5" s="23">
        <v>2</v>
      </c>
      <c r="R5" s="23">
        <v>1550</v>
      </c>
      <c r="S5" s="25">
        <v>1.516</v>
      </c>
      <c r="T5" s="23">
        <v>34</v>
      </c>
      <c r="U5" s="27">
        <v>2.1899999999999999E-2</v>
      </c>
      <c r="V5" s="23" t="s">
        <v>28</v>
      </c>
      <c r="W5" s="23" t="s">
        <v>28</v>
      </c>
      <c r="X5" s="23" t="s">
        <v>28</v>
      </c>
      <c r="Y5" s="23" t="s">
        <v>27</v>
      </c>
      <c r="Z5" s="23" t="s">
        <v>27</v>
      </c>
      <c r="AA5" s="23" t="s">
        <v>38</v>
      </c>
      <c r="AB5" s="23" t="s">
        <v>98</v>
      </c>
    </row>
    <row r="6" spans="1:28" s="29" customFormat="1" ht="25.05" customHeight="1" x14ac:dyDescent="0.3">
      <c r="A6" s="23">
        <v>4</v>
      </c>
      <c r="B6" s="24" t="s">
        <v>60</v>
      </c>
      <c r="C6" s="23" t="s">
        <v>42</v>
      </c>
      <c r="D6" s="23" t="s">
        <v>94</v>
      </c>
      <c r="E6" s="23" t="s">
        <v>27</v>
      </c>
      <c r="F6" s="23">
        <v>262480</v>
      </c>
      <c r="G6" s="23" t="s">
        <v>97</v>
      </c>
      <c r="H6" s="23">
        <v>1000</v>
      </c>
      <c r="I6" s="25">
        <v>0.56100000000000005</v>
      </c>
      <c r="J6" s="25">
        <v>1.3109999999999999</v>
      </c>
      <c r="K6" s="23" t="s">
        <v>96</v>
      </c>
      <c r="L6" s="25">
        <v>735.471</v>
      </c>
      <c r="M6" s="26">
        <v>655.5</v>
      </c>
      <c r="N6" s="27">
        <v>9.0999999999999998E-2</v>
      </c>
      <c r="O6" s="28">
        <v>5.46</v>
      </c>
      <c r="P6" s="23">
        <v>270.7</v>
      </c>
      <c r="Q6" s="23">
        <v>2</v>
      </c>
      <c r="R6" s="23">
        <v>1150</v>
      </c>
      <c r="S6" s="25">
        <v>1.1220000000000001</v>
      </c>
      <c r="T6" s="23">
        <v>28</v>
      </c>
      <c r="U6" s="27">
        <v>2.4299999999999999E-2</v>
      </c>
      <c r="V6" s="23" t="s">
        <v>29</v>
      </c>
      <c r="W6" s="23" t="s">
        <v>29</v>
      </c>
      <c r="X6" s="23" t="s">
        <v>28</v>
      </c>
      <c r="Y6" s="23" t="s">
        <v>27</v>
      </c>
      <c r="Z6" s="23" t="s">
        <v>27</v>
      </c>
      <c r="AA6" s="23" t="s">
        <v>32</v>
      </c>
      <c r="AB6" s="23" t="s">
        <v>95</v>
      </c>
    </row>
    <row r="7" spans="1:28" s="29" customFormat="1" ht="25.05" customHeight="1" x14ac:dyDescent="0.3">
      <c r="A7" s="31" t="s">
        <v>27</v>
      </c>
      <c r="B7" s="31" t="s">
        <v>27</v>
      </c>
      <c r="C7" s="31" t="s">
        <v>27</v>
      </c>
      <c r="D7" s="31" t="s">
        <v>27</v>
      </c>
      <c r="E7" s="31" t="s">
        <v>27</v>
      </c>
      <c r="F7" s="31" t="s">
        <v>27</v>
      </c>
      <c r="G7" s="31" t="s">
        <v>27</v>
      </c>
      <c r="H7" s="31">
        <v>3050</v>
      </c>
      <c r="I7" s="31" t="s">
        <v>27</v>
      </c>
      <c r="J7" s="31" t="s">
        <v>27</v>
      </c>
      <c r="K7" s="31" t="s">
        <v>27</v>
      </c>
      <c r="L7" s="31" t="s">
        <v>27</v>
      </c>
      <c r="M7" s="31" t="s">
        <v>27</v>
      </c>
      <c r="N7" s="31" t="s">
        <v>27</v>
      </c>
      <c r="O7" s="31" t="s">
        <v>27</v>
      </c>
      <c r="P7" s="31">
        <v>2671.5</v>
      </c>
      <c r="Q7" s="31" t="s">
        <v>27</v>
      </c>
      <c r="R7" s="31" t="s">
        <v>27</v>
      </c>
      <c r="S7" s="31" t="s">
        <v>27</v>
      </c>
      <c r="T7" s="31" t="s">
        <v>27</v>
      </c>
      <c r="U7" s="31" t="s">
        <v>27</v>
      </c>
      <c r="V7" s="31" t="s">
        <v>27</v>
      </c>
      <c r="W7" s="31" t="s">
        <v>27</v>
      </c>
      <c r="X7" s="31" t="s">
        <v>27</v>
      </c>
      <c r="Y7" s="31" t="s">
        <v>27</v>
      </c>
      <c r="Z7" s="31" t="s">
        <v>27</v>
      </c>
      <c r="AA7" s="31" t="s">
        <v>27</v>
      </c>
      <c r="AB7" s="31" t="s">
        <v>27</v>
      </c>
    </row>
  </sheetData>
  <mergeCells count="1">
    <mergeCell ref="A1:AB1"/>
  </mergeCells>
  <pageMargins left="0.511811024" right="0.511811024" top="1.4" bottom="0.78740157499999996" header="0.31496062000000002" footer="0.31496062000000002"/>
  <pageSetup paperSize="9" scale="89" orientation="landscape" horizontalDpi="360" verticalDpi="36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4A50-F39E-46BC-B44A-89840FB14E42}">
  <sheetPr>
    <pageSetUpPr fitToPage="1"/>
  </sheetPr>
  <dimension ref="A1:AB7"/>
  <sheetViews>
    <sheetView workbookViewId="0">
      <selection activeCell="P15" sqref="P15"/>
    </sheetView>
  </sheetViews>
  <sheetFormatPr defaultRowHeight="14.4" x14ac:dyDescent="0.3"/>
  <cols>
    <col min="1" max="1" width="4.33203125" style="3" customWidth="1"/>
    <col min="2" max="2" width="20.77734375" style="3" hidden="1" customWidth="1"/>
    <col min="3" max="3" width="7.77734375" style="3" customWidth="1"/>
    <col min="4" max="4" width="11.77734375" style="3" hidden="1" customWidth="1"/>
    <col min="5" max="5" width="8.44140625" style="3" customWidth="1"/>
    <col min="6" max="6" width="7.6640625" style="3" customWidth="1"/>
    <col min="7" max="7" width="7.77734375" style="3" customWidth="1"/>
    <col min="8" max="8" width="5.6640625" style="3" customWidth="1"/>
    <col min="9" max="9" width="6.33203125" style="3" customWidth="1"/>
    <col min="10" max="10" width="7.5546875" style="3" customWidth="1"/>
    <col min="11" max="11" width="12.88671875" style="3" customWidth="1"/>
    <col min="12" max="12" width="9.77734375" style="3" hidden="1" customWidth="1"/>
    <col min="13" max="13" width="8.77734375" style="3" hidden="1" customWidth="1"/>
    <col min="14" max="15" width="9.77734375" style="3" hidden="1" customWidth="1"/>
    <col min="16" max="16" width="8.109375" style="3" customWidth="1"/>
    <col min="17" max="17" width="3.88671875" style="3" customWidth="1"/>
    <col min="18" max="18" width="6.109375" style="3" customWidth="1"/>
    <col min="19" max="19" width="6.5546875" style="3" customWidth="1"/>
    <col min="20" max="20" width="11.77734375" style="3" hidden="1" customWidth="1"/>
    <col min="21" max="21" width="8.77734375" style="3" hidden="1" customWidth="1"/>
    <col min="22" max="23" width="8" style="3" customWidth="1"/>
    <col min="24" max="24" width="7.44140625" style="3" customWidth="1"/>
    <col min="25" max="25" width="8.6640625" style="3" customWidth="1"/>
    <col min="26" max="26" width="8.88671875" style="3" customWidth="1"/>
    <col min="27" max="27" width="4.21875" style="3" customWidth="1"/>
    <col min="28" max="28" width="11.33203125" style="3" customWidth="1"/>
    <col min="29" max="16384" width="8.88671875" style="3"/>
  </cols>
  <sheetData>
    <row r="1" spans="1:28" ht="18" customHeight="1" x14ac:dyDescent="0.35">
      <c r="A1" s="275" t="s">
        <v>80</v>
      </c>
      <c r="B1" s="275" t="s">
        <v>27</v>
      </c>
      <c r="C1" s="275" t="s">
        <v>27</v>
      </c>
      <c r="D1" s="275" t="s">
        <v>27</v>
      </c>
      <c r="E1" s="275" t="s">
        <v>27</v>
      </c>
      <c r="F1" s="275" t="s">
        <v>27</v>
      </c>
      <c r="G1" s="275" t="s">
        <v>27</v>
      </c>
      <c r="H1" s="275" t="s">
        <v>27</v>
      </c>
      <c r="I1" s="275" t="s">
        <v>27</v>
      </c>
      <c r="J1" s="275" t="s">
        <v>27</v>
      </c>
      <c r="K1" s="275" t="s">
        <v>27</v>
      </c>
      <c r="L1" s="275" t="s">
        <v>27</v>
      </c>
      <c r="M1" s="275" t="s">
        <v>27</v>
      </c>
      <c r="N1" s="275" t="s">
        <v>27</v>
      </c>
      <c r="O1" s="275" t="s">
        <v>27</v>
      </c>
      <c r="P1" s="275" t="s">
        <v>27</v>
      </c>
      <c r="Q1" s="275" t="s">
        <v>27</v>
      </c>
      <c r="R1" s="275" t="s">
        <v>27</v>
      </c>
      <c r="S1" s="275" t="s">
        <v>27</v>
      </c>
      <c r="T1" s="275" t="s">
        <v>27</v>
      </c>
      <c r="U1" s="275" t="s">
        <v>27</v>
      </c>
      <c r="V1" s="275" t="s">
        <v>27</v>
      </c>
      <c r="W1" s="275" t="s">
        <v>27</v>
      </c>
      <c r="X1" s="275" t="s">
        <v>27</v>
      </c>
      <c r="Y1" s="275" t="s">
        <v>27</v>
      </c>
      <c r="Z1" s="275" t="s">
        <v>27</v>
      </c>
      <c r="AA1" s="275" t="s">
        <v>27</v>
      </c>
      <c r="AB1" s="275" t="s">
        <v>27</v>
      </c>
    </row>
    <row r="2" spans="1:28" ht="51" customHeight="1" x14ac:dyDescent="0.3">
      <c r="A2" s="4" t="s">
        <v>0</v>
      </c>
      <c r="B2" s="4" t="s">
        <v>36</v>
      </c>
      <c r="C2" s="4" t="s">
        <v>1</v>
      </c>
      <c r="D2" s="4" t="s">
        <v>2</v>
      </c>
      <c r="E2" s="4" t="s">
        <v>3</v>
      </c>
      <c r="F2" s="4" t="s">
        <v>53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</row>
    <row r="3" spans="1:28" ht="25.05" customHeight="1" x14ac:dyDescent="0.3">
      <c r="A3" s="20">
        <v>1</v>
      </c>
      <c r="B3" s="22" t="s">
        <v>76</v>
      </c>
      <c r="C3" s="20" t="s">
        <v>35</v>
      </c>
      <c r="D3" s="20" t="s">
        <v>75</v>
      </c>
      <c r="E3" s="20" t="s">
        <v>27</v>
      </c>
      <c r="F3" s="20">
        <v>262365</v>
      </c>
      <c r="G3" s="20" t="s">
        <v>74</v>
      </c>
      <c r="H3" s="20">
        <v>700</v>
      </c>
      <c r="I3" s="21">
        <v>0.55000000000000004</v>
      </c>
      <c r="J3" s="21">
        <v>1.0900000000000001</v>
      </c>
      <c r="K3" s="20" t="s">
        <v>33</v>
      </c>
      <c r="L3" s="17">
        <v>289.8</v>
      </c>
      <c r="M3" s="19">
        <v>210</v>
      </c>
      <c r="N3" s="16">
        <v>1.9400000000000001E-2</v>
      </c>
      <c r="O3" s="18">
        <v>1.17</v>
      </c>
      <c r="P3" s="15">
        <v>100</v>
      </c>
      <c r="Q3" s="15">
        <v>3</v>
      </c>
      <c r="R3" s="15">
        <v>1400</v>
      </c>
      <c r="S3" s="17">
        <v>1.38</v>
      </c>
      <c r="T3" s="15">
        <v>20</v>
      </c>
      <c r="U3" s="16">
        <v>1.43E-2</v>
      </c>
      <c r="V3" s="15" t="s">
        <v>28</v>
      </c>
      <c r="W3" s="15" t="s">
        <v>28</v>
      </c>
      <c r="X3" s="15" t="s">
        <v>28</v>
      </c>
      <c r="Y3" s="15" t="s">
        <v>27</v>
      </c>
      <c r="Z3" s="15" t="s">
        <v>27</v>
      </c>
      <c r="AA3" s="15" t="s">
        <v>38</v>
      </c>
      <c r="AB3" s="15" t="s">
        <v>79</v>
      </c>
    </row>
    <row r="4" spans="1:28" ht="25.05" customHeight="1" x14ac:dyDescent="0.3">
      <c r="A4" s="20">
        <v>2</v>
      </c>
      <c r="B4" s="22" t="s">
        <v>76</v>
      </c>
      <c r="C4" s="20" t="s">
        <v>42</v>
      </c>
      <c r="D4" s="20" t="s">
        <v>71</v>
      </c>
      <c r="E4" s="20" t="s">
        <v>27</v>
      </c>
      <c r="F4" s="20">
        <v>262362</v>
      </c>
      <c r="G4" s="20" t="s">
        <v>74</v>
      </c>
      <c r="H4" s="20">
        <v>3000</v>
      </c>
      <c r="I4" s="21">
        <v>0.55400000000000005</v>
      </c>
      <c r="J4" s="21">
        <v>2.2040000000000002</v>
      </c>
      <c r="K4" s="20" t="s">
        <v>62</v>
      </c>
      <c r="L4" s="17">
        <v>3663.0479999999998</v>
      </c>
      <c r="M4" s="19">
        <v>3306</v>
      </c>
      <c r="N4" s="16">
        <v>0.4592</v>
      </c>
      <c r="O4" s="18">
        <v>27.55</v>
      </c>
      <c r="P4" s="15">
        <v>1348</v>
      </c>
      <c r="Q4" s="15">
        <v>2</v>
      </c>
      <c r="R4" s="15">
        <v>1150</v>
      </c>
      <c r="S4" s="17">
        <v>1.1080000000000001</v>
      </c>
      <c r="T4" s="15">
        <v>42</v>
      </c>
      <c r="U4" s="16">
        <v>3.6499999999999998E-2</v>
      </c>
      <c r="V4" s="15" t="s">
        <v>29</v>
      </c>
      <c r="W4" s="15" t="s">
        <v>29</v>
      </c>
      <c r="X4" s="15" t="s">
        <v>28</v>
      </c>
      <c r="Y4" s="15" t="s">
        <v>27</v>
      </c>
      <c r="Z4" s="15" t="s">
        <v>27</v>
      </c>
      <c r="AA4" s="15" t="s">
        <v>52</v>
      </c>
      <c r="AB4" s="15" t="s">
        <v>61</v>
      </c>
    </row>
    <row r="5" spans="1:28" ht="25.05" customHeight="1" x14ac:dyDescent="0.3">
      <c r="A5" s="20">
        <v>3</v>
      </c>
      <c r="B5" s="22" t="s">
        <v>76</v>
      </c>
      <c r="C5" s="20" t="s">
        <v>35</v>
      </c>
      <c r="D5" s="20" t="s">
        <v>75</v>
      </c>
      <c r="E5" s="20" t="s">
        <v>27</v>
      </c>
      <c r="F5" s="20">
        <v>262363</v>
      </c>
      <c r="G5" s="20" t="s">
        <v>74</v>
      </c>
      <c r="H5" s="20">
        <v>2000</v>
      </c>
      <c r="I5" s="21">
        <v>0.40400000000000003</v>
      </c>
      <c r="J5" s="21">
        <v>1.39</v>
      </c>
      <c r="K5" s="20" t="s">
        <v>78</v>
      </c>
      <c r="L5" s="17">
        <v>1123.1199999999999</v>
      </c>
      <c r="M5" s="19">
        <v>1390</v>
      </c>
      <c r="N5" s="16">
        <v>0.19309999999999999</v>
      </c>
      <c r="O5" s="18">
        <v>11.58</v>
      </c>
      <c r="P5" s="15">
        <v>387.5</v>
      </c>
      <c r="Q5" s="15">
        <v>2</v>
      </c>
      <c r="R5" s="15">
        <v>850</v>
      </c>
      <c r="S5" s="17">
        <v>0.80800000000000005</v>
      </c>
      <c r="T5" s="15">
        <v>42</v>
      </c>
      <c r="U5" s="16">
        <v>4.9399999999999999E-2</v>
      </c>
      <c r="V5" s="15" t="s">
        <v>28</v>
      </c>
      <c r="W5" s="15" t="s">
        <v>28</v>
      </c>
      <c r="X5" s="15" t="s">
        <v>28</v>
      </c>
      <c r="Y5" s="15" t="s">
        <v>27</v>
      </c>
      <c r="Z5" s="15" t="s">
        <v>27</v>
      </c>
      <c r="AA5" s="15" t="s">
        <v>30</v>
      </c>
      <c r="AB5" s="15" t="s">
        <v>77</v>
      </c>
    </row>
    <row r="6" spans="1:28" ht="25.05" customHeight="1" x14ac:dyDescent="0.3">
      <c r="A6" s="20">
        <v>4</v>
      </c>
      <c r="B6" s="22" t="s">
        <v>76</v>
      </c>
      <c r="C6" s="20" t="s">
        <v>35</v>
      </c>
      <c r="D6" s="20" t="s">
        <v>75</v>
      </c>
      <c r="E6" s="20" t="s">
        <v>27</v>
      </c>
      <c r="F6" s="20">
        <v>262364</v>
      </c>
      <c r="G6" s="20" t="s">
        <v>74</v>
      </c>
      <c r="H6" s="20">
        <v>6000</v>
      </c>
      <c r="I6" s="21">
        <v>0.41</v>
      </c>
      <c r="J6" s="21">
        <v>0.59</v>
      </c>
      <c r="K6" s="20" t="s">
        <v>43</v>
      </c>
      <c r="L6" s="17">
        <v>725.7</v>
      </c>
      <c r="M6" s="19">
        <v>1770</v>
      </c>
      <c r="N6" s="16">
        <v>0.49170000000000003</v>
      </c>
      <c r="O6" s="18">
        <v>29.5</v>
      </c>
      <c r="P6" s="15">
        <v>250.4</v>
      </c>
      <c r="Q6" s="15">
        <v>1</v>
      </c>
      <c r="R6" s="15">
        <v>450</v>
      </c>
      <c r="S6" s="17">
        <v>0.41</v>
      </c>
      <c r="T6" s="15">
        <v>40</v>
      </c>
      <c r="U6" s="16">
        <v>8.8900000000000007E-2</v>
      </c>
      <c r="V6" s="15" t="s">
        <v>28</v>
      </c>
      <c r="W6" s="15" t="s">
        <v>28</v>
      </c>
      <c r="X6" s="15" t="s">
        <v>28</v>
      </c>
      <c r="Y6" s="15" t="s">
        <v>27</v>
      </c>
      <c r="Z6" s="15" t="s">
        <v>27</v>
      </c>
      <c r="AA6" s="15" t="s">
        <v>38</v>
      </c>
      <c r="AB6" s="15" t="s">
        <v>73</v>
      </c>
    </row>
    <row r="7" spans="1:28" ht="25.05" customHeight="1" x14ac:dyDescent="0.3">
      <c r="A7" s="14" t="s">
        <v>27</v>
      </c>
      <c r="B7" s="14" t="s">
        <v>27</v>
      </c>
      <c r="C7" s="14" t="s">
        <v>27</v>
      </c>
      <c r="D7" s="14" t="s">
        <v>27</v>
      </c>
      <c r="E7" s="14" t="s">
        <v>27</v>
      </c>
      <c r="F7" s="14" t="s">
        <v>27</v>
      </c>
      <c r="G7" s="14" t="s">
        <v>27</v>
      </c>
      <c r="H7" s="14">
        <v>8700</v>
      </c>
      <c r="I7" s="14" t="s">
        <v>27</v>
      </c>
      <c r="J7" s="14" t="s">
        <v>27</v>
      </c>
      <c r="K7" s="14" t="s">
        <v>27</v>
      </c>
      <c r="L7" s="13" t="s">
        <v>27</v>
      </c>
      <c r="M7" s="13" t="s">
        <v>27</v>
      </c>
      <c r="N7" s="13" t="s">
        <v>27</v>
      </c>
      <c r="O7" s="13" t="s">
        <v>27</v>
      </c>
      <c r="P7" s="13">
        <v>2085.8000000000002</v>
      </c>
      <c r="Q7" s="13" t="s">
        <v>27</v>
      </c>
      <c r="R7" s="13" t="s">
        <v>27</v>
      </c>
      <c r="S7" s="13" t="s">
        <v>27</v>
      </c>
      <c r="T7" s="13" t="s">
        <v>27</v>
      </c>
      <c r="U7" s="13" t="s">
        <v>27</v>
      </c>
      <c r="V7" s="13" t="s">
        <v>27</v>
      </c>
      <c r="W7" s="13" t="s">
        <v>27</v>
      </c>
      <c r="X7" s="13" t="s">
        <v>27</v>
      </c>
      <c r="Y7" s="13" t="s">
        <v>27</v>
      </c>
      <c r="Z7" s="13" t="s">
        <v>27</v>
      </c>
      <c r="AA7" s="13" t="s">
        <v>27</v>
      </c>
      <c r="AB7" s="13" t="s">
        <v>27</v>
      </c>
    </row>
  </sheetData>
  <mergeCells count="1">
    <mergeCell ref="A1:AB1"/>
  </mergeCells>
  <pageMargins left="0.511811024" right="0.511811024" top="1.49" bottom="0.78740157499999996" header="0.31496062000000002" footer="0.31496062000000002"/>
  <pageSetup paperSize="9" scale="9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47</vt:i4>
      </vt:variant>
      <vt:variant>
        <vt:lpstr>Intervalos Nomeados</vt:lpstr>
      </vt:variant>
      <vt:variant>
        <vt:i4>1</vt:i4>
      </vt:variant>
    </vt:vector>
  </HeadingPairs>
  <TitlesOfParts>
    <vt:vector size="48" baseType="lpstr">
      <vt:lpstr>DR EMBALAGENS 1282 P</vt:lpstr>
      <vt:lpstr>J FER 1281 P</vt:lpstr>
      <vt:lpstr>VÔ CHICO 1280 P</vt:lpstr>
      <vt:lpstr>PCBOX EMBALAGENS 1278 P</vt:lpstr>
      <vt:lpstr>RM EMBALAGENS 1277</vt:lpstr>
      <vt:lpstr>RM Embalagens 1275 P</vt:lpstr>
      <vt:lpstr>FAVINCO EMBALAGENS 1273 P</vt:lpstr>
      <vt:lpstr>ABAPEL 1272 P</vt:lpstr>
      <vt:lpstr>RM Embalagens 1271 P</vt:lpstr>
      <vt:lpstr>IPE -PC BOX 1270 P</vt:lpstr>
      <vt:lpstr>PCBOX  - IPE 1266 P</vt:lpstr>
      <vt:lpstr>Tolecaixas 1264 P</vt:lpstr>
      <vt:lpstr>RM Embalagens 1263 P</vt:lpstr>
      <vt:lpstr>HARMONY EMBALAGENS 1262 P</vt:lpstr>
      <vt:lpstr>HARMONY EMBALAGENS 1260 P</vt:lpstr>
      <vt:lpstr>CARTOMIL EMBALAGENS LTDA 1258 P</vt:lpstr>
      <vt:lpstr>CARPEL 1257 P</vt:lpstr>
      <vt:lpstr>FAVINCO EMBALAGENS 1256 P</vt:lpstr>
      <vt:lpstr>RR STELLA 1253 P</vt:lpstr>
      <vt:lpstr>FAVINCO EMBALAGENS 1252 P</vt:lpstr>
      <vt:lpstr>DR EMBALAGENS 1250 P</vt:lpstr>
      <vt:lpstr>HARMONY EMBALAGENS 1249 P</vt:lpstr>
      <vt:lpstr>FAVINCO 1248 AMOSTRA</vt:lpstr>
      <vt:lpstr>ABAPEL 1246 P</vt:lpstr>
      <vt:lpstr>FAVINCO 1243 P</vt:lpstr>
      <vt:lpstr>Renovapel 1242 P</vt:lpstr>
      <vt:lpstr>Tole. DR EMB. VO CH S. M 1241 P</vt:lpstr>
      <vt:lpstr>FAVINCO 1239 P</vt:lpstr>
      <vt:lpstr>PCBOX EMBALAGENS 1233 P</vt:lpstr>
      <vt:lpstr>RM Embalagens 1232 P</vt:lpstr>
      <vt:lpstr>HARMONY EMBALAGENS 1231 P</vt:lpstr>
      <vt:lpstr>RM Embalagens P</vt:lpstr>
      <vt:lpstr>PCBOX EMBALAGENS LTDA 1222 P</vt:lpstr>
      <vt:lpstr>FORBOX 1220 P</vt:lpstr>
      <vt:lpstr>HARMONY EMBALAGENS 1217 P</vt:lpstr>
      <vt:lpstr>Z4A EMBALAGENS LTDA 1216</vt:lpstr>
      <vt:lpstr>ABAPEL 1213 P</vt:lpstr>
      <vt:lpstr>IPE - PCBOX 1212 P</vt:lpstr>
      <vt:lpstr>Z4A EMBALAGENS LTDA 1210 P</vt:lpstr>
      <vt:lpstr>RM Embalagens 1209 P</vt:lpstr>
      <vt:lpstr>ABAPEL 1201 P</vt:lpstr>
      <vt:lpstr>HARMONY EMBALAGENS 1200 P</vt:lpstr>
      <vt:lpstr>FAVINCO EMBALAGENS 1197 P</vt:lpstr>
      <vt:lpstr>ABAPEL 1196 P</vt:lpstr>
      <vt:lpstr>RM Embalagens 1184 P</vt:lpstr>
      <vt:lpstr>HARMONY EMBALAGENS 1180 P</vt:lpstr>
      <vt:lpstr>Carpel 1158 P</vt:lpstr>
      <vt:lpstr>'FAVINCO EMBALAGENS 1273 P'!Area_de_impressao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Marciliano Almeida</cp:lastModifiedBy>
  <cp:lastPrinted>2026-10-15T13:09:38Z</cp:lastPrinted>
  <dcterms:created xsi:type="dcterms:W3CDTF">2026-07-02T17:42:15Z</dcterms:created>
  <dcterms:modified xsi:type="dcterms:W3CDTF">2026-10-15T13:09:42Z</dcterms:modified>
</cp:coreProperties>
</file>